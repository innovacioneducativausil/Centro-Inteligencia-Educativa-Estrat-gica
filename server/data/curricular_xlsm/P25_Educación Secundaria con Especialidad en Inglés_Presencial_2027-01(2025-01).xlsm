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1.xml" ContentType="application/vnd.ms-office.activeX+xml"/>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6"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usiloffice365.sharepoint.com/sites/GestineInnovacinCurricular_ddc543/Documentos compartidos/PLANES PARA MIGRACIÓN/KEILA/"/>
    </mc:Choice>
  </mc:AlternateContent>
  <xr:revisionPtr revIDLastSave="0" documentId="8_{6BD64D84-5890-4F8A-8A18-525289DA822C}" xr6:coauthVersionLast="47" xr6:coauthVersionMax="47" xr10:uidLastSave="{00000000-0000-0000-0000-000000000000}"/>
  <bookViews>
    <workbookView xWindow="-9870" yWindow="-16320" windowWidth="38640" windowHeight="15720" tabRatio="862" firstSheet="8" activeTab="8" xr2:uid="{00000000-000D-0000-FFFF-FFFF00000000}"/>
  </bookViews>
  <sheets>
    <sheet name="1.Fundamentos" sheetId="7" r:id="rId1"/>
    <sheet name="2.Menc._Certif." sheetId="20" r:id="rId2"/>
    <sheet name="Plan_Anterior" sheetId="24" state="hidden" r:id="rId3"/>
    <sheet name="3.Plan de Estudios" sheetId="1" r:id="rId4"/>
    <sheet name="4.Electivos" sheetId="11" r:id="rId5"/>
    <sheet name="5.Mapeo" sheetId="6" r:id="rId6"/>
    <sheet name="6.Malla" sheetId="4" r:id="rId7"/>
    <sheet name="DATOS" sheetId="3" state="hidden" r:id="rId8"/>
    <sheet name="7.Sumillas" sheetId="5" r:id="rId9"/>
    <sheet name="Hoja1" sheetId="25" state="hidden" r:id="rId10"/>
    <sheet name="8.Matriz" sheetId="16" state="hidden" r:id="rId11"/>
    <sheet name="9.Ficha(Rediseño)" sheetId="23" r:id="rId12"/>
    <sheet name="Dashboard" sheetId="14" r:id="rId13"/>
    <sheet name="8.Matriz con hrs de lab" sheetId="19" state="hidden" r:id="rId14"/>
  </sheets>
  <definedNames>
    <definedName name="_xlnm._FilterDatabase" localSheetId="3" hidden="1">'3.Plan de Estudios'!$B$18:$X$85</definedName>
    <definedName name="_xlnm._FilterDatabase" localSheetId="4" hidden="1">'4.Electivos'!$B$5:$W$108</definedName>
    <definedName name="_xlnm._FilterDatabase" localSheetId="5" hidden="1">'5.Mapeo'!$A$7:$FD$43</definedName>
    <definedName name="_xlnm._FilterDatabase" localSheetId="8" hidden="1">'7.Sumillas'!$A$7:$H$72</definedName>
    <definedName name="_xlnm._FilterDatabase" localSheetId="7" hidden="1">DATOS!$I$2:$P$2</definedName>
    <definedName name="ACTIVIDAD_COMERCIAL_EN_GENERAL">DATOS!#REF!</definedName>
    <definedName name="ACTIVIDAD_COMERCIAL_EN_GENERAL_1">DATOS!#REF!</definedName>
    <definedName name="ADMINISTRACIÓN_PÚBLICA">DATOS!#REF!</definedName>
    <definedName name="ADMINISTRACIÓN_PÚBLICA_1">DATOS!#REF!</definedName>
    <definedName name="AGRICULTURA">DATOS!#REF!</definedName>
    <definedName name="Aprendizajes">'1.Fundamentos'!$B$67:$F$175</definedName>
    <definedName name="_xlnm.Print_Area" localSheetId="0">'1.Fundamentos'!$B$1:$F$221</definedName>
    <definedName name="_xlnm.Print_Area" localSheetId="1">'2.Menc._Certif.'!$B$1:$L$73</definedName>
    <definedName name="_xlnm.Print_Area" localSheetId="3">'3.Plan de Estudios'!$A$1:$Y$174</definedName>
    <definedName name="_xlnm.Print_Area" localSheetId="4">'4.Electivos'!$A$1:$AD$109</definedName>
    <definedName name="_xlnm.Print_Area" localSheetId="5">'5.Mapeo'!$B$2:$EP$46</definedName>
    <definedName name="_xlnm.Print_Area" localSheetId="11">'9.Ficha(Rediseño)'!$B$2:$Q$56</definedName>
    <definedName name="Competencias">'1.Fundamentos'!$B$51:$F$64</definedName>
    <definedName name="CPEL">DATOS!$J$3:$J$29</definedName>
    <definedName name="NEGOCIOS_DEL_DEPORTE">DATOS!#REF!</definedName>
    <definedName name="Plan_Electivos">'4.Electivos'!$B$5:$AC$200</definedName>
    <definedName name="Plan_Oblig_2">'3.Plan de Estudios'!$B$18:$AJ$200</definedName>
    <definedName name="PREGRADO">DATOS!$J$30:$J$152</definedName>
    <definedName name="RELACIONES_PÚBLICAS">DATOS!#REF!</definedName>
    <definedName name="Sumillas_Elect">'7.Sumillas'!$B$150:$H$280</definedName>
    <definedName name="Sumillas_Oblig">'7.Sumillas'!$B$7:$H$148</definedName>
    <definedName name="_xlnm.Print_Titles" localSheetId="0">'1.Fundamentos'!$1:$3</definedName>
    <definedName name="_xlnm.Print_Titles" localSheetId="3">'3.Plan de Estudios'!$1:$18</definedName>
    <definedName name="_xlnm.Print_Titles" localSheetId="4">'4.Electivos'!$1:$5</definedName>
    <definedName name="_xlnm.Print_Titles" localSheetId="5">'5.Mapeo'!$1:$7</definedName>
    <definedName name="_xlnm.Print_Titles" localSheetId="8">'7.Sumillas'!$2:$7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0" i="23" l="1"/>
  <c r="E12" i="20" l="1"/>
  <c r="D12" i="20"/>
  <c r="C12" i="20"/>
  <c r="E11" i="20"/>
  <c r="D11" i="20"/>
  <c r="C11" i="20"/>
  <c r="E10" i="20"/>
  <c r="D10" i="20"/>
  <c r="C10" i="20"/>
  <c r="K12" i="20"/>
  <c r="J12" i="20"/>
  <c r="I12" i="20"/>
  <c r="K11" i="20"/>
  <c r="J11" i="20"/>
  <c r="I11" i="20"/>
  <c r="K10" i="20"/>
  <c r="J10" i="20"/>
  <c r="I10" i="20"/>
  <c r="K9" i="20"/>
  <c r="J9" i="20"/>
  <c r="I9" i="20"/>
  <c r="E9" i="20"/>
  <c r="D9" i="20"/>
  <c r="C9" i="20"/>
  <c r="F23" i="23"/>
  <c r="H23" i="23" s="1"/>
  <c r="J19" i="23" s="1"/>
  <c r="F22" i="23"/>
  <c r="I6" i="11"/>
  <c r="I7" i="11"/>
  <c r="I8" i="11"/>
  <c r="J20" i="23"/>
  <c r="C21" i="3" a="1"/>
  <c r="C21" i="3" s="1"/>
  <c r="C20" i="3" a="1"/>
  <c r="C20" i="3" s="1"/>
  <c r="C19" i="3" a="1"/>
  <c r="C19" i="3" s="1"/>
  <c r="C18" i="3" a="1"/>
  <c r="C18" i="3" s="1"/>
  <c r="D186" i="7"/>
  <c r="D187" i="7"/>
  <c r="B2" i="5" l="1"/>
  <c r="AF3" i="3"/>
  <c r="P156" i="16" l="1"/>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155" i="16"/>
  <c r="B156" i="16"/>
  <c r="C156" i="16"/>
  <c r="D156" i="16"/>
  <c r="F156" i="16"/>
  <c r="G156" i="16"/>
  <c r="H156" i="16"/>
  <c r="I156" i="16"/>
  <c r="J156" i="16"/>
  <c r="K156" i="16"/>
  <c r="B157" i="16"/>
  <c r="C157" i="16"/>
  <c r="D157" i="16"/>
  <c r="F157" i="16"/>
  <c r="G157" i="16"/>
  <c r="H157" i="16"/>
  <c r="I157" i="16"/>
  <c r="J157" i="16"/>
  <c r="K157" i="16"/>
  <c r="B158" i="16"/>
  <c r="C158" i="16"/>
  <c r="D158" i="16"/>
  <c r="F158" i="16"/>
  <c r="G158" i="16"/>
  <c r="H158" i="16"/>
  <c r="I158" i="16"/>
  <c r="J158" i="16"/>
  <c r="K158" i="16"/>
  <c r="B159" i="16"/>
  <c r="C159" i="16"/>
  <c r="D159" i="16"/>
  <c r="F159" i="16"/>
  <c r="G159" i="16"/>
  <c r="H159" i="16"/>
  <c r="I159" i="16"/>
  <c r="J159" i="16"/>
  <c r="K159" i="16"/>
  <c r="B160" i="16"/>
  <c r="C160" i="16"/>
  <c r="D160" i="16"/>
  <c r="F160" i="16"/>
  <c r="G160" i="16"/>
  <c r="H160" i="16"/>
  <c r="I160" i="16"/>
  <c r="J160" i="16"/>
  <c r="K160" i="16"/>
  <c r="B161" i="16"/>
  <c r="C161" i="16"/>
  <c r="D161" i="16"/>
  <c r="F161" i="16"/>
  <c r="G161" i="16"/>
  <c r="H161" i="16"/>
  <c r="I161" i="16"/>
  <c r="J161" i="16"/>
  <c r="K161" i="16"/>
  <c r="B162" i="16"/>
  <c r="C162" i="16"/>
  <c r="D162" i="16"/>
  <c r="F162" i="16"/>
  <c r="G162" i="16"/>
  <c r="H162" i="16"/>
  <c r="I162" i="16"/>
  <c r="J162" i="16"/>
  <c r="K162" i="16"/>
  <c r="B163" i="16"/>
  <c r="C163" i="16"/>
  <c r="D163" i="16"/>
  <c r="F163" i="16"/>
  <c r="G163" i="16"/>
  <c r="H163" i="16"/>
  <c r="I163" i="16"/>
  <c r="J163" i="16"/>
  <c r="K163" i="16"/>
  <c r="B164" i="16"/>
  <c r="C164" i="16"/>
  <c r="D164" i="16"/>
  <c r="F164" i="16"/>
  <c r="G164" i="16"/>
  <c r="H164" i="16"/>
  <c r="I164" i="16"/>
  <c r="J164" i="16"/>
  <c r="K164" i="16"/>
  <c r="B165" i="16"/>
  <c r="C165" i="16"/>
  <c r="D165" i="16"/>
  <c r="F165" i="16"/>
  <c r="G165" i="16"/>
  <c r="H165" i="16"/>
  <c r="I165" i="16"/>
  <c r="J165" i="16"/>
  <c r="K165" i="16"/>
  <c r="B166" i="16"/>
  <c r="C166" i="16"/>
  <c r="D166" i="16"/>
  <c r="F166" i="16"/>
  <c r="G166" i="16"/>
  <c r="H166" i="16"/>
  <c r="I166" i="16"/>
  <c r="J166" i="16"/>
  <c r="K166" i="16"/>
  <c r="B167" i="16"/>
  <c r="C167" i="16"/>
  <c r="D167" i="16"/>
  <c r="F167" i="16"/>
  <c r="G167" i="16"/>
  <c r="H167" i="16"/>
  <c r="I167" i="16"/>
  <c r="J167" i="16"/>
  <c r="K167" i="16"/>
  <c r="B168" i="16"/>
  <c r="C168" i="16"/>
  <c r="D168" i="16"/>
  <c r="F168" i="16"/>
  <c r="G168" i="16"/>
  <c r="H168" i="16"/>
  <c r="I168" i="16"/>
  <c r="J168" i="16"/>
  <c r="K168" i="16"/>
  <c r="B169" i="16"/>
  <c r="C169" i="16"/>
  <c r="D169" i="16"/>
  <c r="F169" i="16"/>
  <c r="G169" i="16"/>
  <c r="H169" i="16"/>
  <c r="I169" i="16"/>
  <c r="J169" i="16"/>
  <c r="K169" i="16"/>
  <c r="B170" i="16"/>
  <c r="C170" i="16"/>
  <c r="D170" i="16"/>
  <c r="F170" i="16"/>
  <c r="G170" i="16"/>
  <c r="H170" i="16"/>
  <c r="I170" i="16"/>
  <c r="J170" i="16"/>
  <c r="K170" i="16"/>
  <c r="B171" i="16"/>
  <c r="C171" i="16"/>
  <c r="D171" i="16"/>
  <c r="F171" i="16"/>
  <c r="G171" i="16"/>
  <c r="H171" i="16"/>
  <c r="I171" i="16"/>
  <c r="J171" i="16"/>
  <c r="K171" i="16"/>
  <c r="B172" i="16"/>
  <c r="C172" i="16"/>
  <c r="D172" i="16"/>
  <c r="F172" i="16"/>
  <c r="G172" i="16"/>
  <c r="H172" i="16"/>
  <c r="I172" i="16"/>
  <c r="J172" i="16"/>
  <c r="K172" i="16"/>
  <c r="B173" i="16"/>
  <c r="C173" i="16"/>
  <c r="D173" i="16"/>
  <c r="F173" i="16"/>
  <c r="G173" i="16"/>
  <c r="H173" i="16"/>
  <c r="I173" i="16"/>
  <c r="J173" i="16"/>
  <c r="K173" i="16"/>
  <c r="B174" i="16"/>
  <c r="C174" i="16"/>
  <c r="D174" i="16"/>
  <c r="F174" i="16"/>
  <c r="G174" i="16"/>
  <c r="H174" i="16"/>
  <c r="I174" i="16"/>
  <c r="J174" i="16"/>
  <c r="K174" i="16"/>
  <c r="B175" i="16"/>
  <c r="C175" i="16"/>
  <c r="D175" i="16"/>
  <c r="F175" i="16"/>
  <c r="G175" i="16"/>
  <c r="H175" i="16"/>
  <c r="I175" i="16"/>
  <c r="J175" i="16"/>
  <c r="K175" i="16"/>
  <c r="B176" i="16"/>
  <c r="C176" i="16"/>
  <c r="D176" i="16"/>
  <c r="F176" i="16"/>
  <c r="G176" i="16"/>
  <c r="H176" i="16"/>
  <c r="I176" i="16"/>
  <c r="J176" i="16"/>
  <c r="K176" i="16"/>
  <c r="B177" i="16"/>
  <c r="C177" i="16"/>
  <c r="D177" i="16"/>
  <c r="F177" i="16"/>
  <c r="G177" i="16"/>
  <c r="H177" i="16"/>
  <c r="I177" i="16"/>
  <c r="J177" i="16"/>
  <c r="K177" i="16"/>
  <c r="B178" i="16"/>
  <c r="C178" i="16"/>
  <c r="D178" i="16"/>
  <c r="F178" i="16"/>
  <c r="G178" i="16"/>
  <c r="H178" i="16"/>
  <c r="I178" i="16"/>
  <c r="J178" i="16"/>
  <c r="K178" i="16"/>
  <c r="B179" i="16"/>
  <c r="C179" i="16"/>
  <c r="D179" i="16"/>
  <c r="F179" i="16"/>
  <c r="G179" i="16"/>
  <c r="H179" i="16"/>
  <c r="I179" i="16"/>
  <c r="J179" i="16"/>
  <c r="K179" i="16"/>
  <c r="B180" i="16"/>
  <c r="C180" i="16"/>
  <c r="D180" i="16"/>
  <c r="F180" i="16"/>
  <c r="G180" i="16"/>
  <c r="H180" i="16"/>
  <c r="I180" i="16"/>
  <c r="J180" i="16"/>
  <c r="K180" i="16"/>
  <c r="B181" i="16"/>
  <c r="C181" i="16"/>
  <c r="D181" i="16"/>
  <c r="F181" i="16"/>
  <c r="G181" i="16"/>
  <c r="H181" i="16"/>
  <c r="I181" i="16"/>
  <c r="J181" i="16"/>
  <c r="K181" i="16"/>
  <c r="B182" i="16"/>
  <c r="C182" i="16"/>
  <c r="D182" i="16"/>
  <c r="F182" i="16"/>
  <c r="G182" i="16"/>
  <c r="H182" i="16"/>
  <c r="I182" i="16"/>
  <c r="J182" i="16"/>
  <c r="K182" i="16"/>
  <c r="B183" i="16"/>
  <c r="C183" i="16"/>
  <c r="D183" i="16"/>
  <c r="F183" i="16"/>
  <c r="G183" i="16"/>
  <c r="H183" i="16"/>
  <c r="I183" i="16"/>
  <c r="J183" i="16"/>
  <c r="K183" i="16"/>
  <c r="B184" i="16"/>
  <c r="C184" i="16"/>
  <c r="D184" i="16"/>
  <c r="F184" i="16"/>
  <c r="G184" i="16"/>
  <c r="H184" i="16"/>
  <c r="I184" i="16"/>
  <c r="J184" i="16"/>
  <c r="K184" i="16"/>
  <c r="B185" i="16"/>
  <c r="C185" i="16"/>
  <c r="D185" i="16"/>
  <c r="F185" i="16"/>
  <c r="G185" i="16"/>
  <c r="H185" i="16"/>
  <c r="I185" i="16"/>
  <c r="J185" i="16"/>
  <c r="K185" i="16"/>
  <c r="B186" i="16"/>
  <c r="C186" i="16"/>
  <c r="D186" i="16"/>
  <c r="F186" i="16"/>
  <c r="G186" i="16"/>
  <c r="H186" i="16"/>
  <c r="I186" i="16"/>
  <c r="J186" i="16"/>
  <c r="K186" i="16"/>
  <c r="B187" i="16"/>
  <c r="C187" i="16"/>
  <c r="D187" i="16"/>
  <c r="F187" i="16"/>
  <c r="G187" i="16"/>
  <c r="H187" i="16"/>
  <c r="I187" i="16"/>
  <c r="J187" i="16"/>
  <c r="K187" i="16"/>
  <c r="B188" i="16"/>
  <c r="C188" i="16"/>
  <c r="D188" i="16"/>
  <c r="F188" i="16"/>
  <c r="G188" i="16"/>
  <c r="H188" i="16"/>
  <c r="I188" i="16"/>
  <c r="J188" i="16"/>
  <c r="K188" i="16"/>
  <c r="B189" i="16"/>
  <c r="C189" i="16"/>
  <c r="D189" i="16"/>
  <c r="F189" i="16"/>
  <c r="G189" i="16"/>
  <c r="H189" i="16"/>
  <c r="I189" i="16"/>
  <c r="J189" i="16"/>
  <c r="K189" i="16"/>
  <c r="B190" i="16"/>
  <c r="C190" i="16"/>
  <c r="D190" i="16"/>
  <c r="F190" i="16"/>
  <c r="G190" i="16"/>
  <c r="H190" i="16"/>
  <c r="I190" i="16"/>
  <c r="J190" i="16"/>
  <c r="K190" i="16"/>
  <c r="B191" i="16"/>
  <c r="C191" i="16"/>
  <c r="D191" i="16"/>
  <c r="F191" i="16"/>
  <c r="G191" i="16"/>
  <c r="H191" i="16"/>
  <c r="I191" i="16"/>
  <c r="J191" i="16"/>
  <c r="K191" i="16"/>
  <c r="B192" i="16"/>
  <c r="C192" i="16"/>
  <c r="D192" i="16"/>
  <c r="F192" i="16"/>
  <c r="G192" i="16"/>
  <c r="H192" i="16"/>
  <c r="I192" i="16"/>
  <c r="J192" i="16"/>
  <c r="K192" i="16"/>
  <c r="B193" i="16"/>
  <c r="C193" i="16"/>
  <c r="D193" i="16"/>
  <c r="F193" i="16"/>
  <c r="G193" i="16"/>
  <c r="H193" i="16"/>
  <c r="I193" i="16"/>
  <c r="J193" i="16"/>
  <c r="K193" i="16"/>
  <c r="B194" i="16"/>
  <c r="C194" i="16"/>
  <c r="D194" i="16"/>
  <c r="F194" i="16"/>
  <c r="G194" i="16"/>
  <c r="H194" i="16"/>
  <c r="I194" i="16"/>
  <c r="J194" i="16"/>
  <c r="K194" i="16"/>
  <c r="B195" i="16"/>
  <c r="C195" i="16"/>
  <c r="D195" i="16"/>
  <c r="F195" i="16"/>
  <c r="G195" i="16"/>
  <c r="H195" i="16"/>
  <c r="I195" i="16"/>
  <c r="J195" i="16"/>
  <c r="K195" i="16"/>
  <c r="B196" i="16"/>
  <c r="C196" i="16"/>
  <c r="D196" i="16"/>
  <c r="F196" i="16"/>
  <c r="G196" i="16"/>
  <c r="H196" i="16"/>
  <c r="I196" i="16"/>
  <c r="J196" i="16"/>
  <c r="K196" i="16"/>
  <c r="B197" i="16"/>
  <c r="C197" i="16"/>
  <c r="D197" i="16"/>
  <c r="F197" i="16"/>
  <c r="G197" i="16"/>
  <c r="H197" i="16"/>
  <c r="I197" i="16"/>
  <c r="J197" i="16"/>
  <c r="K197" i="16"/>
  <c r="B198" i="16"/>
  <c r="C198" i="16"/>
  <c r="D198" i="16"/>
  <c r="F198" i="16"/>
  <c r="G198" i="16"/>
  <c r="H198" i="16"/>
  <c r="I198" i="16"/>
  <c r="J198" i="16"/>
  <c r="K198" i="16"/>
  <c r="B199" i="16"/>
  <c r="C199" i="16"/>
  <c r="D199" i="16"/>
  <c r="F199" i="16"/>
  <c r="G199" i="16"/>
  <c r="H199" i="16"/>
  <c r="I199" i="16"/>
  <c r="J199" i="16"/>
  <c r="K199" i="16"/>
  <c r="B200" i="16"/>
  <c r="C200" i="16"/>
  <c r="D200" i="16"/>
  <c r="F200" i="16"/>
  <c r="G200" i="16"/>
  <c r="H200" i="16"/>
  <c r="I200" i="16"/>
  <c r="J200" i="16"/>
  <c r="K200" i="16"/>
  <c r="B201" i="16"/>
  <c r="C201" i="16"/>
  <c r="D201" i="16"/>
  <c r="F201" i="16"/>
  <c r="G201" i="16"/>
  <c r="H201" i="16"/>
  <c r="I201" i="16"/>
  <c r="J201" i="16"/>
  <c r="K201" i="16"/>
  <c r="B202" i="16"/>
  <c r="C202" i="16"/>
  <c r="D202" i="16"/>
  <c r="F202" i="16"/>
  <c r="G202" i="16"/>
  <c r="H202" i="16"/>
  <c r="I202" i="16"/>
  <c r="J202" i="16"/>
  <c r="K202" i="16"/>
  <c r="B203" i="16"/>
  <c r="C203" i="16"/>
  <c r="D203" i="16"/>
  <c r="F203" i="16"/>
  <c r="G203" i="16"/>
  <c r="H203" i="16"/>
  <c r="I203" i="16"/>
  <c r="J203" i="16"/>
  <c r="K203" i="16"/>
  <c r="B204" i="16"/>
  <c r="C204" i="16"/>
  <c r="D204" i="16"/>
  <c r="F204" i="16"/>
  <c r="G204" i="16"/>
  <c r="H204" i="16"/>
  <c r="I204" i="16"/>
  <c r="J204" i="16"/>
  <c r="K204" i="16"/>
  <c r="B205" i="16"/>
  <c r="C205" i="16"/>
  <c r="D205" i="16"/>
  <c r="F205" i="16"/>
  <c r="G205" i="16"/>
  <c r="H205" i="16"/>
  <c r="I205" i="16"/>
  <c r="J205" i="16"/>
  <c r="K205" i="16"/>
  <c r="B206" i="16"/>
  <c r="C206" i="16"/>
  <c r="D206" i="16"/>
  <c r="F206" i="16"/>
  <c r="G206" i="16"/>
  <c r="H206" i="16"/>
  <c r="I206" i="16"/>
  <c r="J206" i="16"/>
  <c r="K206" i="16"/>
  <c r="B207" i="16"/>
  <c r="C207" i="16"/>
  <c r="D207" i="16"/>
  <c r="F207" i="16"/>
  <c r="G207" i="16"/>
  <c r="H207" i="16"/>
  <c r="I207" i="16"/>
  <c r="J207" i="16"/>
  <c r="K207" i="16"/>
  <c r="B208" i="16"/>
  <c r="C208" i="16"/>
  <c r="D208" i="16"/>
  <c r="F208" i="16"/>
  <c r="G208" i="16"/>
  <c r="H208" i="16"/>
  <c r="I208" i="16"/>
  <c r="J208" i="16"/>
  <c r="K208" i="16"/>
  <c r="B209" i="16"/>
  <c r="C209" i="16"/>
  <c r="D209" i="16"/>
  <c r="F209" i="16"/>
  <c r="G209" i="16"/>
  <c r="H209" i="16"/>
  <c r="I209" i="16"/>
  <c r="J209" i="16"/>
  <c r="K209" i="16"/>
  <c r="B210" i="16"/>
  <c r="C210" i="16"/>
  <c r="D210" i="16"/>
  <c r="F210" i="16"/>
  <c r="G210" i="16"/>
  <c r="H210" i="16"/>
  <c r="I210" i="16"/>
  <c r="J210" i="16"/>
  <c r="K210" i="16"/>
  <c r="B211" i="16"/>
  <c r="C211" i="16"/>
  <c r="D211" i="16"/>
  <c r="F211" i="16"/>
  <c r="G211" i="16"/>
  <c r="H211" i="16"/>
  <c r="I211" i="16"/>
  <c r="J211" i="16"/>
  <c r="K211" i="16"/>
  <c r="B212" i="16"/>
  <c r="C212" i="16"/>
  <c r="D212" i="16"/>
  <c r="F212" i="16"/>
  <c r="G212" i="16"/>
  <c r="H212" i="16"/>
  <c r="I212" i="16"/>
  <c r="J212" i="16"/>
  <c r="K212" i="16"/>
  <c r="B213" i="16"/>
  <c r="C213" i="16"/>
  <c r="D213" i="16"/>
  <c r="F213" i="16"/>
  <c r="G213" i="16"/>
  <c r="H213" i="16"/>
  <c r="I213" i="16"/>
  <c r="J213" i="16"/>
  <c r="K213" i="16"/>
  <c r="B214" i="16"/>
  <c r="C214" i="16"/>
  <c r="D214" i="16"/>
  <c r="F214" i="16"/>
  <c r="G214" i="16"/>
  <c r="H214" i="16"/>
  <c r="I214" i="16"/>
  <c r="J214" i="16"/>
  <c r="K214" i="16"/>
  <c r="B215" i="16"/>
  <c r="C215" i="16"/>
  <c r="D215" i="16"/>
  <c r="F215" i="16"/>
  <c r="G215" i="16"/>
  <c r="H215" i="16"/>
  <c r="I215" i="16"/>
  <c r="J215" i="16"/>
  <c r="K215" i="16"/>
  <c r="B216" i="16"/>
  <c r="C216" i="16"/>
  <c r="D216" i="16"/>
  <c r="F216" i="16"/>
  <c r="G216" i="16"/>
  <c r="H216" i="16"/>
  <c r="I216" i="16"/>
  <c r="J216" i="16"/>
  <c r="K216" i="16"/>
  <c r="B217" i="16"/>
  <c r="C217" i="16"/>
  <c r="D217" i="16"/>
  <c r="F217" i="16"/>
  <c r="G217" i="16"/>
  <c r="H217" i="16"/>
  <c r="I217" i="16"/>
  <c r="J217" i="16"/>
  <c r="K217" i="16"/>
  <c r="B218" i="16"/>
  <c r="C218" i="16"/>
  <c r="D218" i="16"/>
  <c r="F218" i="16"/>
  <c r="G218" i="16"/>
  <c r="H218" i="16"/>
  <c r="I218" i="16"/>
  <c r="J218" i="16"/>
  <c r="K218" i="16"/>
  <c r="B219" i="16"/>
  <c r="C219" i="16"/>
  <c r="D219" i="16"/>
  <c r="F219" i="16"/>
  <c r="G219" i="16"/>
  <c r="H219" i="16"/>
  <c r="I219" i="16"/>
  <c r="J219" i="16"/>
  <c r="K219" i="16"/>
  <c r="T219" i="16" s="1"/>
  <c r="B220" i="16"/>
  <c r="C220" i="16"/>
  <c r="D220" i="16"/>
  <c r="F220" i="16"/>
  <c r="G220" i="16"/>
  <c r="H220" i="16"/>
  <c r="I220" i="16"/>
  <c r="T220" i="16" s="1"/>
  <c r="J220" i="16"/>
  <c r="K220" i="16"/>
  <c r="B221" i="16"/>
  <c r="C221" i="16"/>
  <c r="D221" i="16"/>
  <c r="F221" i="16"/>
  <c r="G221" i="16"/>
  <c r="H221" i="16"/>
  <c r="I221" i="16"/>
  <c r="T221" i="16" s="1"/>
  <c r="J221" i="16"/>
  <c r="K221" i="16"/>
  <c r="B222" i="16"/>
  <c r="C222" i="16"/>
  <c r="D222" i="16"/>
  <c r="F222" i="16"/>
  <c r="G222" i="16"/>
  <c r="H222" i="16"/>
  <c r="I222" i="16"/>
  <c r="T222" i="16" s="1"/>
  <c r="J222" i="16"/>
  <c r="K222" i="16"/>
  <c r="B223" i="16"/>
  <c r="C223" i="16"/>
  <c r="D223" i="16"/>
  <c r="F223" i="16"/>
  <c r="G223" i="16"/>
  <c r="H223" i="16"/>
  <c r="I223" i="16"/>
  <c r="J223" i="16"/>
  <c r="K223" i="16"/>
  <c r="B224" i="16"/>
  <c r="C224" i="16"/>
  <c r="D224" i="16"/>
  <c r="F224" i="16"/>
  <c r="G224" i="16"/>
  <c r="H224" i="16"/>
  <c r="I224" i="16"/>
  <c r="J224" i="16"/>
  <c r="K224" i="16"/>
  <c r="B225" i="16"/>
  <c r="C225" i="16"/>
  <c r="D225" i="16"/>
  <c r="F225" i="16"/>
  <c r="G225" i="16"/>
  <c r="H225" i="16"/>
  <c r="I225" i="16"/>
  <c r="J225" i="16"/>
  <c r="K225" i="16"/>
  <c r="T225" i="16" s="1"/>
  <c r="B226" i="16"/>
  <c r="C226" i="16"/>
  <c r="D226" i="16"/>
  <c r="F226" i="16"/>
  <c r="G226" i="16"/>
  <c r="H226" i="16"/>
  <c r="I226" i="16"/>
  <c r="J226" i="16"/>
  <c r="K226" i="16"/>
  <c r="B227" i="16"/>
  <c r="C227" i="16"/>
  <c r="D227" i="16"/>
  <c r="F227" i="16"/>
  <c r="G227" i="16"/>
  <c r="H227" i="16"/>
  <c r="I227" i="16"/>
  <c r="J227" i="16"/>
  <c r="K227" i="16"/>
  <c r="B228" i="16"/>
  <c r="C228" i="16"/>
  <c r="D228" i="16"/>
  <c r="F228" i="16"/>
  <c r="G228" i="16"/>
  <c r="H228" i="16"/>
  <c r="I228" i="16"/>
  <c r="J228" i="16"/>
  <c r="K228" i="16"/>
  <c r="B229" i="16"/>
  <c r="C229" i="16"/>
  <c r="D229" i="16"/>
  <c r="F229" i="16"/>
  <c r="G229" i="16"/>
  <c r="H229" i="16"/>
  <c r="I229" i="16"/>
  <c r="J229" i="16"/>
  <c r="K229" i="16"/>
  <c r="B230" i="16"/>
  <c r="C230" i="16"/>
  <c r="D230" i="16"/>
  <c r="F230" i="16"/>
  <c r="G230" i="16"/>
  <c r="H230" i="16"/>
  <c r="I230" i="16"/>
  <c r="T230" i="16" s="1"/>
  <c r="J230" i="16"/>
  <c r="K230" i="16"/>
  <c r="B231" i="16"/>
  <c r="C231" i="16"/>
  <c r="D231" i="16"/>
  <c r="F231" i="16"/>
  <c r="G231" i="16"/>
  <c r="H231" i="16"/>
  <c r="I231" i="16"/>
  <c r="J231" i="16"/>
  <c r="K231" i="16"/>
  <c r="T231" i="16" s="1"/>
  <c r="B232" i="16"/>
  <c r="C232" i="16"/>
  <c r="D232" i="16"/>
  <c r="F232" i="16"/>
  <c r="G232" i="16"/>
  <c r="H232" i="16"/>
  <c r="I232" i="16"/>
  <c r="J232" i="16"/>
  <c r="K232" i="16"/>
  <c r="B233" i="16"/>
  <c r="C233" i="16"/>
  <c r="D233" i="16"/>
  <c r="F233" i="16"/>
  <c r="G233" i="16"/>
  <c r="H233" i="16"/>
  <c r="I233" i="16"/>
  <c r="T233" i="16" s="1"/>
  <c r="J233" i="16"/>
  <c r="K233" i="16"/>
  <c r="B234" i="16"/>
  <c r="C234" i="16"/>
  <c r="D234" i="16"/>
  <c r="F234" i="16"/>
  <c r="G234" i="16"/>
  <c r="H234" i="16"/>
  <c r="I234" i="16"/>
  <c r="J234" i="16"/>
  <c r="K234" i="16"/>
  <c r="B235" i="16"/>
  <c r="C235" i="16"/>
  <c r="D235" i="16"/>
  <c r="F235" i="16"/>
  <c r="G235" i="16"/>
  <c r="H235" i="16"/>
  <c r="I235" i="16"/>
  <c r="J235" i="16"/>
  <c r="K235" i="16"/>
  <c r="B236" i="16"/>
  <c r="C236" i="16"/>
  <c r="D236" i="16"/>
  <c r="F236" i="16"/>
  <c r="G236" i="16"/>
  <c r="H236" i="16"/>
  <c r="I236" i="16"/>
  <c r="J236" i="16"/>
  <c r="K236" i="16"/>
  <c r="B237" i="16"/>
  <c r="C237" i="16"/>
  <c r="D237" i="16"/>
  <c r="F237" i="16"/>
  <c r="G237" i="16"/>
  <c r="H237" i="16"/>
  <c r="I237" i="16"/>
  <c r="J237" i="16"/>
  <c r="K237" i="16"/>
  <c r="B238" i="16"/>
  <c r="C238" i="16"/>
  <c r="D238" i="16"/>
  <c r="F238" i="16"/>
  <c r="G238" i="16"/>
  <c r="H238" i="16"/>
  <c r="I238" i="16"/>
  <c r="T238" i="16" s="1"/>
  <c r="J238" i="16"/>
  <c r="K238" i="16"/>
  <c r="B239" i="16"/>
  <c r="C239" i="16"/>
  <c r="D239" i="16"/>
  <c r="F239" i="16"/>
  <c r="G239" i="16"/>
  <c r="H239" i="16"/>
  <c r="I239" i="16"/>
  <c r="J239" i="16"/>
  <c r="K239" i="16"/>
  <c r="B240" i="16"/>
  <c r="C240" i="16"/>
  <c r="D240" i="16"/>
  <c r="F240" i="16"/>
  <c r="G240" i="16"/>
  <c r="H240" i="16"/>
  <c r="I240" i="16"/>
  <c r="J240" i="16"/>
  <c r="K240" i="16"/>
  <c r="B241" i="16"/>
  <c r="C241" i="16"/>
  <c r="D241" i="16"/>
  <c r="F241" i="16"/>
  <c r="G241" i="16"/>
  <c r="H241" i="16"/>
  <c r="I241" i="16"/>
  <c r="J241" i="16"/>
  <c r="K241" i="16"/>
  <c r="B242" i="16"/>
  <c r="C242" i="16"/>
  <c r="D242" i="16"/>
  <c r="F242" i="16"/>
  <c r="G242" i="16"/>
  <c r="H242" i="16"/>
  <c r="I242" i="16"/>
  <c r="J242" i="16"/>
  <c r="K242" i="16"/>
  <c r="B243" i="16"/>
  <c r="C243" i="16"/>
  <c r="D243" i="16"/>
  <c r="F243" i="16"/>
  <c r="G243" i="16"/>
  <c r="H243" i="16"/>
  <c r="I243" i="16"/>
  <c r="J243" i="16"/>
  <c r="K243" i="16"/>
  <c r="T243" i="16" s="1"/>
  <c r="B244" i="16"/>
  <c r="C244" i="16"/>
  <c r="D244" i="16"/>
  <c r="F244" i="16"/>
  <c r="G244" i="16"/>
  <c r="H244" i="16"/>
  <c r="I244" i="16"/>
  <c r="T244" i="16" s="1"/>
  <c r="J244" i="16"/>
  <c r="K244" i="16"/>
  <c r="B245" i="16"/>
  <c r="C245" i="16"/>
  <c r="D245" i="16"/>
  <c r="F245" i="16"/>
  <c r="G245" i="16"/>
  <c r="H245" i="16"/>
  <c r="I245" i="16"/>
  <c r="T245" i="16" s="1"/>
  <c r="J245" i="16"/>
  <c r="K245" i="16"/>
  <c r="B246" i="16"/>
  <c r="C246" i="16"/>
  <c r="D246" i="16"/>
  <c r="F246" i="16"/>
  <c r="G246" i="16"/>
  <c r="H246" i="16"/>
  <c r="I246" i="16"/>
  <c r="T246" i="16" s="1"/>
  <c r="J246" i="16"/>
  <c r="K246" i="16"/>
  <c r="B247" i="16"/>
  <c r="C247" i="16"/>
  <c r="D247" i="16"/>
  <c r="F247" i="16"/>
  <c r="G247" i="16"/>
  <c r="H247" i="16"/>
  <c r="I247" i="16"/>
  <c r="T247" i="16" s="1"/>
  <c r="J247" i="16"/>
  <c r="K247" i="16"/>
  <c r="B248" i="16"/>
  <c r="C248" i="16"/>
  <c r="D248" i="16"/>
  <c r="F248" i="16"/>
  <c r="G248" i="16"/>
  <c r="H248" i="16"/>
  <c r="I248" i="16"/>
  <c r="J248" i="16"/>
  <c r="K248" i="16"/>
  <c r="B249" i="16"/>
  <c r="C249" i="16"/>
  <c r="D249" i="16"/>
  <c r="F249" i="16"/>
  <c r="G249" i="16"/>
  <c r="H249" i="16"/>
  <c r="I249" i="16"/>
  <c r="T249" i="16" s="1"/>
  <c r="J249" i="16"/>
  <c r="K249" i="16"/>
  <c r="B250" i="16"/>
  <c r="C250" i="16"/>
  <c r="D250" i="16"/>
  <c r="F250" i="16"/>
  <c r="G250" i="16"/>
  <c r="H250" i="16"/>
  <c r="I250" i="16"/>
  <c r="J250" i="16"/>
  <c r="K250" i="16"/>
  <c r="B251" i="16"/>
  <c r="C251" i="16"/>
  <c r="D251" i="16"/>
  <c r="F251" i="16"/>
  <c r="G251" i="16"/>
  <c r="H251" i="16"/>
  <c r="I251" i="16"/>
  <c r="J251" i="16"/>
  <c r="K251" i="16"/>
  <c r="B252" i="16"/>
  <c r="C252" i="16"/>
  <c r="D252" i="16"/>
  <c r="F252" i="16"/>
  <c r="G252" i="16"/>
  <c r="H252" i="16"/>
  <c r="I252" i="16"/>
  <c r="T252" i="16" s="1"/>
  <c r="J252" i="16"/>
  <c r="K252" i="16"/>
  <c r="B253" i="16"/>
  <c r="C253" i="16"/>
  <c r="D253" i="16"/>
  <c r="F253" i="16"/>
  <c r="G253" i="16"/>
  <c r="H253" i="16"/>
  <c r="I253" i="16"/>
  <c r="T253" i="16" s="1"/>
  <c r="J253" i="16"/>
  <c r="K253" i="16"/>
  <c r="B254" i="16"/>
  <c r="C254" i="16"/>
  <c r="D254" i="16"/>
  <c r="F254" i="16"/>
  <c r="G254" i="16"/>
  <c r="H254" i="16"/>
  <c r="I254" i="16"/>
  <c r="T254" i="16" s="1"/>
  <c r="J254" i="16"/>
  <c r="K254" i="16"/>
  <c r="I155" i="16"/>
  <c r="H155"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B145" i="16"/>
  <c r="C145" i="16"/>
  <c r="D145" i="16"/>
  <c r="F145" i="16"/>
  <c r="G145" i="16"/>
  <c r="H145" i="16"/>
  <c r="I145" i="16"/>
  <c r="J145" i="16"/>
  <c r="K145" i="16"/>
  <c r="B146" i="16"/>
  <c r="C146" i="16"/>
  <c r="D146" i="16"/>
  <c r="F146" i="16"/>
  <c r="G146" i="16"/>
  <c r="H146" i="16"/>
  <c r="I146" i="16"/>
  <c r="J146" i="16"/>
  <c r="K146" i="16"/>
  <c r="B137" i="16"/>
  <c r="C137" i="16"/>
  <c r="D137" i="16"/>
  <c r="F137" i="16"/>
  <c r="G137" i="16"/>
  <c r="H137" i="16"/>
  <c r="I137" i="16"/>
  <c r="J137" i="16"/>
  <c r="K137" i="16"/>
  <c r="B138" i="16"/>
  <c r="C138" i="16"/>
  <c r="D138" i="16"/>
  <c r="F138" i="16"/>
  <c r="G138" i="16"/>
  <c r="H138" i="16"/>
  <c r="I138" i="16"/>
  <c r="J138" i="16"/>
  <c r="K138" i="16"/>
  <c r="B139" i="16"/>
  <c r="C139" i="16"/>
  <c r="D139" i="16"/>
  <c r="F139" i="16"/>
  <c r="G139" i="16"/>
  <c r="H139" i="16"/>
  <c r="I139" i="16"/>
  <c r="T139" i="16" s="1"/>
  <c r="J139" i="16"/>
  <c r="K139" i="16"/>
  <c r="B140" i="16"/>
  <c r="C140" i="16"/>
  <c r="D140" i="16"/>
  <c r="F140" i="16"/>
  <c r="G140" i="16"/>
  <c r="H140" i="16"/>
  <c r="I140" i="16"/>
  <c r="J140" i="16"/>
  <c r="K140" i="16"/>
  <c r="B141" i="16"/>
  <c r="C141" i="16"/>
  <c r="D141" i="16"/>
  <c r="F141" i="16"/>
  <c r="G141" i="16"/>
  <c r="H141" i="16"/>
  <c r="I141" i="16"/>
  <c r="J141" i="16"/>
  <c r="K141" i="16"/>
  <c r="B142" i="16"/>
  <c r="C142" i="16"/>
  <c r="D142" i="16"/>
  <c r="F142" i="16"/>
  <c r="G142" i="16"/>
  <c r="H142" i="16"/>
  <c r="I142" i="16"/>
  <c r="J142" i="16"/>
  <c r="K142" i="16"/>
  <c r="B143" i="16"/>
  <c r="C143" i="16"/>
  <c r="D143" i="16"/>
  <c r="F143" i="16"/>
  <c r="G143" i="16"/>
  <c r="H143" i="16"/>
  <c r="I143" i="16"/>
  <c r="J143" i="16"/>
  <c r="K143" i="16"/>
  <c r="B144" i="16"/>
  <c r="C144" i="16"/>
  <c r="D144" i="16"/>
  <c r="F144" i="16"/>
  <c r="G144" i="16"/>
  <c r="H144" i="16"/>
  <c r="I144" i="16"/>
  <c r="J144" i="16"/>
  <c r="K144" i="16"/>
  <c r="B8" i="16"/>
  <c r="C8" i="16"/>
  <c r="D8" i="16"/>
  <c r="F8" i="16"/>
  <c r="G8" i="16"/>
  <c r="H8" i="16"/>
  <c r="I8" i="16"/>
  <c r="J8" i="16"/>
  <c r="K8" i="16"/>
  <c r="B9" i="16"/>
  <c r="C9" i="16"/>
  <c r="D9" i="16"/>
  <c r="F9" i="16"/>
  <c r="G9" i="16"/>
  <c r="H9" i="16"/>
  <c r="I9" i="16"/>
  <c r="J9" i="16"/>
  <c r="K9" i="16"/>
  <c r="B10" i="16"/>
  <c r="C10" i="16"/>
  <c r="D10" i="16"/>
  <c r="F10" i="16"/>
  <c r="G10" i="16"/>
  <c r="H10" i="16"/>
  <c r="I10" i="16"/>
  <c r="J10" i="16"/>
  <c r="K10" i="16"/>
  <c r="B11" i="16"/>
  <c r="C11" i="16"/>
  <c r="D11" i="16"/>
  <c r="F11" i="16"/>
  <c r="G11" i="16"/>
  <c r="H11" i="16"/>
  <c r="I11" i="16"/>
  <c r="J11" i="16"/>
  <c r="K11" i="16"/>
  <c r="B12" i="16"/>
  <c r="C12" i="16"/>
  <c r="D12" i="16"/>
  <c r="F12" i="16"/>
  <c r="G12" i="16"/>
  <c r="H12" i="16"/>
  <c r="I12" i="16"/>
  <c r="J12" i="16"/>
  <c r="K12" i="16"/>
  <c r="B13" i="16"/>
  <c r="C13" i="16"/>
  <c r="D13" i="16"/>
  <c r="F13" i="16"/>
  <c r="G13" i="16"/>
  <c r="H13" i="16"/>
  <c r="I13" i="16"/>
  <c r="J13" i="16"/>
  <c r="K13" i="16"/>
  <c r="B14" i="16"/>
  <c r="C14" i="16"/>
  <c r="D14" i="16"/>
  <c r="F14" i="16"/>
  <c r="G14" i="16"/>
  <c r="H14" i="16"/>
  <c r="I14" i="16"/>
  <c r="J14" i="16"/>
  <c r="K14" i="16"/>
  <c r="B15" i="16"/>
  <c r="C15" i="16"/>
  <c r="D15" i="16"/>
  <c r="F15" i="16"/>
  <c r="G15" i="16"/>
  <c r="H15" i="16"/>
  <c r="I15" i="16"/>
  <c r="J15" i="16"/>
  <c r="K15" i="16"/>
  <c r="B16" i="16"/>
  <c r="C16" i="16"/>
  <c r="D16" i="16"/>
  <c r="F16" i="16"/>
  <c r="G16" i="16"/>
  <c r="H16" i="16"/>
  <c r="I16" i="16"/>
  <c r="J16" i="16"/>
  <c r="K16" i="16"/>
  <c r="B17" i="16"/>
  <c r="C17" i="16"/>
  <c r="D17" i="16"/>
  <c r="F17" i="16"/>
  <c r="G17" i="16"/>
  <c r="H17" i="16"/>
  <c r="I17" i="16"/>
  <c r="J17" i="16"/>
  <c r="K17" i="16"/>
  <c r="B18" i="16"/>
  <c r="C18" i="16"/>
  <c r="D18" i="16"/>
  <c r="F18" i="16"/>
  <c r="G18" i="16"/>
  <c r="H18" i="16"/>
  <c r="I18" i="16"/>
  <c r="J18" i="16"/>
  <c r="K18" i="16"/>
  <c r="B19" i="16"/>
  <c r="C19" i="16"/>
  <c r="D19" i="16"/>
  <c r="F19" i="16"/>
  <c r="G19" i="16"/>
  <c r="H19" i="16"/>
  <c r="I19" i="16"/>
  <c r="J19" i="16"/>
  <c r="K19" i="16"/>
  <c r="B20" i="16"/>
  <c r="C20" i="16"/>
  <c r="D20" i="16"/>
  <c r="F20" i="16"/>
  <c r="G20" i="16"/>
  <c r="H20" i="16"/>
  <c r="I20" i="16"/>
  <c r="J20" i="16"/>
  <c r="K20" i="16"/>
  <c r="B21" i="16"/>
  <c r="C21" i="16"/>
  <c r="D21" i="16"/>
  <c r="F21" i="16"/>
  <c r="G21" i="16"/>
  <c r="H21" i="16"/>
  <c r="I21" i="16"/>
  <c r="J21" i="16"/>
  <c r="K21" i="16"/>
  <c r="B22" i="16"/>
  <c r="C22" i="16"/>
  <c r="D22" i="16"/>
  <c r="F22" i="16"/>
  <c r="G22" i="16"/>
  <c r="H22" i="16"/>
  <c r="I22" i="16"/>
  <c r="T22" i="16" s="1"/>
  <c r="J22" i="16"/>
  <c r="K22" i="16"/>
  <c r="B23" i="16"/>
  <c r="C23" i="16"/>
  <c r="D23" i="16"/>
  <c r="F23" i="16"/>
  <c r="G23" i="16"/>
  <c r="H23" i="16"/>
  <c r="I23" i="16"/>
  <c r="J23" i="16"/>
  <c r="K23" i="16"/>
  <c r="B24" i="16"/>
  <c r="C24" i="16"/>
  <c r="D24" i="16"/>
  <c r="F24" i="16"/>
  <c r="G24" i="16"/>
  <c r="H24" i="16"/>
  <c r="I24" i="16"/>
  <c r="J24" i="16"/>
  <c r="K24" i="16"/>
  <c r="B25" i="16"/>
  <c r="C25" i="16"/>
  <c r="D25" i="16"/>
  <c r="F25" i="16"/>
  <c r="G25" i="16"/>
  <c r="H25" i="16"/>
  <c r="I25" i="16"/>
  <c r="J25" i="16"/>
  <c r="K25" i="16"/>
  <c r="B26" i="16"/>
  <c r="C26" i="16"/>
  <c r="D26" i="16"/>
  <c r="F26" i="16"/>
  <c r="G26" i="16"/>
  <c r="H26" i="16"/>
  <c r="I26" i="16"/>
  <c r="T26" i="16" s="1"/>
  <c r="J26" i="16"/>
  <c r="K26" i="16"/>
  <c r="B27" i="16"/>
  <c r="C27" i="16"/>
  <c r="D27" i="16"/>
  <c r="F27" i="16"/>
  <c r="G27" i="16"/>
  <c r="H27" i="16"/>
  <c r="I27" i="16"/>
  <c r="J27" i="16"/>
  <c r="K27" i="16"/>
  <c r="B28" i="16"/>
  <c r="C28" i="16"/>
  <c r="D28" i="16"/>
  <c r="F28" i="16"/>
  <c r="G28" i="16"/>
  <c r="H28" i="16"/>
  <c r="I28" i="16"/>
  <c r="J28" i="16"/>
  <c r="K28" i="16"/>
  <c r="B29" i="16"/>
  <c r="C29" i="16"/>
  <c r="D29" i="16"/>
  <c r="F29" i="16"/>
  <c r="G29" i="16"/>
  <c r="H29" i="16"/>
  <c r="I29" i="16"/>
  <c r="J29" i="16"/>
  <c r="K29" i="16"/>
  <c r="B30" i="16"/>
  <c r="C30" i="16"/>
  <c r="D30" i="16"/>
  <c r="F30" i="16"/>
  <c r="G30" i="16"/>
  <c r="H30" i="16"/>
  <c r="I30" i="16"/>
  <c r="T30" i="16" s="1"/>
  <c r="J30" i="16"/>
  <c r="K30" i="16"/>
  <c r="B31" i="16"/>
  <c r="C31" i="16"/>
  <c r="D31" i="16"/>
  <c r="F31" i="16"/>
  <c r="G31" i="16"/>
  <c r="H31" i="16"/>
  <c r="I31" i="16"/>
  <c r="J31" i="16"/>
  <c r="K31" i="16"/>
  <c r="B32" i="16"/>
  <c r="C32" i="16"/>
  <c r="D32" i="16"/>
  <c r="F32" i="16"/>
  <c r="G32" i="16"/>
  <c r="H32" i="16"/>
  <c r="I32" i="16"/>
  <c r="J32" i="16"/>
  <c r="K32" i="16"/>
  <c r="B33" i="16"/>
  <c r="C33" i="16"/>
  <c r="D33" i="16"/>
  <c r="F33" i="16"/>
  <c r="G33" i="16"/>
  <c r="H33" i="16"/>
  <c r="I33" i="16"/>
  <c r="J33" i="16"/>
  <c r="K33" i="16"/>
  <c r="B34" i="16"/>
  <c r="C34" i="16"/>
  <c r="D34" i="16"/>
  <c r="F34" i="16"/>
  <c r="G34" i="16"/>
  <c r="H34" i="16"/>
  <c r="I34" i="16"/>
  <c r="J34" i="16"/>
  <c r="K34" i="16"/>
  <c r="B35" i="16"/>
  <c r="C35" i="16"/>
  <c r="D35" i="16"/>
  <c r="F35" i="16"/>
  <c r="G35" i="16"/>
  <c r="H35" i="16"/>
  <c r="I35" i="16"/>
  <c r="J35" i="16"/>
  <c r="K35" i="16"/>
  <c r="B36" i="16"/>
  <c r="C36" i="16"/>
  <c r="D36" i="16"/>
  <c r="F36" i="16"/>
  <c r="G36" i="16"/>
  <c r="H36" i="16"/>
  <c r="I36" i="16"/>
  <c r="J36" i="16"/>
  <c r="K36" i="16"/>
  <c r="T36" i="16" s="1"/>
  <c r="B37" i="16"/>
  <c r="C37" i="16"/>
  <c r="D37" i="16"/>
  <c r="F37" i="16"/>
  <c r="G37" i="16"/>
  <c r="H37" i="16"/>
  <c r="I37" i="16"/>
  <c r="J37" i="16"/>
  <c r="K37" i="16"/>
  <c r="B38" i="16"/>
  <c r="C38" i="16"/>
  <c r="D38" i="16"/>
  <c r="F38" i="16"/>
  <c r="G38" i="16"/>
  <c r="H38" i="16"/>
  <c r="I38" i="16"/>
  <c r="J38" i="16"/>
  <c r="K38" i="16"/>
  <c r="B39" i="16"/>
  <c r="C39" i="16"/>
  <c r="D39" i="16"/>
  <c r="F39" i="16"/>
  <c r="G39" i="16"/>
  <c r="H39" i="16"/>
  <c r="I39" i="16"/>
  <c r="J39" i="16"/>
  <c r="K39" i="16"/>
  <c r="B40" i="16"/>
  <c r="C40" i="16"/>
  <c r="D40" i="16"/>
  <c r="F40" i="16"/>
  <c r="G40" i="16"/>
  <c r="H40" i="16"/>
  <c r="I40" i="16"/>
  <c r="J40" i="16"/>
  <c r="K40" i="16"/>
  <c r="B41" i="16"/>
  <c r="C41" i="16"/>
  <c r="D41" i="16"/>
  <c r="F41" i="16"/>
  <c r="G41" i="16"/>
  <c r="H41" i="16"/>
  <c r="I41" i="16"/>
  <c r="J41" i="16"/>
  <c r="K41" i="16"/>
  <c r="B42" i="16"/>
  <c r="C42" i="16"/>
  <c r="D42" i="16"/>
  <c r="F42" i="16"/>
  <c r="G42" i="16"/>
  <c r="H42" i="16"/>
  <c r="I42" i="16"/>
  <c r="J42" i="16"/>
  <c r="K42" i="16"/>
  <c r="B43" i="16"/>
  <c r="C43" i="16"/>
  <c r="D43" i="16"/>
  <c r="F43" i="16"/>
  <c r="G43" i="16"/>
  <c r="H43" i="16"/>
  <c r="I43" i="16"/>
  <c r="J43" i="16"/>
  <c r="K43" i="16"/>
  <c r="B44" i="16"/>
  <c r="C44" i="16"/>
  <c r="D44" i="16"/>
  <c r="F44" i="16"/>
  <c r="G44" i="16"/>
  <c r="H44" i="16"/>
  <c r="I44" i="16"/>
  <c r="J44" i="16"/>
  <c r="K44" i="16"/>
  <c r="B45" i="16"/>
  <c r="C45" i="16"/>
  <c r="D45" i="16"/>
  <c r="F45" i="16"/>
  <c r="G45" i="16"/>
  <c r="H45" i="16"/>
  <c r="I45" i="16"/>
  <c r="J45" i="16"/>
  <c r="K45" i="16"/>
  <c r="B46" i="16"/>
  <c r="C46" i="16"/>
  <c r="D46" i="16"/>
  <c r="F46" i="16"/>
  <c r="G46" i="16"/>
  <c r="H46" i="16"/>
  <c r="I46" i="16"/>
  <c r="T46" i="16" s="1"/>
  <c r="J46" i="16"/>
  <c r="K46" i="16"/>
  <c r="B47" i="16"/>
  <c r="C47" i="16"/>
  <c r="D47" i="16"/>
  <c r="F47" i="16"/>
  <c r="G47" i="16"/>
  <c r="H47" i="16"/>
  <c r="I47" i="16"/>
  <c r="J47" i="16"/>
  <c r="K47" i="16"/>
  <c r="B48" i="16"/>
  <c r="C48" i="16"/>
  <c r="D48" i="16"/>
  <c r="F48" i="16"/>
  <c r="G48" i="16"/>
  <c r="H48" i="16"/>
  <c r="I48" i="16"/>
  <c r="J48" i="16"/>
  <c r="K48" i="16"/>
  <c r="B49" i="16"/>
  <c r="C49" i="16"/>
  <c r="D49" i="16"/>
  <c r="F49" i="16"/>
  <c r="G49" i="16"/>
  <c r="H49" i="16"/>
  <c r="I49" i="16"/>
  <c r="J49" i="16"/>
  <c r="K49" i="16"/>
  <c r="B50" i="16"/>
  <c r="C50" i="16"/>
  <c r="D50" i="16"/>
  <c r="F50" i="16"/>
  <c r="G50" i="16"/>
  <c r="H50" i="16"/>
  <c r="I50" i="16"/>
  <c r="J50" i="16"/>
  <c r="K50" i="16"/>
  <c r="B51" i="16"/>
  <c r="C51" i="16"/>
  <c r="D51" i="16"/>
  <c r="F51" i="16"/>
  <c r="G51" i="16"/>
  <c r="H51" i="16"/>
  <c r="I51" i="16"/>
  <c r="J51" i="16"/>
  <c r="K51" i="16"/>
  <c r="B52" i="16"/>
  <c r="C52" i="16"/>
  <c r="D52" i="16"/>
  <c r="F52" i="16"/>
  <c r="G52" i="16"/>
  <c r="H52" i="16"/>
  <c r="I52" i="16"/>
  <c r="J52" i="16"/>
  <c r="K52" i="16"/>
  <c r="B53" i="16"/>
  <c r="C53" i="16"/>
  <c r="D53" i="16"/>
  <c r="F53" i="16"/>
  <c r="G53" i="16"/>
  <c r="H53" i="16"/>
  <c r="I53" i="16"/>
  <c r="J53" i="16"/>
  <c r="K53" i="16"/>
  <c r="B54" i="16"/>
  <c r="C54" i="16"/>
  <c r="D54" i="16"/>
  <c r="F54" i="16"/>
  <c r="G54" i="16"/>
  <c r="H54" i="16"/>
  <c r="I54" i="16"/>
  <c r="J54" i="16"/>
  <c r="K54" i="16"/>
  <c r="B55" i="16"/>
  <c r="C55" i="16"/>
  <c r="D55" i="16"/>
  <c r="F55" i="16"/>
  <c r="G55" i="16"/>
  <c r="H55" i="16"/>
  <c r="I55" i="16"/>
  <c r="J55" i="16"/>
  <c r="K55" i="16"/>
  <c r="B56" i="16"/>
  <c r="C56" i="16"/>
  <c r="D56" i="16"/>
  <c r="F56" i="16"/>
  <c r="G56" i="16"/>
  <c r="H56" i="16"/>
  <c r="I56" i="16"/>
  <c r="J56" i="16"/>
  <c r="K56" i="16"/>
  <c r="B57" i="16"/>
  <c r="C57" i="16"/>
  <c r="D57" i="16"/>
  <c r="F57" i="16"/>
  <c r="G57" i="16"/>
  <c r="H57" i="16"/>
  <c r="I57" i="16"/>
  <c r="J57" i="16"/>
  <c r="K57" i="16"/>
  <c r="B58" i="16"/>
  <c r="C58" i="16"/>
  <c r="D58" i="16"/>
  <c r="F58" i="16"/>
  <c r="G58" i="16"/>
  <c r="H58" i="16"/>
  <c r="I58" i="16"/>
  <c r="J58" i="16"/>
  <c r="K58" i="16"/>
  <c r="B59" i="16"/>
  <c r="C59" i="16"/>
  <c r="D59" i="16"/>
  <c r="F59" i="16"/>
  <c r="G59" i="16"/>
  <c r="H59" i="16"/>
  <c r="I59" i="16"/>
  <c r="J59" i="16"/>
  <c r="K59" i="16"/>
  <c r="B60" i="16"/>
  <c r="C60" i="16"/>
  <c r="D60" i="16"/>
  <c r="F60" i="16"/>
  <c r="G60" i="16"/>
  <c r="H60" i="16"/>
  <c r="I60" i="16"/>
  <c r="J60" i="16"/>
  <c r="K60" i="16"/>
  <c r="B61" i="16"/>
  <c r="C61" i="16"/>
  <c r="D61" i="16"/>
  <c r="F61" i="16"/>
  <c r="G61" i="16"/>
  <c r="H61" i="16"/>
  <c r="I61" i="16"/>
  <c r="J61" i="16"/>
  <c r="K61" i="16"/>
  <c r="B62" i="16"/>
  <c r="C62" i="16"/>
  <c r="D62" i="16"/>
  <c r="F62" i="16"/>
  <c r="G62" i="16"/>
  <c r="H62" i="16"/>
  <c r="I62" i="16"/>
  <c r="J62" i="16"/>
  <c r="K62" i="16"/>
  <c r="B63" i="16"/>
  <c r="C63" i="16"/>
  <c r="D63" i="16"/>
  <c r="F63" i="16"/>
  <c r="G63" i="16"/>
  <c r="H63" i="16"/>
  <c r="I63" i="16"/>
  <c r="J63" i="16"/>
  <c r="K63" i="16"/>
  <c r="B64" i="16"/>
  <c r="C64" i="16"/>
  <c r="D64" i="16"/>
  <c r="F64" i="16"/>
  <c r="G64" i="16"/>
  <c r="H64" i="16"/>
  <c r="I64" i="16"/>
  <c r="J64" i="16"/>
  <c r="K64" i="16"/>
  <c r="B65" i="16"/>
  <c r="C65" i="16"/>
  <c r="D65" i="16"/>
  <c r="F65" i="16"/>
  <c r="G65" i="16"/>
  <c r="H65" i="16"/>
  <c r="I65" i="16"/>
  <c r="J65" i="16"/>
  <c r="K65" i="16"/>
  <c r="B66" i="16"/>
  <c r="C66" i="16"/>
  <c r="D66" i="16"/>
  <c r="F66" i="16"/>
  <c r="G66" i="16"/>
  <c r="H66" i="16"/>
  <c r="I66" i="16"/>
  <c r="T66" i="16" s="1"/>
  <c r="J66" i="16"/>
  <c r="K66" i="16"/>
  <c r="B67" i="16"/>
  <c r="C67" i="16"/>
  <c r="D67" i="16"/>
  <c r="F67" i="16"/>
  <c r="G67" i="16"/>
  <c r="H67" i="16"/>
  <c r="I67" i="16"/>
  <c r="J67" i="16"/>
  <c r="K67" i="16"/>
  <c r="B68" i="16"/>
  <c r="C68" i="16"/>
  <c r="D68" i="16"/>
  <c r="F68" i="16"/>
  <c r="G68" i="16"/>
  <c r="H68" i="16"/>
  <c r="I68" i="16"/>
  <c r="J68" i="16"/>
  <c r="K68" i="16"/>
  <c r="B69" i="16"/>
  <c r="C69" i="16"/>
  <c r="D69" i="16"/>
  <c r="F69" i="16"/>
  <c r="G69" i="16"/>
  <c r="H69" i="16"/>
  <c r="I69" i="16"/>
  <c r="J69" i="16"/>
  <c r="K69" i="16"/>
  <c r="B70" i="16"/>
  <c r="C70" i="16"/>
  <c r="D70" i="16"/>
  <c r="F70" i="16"/>
  <c r="G70" i="16"/>
  <c r="H70" i="16"/>
  <c r="I70" i="16"/>
  <c r="J70" i="16"/>
  <c r="K70" i="16"/>
  <c r="B71" i="16"/>
  <c r="C71" i="16"/>
  <c r="D71" i="16"/>
  <c r="F71" i="16"/>
  <c r="G71" i="16"/>
  <c r="H71" i="16"/>
  <c r="I71" i="16"/>
  <c r="J71" i="16"/>
  <c r="K71" i="16"/>
  <c r="B72" i="16"/>
  <c r="C72" i="16"/>
  <c r="D72" i="16"/>
  <c r="F72" i="16"/>
  <c r="G72" i="16"/>
  <c r="H72" i="16"/>
  <c r="I72" i="16"/>
  <c r="J72" i="16"/>
  <c r="K72" i="16"/>
  <c r="B73" i="16"/>
  <c r="C73" i="16"/>
  <c r="D73" i="16"/>
  <c r="F73" i="16"/>
  <c r="G73" i="16"/>
  <c r="H73" i="16"/>
  <c r="I73" i="16"/>
  <c r="J73" i="16"/>
  <c r="K73" i="16"/>
  <c r="B74" i="16"/>
  <c r="C74" i="16"/>
  <c r="D74" i="16"/>
  <c r="F74" i="16"/>
  <c r="G74" i="16"/>
  <c r="H74" i="16"/>
  <c r="I74" i="16"/>
  <c r="J74" i="16"/>
  <c r="K74" i="16"/>
  <c r="B75" i="16"/>
  <c r="C75" i="16"/>
  <c r="D75" i="16"/>
  <c r="F75" i="16"/>
  <c r="G75" i="16"/>
  <c r="H75" i="16"/>
  <c r="I75" i="16"/>
  <c r="J75" i="16"/>
  <c r="K75" i="16"/>
  <c r="B76" i="16"/>
  <c r="C76" i="16"/>
  <c r="D76" i="16"/>
  <c r="F76" i="16"/>
  <c r="G76" i="16"/>
  <c r="H76" i="16"/>
  <c r="I76" i="16"/>
  <c r="J76" i="16"/>
  <c r="K76" i="16"/>
  <c r="B77" i="16"/>
  <c r="C77" i="16"/>
  <c r="D77" i="16"/>
  <c r="F77" i="16"/>
  <c r="G77" i="16"/>
  <c r="H77" i="16"/>
  <c r="I77" i="16"/>
  <c r="T77" i="16" s="1"/>
  <c r="J77" i="16"/>
  <c r="K77" i="16"/>
  <c r="B78" i="16"/>
  <c r="C78" i="16"/>
  <c r="D78" i="16"/>
  <c r="F78" i="16"/>
  <c r="G78" i="16"/>
  <c r="H78" i="16"/>
  <c r="I78" i="16"/>
  <c r="J78" i="16"/>
  <c r="K78" i="16"/>
  <c r="B79" i="16"/>
  <c r="C79" i="16"/>
  <c r="D79" i="16"/>
  <c r="F79" i="16"/>
  <c r="G79" i="16"/>
  <c r="H79" i="16"/>
  <c r="I79" i="16"/>
  <c r="J79" i="16"/>
  <c r="K79" i="16"/>
  <c r="B80" i="16"/>
  <c r="C80" i="16"/>
  <c r="D80" i="16"/>
  <c r="F80" i="16"/>
  <c r="G80" i="16"/>
  <c r="H80" i="16"/>
  <c r="I80" i="16"/>
  <c r="J80" i="16"/>
  <c r="K80" i="16"/>
  <c r="B81" i="16"/>
  <c r="C81" i="16"/>
  <c r="D81" i="16"/>
  <c r="F81" i="16"/>
  <c r="G81" i="16"/>
  <c r="H81" i="16"/>
  <c r="I81" i="16"/>
  <c r="J81" i="16"/>
  <c r="K81" i="16"/>
  <c r="B82" i="16"/>
  <c r="C82" i="16"/>
  <c r="D82" i="16"/>
  <c r="F82" i="16"/>
  <c r="G82" i="16"/>
  <c r="H82" i="16"/>
  <c r="I82" i="16"/>
  <c r="J82" i="16"/>
  <c r="K82" i="16"/>
  <c r="B83" i="16"/>
  <c r="C83" i="16"/>
  <c r="D83" i="16"/>
  <c r="F83" i="16"/>
  <c r="G83" i="16"/>
  <c r="H83" i="16"/>
  <c r="I83" i="16"/>
  <c r="J83" i="16"/>
  <c r="K83" i="16"/>
  <c r="B84" i="16"/>
  <c r="C84" i="16"/>
  <c r="D84" i="16"/>
  <c r="F84" i="16"/>
  <c r="G84" i="16"/>
  <c r="H84" i="16"/>
  <c r="I84" i="16"/>
  <c r="J84" i="16"/>
  <c r="K84" i="16"/>
  <c r="B85" i="16"/>
  <c r="C85" i="16"/>
  <c r="D85" i="16"/>
  <c r="F85" i="16"/>
  <c r="G85" i="16"/>
  <c r="H85" i="16"/>
  <c r="I85" i="16"/>
  <c r="J85" i="16"/>
  <c r="K85" i="16"/>
  <c r="B86" i="16"/>
  <c r="C86" i="16"/>
  <c r="D86" i="16"/>
  <c r="F86" i="16"/>
  <c r="G86" i="16"/>
  <c r="H86" i="16"/>
  <c r="I86" i="16"/>
  <c r="J86" i="16"/>
  <c r="K86" i="16"/>
  <c r="B87" i="16"/>
  <c r="C87" i="16"/>
  <c r="D87" i="16"/>
  <c r="F87" i="16"/>
  <c r="G87" i="16"/>
  <c r="H87" i="16"/>
  <c r="I87" i="16"/>
  <c r="J87" i="16"/>
  <c r="K87" i="16"/>
  <c r="B88" i="16"/>
  <c r="C88" i="16"/>
  <c r="D88" i="16"/>
  <c r="F88" i="16"/>
  <c r="G88" i="16"/>
  <c r="H88" i="16"/>
  <c r="I88" i="16"/>
  <c r="J88" i="16"/>
  <c r="K88" i="16"/>
  <c r="B89" i="16"/>
  <c r="C89" i="16"/>
  <c r="D89" i="16"/>
  <c r="F89" i="16"/>
  <c r="G89" i="16"/>
  <c r="H89" i="16"/>
  <c r="I89" i="16"/>
  <c r="J89" i="16"/>
  <c r="K89" i="16"/>
  <c r="B90" i="16"/>
  <c r="C90" i="16"/>
  <c r="D90" i="16"/>
  <c r="F90" i="16"/>
  <c r="G90" i="16"/>
  <c r="H90" i="16"/>
  <c r="I90" i="16"/>
  <c r="T90" i="16" s="1"/>
  <c r="J90" i="16"/>
  <c r="K90" i="16"/>
  <c r="B91" i="16"/>
  <c r="C91" i="16"/>
  <c r="D91" i="16"/>
  <c r="F91" i="16"/>
  <c r="G91" i="16"/>
  <c r="H91" i="16"/>
  <c r="I91" i="16"/>
  <c r="J91" i="16"/>
  <c r="K91" i="16"/>
  <c r="B92" i="16"/>
  <c r="C92" i="16"/>
  <c r="D92" i="16"/>
  <c r="F92" i="16"/>
  <c r="G92" i="16"/>
  <c r="H92" i="16"/>
  <c r="I92" i="16"/>
  <c r="J92" i="16"/>
  <c r="K92" i="16"/>
  <c r="B93" i="16"/>
  <c r="C93" i="16"/>
  <c r="D93" i="16"/>
  <c r="F93" i="16"/>
  <c r="G93" i="16"/>
  <c r="H93" i="16"/>
  <c r="I93" i="16"/>
  <c r="J93" i="16"/>
  <c r="K93" i="16"/>
  <c r="B94" i="16"/>
  <c r="C94" i="16"/>
  <c r="D94" i="16"/>
  <c r="F94" i="16"/>
  <c r="G94" i="16"/>
  <c r="H94" i="16"/>
  <c r="I94" i="16"/>
  <c r="J94" i="16"/>
  <c r="K94" i="16"/>
  <c r="B95" i="16"/>
  <c r="C95" i="16"/>
  <c r="D95" i="16"/>
  <c r="F95" i="16"/>
  <c r="G95" i="16"/>
  <c r="H95" i="16"/>
  <c r="I95" i="16"/>
  <c r="J95" i="16"/>
  <c r="K95" i="16"/>
  <c r="B96" i="16"/>
  <c r="C96" i="16"/>
  <c r="D96" i="16"/>
  <c r="F96" i="16"/>
  <c r="G96" i="16"/>
  <c r="H96" i="16"/>
  <c r="I96" i="16"/>
  <c r="J96" i="16"/>
  <c r="K96" i="16"/>
  <c r="B97" i="16"/>
  <c r="C97" i="16"/>
  <c r="D97" i="16"/>
  <c r="F97" i="16"/>
  <c r="G97" i="16"/>
  <c r="H97" i="16"/>
  <c r="I97" i="16"/>
  <c r="J97" i="16"/>
  <c r="K97" i="16"/>
  <c r="B98" i="16"/>
  <c r="C98" i="16"/>
  <c r="D98" i="16"/>
  <c r="F98" i="16"/>
  <c r="G98" i="16"/>
  <c r="H98" i="16"/>
  <c r="I98" i="16"/>
  <c r="J98" i="16"/>
  <c r="K98" i="16"/>
  <c r="B99" i="16"/>
  <c r="C99" i="16"/>
  <c r="D99" i="16"/>
  <c r="F99" i="16"/>
  <c r="G99" i="16"/>
  <c r="H99" i="16"/>
  <c r="I99" i="16"/>
  <c r="J99" i="16"/>
  <c r="K99" i="16"/>
  <c r="B100" i="16"/>
  <c r="C100" i="16"/>
  <c r="D100" i="16"/>
  <c r="F100" i="16"/>
  <c r="G100" i="16"/>
  <c r="H100" i="16"/>
  <c r="I100" i="16"/>
  <c r="J100" i="16"/>
  <c r="K100" i="16"/>
  <c r="B101" i="16"/>
  <c r="C101" i="16"/>
  <c r="D101" i="16"/>
  <c r="F101" i="16"/>
  <c r="G101" i="16"/>
  <c r="H101" i="16"/>
  <c r="I101" i="16"/>
  <c r="J101" i="16"/>
  <c r="K101" i="16"/>
  <c r="B102" i="16"/>
  <c r="C102" i="16"/>
  <c r="D102" i="16"/>
  <c r="F102" i="16"/>
  <c r="G102" i="16"/>
  <c r="H102" i="16"/>
  <c r="I102" i="16"/>
  <c r="J102" i="16"/>
  <c r="K102" i="16"/>
  <c r="B103" i="16"/>
  <c r="C103" i="16"/>
  <c r="D103" i="16"/>
  <c r="F103" i="16"/>
  <c r="G103" i="16"/>
  <c r="H103" i="16"/>
  <c r="I103" i="16"/>
  <c r="J103" i="16"/>
  <c r="K103" i="16"/>
  <c r="B104" i="16"/>
  <c r="C104" i="16"/>
  <c r="D104" i="16"/>
  <c r="F104" i="16"/>
  <c r="G104" i="16"/>
  <c r="H104" i="16"/>
  <c r="I104" i="16"/>
  <c r="J104" i="16"/>
  <c r="K104" i="16"/>
  <c r="B105" i="16"/>
  <c r="C105" i="16"/>
  <c r="D105" i="16"/>
  <c r="F105" i="16"/>
  <c r="G105" i="16"/>
  <c r="H105" i="16"/>
  <c r="I105" i="16"/>
  <c r="J105" i="16"/>
  <c r="K105" i="16"/>
  <c r="B106" i="16"/>
  <c r="C106" i="16"/>
  <c r="D106" i="16"/>
  <c r="F106" i="16"/>
  <c r="G106" i="16"/>
  <c r="H106" i="16"/>
  <c r="I106" i="16"/>
  <c r="J106" i="16"/>
  <c r="K106" i="16"/>
  <c r="B107" i="16"/>
  <c r="C107" i="16"/>
  <c r="D107" i="16"/>
  <c r="F107" i="16"/>
  <c r="G107" i="16"/>
  <c r="H107" i="16"/>
  <c r="I107" i="16"/>
  <c r="J107" i="16"/>
  <c r="K107" i="16"/>
  <c r="B108" i="16"/>
  <c r="C108" i="16"/>
  <c r="D108" i="16"/>
  <c r="F108" i="16"/>
  <c r="G108" i="16"/>
  <c r="H108" i="16"/>
  <c r="I108" i="16"/>
  <c r="J108" i="16"/>
  <c r="K108" i="16"/>
  <c r="B109" i="16"/>
  <c r="C109" i="16"/>
  <c r="D109" i="16"/>
  <c r="F109" i="16"/>
  <c r="G109" i="16"/>
  <c r="H109" i="16"/>
  <c r="I109" i="16"/>
  <c r="J109" i="16"/>
  <c r="K109" i="16"/>
  <c r="B110" i="16"/>
  <c r="C110" i="16"/>
  <c r="D110" i="16"/>
  <c r="F110" i="16"/>
  <c r="G110" i="16"/>
  <c r="H110" i="16"/>
  <c r="I110" i="16"/>
  <c r="J110" i="16"/>
  <c r="K110" i="16"/>
  <c r="B111" i="16"/>
  <c r="C111" i="16"/>
  <c r="D111" i="16"/>
  <c r="F111" i="16"/>
  <c r="G111" i="16"/>
  <c r="H111" i="16"/>
  <c r="I111" i="16"/>
  <c r="J111" i="16"/>
  <c r="K111" i="16"/>
  <c r="B112" i="16"/>
  <c r="C112" i="16"/>
  <c r="D112" i="16"/>
  <c r="F112" i="16"/>
  <c r="G112" i="16"/>
  <c r="H112" i="16"/>
  <c r="I112" i="16"/>
  <c r="J112" i="16"/>
  <c r="K112" i="16"/>
  <c r="B113" i="16"/>
  <c r="C113" i="16"/>
  <c r="D113" i="16"/>
  <c r="F113" i="16"/>
  <c r="G113" i="16"/>
  <c r="H113" i="16"/>
  <c r="I113" i="16"/>
  <c r="J113" i="16"/>
  <c r="K113" i="16"/>
  <c r="T113" i="16" s="1"/>
  <c r="B114" i="16"/>
  <c r="C114" i="16"/>
  <c r="D114" i="16"/>
  <c r="F114" i="16"/>
  <c r="G114" i="16"/>
  <c r="H114" i="16"/>
  <c r="I114" i="16"/>
  <c r="J114" i="16"/>
  <c r="K114" i="16"/>
  <c r="B115" i="16"/>
  <c r="C115" i="16"/>
  <c r="D115" i="16"/>
  <c r="F115" i="16"/>
  <c r="G115" i="16"/>
  <c r="H115" i="16"/>
  <c r="I115" i="16"/>
  <c r="J115" i="16"/>
  <c r="K115" i="16"/>
  <c r="B116" i="16"/>
  <c r="C116" i="16"/>
  <c r="D116" i="16"/>
  <c r="F116" i="16"/>
  <c r="G116" i="16"/>
  <c r="H116" i="16"/>
  <c r="I116" i="16"/>
  <c r="J116" i="16"/>
  <c r="K116" i="16"/>
  <c r="B117" i="16"/>
  <c r="C117" i="16"/>
  <c r="D117" i="16"/>
  <c r="F117" i="16"/>
  <c r="G117" i="16"/>
  <c r="H117" i="16"/>
  <c r="I117" i="16"/>
  <c r="J117" i="16"/>
  <c r="K117" i="16"/>
  <c r="B118" i="16"/>
  <c r="C118" i="16"/>
  <c r="D118" i="16"/>
  <c r="F118" i="16"/>
  <c r="G118" i="16"/>
  <c r="H118" i="16"/>
  <c r="I118" i="16"/>
  <c r="J118" i="16"/>
  <c r="K118" i="16"/>
  <c r="B119" i="16"/>
  <c r="C119" i="16"/>
  <c r="D119" i="16"/>
  <c r="F119" i="16"/>
  <c r="G119" i="16"/>
  <c r="H119" i="16"/>
  <c r="I119" i="16"/>
  <c r="J119" i="16"/>
  <c r="K119" i="16"/>
  <c r="B120" i="16"/>
  <c r="C120" i="16"/>
  <c r="D120" i="16"/>
  <c r="F120" i="16"/>
  <c r="G120" i="16"/>
  <c r="H120" i="16"/>
  <c r="I120" i="16"/>
  <c r="J120" i="16"/>
  <c r="K120" i="16"/>
  <c r="B121" i="16"/>
  <c r="C121" i="16"/>
  <c r="D121" i="16"/>
  <c r="F121" i="16"/>
  <c r="G121" i="16"/>
  <c r="H121" i="16"/>
  <c r="I121" i="16"/>
  <c r="J121" i="16"/>
  <c r="K121" i="16"/>
  <c r="B122" i="16"/>
  <c r="C122" i="16"/>
  <c r="D122" i="16"/>
  <c r="F122" i="16"/>
  <c r="G122" i="16"/>
  <c r="H122" i="16"/>
  <c r="I122" i="16"/>
  <c r="J122" i="16"/>
  <c r="K122" i="16"/>
  <c r="B123" i="16"/>
  <c r="C123" i="16"/>
  <c r="D123" i="16"/>
  <c r="F123" i="16"/>
  <c r="G123" i="16"/>
  <c r="H123" i="16"/>
  <c r="I123" i="16"/>
  <c r="J123" i="16"/>
  <c r="K123" i="16"/>
  <c r="B124" i="16"/>
  <c r="C124" i="16"/>
  <c r="D124" i="16"/>
  <c r="F124" i="16"/>
  <c r="G124" i="16"/>
  <c r="H124" i="16"/>
  <c r="I124" i="16"/>
  <c r="J124" i="16"/>
  <c r="K124" i="16"/>
  <c r="B125" i="16"/>
  <c r="C125" i="16"/>
  <c r="D125" i="16"/>
  <c r="F125" i="16"/>
  <c r="G125" i="16"/>
  <c r="H125" i="16"/>
  <c r="I125" i="16"/>
  <c r="J125" i="16"/>
  <c r="K125" i="16"/>
  <c r="B126" i="16"/>
  <c r="C126" i="16"/>
  <c r="D126" i="16"/>
  <c r="F126" i="16"/>
  <c r="G126" i="16"/>
  <c r="H126" i="16"/>
  <c r="I126" i="16"/>
  <c r="J126" i="16"/>
  <c r="K126" i="16"/>
  <c r="B127" i="16"/>
  <c r="C127" i="16"/>
  <c r="D127" i="16"/>
  <c r="F127" i="16"/>
  <c r="G127" i="16"/>
  <c r="H127" i="16"/>
  <c r="I127" i="16"/>
  <c r="J127" i="16"/>
  <c r="K127" i="16"/>
  <c r="B128" i="16"/>
  <c r="C128" i="16"/>
  <c r="D128" i="16"/>
  <c r="F128" i="16"/>
  <c r="G128" i="16"/>
  <c r="H128" i="16"/>
  <c r="I128" i="16"/>
  <c r="J128" i="16"/>
  <c r="K128" i="16"/>
  <c r="B129" i="16"/>
  <c r="C129" i="16"/>
  <c r="D129" i="16"/>
  <c r="F129" i="16"/>
  <c r="G129" i="16"/>
  <c r="H129" i="16"/>
  <c r="I129" i="16"/>
  <c r="J129" i="16"/>
  <c r="K129" i="16"/>
  <c r="B130" i="16"/>
  <c r="C130" i="16"/>
  <c r="D130" i="16"/>
  <c r="F130" i="16"/>
  <c r="G130" i="16"/>
  <c r="H130" i="16"/>
  <c r="I130" i="16"/>
  <c r="J130" i="16"/>
  <c r="K130" i="16"/>
  <c r="B131" i="16"/>
  <c r="C131" i="16"/>
  <c r="D131" i="16"/>
  <c r="F131" i="16"/>
  <c r="G131" i="16"/>
  <c r="H131" i="16"/>
  <c r="I131" i="16"/>
  <c r="J131" i="16"/>
  <c r="K131" i="16"/>
  <c r="B132" i="16"/>
  <c r="C132" i="16"/>
  <c r="D132" i="16"/>
  <c r="F132" i="16"/>
  <c r="G132" i="16"/>
  <c r="H132" i="16"/>
  <c r="I132" i="16"/>
  <c r="J132" i="16"/>
  <c r="K132" i="16"/>
  <c r="B133" i="16"/>
  <c r="C133" i="16"/>
  <c r="D133" i="16"/>
  <c r="F133" i="16"/>
  <c r="G133" i="16"/>
  <c r="H133" i="16"/>
  <c r="I133" i="16"/>
  <c r="J133" i="16"/>
  <c r="K133" i="16"/>
  <c r="B134" i="16"/>
  <c r="C134" i="16"/>
  <c r="D134" i="16"/>
  <c r="F134" i="16"/>
  <c r="G134" i="16"/>
  <c r="H134" i="16"/>
  <c r="I134" i="16"/>
  <c r="J134" i="16"/>
  <c r="K134" i="16"/>
  <c r="B135" i="16"/>
  <c r="C135" i="16"/>
  <c r="D135" i="16"/>
  <c r="F135" i="16"/>
  <c r="G135" i="16"/>
  <c r="H135" i="16"/>
  <c r="I135" i="16"/>
  <c r="J135" i="16"/>
  <c r="K135" i="16"/>
  <c r="T135" i="16" s="1"/>
  <c r="B136" i="16"/>
  <c r="C136" i="16"/>
  <c r="D136" i="16"/>
  <c r="F136" i="16"/>
  <c r="G136" i="16"/>
  <c r="H136" i="16"/>
  <c r="I136" i="16"/>
  <c r="J136" i="16"/>
  <c r="K136" i="16"/>
  <c r="I7" i="16"/>
  <c r="H7" i="16"/>
  <c r="T251" i="16" l="1"/>
  <c r="T250" i="16"/>
  <c r="T242" i="16"/>
  <c r="T234" i="16"/>
  <c r="T226" i="16"/>
  <c r="T218" i="16"/>
  <c r="T248" i="16"/>
  <c r="T232" i="16"/>
  <c r="T237" i="16"/>
  <c r="T143" i="16"/>
  <c r="T41" i="16"/>
  <c r="T131" i="16"/>
  <c r="T91" i="16"/>
  <c r="T130" i="16"/>
  <c r="T124" i="16"/>
  <c r="T134" i="16"/>
  <c r="T110" i="16"/>
  <c r="T118" i="16"/>
  <c r="T101" i="16"/>
  <c r="T68" i="16"/>
  <c r="T20" i="16"/>
  <c r="T19" i="16"/>
  <c r="T11" i="16"/>
  <c r="T105" i="16"/>
  <c r="T120" i="16"/>
  <c r="T96" i="16"/>
  <c r="T80" i="16"/>
  <c r="T56" i="16"/>
  <c r="T8" i="16"/>
  <c r="T79" i="16"/>
  <c r="T104" i="16"/>
  <c r="T85" i="16"/>
  <c r="T25" i="16"/>
  <c r="T33" i="16"/>
  <c r="T34" i="16"/>
  <c r="T63" i="16"/>
  <c r="T55" i="16"/>
  <c r="T112" i="16"/>
  <c r="T128" i="16"/>
  <c r="T116" i="16"/>
  <c r="T123" i="16"/>
  <c r="T129" i="16"/>
  <c r="T117" i="16"/>
  <c r="T121" i="16"/>
  <c r="T175" i="16"/>
  <c r="T191" i="16"/>
  <c r="T195" i="16"/>
  <c r="T187" i="16"/>
  <c r="T211" i="16"/>
  <c r="T207" i="16"/>
  <c r="T203" i="16"/>
  <c r="T199" i="16"/>
  <c r="T183" i="16"/>
  <c r="T179" i="16"/>
  <c r="T171" i="16"/>
  <c r="T167" i="16"/>
  <c r="T163" i="16"/>
  <c r="T159" i="16"/>
  <c r="T223" i="16"/>
  <c r="T235" i="16"/>
  <c r="T240" i="16"/>
  <c r="T236" i="16"/>
  <c r="T228" i="16"/>
  <c r="T224" i="16"/>
  <c r="T216" i="16"/>
  <c r="T227" i="16"/>
  <c r="T239" i="16"/>
  <c r="T215" i="16"/>
  <c r="T241" i="16"/>
  <c r="T229" i="16"/>
  <c r="T217" i="16"/>
  <c r="T208" i="16"/>
  <c r="T200" i="16"/>
  <c r="T192" i="16"/>
  <c r="T184" i="16"/>
  <c r="T180" i="16"/>
  <c r="T176" i="16"/>
  <c r="T168" i="16"/>
  <c r="T160" i="16"/>
  <c r="T156" i="16"/>
  <c r="T213" i="16"/>
  <c r="T209" i="16"/>
  <c r="T201" i="16"/>
  <c r="T193" i="16"/>
  <c r="T185" i="16"/>
  <c r="T177" i="16"/>
  <c r="T173" i="16"/>
  <c r="T169" i="16"/>
  <c r="T165" i="16"/>
  <c r="T161" i="16"/>
  <c r="T212" i="16"/>
  <c r="T204" i="16"/>
  <c r="T196" i="16"/>
  <c r="T188" i="16"/>
  <c r="T172" i="16"/>
  <c r="T164" i="16"/>
  <c r="T205" i="16"/>
  <c r="T197" i="16"/>
  <c r="T189" i="16"/>
  <c r="T181" i="16"/>
  <c r="T157" i="16"/>
  <c r="T214" i="16"/>
  <c r="T210" i="16"/>
  <c r="T206" i="16"/>
  <c r="T202" i="16"/>
  <c r="T198" i="16"/>
  <c r="T194" i="16"/>
  <c r="T190" i="16"/>
  <c r="T186" i="16"/>
  <c r="T182" i="16"/>
  <c r="T178" i="16"/>
  <c r="T174" i="16"/>
  <c r="T170" i="16"/>
  <c r="T166" i="16"/>
  <c r="T162" i="16"/>
  <c r="T158" i="16"/>
  <c r="T99" i="16"/>
  <c r="T106" i="16"/>
  <c r="T102" i="16"/>
  <c r="T92" i="16"/>
  <c r="T93" i="16"/>
  <c r="T87" i="16"/>
  <c r="T94" i="16"/>
  <c r="T88" i="16"/>
  <c r="T81" i="16"/>
  <c r="T82" i="16"/>
  <c r="T69" i="16"/>
  <c r="T70" i="16"/>
  <c r="T57" i="16"/>
  <c r="T58" i="16"/>
  <c r="T52" i="16"/>
  <c r="T44" i="16"/>
  <c r="T45" i="16"/>
  <c r="T32" i="16"/>
  <c r="T21" i="16"/>
  <c r="T9" i="16"/>
  <c r="T10" i="16"/>
  <c r="T14" i="16"/>
  <c r="T119" i="16"/>
  <c r="T107" i="16"/>
  <c r="T95" i="16"/>
  <c r="T83" i="16"/>
  <c r="T71" i="16"/>
  <c r="T59" i="16"/>
  <c r="T47" i="16"/>
  <c r="T35" i="16"/>
  <c r="T23" i="16"/>
  <c r="T146" i="16"/>
  <c r="T132" i="16"/>
  <c r="T108" i="16"/>
  <c r="T84" i="16"/>
  <c r="T72" i="16"/>
  <c r="T137" i="16"/>
  <c r="T109" i="16"/>
  <c r="T13" i="16"/>
  <c r="T138" i="16"/>
  <c r="T98" i="16"/>
  <c r="T74" i="16"/>
  <c r="T145" i="16"/>
  <c r="T60" i="16"/>
  <c r="T48" i="16"/>
  <c r="T24" i="16"/>
  <c r="T12" i="16"/>
  <c r="T133" i="16"/>
  <c r="T97" i="16"/>
  <c r="T73" i="16"/>
  <c r="T61" i="16"/>
  <c r="T49" i="16"/>
  <c r="T37" i="16"/>
  <c r="T122" i="16"/>
  <c r="T86" i="16"/>
  <c r="T62" i="16"/>
  <c r="T50" i="16"/>
  <c r="T38" i="16"/>
  <c r="T111" i="16"/>
  <c r="T75" i="16"/>
  <c r="T51" i="16"/>
  <c r="T39" i="16"/>
  <c r="T27" i="16"/>
  <c r="T15" i="16"/>
  <c r="T140" i="16"/>
  <c r="T136" i="16"/>
  <c r="T100" i="16"/>
  <c r="T76" i="16"/>
  <c r="T64" i="16"/>
  <c r="T40" i="16"/>
  <c r="T28" i="16"/>
  <c r="T16" i="16"/>
  <c r="T141" i="16"/>
  <c r="T125" i="16"/>
  <c r="T89" i="16"/>
  <c r="T65" i="16"/>
  <c r="T53" i="16"/>
  <c r="T29" i="16"/>
  <c r="T17" i="16"/>
  <c r="T142" i="16"/>
  <c r="T126" i="16"/>
  <c r="T114" i="16"/>
  <c r="T78" i="16"/>
  <c r="T54" i="16"/>
  <c r="T42" i="16"/>
  <c r="T18" i="16"/>
  <c r="T127" i="16"/>
  <c r="T115" i="16"/>
  <c r="T103" i="16"/>
  <c r="T67" i="16"/>
  <c r="T43" i="16"/>
  <c r="T31" i="16"/>
  <c r="T144" i="16"/>
  <c r="P9" i="11"/>
  <c r="D198" i="7"/>
  <c r="D199" i="7"/>
  <c r="D200" i="7"/>
  <c r="D201" i="7"/>
  <c r="D202" i="7"/>
  <c r="D197" i="7"/>
  <c r="B2" i="7"/>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3" i="3"/>
  <c r="F8" i="7" l="1"/>
  <c r="D12" i="7" s="1"/>
  <c r="U3" i="3"/>
  <c r="Q137" i="3"/>
  <c r="D10" i="7" l="1"/>
  <c r="B2" i="23"/>
  <c r="J23" i="23"/>
  <c r="Q26" i="23"/>
  <c r="J21" i="23" s="1"/>
  <c r="V173" i="1"/>
  <c r="W173" i="1"/>
  <c r="T173" i="1"/>
  <c r="U173" i="1"/>
  <c r="S173" i="1"/>
  <c r="R173" i="1"/>
  <c r="F20" i="23"/>
  <c r="F19" i="23"/>
  <c r="F13" i="23"/>
  <c r="F12" i="23"/>
  <c r="L4" i="23"/>
  <c r="F10" i="23"/>
  <c r="E10" i="23"/>
  <c r="E24" i="23" l="1"/>
  <c r="F24" i="23"/>
  <c r="E6" i="23"/>
  <c r="E4" i="23"/>
  <c r="E16" i="23" l="1"/>
  <c r="E17" i="23"/>
  <c r="J12" i="23"/>
  <c r="J13" i="23" s="1"/>
  <c r="E15" i="23"/>
  <c r="E18" i="23" s="1"/>
  <c r="H22" i="23" l="1"/>
  <c r="J18" i="23" s="1"/>
  <c r="H21" i="23"/>
  <c r="E19" i="23"/>
  <c r="E14" i="23"/>
  <c r="E12" i="23"/>
  <c r="H12" i="23" s="1"/>
  <c r="J15" i="23" s="1"/>
  <c r="H24" i="23" l="1"/>
  <c r="H20" i="23"/>
  <c r="H19" i="23"/>
  <c r="J14" i="23"/>
  <c r="P26" i="23" l="1"/>
  <c r="O26" i="23"/>
  <c r="P7" i="16"/>
  <c r="B2" i="16"/>
  <c r="J22" i="23" l="1"/>
  <c r="A35" i="3"/>
  <c r="E2" i="1"/>
  <c r="B2" i="4" l="1"/>
  <c r="AM4" i="6"/>
  <c r="D4" i="6"/>
  <c r="B2" i="6"/>
  <c r="E2" i="11"/>
  <c r="P108" i="11" l="1"/>
  <c r="L254" i="16" s="1"/>
  <c r="P107" i="11"/>
  <c r="L253" i="16" s="1"/>
  <c r="P106" i="11"/>
  <c r="L252" i="16" s="1"/>
  <c r="P105" i="11"/>
  <c r="L251" i="16" s="1"/>
  <c r="P104" i="11"/>
  <c r="L250" i="16" s="1"/>
  <c r="P103" i="11"/>
  <c r="L249" i="16" s="1"/>
  <c r="P102" i="11"/>
  <c r="L248" i="16" s="1"/>
  <c r="P101" i="11"/>
  <c r="L247" i="16" s="1"/>
  <c r="P100" i="11"/>
  <c r="L246" i="16" s="1"/>
  <c r="P99" i="11"/>
  <c r="L245" i="16" s="1"/>
  <c r="P98" i="11"/>
  <c r="L244" i="16" s="1"/>
  <c r="P97" i="11"/>
  <c r="L243" i="16" s="1"/>
  <c r="P96" i="11"/>
  <c r="L242" i="16" s="1"/>
  <c r="P95" i="11"/>
  <c r="L241" i="16" s="1"/>
  <c r="P94" i="11"/>
  <c r="L240" i="16" s="1"/>
  <c r="P93" i="11"/>
  <c r="L239" i="16" s="1"/>
  <c r="P92" i="11"/>
  <c r="L238" i="16" s="1"/>
  <c r="P91" i="11"/>
  <c r="L237" i="16" s="1"/>
  <c r="P90" i="11"/>
  <c r="L236" i="16" s="1"/>
  <c r="P89" i="11"/>
  <c r="L235" i="16" s="1"/>
  <c r="P88" i="11"/>
  <c r="L234" i="16" s="1"/>
  <c r="P87" i="11"/>
  <c r="L233" i="16" s="1"/>
  <c r="P86" i="11"/>
  <c r="L232" i="16" s="1"/>
  <c r="P85" i="11"/>
  <c r="L231" i="16" s="1"/>
  <c r="P84" i="11"/>
  <c r="L230" i="16" s="1"/>
  <c r="P83" i="11"/>
  <c r="L229" i="16" s="1"/>
  <c r="P82" i="11"/>
  <c r="L228" i="16" s="1"/>
  <c r="P81" i="11"/>
  <c r="L227" i="16" s="1"/>
  <c r="P80" i="11"/>
  <c r="L226" i="16" s="1"/>
  <c r="P79" i="11"/>
  <c r="L225" i="16" s="1"/>
  <c r="P78" i="11"/>
  <c r="L224" i="16" s="1"/>
  <c r="P77" i="11"/>
  <c r="L223" i="16" s="1"/>
  <c r="P76" i="11"/>
  <c r="L222" i="16" s="1"/>
  <c r="P75" i="11"/>
  <c r="L221" i="16" s="1"/>
  <c r="P74" i="11"/>
  <c r="L220" i="16" s="1"/>
  <c r="P73" i="11"/>
  <c r="L219" i="16" s="1"/>
  <c r="P72" i="11"/>
  <c r="L218" i="16" s="1"/>
  <c r="P71" i="11"/>
  <c r="L217" i="16" s="1"/>
  <c r="P70" i="11"/>
  <c r="L216" i="16" s="1"/>
  <c r="P69" i="11"/>
  <c r="L215" i="16" s="1"/>
  <c r="P68" i="11"/>
  <c r="L214" i="16" s="1"/>
  <c r="P67" i="11"/>
  <c r="L213" i="16" s="1"/>
  <c r="P66" i="11"/>
  <c r="L212" i="16" s="1"/>
  <c r="P65" i="11"/>
  <c r="L211" i="16" s="1"/>
  <c r="P64" i="11"/>
  <c r="L210" i="16" s="1"/>
  <c r="P63" i="11"/>
  <c r="L209" i="16" s="1"/>
  <c r="P62" i="11"/>
  <c r="L208" i="16" s="1"/>
  <c r="P61" i="11"/>
  <c r="L207" i="16" s="1"/>
  <c r="P60" i="11"/>
  <c r="L206" i="16" s="1"/>
  <c r="P59" i="11"/>
  <c r="L205" i="16" s="1"/>
  <c r="P58" i="11"/>
  <c r="L204" i="16" s="1"/>
  <c r="P57" i="11"/>
  <c r="L203" i="16" s="1"/>
  <c r="P56" i="11"/>
  <c r="L202" i="16" s="1"/>
  <c r="P55" i="11"/>
  <c r="L201" i="16" s="1"/>
  <c r="P54" i="11"/>
  <c r="L200" i="16" s="1"/>
  <c r="P53" i="11"/>
  <c r="L199" i="16" s="1"/>
  <c r="P52" i="11"/>
  <c r="L198" i="16" s="1"/>
  <c r="P51" i="11"/>
  <c r="L197" i="16" s="1"/>
  <c r="P50" i="11"/>
  <c r="L196" i="16" s="1"/>
  <c r="P49" i="11"/>
  <c r="L195" i="16" s="1"/>
  <c r="P48" i="11"/>
  <c r="L194" i="16" s="1"/>
  <c r="P47" i="11"/>
  <c r="L193" i="16" s="1"/>
  <c r="P46" i="11"/>
  <c r="L192" i="16" s="1"/>
  <c r="P45" i="11"/>
  <c r="L191" i="16" s="1"/>
  <c r="P44" i="11"/>
  <c r="L190" i="16" s="1"/>
  <c r="P43" i="11"/>
  <c r="L189" i="16" s="1"/>
  <c r="P42" i="11"/>
  <c r="L188" i="16" s="1"/>
  <c r="P41" i="11"/>
  <c r="L187" i="16" s="1"/>
  <c r="P40" i="11"/>
  <c r="L186" i="16" s="1"/>
  <c r="P39" i="11"/>
  <c r="L185" i="16" s="1"/>
  <c r="P38" i="11"/>
  <c r="L184" i="16" s="1"/>
  <c r="P37" i="11"/>
  <c r="L183" i="16" s="1"/>
  <c r="P36" i="11"/>
  <c r="L182" i="16" s="1"/>
  <c r="P35" i="11"/>
  <c r="L181" i="16" s="1"/>
  <c r="P34" i="11"/>
  <c r="L180" i="16" s="1"/>
  <c r="P33" i="11"/>
  <c r="L179" i="16" s="1"/>
  <c r="P32" i="11"/>
  <c r="L178" i="16" s="1"/>
  <c r="P31" i="11"/>
  <c r="L177" i="16" s="1"/>
  <c r="P30" i="11"/>
  <c r="L176" i="16" s="1"/>
  <c r="P29" i="11"/>
  <c r="L175" i="16" s="1"/>
  <c r="P28" i="11"/>
  <c r="L174" i="16" s="1"/>
  <c r="P27" i="11"/>
  <c r="L173" i="16" s="1"/>
  <c r="P26" i="11"/>
  <c r="L172" i="16" s="1"/>
  <c r="P25" i="11"/>
  <c r="L171" i="16" s="1"/>
  <c r="P24" i="11"/>
  <c r="L170" i="16" s="1"/>
  <c r="P23" i="11"/>
  <c r="L169" i="16" s="1"/>
  <c r="P22" i="11"/>
  <c r="L168" i="16" s="1"/>
  <c r="P21" i="11"/>
  <c r="L167" i="16" s="1"/>
  <c r="P20" i="11"/>
  <c r="L166" i="16" s="1"/>
  <c r="P19" i="11"/>
  <c r="L165" i="16" s="1"/>
  <c r="P18" i="11"/>
  <c r="L164" i="16" s="1"/>
  <c r="P17" i="11"/>
  <c r="L163" i="16" s="1"/>
  <c r="P16" i="11"/>
  <c r="L162" i="16" s="1"/>
  <c r="P15" i="11"/>
  <c r="L161" i="16" s="1"/>
  <c r="P14" i="11"/>
  <c r="L160" i="16" s="1"/>
  <c r="P13" i="11"/>
  <c r="L159" i="16" s="1"/>
  <c r="P12" i="11"/>
  <c r="L158" i="16" s="1"/>
  <c r="P11" i="11"/>
  <c r="L157" i="16" s="1"/>
  <c r="P10" i="11"/>
  <c r="L156" i="16" s="1"/>
  <c r="Q9" i="11"/>
  <c r="J172" i="1" l="1"/>
  <c r="C17" i="3" a="1"/>
  <c r="C17" i="3" s="1"/>
  <c r="C16" i="3" a="1"/>
  <c r="C16" i="3" s="1"/>
  <c r="C15" i="3" a="1"/>
  <c r="C15" i="3" s="1"/>
  <c r="C14" i="3" a="1"/>
  <c r="C14" i="3" s="1"/>
  <c r="B2" i="20"/>
  <c r="D189" i="7"/>
  <c r="D188" i="7"/>
  <c r="D190" i="7"/>
  <c r="B49" i="7" l="1"/>
  <c r="I171" i="1"/>
  <c r="E146" i="16" s="1"/>
  <c r="I170" i="1"/>
  <c r="E145" i="16" s="1"/>
  <c r="I169" i="1"/>
  <c r="E144" i="16" s="1"/>
  <c r="I168" i="1"/>
  <c r="E143" i="16" s="1"/>
  <c r="I167" i="1"/>
  <c r="E142" i="16" s="1"/>
  <c r="I166" i="1"/>
  <c r="E141" i="16" s="1"/>
  <c r="I165" i="1"/>
  <c r="E140" i="16" s="1"/>
  <c r="I164" i="1"/>
  <c r="E139" i="16" s="1"/>
  <c r="I163" i="1"/>
  <c r="E138" i="16" s="1"/>
  <c r="I162" i="1"/>
  <c r="E137" i="16" s="1"/>
  <c r="I160" i="1"/>
  <c r="E136" i="16" s="1"/>
  <c r="I159" i="1"/>
  <c r="E135" i="16" s="1"/>
  <c r="I158" i="1"/>
  <c r="E134" i="16" s="1"/>
  <c r="I157" i="1"/>
  <c r="E133" i="16" s="1"/>
  <c r="I156" i="1"/>
  <c r="E132" i="16" s="1"/>
  <c r="I155" i="1"/>
  <c r="E131" i="16" s="1"/>
  <c r="I154" i="1"/>
  <c r="E130" i="16" s="1"/>
  <c r="I153" i="1"/>
  <c r="E129" i="16" s="1"/>
  <c r="I152" i="1"/>
  <c r="E128" i="16" s="1"/>
  <c r="I151" i="1"/>
  <c r="E127" i="16" s="1"/>
  <c r="I149" i="1"/>
  <c r="E126" i="16" s="1"/>
  <c r="I148" i="1"/>
  <c r="E125" i="16" s="1"/>
  <c r="I147" i="1"/>
  <c r="E124" i="16" s="1"/>
  <c r="I146" i="1"/>
  <c r="E123" i="16" s="1"/>
  <c r="I145" i="1"/>
  <c r="E122" i="16" s="1"/>
  <c r="I144" i="1"/>
  <c r="E121" i="16" s="1"/>
  <c r="I143" i="1"/>
  <c r="E120" i="16" s="1"/>
  <c r="I142" i="1"/>
  <c r="E119" i="16" s="1"/>
  <c r="I141" i="1"/>
  <c r="E118" i="16" s="1"/>
  <c r="I140" i="1"/>
  <c r="E117" i="16" s="1"/>
  <c r="I138" i="1"/>
  <c r="E116" i="16" s="1"/>
  <c r="I137" i="1"/>
  <c r="E115" i="16" s="1"/>
  <c r="I136" i="1"/>
  <c r="E114" i="16" s="1"/>
  <c r="I135" i="1"/>
  <c r="E113" i="16" s="1"/>
  <c r="I134" i="1"/>
  <c r="E112" i="16" s="1"/>
  <c r="I133" i="1"/>
  <c r="E111" i="16" s="1"/>
  <c r="I132" i="1"/>
  <c r="E110" i="16" s="1"/>
  <c r="I131" i="1"/>
  <c r="E109" i="16" s="1"/>
  <c r="I130" i="1"/>
  <c r="E108" i="16" s="1"/>
  <c r="I129" i="1"/>
  <c r="E107" i="16" s="1"/>
  <c r="I116" i="1"/>
  <c r="E96" i="16" s="1"/>
  <c r="I115" i="1"/>
  <c r="E95" i="16" s="1"/>
  <c r="I114" i="1"/>
  <c r="E94" i="16" s="1"/>
  <c r="I113" i="1"/>
  <c r="E93" i="16" s="1"/>
  <c r="I112" i="1"/>
  <c r="E92" i="16" s="1"/>
  <c r="I111" i="1"/>
  <c r="E91" i="16" s="1"/>
  <c r="I110" i="1"/>
  <c r="E90" i="16" s="1"/>
  <c r="I109" i="1"/>
  <c r="E89" i="16" s="1"/>
  <c r="I108" i="1"/>
  <c r="E88" i="16" s="1"/>
  <c r="I107" i="1"/>
  <c r="E87" i="16" s="1"/>
  <c r="I105" i="1"/>
  <c r="E86" i="16" s="1"/>
  <c r="I104" i="1"/>
  <c r="E85" i="16" s="1"/>
  <c r="I103" i="1"/>
  <c r="E84" i="16" s="1"/>
  <c r="I102" i="1"/>
  <c r="E83" i="16" s="1"/>
  <c r="I101" i="1"/>
  <c r="E82" i="16" s="1"/>
  <c r="I100" i="1"/>
  <c r="E81" i="16" s="1"/>
  <c r="I99" i="1"/>
  <c r="E80" i="16" s="1"/>
  <c r="I98" i="1"/>
  <c r="E79" i="16" s="1"/>
  <c r="I97" i="1"/>
  <c r="E78" i="16" s="1"/>
  <c r="I96" i="1"/>
  <c r="E77" i="16" s="1"/>
  <c r="I94" i="1"/>
  <c r="E76" i="16" s="1"/>
  <c r="I93" i="1"/>
  <c r="E75" i="16" s="1"/>
  <c r="I92" i="1"/>
  <c r="E74" i="16" s="1"/>
  <c r="I91" i="1"/>
  <c r="E73" i="16" s="1"/>
  <c r="I90" i="1"/>
  <c r="E72" i="16" s="1"/>
  <c r="I89" i="1"/>
  <c r="E71" i="16" s="1"/>
  <c r="I88" i="1"/>
  <c r="E70" i="16" s="1"/>
  <c r="I87" i="1"/>
  <c r="E69" i="16" s="1"/>
  <c r="I86" i="1"/>
  <c r="E68" i="16" s="1"/>
  <c r="I85" i="1"/>
  <c r="E67" i="16" s="1"/>
  <c r="I83" i="1"/>
  <c r="E66" i="16" s="1"/>
  <c r="I82" i="1"/>
  <c r="E65" i="16" s="1"/>
  <c r="I81" i="1"/>
  <c r="E64" i="16" s="1"/>
  <c r="I80" i="1"/>
  <c r="E63" i="16" s="1"/>
  <c r="I79" i="1"/>
  <c r="E62" i="16" s="1"/>
  <c r="I78" i="1"/>
  <c r="E61" i="16" s="1"/>
  <c r="I77" i="1"/>
  <c r="E60" i="16" s="1"/>
  <c r="I76" i="1"/>
  <c r="E59" i="16" s="1"/>
  <c r="I75" i="1"/>
  <c r="E58" i="16" s="1"/>
  <c r="I74" i="1"/>
  <c r="E57" i="16" s="1"/>
  <c r="I72" i="1"/>
  <c r="E56" i="16" s="1"/>
  <c r="I71" i="1"/>
  <c r="E55" i="16" s="1"/>
  <c r="I70" i="1"/>
  <c r="E54" i="16" s="1"/>
  <c r="I69" i="1"/>
  <c r="E53" i="16" s="1"/>
  <c r="I68" i="1"/>
  <c r="E52" i="16" s="1"/>
  <c r="I67" i="1"/>
  <c r="E51" i="16" s="1"/>
  <c r="I66" i="1"/>
  <c r="E50" i="16" s="1"/>
  <c r="I65" i="1"/>
  <c r="E49" i="16" s="1"/>
  <c r="I64" i="1"/>
  <c r="E48" i="16" s="1"/>
  <c r="I63" i="1"/>
  <c r="E47" i="16" s="1"/>
  <c r="I61" i="1"/>
  <c r="E46" i="16" s="1"/>
  <c r="I60" i="1"/>
  <c r="E45" i="16" s="1"/>
  <c r="I59" i="1"/>
  <c r="E44" i="16" s="1"/>
  <c r="I58" i="1"/>
  <c r="E43" i="16" s="1"/>
  <c r="I57" i="1"/>
  <c r="E42" i="16" s="1"/>
  <c r="I56" i="1"/>
  <c r="E41" i="16" s="1"/>
  <c r="I55" i="1"/>
  <c r="E40" i="16" s="1"/>
  <c r="I54" i="1"/>
  <c r="E39" i="16" s="1"/>
  <c r="I53" i="1"/>
  <c r="E38" i="16" s="1"/>
  <c r="I52" i="1"/>
  <c r="E37" i="16" s="1"/>
  <c r="I50" i="1"/>
  <c r="E36" i="16" s="1"/>
  <c r="I49" i="1"/>
  <c r="E35" i="16" s="1"/>
  <c r="I48" i="1"/>
  <c r="E34" i="16" s="1"/>
  <c r="I47" i="1"/>
  <c r="E33" i="16" s="1"/>
  <c r="I46" i="1"/>
  <c r="E32" i="16" s="1"/>
  <c r="I45" i="1"/>
  <c r="E31" i="16" s="1"/>
  <c r="I44" i="1"/>
  <c r="E30" i="16" s="1"/>
  <c r="I43" i="1"/>
  <c r="E29" i="16" s="1"/>
  <c r="I42" i="1"/>
  <c r="E28" i="16" s="1"/>
  <c r="I41" i="1"/>
  <c r="E27" i="16" s="1"/>
  <c r="I39" i="1"/>
  <c r="E26" i="16" s="1"/>
  <c r="I38" i="1"/>
  <c r="E25" i="16" s="1"/>
  <c r="I37" i="1"/>
  <c r="E24" i="16" s="1"/>
  <c r="I36" i="1"/>
  <c r="E23" i="16" s="1"/>
  <c r="I35" i="1"/>
  <c r="E22" i="16" s="1"/>
  <c r="I34" i="1"/>
  <c r="E21" i="16" s="1"/>
  <c r="I33" i="1"/>
  <c r="E20" i="16" s="1"/>
  <c r="I32" i="1"/>
  <c r="E19" i="16" s="1"/>
  <c r="I31" i="1"/>
  <c r="E18" i="16" s="1"/>
  <c r="I30" i="1"/>
  <c r="E17" i="16" s="1"/>
  <c r="I28" i="1"/>
  <c r="E16" i="16" s="1"/>
  <c r="I27" i="1"/>
  <c r="E15" i="16" s="1"/>
  <c r="I26" i="1"/>
  <c r="E14" i="16" s="1"/>
  <c r="I25" i="1"/>
  <c r="E13" i="16" s="1"/>
  <c r="I24" i="1"/>
  <c r="E12" i="16" s="1"/>
  <c r="I23" i="1"/>
  <c r="E11" i="16" s="1"/>
  <c r="I22" i="1"/>
  <c r="E10" i="16" s="1"/>
  <c r="I21" i="1"/>
  <c r="E9" i="16" s="1"/>
  <c r="I20" i="1"/>
  <c r="E8" i="16" s="1"/>
  <c r="I19" i="1"/>
  <c r="B32" i="7"/>
  <c r="B44" i="7"/>
  <c r="B38" i="7"/>
  <c r="K155" i="16" l="1"/>
  <c r="T155" i="16" s="1"/>
  <c r="J155" i="16"/>
  <c r="K7" i="16"/>
  <c r="T7" i="16" s="1"/>
  <c r="O254" i="19"/>
  <c r="J254" i="19"/>
  <c r="I254" i="19"/>
  <c r="H254" i="19"/>
  <c r="S254" i="19" s="1"/>
  <c r="G254" i="19"/>
  <c r="F254" i="19"/>
  <c r="E254" i="19"/>
  <c r="C254" i="19"/>
  <c r="B254" i="19"/>
  <c r="A254" i="19"/>
  <c r="O253" i="19"/>
  <c r="J253" i="19"/>
  <c r="I253" i="19"/>
  <c r="H253" i="19"/>
  <c r="S253" i="19" s="1"/>
  <c r="G253" i="19"/>
  <c r="F253" i="19"/>
  <c r="E253" i="19"/>
  <c r="C253" i="19"/>
  <c r="B253" i="19"/>
  <c r="A253" i="19"/>
  <c r="O252" i="19"/>
  <c r="J252" i="19"/>
  <c r="I252" i="19"/>
  <c r="H252" i="19"/>
  <c r="S252" i="19" s="1"/>
  <c r="G252" i="19"/>
  <c r="F252" i="19"/>
  <c r="E252" i="19"/>
  <c r="C252" i="19"/>
  <c r="B252" i="19"/>
  <c r="A252" i="19"/>
  <c r="O251" i="19"/>
  <c r="J251" i="19"/>
  <c r="I251" i="19"/>
  <c r="H251" i="19"/>
  <c r="S251" i="19" s="1"/>
  <c r="G251" i="19"/>
  <c r="F251" i="19"/>
  <c r="E251" i="19"/>
  <c r="C251" i="19"/>
  <c r="B251" i="19"/>
  <c r="A251" i="19"/>
  <c r="O250" i="19"/>
  <c r="J250" i="19"/>
  <c r="I250" i="19"/>
  <c r="H250" i="19"/>
  <c r="S250" i="19" s="1"/>
  <c r="G250" i="19"/>
  <c r="F250" i="19"/>
  <c r="E250" i="19"/>
  <c r="C250" i="19"/>
  <c r="B250" i="19"/>
  <c r="A250" i="19"/>
  <c r="O249" i="19"/>
  <c r="J249" i="19"/>
  <c r="I249" i="19"/>
  <c r="H249" i="19"/>
  <c r="S249" i="19" s="1"/>
  <c r="G249" i="19"/>
  <c r="F249" i="19"/>
  <c r="E249" i="19"/>
  <c r="C249" i="19"/>
  <c r="B249" i="19"/>
  <c r="A249" i="19"/>
  <c r="O248" i="19"/>
  <c r="J248" i="19"/>
  <c r="I248" i="19"/>
  <c r="H248" i="19"/>
  <c r="S248" i="19" s="1"/>
  <c r="G248" i="19"/>
  <c r="F248" i="19"/>
  <c r="E248" i="19"/>
  <c r="C248" i="19"/>
  <c r="B248" i="19"/>
  <c r="A248" i="19"/>
  <c r="O247" i="19"/>
  <c r="J247" i="19"/>
  <c r="I247" i="19"/>
  <c r="H247" i="19"/>
  <c r="S247" i="19" s="1"/>
  <c r="G247" i="19"/>
  <c r="F247" i="19"/>
  <c r="E247" i="19"/>
  <c r="C247" i="19"/>
  <c r="B247" i="19"/>
  <c r="A247" i="19"/>
  <c r="O246" i="19"/>
  <c r="J246" i="19"/>
  <c r="I246" i="19"/>
  <c r="H246" i="19"/>
  <c r="S246" i="19" s="1"/>
  <c r="G246" i="19"/>
  <c r="F246" i="19"/>
  <c r="E246" i="19"/>
  <c r="C246" i="19"/>
  <c r="B246" i="19"/>
  <c r="A246" i="19"/>
  <c r="O245" i="19"/>
  <c r="J245" i="19"/>
  <c r="I245" i="19"/>
  <c r="H245" i="19"/>
  <c r="S245" i="19" s="1"/>
  <c r="G245" i="19"/>
  <c r="F245" i="19"/>
  <c r="E245" i="19"/>
  <c r="C245" i="19"/>
  <c r="B245" i="19"/>
  <c r="A245" i="19"/>
  <c r="O244" i="19"/>
  <c r="J244" i="19"/>
  <c r="I244" i="19"/>
  <c r="H244" i="19"/>
  <c r="S244" i="19" s="1"/>
  <c r="G244" i="19"/>
  <c r="F244" i="19"/>
  <c r="E244" i="19"/>
  <c r="C244" i="19"/>
  <c r="B244" i="19"/>
  <c r="A244" i="19"/>
  <c r="O243" i="19"/>
  <c r="J243" i="19"/>
  <c r="I243" i="19"/>
  <c r="H243" i="19"/>
  <c r="S243" i="19" s="1"/>
  <c r="G243" i="19"/>
  <c r="F243" i="19"/>
  <c r="E243" i="19"/>
  <c r="C243" i="19"/>
  <c r="B243" i="19"/>
  <c r="A243" i="19"/>
  <c r="O242" i="19"/>
  <c r="J242" i="19"/>
  <c r="I242" i="19"/>
  <c r="H242" i="19"/>
  <c r="S242" i="19" s="1"/>
  <c r="G242" i="19"/>
  <c r="F242" i="19"/>
  <c r="E242" i="19"/>
  <c r="C242" i="19"/>
  <c r="B242" i="19"/>
  <c r="A242" i="19"/>
  <c r="O241" i="19"/>
  <c r="J241" i="19"/>
  <c r="I241" i="19"/>
  <c r="H241" i="19"/>
  <c r="S241" i="19" s="1"/>
  <c r="G241" i="19"/>
  <c r="F241" i="19"/>
  <c r="E241" i="19"/>
  <c r="C241" i="19"/>
  <c r="B241" i="19"/>
  <c r="A241" i="19"/>
  <c r="O240" i="19"/>
  <c r="J240" i="19"/>
  <c r="I240" i="19"/>
  <c r="H240" i="19"/>
  <c r="S240" i="19" s="1"/>
  <c r="G240" i="19"/>
  <c r="F240" i="19"/>
  <c r="E240" i="19"/>
  <c r="C240" i="19"/>
  <c r="B240" i="19"/>
  <c r="A240" i="19"/>
  <c r="O239" i="19"/>
  <c r="J239" i="19"/>
  <c r="I239" i="19"/>
  <c r="H239" i="19"/>
  <c r="S239" i="19" s="1"/>
  <c r="G239" i="19"/>
  <c r="F239" i="19"/>
  <c r="E239" i="19"/>
  <c r="C239" i="19"/>
  <c r="B239" i="19"/>
  <c r="A239" i="19"/>
  <c r="O238" i="19"/>
  <c r="J238" i="19"/>
  <c r="I238" i="19"/>
  <c r="H238" i="19"/>
  <c r="S238" i="19" s="1"/>
  <c r="G238" i="19"/>
  <c r="F238" i="19"/>
  <c r="E238" i="19"/>
  <c r="C238" i="19"/>
  <c r="B238" i="19"/>
  <c r="A238" i="19"/>
  <c r="O237" i="19"/>
  <c r="J237" i="19"/>
  <c r="I237" i="19"/>
  <c r="H237" i="19"/>
  <c r="S237" i="19" s="1"/>
  <c r="G237" i="19"/>
  <c r="F237" i="19"/>
  <c r="E237" i="19"/>
  <c r="C237" i="19"/>
  <c r="B237" i="19"/>
  <c r="A237" i="19"/>
  <c r="O236" i="19"/>
  <c r="J236" i="19"/>
  <c r="I236" i="19"/>
  <c r="H236" i="19"/>
  <c r="S236" i="19" s="1"/>
  <c r="G236" i="19"/>
  <c r="F236" i="19"/>
  <c r="E236" i="19"/>
  <c r="C236" i="19"/>
  <c r="B236" i="19"/>
  <c r="A236" i="19"/>
  <c r="O235" i="19"/>
  <c r="J235" i="19"/>
  <c r="I235" i="19"/>
  <c r="H235" i="19"/>
  <c r="S235" i="19" s="1"/>
  <c r="G235" i="19"/>
  <c r="F235" i="19"/>
  <c r="E235" i="19"/>
  <c r="C235" i="19"/>
  <c r="B235" i="19"/>
  <c r="A235" i="19"/>
  <c r="O234" i="19"/>
  <c r="J234" i="19"/>
  <c r="I234" i="19"/>
  <c r="H234" i="19"/>
  <c r="S234" i="19" s="1"/>
  <c r="G234" i="19"/>
  <c r="F234" i="19"/>
  <c r="E234" i="19"/>
  <c r="C234" i="19"/>
  <c r="B234" i="19"/>
  <c r="A234" i="19"/>
  <c r="O233" i="19"/>
  <c r="J233" i="19"/>
  <c r="I233" i="19"/>
  <c r="H233" i="19"/>
  <c r="S233" i="19" s="1"/>
  <c r="G233" i="19"/>
  <c r="F233" i="19"/>
  <c r="E233" i="19"/>
  <c r="C233" i="19"/>
  <c r="B233" i="19"/>
  <c r="A233" i="19"/>
  <c r="O232" i="19"/>
  <c r="J232" i="19"/>
  <c r="I232" i="19"/>
  <c r="H232" i="19"/>
  <c r="S232" i="19" s="1"/>
  <c r="G232" i="19"/>
  <c r="F232" i="19"/>
  <c r="E232" i="19"/>
  <c r="C232" i="19"/>
  <c r="B232" i="19"/>
  <c r="A232" i="19"/>
  <c r="O231" i="19"/>
  <c r="J231" i="19"/>
  <c r="I231" i="19"/>
  <c r="H231" i="19"/>
  <c r="S231" i="19" s="1"/>
  <c r="G231" i="19"/>
  <c r="F231" i="19"/>
  <c r="E231" i="19"/>
  <c r="C231" i="19"/>
  <c r="B231" i="19"/>
  <c r="A231" i="19"/>
  <c r="O230" i="19"/>
  <c r="J230" i="19"/>
  <c r="I230" i="19"/>
  <c r="H230" i="19"/>
  <c r="S230" i="19" s="1"/>
  <c r="G230" i="19"/>
  <c r="F230" i="19"/>
  <c r="E230" i="19"/>
  <c r="C230" i="19"/>
  <c r="B230" i="19"/>
  <c r="A230" i="19"/>
  <c r="O229" i="19"/>
  <c r="J229" i="19"/>
  <c r="I229" i="19"/>
  <c r="H229" i="19"/>
  <c r="S229" i="19" s="1"/>
  <c r="G229" i="19"/>
  <c r="F229" i="19"/>
  <c r="E229" i="19"/>
  <c r="C229" i="19"/>
  <c r="B229" i="19"/>
  <c r="A229" i="19"/>
  <c r="O228" i="19"/>
  <c r="J228" i="19"/>
  <c r="I228" i="19"/>
  <c r="H228" i="19"/>
  <c r="S228" i="19" s="1"/>
  <c r="G228" i="19"/>
  <c r="F228" i="19"/>
  <c r="E228" i="19"/>
  <c r="C228" i="19"/>
  <c r="B228" i="19"/>
  <c r="A228" i="19"/>
  <c r="O227" i="19"/>
  <c r="J227" i="19"/>
  <c r="I227" i="19"/>
  <c r="H227" i="19"/>
  <c r="S227" i="19" s="1"/>
  <c r="G227" i="19"/>
  <c r="F227" i="19"/>
  <c r="E227" i="19"/>
  <c r="C227" i="19"/>
  <c r="B227" i="19"/>
  <c r="A227" i="19"/>
  <c r="O226" i="19"/>
  <c r="J226" i="19"/>
  <c r="I226" i="19"/>
  <c r="H226" i="19"/>
  <c r="S226" i="19" s="1"/>
  <c r="G226" i="19"/>
  <c r="F226" i="19"/>
  <c r="E226" i="19"/>
  <c r="C226" i="19"/>
  <c r="B226" i="19"/>
  <c r="A226" i="19"/>
  <c r="O225" i="19"/>
  <c r="J225" i="19"/>
  <c r="I225" i="19"/>
  <c r="H225" i="19"/>
  <c r="S225" i="19" s="1"/>
  <c r="G225" i="19"/>
  <c r="F225" i="19"/>
  <c r="E225" i="19"/>
  <c r="C225" i="19"/>
  <c r="B225" i="19"/>
  <c r="A225" i="19"/>
  <c r="O224" i="19"/>
  <c r="J224" i="19"/>
  <c r="I224" i="19"/>
  <c r="H224" i="19"/>
  <c r="S224" i="19" s="1"/>
  <c r="G224" i="19"/>
  <c r="F224" i="19"/>
  <c r="E224" i="19"/>
  <c r="C224" i="19"/>
  <c r="B224" i="19"/>
  <c r="A224" i="19"/>
  <c r="O223" i="19"/>
  <c r="J223" i="19"/>
  <c r="I223" i="19"/>
  <c r="H223" i="19"/>
  <c r="S223" i="19" s="1"/>
  <c r="G223" i="19"/>
  <c r="F223" i="19"/>
  <c r="E223" i="19"/>
  <c r="C223" i="19"/>
  <c r="B223" i="19"/>
  <c r="A223" i="19"/>
  <c r="O222" i="19"/>
  <c r="J222" i="19"/>
  <c r="I222" i="19"/>
  <c r="H222" i="19"/>
  <c r="S222" i="19" s="1"/>
  <c r="G222" i="19"/>
  <c r="F222" i="19"/>
  <c r="E222" i="19"/>
  <c r="C222" i="19"/>
  <c r="B222" i="19"/>
  <c r="A222" i="19"/>
  <c r="O221" i="19"/>
  <c r="J221" i="19"/>
  <c r="I221" i="19"/>
  <c r="H221" i="19"/>
  <c r="S221" i="19" s="1"/>
  <c r="G221" i="19"/>
  <c r="F221" i="19"/>
  <c r="E221" i="19"/>
  <c r="C221" i="19"/>
  <c r="B221" i="19"/>
  <c r="A221" i="19"/>
  <c r="O220" i="19"/>
  <c r="J220" i="19"/>
  <c r="I220" i="19"/>
  <c r="H220" i="19"/>
  <c r="S220" i="19" s="1"/>
  <c r="G220" i="19"/>
  <c r="F220" i="19"/>
  <c r="E220" i="19"/>
  <c r="C220" i="19"/>
  <c r="B220" i="19"/>
  <c r="A220" i="19"/>
  <c r="O219" i="19"/>
  <c r="J219" i="19"/>
  <c r="I219" i="19"/>
  <c r="H219" i="19"/>
  <c r="S219" i="19" s="1"/>
  <c r="G219" i="19"/>
  <c r="F219" i="19"/>
  <c r="E219" i="19"/>
  <c r="C219" i="19"/>
  <c r="B219" i="19"/>
  <c r="A219" i="19"/>
  <c r="O218" i="19"/>
  <c r="J218" i="19"/>
  <c r="I218" i="19"/>
  <c r="H218" i="19"/>
  <c r="S218" i="19" s="1"/>
  <c r="G218" i="19"/>
  <c r="F218" i="19"/>
  <c r="E218" i="19"/>
  <c r="C218" i="19"/>
  <c r="B218" i="19"/>
  <c r="A218" i="19"/>
  <c r="O217" i="19"/>
  <c r="J217" i="19"/>
  <c r="I217" i="19"/>
  <c r="H217" i="19"/>
  <c r="S217" i="19" s="1"/>
  <c r="G217" i="19"/>
  <c r="F217" i="19"/>
  <c r="E217" i="19"/>
  <c r="C217" i="19"/>
  <c r="B217" i="19"/>
  <c r="A217" i="19"/>
  <c r="O216" i="19"/>
  <c r="J216" i="19"/>
  <c r="I216" i="19"/>
  <c r="H216" i="19"/>
  <c r="S216" i="19" s="1"/>
  <c r="G216" i="19"/>
  <c r="F216" i="19"/>
  <c r="E216" i="19"/>
  <c r="C216" i="19"/>
  <c r="B216" i="19"/>
  <c r="A216" i="19"/>
  <c r="O215" i="19"/>
  <c r="J215" i="19"/>
  <c r="I215" i="19"/>
  <c r="H215" i="19"/>
  <c r="S215" i="19" s="1"/>
  <c r="G215" i="19"/>
  <c r="F215" i="19"/>
  <c r="E215" i="19"/>
  <c r="C215" i="19"/>
  <c r="B215" i="19"/>
  <c r="A215" i="19"/>
  <c r="O214" i="19"/>
  <c r="J214" i="19"/>
  <c r="I214" i="19"/>
  <c r="H214" i="19"/>
  <c r="S214" i="19" s="1"/>
  <c r="G214" i="19"/>
  <c r="F214" i="19"/>
  <c r="E214" i="19"/>
  <c r="C214" i="19"/>
  <c r="B214" i="19"/>
  <c r="A214" i="19"/>
  <c r="O213" i="19"/>
  <c r="J213" i="19"/>
  <c r="I213" i="19"/>
  <c r="H213" i="19"/>
  <c r="S213" i="19" s="1"/>
  <c r="G213" i="19"/>
  <c r="F213" i="19"/>
  <c r="E213" i="19"/>
  <c r="C213" i="19"/>
  <c r="B213" i="19"/>
  <c r="A213" i="19"/>
  <c r="O212" i="19"/>
  <c r="J212" i="19"/>
  <c r="I212" i="19"/>
  <c r="H212" i="19"/>
  <c r="S212" i="19" s="1"/>
  <c r="G212" i="19"/>
  <c r="F212" i="19"/>
  <c r="E212" i="19"/>
  <c r="C212" i="19"/>
  <c r="B212" i="19"/>
  <c r="A212" i="19"/>
  <c r="O211" i="19"/>
  <c r="J211" i="19"/>
  <c r="I211" i="19"/>
  <c r="H211" i="19"/>
  <c r="S211" i="19" s="1"/>
  <c r="G211" i="19"/>
  <c r="F211" i="19"/>
  <c r="E211" i="19"/>
  <c r="C211" i="19"/>
  <c r="B211" i="19"/>
  <c r="A211" i="19"/>
  <c r="O210" i="19"/>
  <c r="J210" i="19"/>
  <c r="I210" i="19"/>
  <c r="H210" i="19"/>
  <c r="S210" i="19" s="1"/>
  <c r="G210" i="19"/>
  <c r="F210" i="19"/>
  <c r="E210" i="19"/>
  <c r="C210" i="19"/>
  <c r="B210" i="19"/>
  <c r="A210" i="19"/>
  <c r="O209" i="19"/>
  <c r="J209" i="19"/>
  <c r="I209" i="19"/>
  <c r="H209" i="19"/>
  <c r="S209" i="19" s="1"/>
  <c r="G209" i="19"/>
  <c r="F209" i="19"/>
  <c r="E209" i="19"/>
  <c r="C209" i="19"/>
  <c r="B209" i="19"/>
  <c r="A209" i="19"/>
  <c r="O208" i="19"/>
  <c r="J208" i="19"/>
  <c r="I208" i="19"/>
  <c r="H208" i="19"/>
  <c r="S208" i="19" s="1"/>
  <c r="G208" i="19"/>
  <c r="F208" i="19"/>
  <c r="E208" i="19"/>
  <c r="C208" i="19"/>
  <c r="B208" i="19"/>
  <c r="A208" i="19"/>
  <c r="O207" i="19"/>
  <c r="J207" i="19"/>
  <c r="I207" i="19"/>
  <c r="H207" i="19"/>
  <c r="S207" i="19" s="1"/>
  <c r="G207" i="19"/>
  <c r="F207" i="19"/>
  <c r="E207" i="19"/>
  <c r="C207" i="19"/>
  <c r="B207" i="19"/>
  <c r="A207" i="19"/>
  <c r="O206" i="19"/>
  <c r="J206" i="19"/>
  <c r="I206" i="19"/>
  <c r="H206" i="19"/>
  <c r="S206" i="19" s="1"/>
  <c r="G206" i="19"/>
  <c r="F206" i="19"/>
  <c r="E206" i="19"/>
  <c r="C206" i="19"/>
  <c r="B206" i="19"/>
  <c r="A206" i="19"/>
  <c r="O205" i="19"/>
  <c r="J205" i="19"/>
  <c r="I205" i="19"/>
  <c r="H205" i="19"/>
  <c r="S205" i="19" s="1"/>
  <c r="G205" i="19"/>
  <c r="F205" i="19"/>
  <c r="E205" i="19"/>
  <c r="C205" i="19"/>
  <c r="B205" i="19"/>
  <c r="A205" i="19"/>
  <c r="O204" i="19"/>
  <c r="J204" i="19"/>
  <c r="I204" i="19"/>
  <c r="H204" i="19"/>
  <c r="S204" i="19" s="1"/>
  <c r="G204" i="19"/>
  <c r="F204" i="19"/>
  <c r="E204" i="19"/>
  <c r="C204" i="19"/>
  <c r="B204" i="19"/>
  <c r="A204" i="19"/>
  <c r="O203" i="19"/>
  <c r="J203" i="19"/>
  <c r="I203" i="19"/>
  <c r="H203" i="19"/>
  <c r="S203" i="19" s="1"/>
  <c r="G203" i="19"/>
  <c r="F203" i="19"/>
  <c r="E203" i="19"/>
  <c r="C203" i="19"/>
  <c r="B203" i="19"/>
  <c r="A203" i="19"/>
  <c r="O202" i="19"/>
  <c r="J202" i="19"/>
  <c r="I202" i="19"/>
  <c r="H202" i="19"/>
  <c r="S202" i="19" s="1"/>
  <c r="G202" i="19"/>
  <c r="F202" i="19"/>
  <c r="E202" i="19"/>
  <c r="C202" i="19"/>
  <c r="B202" i="19"/>
  <c r="A202" i="19"/>
  <c r="O201" i="19"/>
  <c r="J201" i="19"/>
  <c r="I201" i="19"/>
  <c r="H201" i="19"/>
  <c r="S201" i="19" s="1"/>
  <c r="G201" i="19"/>
  <c r="F201" i="19"/>
  <c r="E201" i="19"/>
  <c r="C201" i="19"/>
  <c r="B201" i="19"/>
  <c r="A201" i="19"/>
  <c r="O200" i="19"/>
  <c r="J200" i="19"/>
  <c r="I200" i="19"/>
  <c r="H200" i="19"/>
  <c r="S200" i="19" s="1"/>
  <c r="G200" i="19"/>
  <c r="F200" i="19"/>
  <c r="E200" i="19"/>
  <c r="C200" i="19"/>
  <c r="B200" i="19"/>
  <c r="A200" i="19"/>
  <c r="O199" i="19"/>
  <c r="J199" i="19"/>
  <c r="I199" i="19"/>
  <c r="H199" i="19"/>
  <c r="S199" i="19" s="1"/>
  <c r="G199" i="19"/>
  <c r="F199" i="19"/>
  <c r="E199" i="19"/>
  <c r="C199" i="19"/>
  <c r="B199" i="19"/>
  <c r="A199" i="19"/>
  <c r="O198" i="19"/>
  <c r="J198" i="19"/>
  <c r="I198" i="19"/>
  <c r="H198" i="19"/>
  <c r="S198" i="19" s="1"/>
  <c r="G198" i="19"/>
  <c r="F198" i="19"/>
  <c r="E198" i="19"/>
  <c r="C198" i="19"/>
  <c r="B198" i="19"/>
  <c r="A198" i="19"/>
  <c r="O197" i="19"/>
  <c r="J197" i="19"/>
  <c r="I197" i="19"/>
  <c r="H197" i="19"/>
  <c r="S197" i="19" s="1"/>
  <c r="G197" i="19"/>
  <c r="F197" i="19"/>
  <c r="E197" i="19"/>
  <c r="C197" i="19"/>
  <c r="B197" i="19"/>
  <c r="A197" i="19"/>
  <c r="O196" i="19"/>
  <c r="J196" i="19"/>
  <c r="I196" i="19"/>
  <c r="H196" i="19"/>
  <c r="S196" i="19" s="1"/>
  <c r="G196" i="19"/>
  <c r="F196" i="19"/>
  <c r="E196" i="19"/>
  <c r="C196" i="19"/>
  <c r="B196" i="19"/>
  <c r="A196" i="19"/>
  <c r="O195" i="19"/>
  <c r="J195" i="19"/>
  <c r="I195" i="19"/>
  <c r="H195" i="19"/>
  <c r="S195" i="19" s="1"/>
  <c r="G195" i="19"/>
  <c r="F195" i="19"/>
  <c r="E195" i="19"/>
  <c r="C195" i="19"/>
  <c r="B195" i="19"/>
  <c r="A195" i="19"/>
  <c r="O194" i="19"/>
  <c r="J194" i="19"/>
  <c r="I194" i="19"/>
  <c r="H194" i="19"/>
  <c r="S194" i="19" s="1"/>
  <c r="G194" i="19"/>
  <c r="F194" i="19"/>
  <c r="E194" i="19"/>
  <c r="C194" i="19"/>
  <c r="B194" i="19"/>
  <c r="A194" i="19"/>
  <c r="O193" i="19"/>
  <c r="J193" i="19"/>
  <c r="I193" i="19"/>
  <c r="H193" i="19"/>
  <c r="S193" i="19" s="1"/>
  <c r="G193" i="19"/>
  <c r="F193" i="19"/>
  <c r="E193" i="19"/>
  <c r="C193" i="19"/>
  <c r="B193" i="19"/>
  <c r="A193" i="19"/>
  <c r="O192" i="19"/>
  <c r="J192" i="19"/>
  <c r="I192" i="19"/>
  <c r="H192" i="19"/>
  <c r="S192" i="19" s="1"/>
  <c r="G192" i="19"/>
  <c r="F192" i="19"/>
  <c r="E192" i="19"/>
  <c r="C192" i="19"/>
  <c r="B192" i="19"/>
  <c r="A192" i="19"/>
  <c r="O191" i="19"/>
  <c r="J191" i="19"/>
  <c r="I191" i="19"/>
  <c r="H191" i="19"/>
  <c r="S191" i="19" s="1"/>
  <c r="G191" i="19"/>
  <c r="F191" i="19"/>
  <c r="E191" i="19"/>
  <c r="C191" i="19"/>
  <c r="B191" i="19"/>
  <c r="A191" i="19"/>
  <c r="O190" i="19"/>
  <c r="J190" i="19"/>
  <c r="I190" i="19"/>
  <c r="H190" i="19"/>
  <c r="S190" i="19" s="1"/>
  <c r="G190" i="19"/>
  <c r="F190" i="19"/>
  <c r="E190" i="19"/>
  <c r="C190" i="19"/>
  <c r="B190" i="19"/>
  <c r="A190" i="19"/>
  <c r="O189" i="19"/>
  <c r="J189" i="19"/>
  <c r="I189" i="19"/>
  <c r="H189" i="19"/>
  <c r="S189" i="19" s="1"/>
  <c r="G189" i="19"/>
  <c r="F189" i="19"/>
  <c r="E189" i="19"/>
  <c r="C189" i="19"/>
  <c r="B189" i="19"/>
  <c r="A189" i="19"/>
  <c r="O188" i="19"/>
  <c r="J188" i="19"/>
  <c r="I188" i="19"/>
  <c r="H188" i="19"/>
  <c r="S188" i="19" s="1"/>
  <c r="G188" i="19"/>
  <c r="F188" i="19"/>
  <c r="E188" i="19"/>
  <c r="C188" i="19"/>
  <c r="B188" i="19"/>
  <c r="A188" i="19"/>
  <c r="O187" i="19"/>
  <c r="J187" i="19"/>
  <c r="I187" i="19"/>
  <c r="H187" i="19"/>
  <c r="S187" i="19" s="1"/>
  <c r="G187" i="19"/>
  <c r="F187" i="19"/>
  <c r="E187" i="19"/>
  <c r="C187" i="19"/>
  <c r="B187" i="19"/>
  <c r="A187" i="19"/>
  <c r="O186" i="19"/>
  <c r="J186" i="19"/>
  <c r="I186" i="19"/>
  <c r="H186" i="19"/>
  <c r="S186" i="19" s="1"/>
  <c r="G186" i="19"/>
  <c r="F186" i="19"/>
  <c r="E186" i="19"/>
  <c r="C186" i="19"/>
  <c r="B186" i="19"/>
  <c r="A186" i="19"/>
  <c r="O185" i="19"/>
  <c r="J185" i="19"/>
  <c r="I185" i="19"/>
  <c r="H185" i="19"/>
  <c r="S185" i="19" s="1"/>
  <c r="G185" i="19"/>
  <c r="F185" i="19"/>
  <c r="E185" i="19"/>
  <c r="C185" i="19"/>
  <c r="B185" i="19"/>
  <c r="A185" i="19"/>
  <c r="O184" i="19"/>
  <c r="J184" i="19"/>
  <c r="I184" i="19"/>
  <c r="H184" i="19"/>
  <c r="S184" i="19" s="1"/>
  <c r="G184" i="19"/>
  <c r="F184" i="19"/>
  <c r="E184" i="19"/>
  <c r="C184" i="19"/>
  <c r="B184" i="19"/>
  <c r="A184" i="19"/>
  <c r="O183" i="19"/>
  <c r="J183" i="19"/>
  <c r="I183" i="19"/>
  <c r="H183" i="19"/>
  <c r="S183" i="19" s="1"/>
  <c r="G183" i="19"/>
  <c r="F183" i="19"/>
  <c r="E183" i="19"/>
  <c r="C183" i="19"/>
  <c r="B183" i="19"/>
  <c r="A183" i="19"/>
  <c r="O182" i="19"/>
  <c r="J182" i="19"/>
  <c r="I182" i="19"/>
  <c r="H182" i="19"/>
  <c r="S182" i="19" s="1"/>
  <c r="G182" i="19"/>
  <c r="F182" i="19"/>
  <c r="E182" i="19"/>
  <c r="C182" i="19"/>
  <c r="B182" i="19"/>
  <c r="A182" i="19"/>
  <c r="O181" i="19"/>
  <c r="J181" i="19"/>
  <c r="I181" i="19"/>
  <c r="H181" i="19"/>
  <c r="S181" i="19" s="1"/>
  <c r="G181" i="19"/>
  <c r="F181" i="19"/>
  <c r="E181" i="19"/>
  <c r="C181" i="19"/>
  <c r="B181" i="19"/>
  <c r="A181" i="19"/>
  <c r="O180" i="19"/>
  <c r="J180" i="19"/>
  <c r="I180" i="19"/>
  <c r="H180" i="19"/>
  <c r="S180" i="19" s="1"/>
  <c r="G180" i="19"/>
  <c r="F180" i="19"/>
  <c r="E180" i="19"/>
  <c r="C180" i="19"/>
  <c r="B180" i="19"/>
  <c r="A180" i="19"/>
  <c r="O179" i="19"/>
  <c r="J179" i="19"/>
  <c r="I179" i="19"/>
  <c r="H179" i="19"/>
  <c r="S179" i="19" s="1"/>
  <c r="G179" i="19"/>
  <c r="F179" i="19"/>
  <c r="E179" i="19"/>
  <c r="C179" i="19"/>
  <c r="B179" i="19"/>
  <c r="A179" i="19"/>
  <c r="O178" i="19"/>
  <c r="J178" i="19"/>
  <c r="I178" i="19"/>
  <c r="H178" i="19"/>
  <c r="S178" i="19" s="1"/>
  <c r="G178" i="19"/>
  <c r="F178" i="19"/>
  <c r="E178" i="19"/>
  <c r="C178" i="19"/>
  <c r="B178" i="19"/>
  <c r="A178" i="19"/>
  <c r="O177" i="19"/>
  <c r="J177" i="19"/>
  <c r="I177" i="19"/>
  <c r="H177" i="19"/>
  <c r="S177" i="19" s="1"/>
  <c r="G177" i="19"/>
  <c r="F177" i="19"/>
  <c r="E177" i="19"/>
  <c r="C177" i="19"/>
  <c r="B177" i="19"/>
  <c r="A177" i="19"/>
  <c r="O176" i="19"/>
  <c r="J176" i="19"/>
  <c r="I176" i="19"/>
  <c r="H176" i="19"/>
  <c r="S176" i="19" s="1"/>
  <c r="G176" i="19"/>
  <c r="F176" i="19"/>
  <c r="E176" i="19"/>
  <c r="C176" i="19"/>
  <c r="B176" i="19"/>
  <c r="A176" i="19"/>
  <c r="O175" i="19"/>
  <c r="J175" i="19"/>
  <c r="I175" i="19"/>
  <c r="H175" i="19"/>
  <c r="S175" i="19" s="1"/>
  <c r="G175" i="19"/>
  <c r="F175" i="19"/>
  <c r="E175" i="19"/>
  <c r="C175" i="19"/>
  <c r="B175" i="19"/>
  <c r="A175" i="19"/>
  <c r="O174" i="19"/>
  <c r="J174" i="19"/>
  <c r="I174" i="19"/>
  <c r="H174" i="19"/>
  <c r="S174" i="19" s="1"/>
  <c r="G174" i="19"/>
  <c r="F174" i="19"/>
  <c r="E174" i="19"/>
  <c r="C174" i="19"/>
  <c r="B174" i="19"/>
  <c r="A174" i="19"/>
  <c r="O173" i="19"/>
  <c r="J173" i="19"/>
  <c r="I173" i="19"/>
  <c r="H173" i="19"/>
  <c r="S173" i="19" s="1"/>
  <c r="G173" i="19"/>
  <c r="F173" i="19"/>
  <c r="E173" i="19"/>
  <c r="C173" i="19"/>
  <c r="B173" i="19"/>
  <c r="A173" i="19"/>
  <c r="O172" i="19"/>
  <c r="J172" i="19"/>
  <c r="I172" i="19"/>
  <c r="H172" i="19"/>
  <c r="S172" i="19" s="1"/>
  <c r="G172" i="19"/>
  <c r="F172" i="19"/>
  <c r="E172" i="19"/>
  <c r="C172" i="19"/>
  <c r="B172" i="19"/>
  <c r="A172" i="19"/>
  <c r="O171" i="19"/>
  <c r="J171" i="19"/>
  <c r="I171" i="19"/>
  <c r="H171" i="19"/>
  <c r="S171" i="19" s="1"/>
  <c r="G171" i="19"/>
  <c r="F171" i="19"/>
  <c r="E171" i="19"/>
  <c r="C171" i="19"/>
  <c r="B171" i="19"/>
  <c r="A171" i="19"/>
  <c r="O170" i="19"/>
  <c r="J170" i="19"/>
  <c r="I170" i="19"/>
  <c r="H170" i="19"/>
  <c r="S170" i="19" s="1"/>
  <c r="G170" i="19"/>
  <c r="F170" i="19"/>
  <c r="E170" i="19"/>
  <c r="C170" i="19"/>
  <c r="B170" i="19"/>
  <c r="A170" i="19"/>
  <c r="O169" i="19"/>
  <c r="J169" i="19"/>
  <c r="I169" i="19"/>
  <c r="H169" i="19"/>
  <c r="S169" i="19" s="1"/>
  <c r="G169" i="19"/>
  <c r="F169" i="19"/>
  <c r="E169" i="19"/>
  <c r="C169" i="19"/>
  <c r="B169" i="19"/>
  <c r="A169" i="19"/>
  <c r="O168" i="19"/>
  <c r="J168" i="19"/>
  <c r="I168" i="19"/>
  <c r="H168" i="19"/>
  <c r="S168" i="19" s="1"/>
  <c r="G168" i="19"/>
  <c r="F168" i="19"/>
  <c r="E168" i="19"/>
  <c r="C168" i="19"/>
  <c r="B168" i="19"/>
  <c r="A168" i="19"/>
  <c r="O167" i="19"/>
  <c r="J167" i="19"/>
  <c r="I167" i="19"/>
  <c r="H167" i="19"/>
  <c r="S167" i="19" s="1"/>
  <c r="G167" i="19"/>
  <c r="F167" i="19"/>
  <c r="E167" i="19"/>
  <c r="C167" i="19"/>
  <c r="B167" i="19"/>
  <c r="A167" i="19"/>
  <c r="O166" i="19"/>
  <c r="J166" i="19"/>
  <c r="I166" i="19"/>
  <c r="H166" i="19"/>
  <c r="S166" i="19" s="1"/>
  <c r="G166" i="19"/>
  <c r="F166" i="19"/>
  <c r="E166" i="19"/>
  <c r="C166" i="19"/>
  <c r="B166" i="19"/>
  <c r="A166" i="19"/>
  <c r="O165" i="19"/>
  <c r="J165" i="19"/>
  <c r="I165" i="19"/>
  <c r="H165" i="19"/>
  <c r="S165" i="19" s="1"/>
  <c r="G165" i="19"/>
  <c r="F165" i="19"/>
  <c r="E165" i="19"/>
  <c r="C165" i="19"/>
  <c r="B165" i="19"/>
  <c r="A165" i="19"/>
  <c r="O164" i="19"/>
  <c r="J164" i="19"/>
  <c r="I164" i="19"/>
  <c r="H164" i="19"/>
  <c r="S164" i="19" s="1"/>
  <c r="G164" i="19"/>
  <c r="F164" i="19"/>
  <c r="E164" i="19"/>
  <c r="C164" i="19"/>
  <c r="B164" i="19"/>
  <c r="A164" i="19"/>
  <c r="O163" i="19"/>
  <c r="J163" i="19"/>
  <c r="I163" i="19"/>
  <c r="H163" i="19"/>
  <c r="S163" i="19" s="1"/>
  <c r="G163" i="19"/>
  <c r="F163" i="19"/>
  <c r="E163" i="19"/>
  <c r="C163" i="19"/>
  <c r="B163" i="19"/>
  <c r="A163" i="19"/>
  <c r="O162" i="19"/>
  <c r="J162" i="19"/>
  <c r="I162" i="19"/>
  <c r="H162" i="19"/>
  <c r="S162" i="19" s="1"/>
  <c r="G162" i="19"/>
  <c r="F162" i="19"/>
  <c r="E162" i="19"/>
  <c r="C162" i="19"/>
  <c r="B162" i="19"/>
  <c r="A162" i="19"/>
  <c r="O161" i="19"/>
  <c r="J161" i="19"/>
  <c r="I161" i="19"/>
  <c r="H161" i="19"/>
  <c r="S161" i="19" s="1"/>
  <c r="G161" i="19"/>
  <c r="F161" i="19"/>
  <c r="E161" i="19"/>
  <c r="C161" i="19"/>
  <c r="B161" i="19"/>
  <c r="A161" i="19"/>
  <c r="O160" i="19"/>
  <c r="J160" i="19"/>
  <c r="I160" i="19"/>
  <c r="H160" i="19"/>
  <c r="S160" i="19" s="1"/>
  <c r="G160" i="19"/>
  <c r="F160" i="19"/>
  <c r="E160" i="19"/>
  <c r="C160" i="19"/>
  <c r="B160" i="19"/>
  <c r="A160" i="19"/>
  <c r="O159" i="19"/>
  <c r="J159" i="19"/>
  <c r="I159" i="19"/>
  <c r="H159" i="19"/>
  <c r="S159" i="19" s="1"/>
  <c r="G159" i="19"/>
  <c r="F159" i="19"/>
  <c r="E159" i="19"/>
  <c r="C159" i="19"/>
  <c r="B159" i="19"/>
  <c r="A159" i="19"/>
  <c r="O158" i="19"/>
  <c r="J158" i="19"/>
  <c r="I158" i="19"/>
  <c r="H158" i="19"/>
  <c r="S158" i="19" s="1"/>
  <c r="G158" i="19"/>
  <c r="F158" i="19"/>
  <c r="E158" i="19"/>
  <c r="C158" i="19"/>
  <c r="B158" i="19"/>
  <c r="A158" i="19"/>
  <c r="O157" i="19"/>
  <c r="J157" i="19"/>
  <c r="I157" i="19"/>
  <c r="H157" i="19"/>
  <c r="S157" i="19" s="1"/>
  <c r="G157" i="19"/>
  <c r="F157" i="19"/>
  <c r="E157" i="19"/>
  <c r="C157" i="19"/>
  <c r="B157" i="19"/>
  <c r="A157" i="19"/>
  <c r="O156" i="19"/>
  <c r="J156" i="19"/>
  <c r="I156" i="19"/>
  <c r="H156" i="19"/>
  <c r="S156" i="19" s="1"/>
  <c r="G156" i="19"/>
  <c r="F156" i="19"/>
  <c r="E156" i="19"/>
  <c r="C156" i="19"/>
  <c r="B156" i="19"/>
  <c r="A156" i="19"/>
  <c r="O155" i="19"/>
  <c r="J155" i="19"/>
  <c r="I155" i="19"/>
  <c r="H155" i="19"/>
  <c r="S155" i="19" s="1"/>
  <c r="G155" i="19"/>
  <c r="F155" i="19"/>
  <c r="E155" i="19"/>
  <c r="C155" i="19"/>
  <c r="B155" i="19"/>
  <c r="A155" i="19"/>
  <c r="O146" i="19"/>
  <c r="J146" i="19"/>
  <c r="I146" i="19"/>
  <c r="H146" i="19"/>
  <c r="S146" i="19" s="1"/>
  <c r="G146" i="19"/>
  <c r="F146" i="19"/>
  <c r="E146" i="19"/>
  <c r="C146" i="19"/>
  <c r="B146" i="19"/>
  <c r="A146" i="19"/>
  <c r="O145" i="19"/>
  <c r="J145" i="19"/>
  <c r="I145" i="19"/>
  <c r="H145" i="19"/>
  <c r="S145" i="19" s="1"/>
  <c r="G145" i="19"/>
  <c r="F145" i="19"/>
  <c r="E145" i="19"/>
  <c r="C145" i="19"/>
  <c r="B145" i="19"/>
  <c r="A145" i="19"/>
  <c r="O144" i="19"/>
  <c r="J144" i="19"/>
  <c r="I144" i="19"/>
  <c r="H144" i="19"/>
  <c r="S144" i="19" s="1"/>
  <c r="G144" i="19"/>
  <c r="F144" i="19"/>
  <c r="E144" i="19"/>
  <c r="C144" i="19"/>
  <c r="B144" i="19"/>
  <c r="A144" i="19"/>
  <c r="O143" i="19"/>
  <c r="J143" i="19"/>
  <c r="I143" i="19"/>
  <c r="H143" i="19"/>
  <c r="S143" i="19" s="1"/>
  <c r="G143" i="19"/>
  <c r="F143" i="19"/>
  <c r="E143" i="19"/>
  <c r="C143" i="19"/>
  <c r="B143" i="19"/>
  <c r="A143" i="19"/>
  <c r="O142" i="19"/>
  <c r="J142" i="19"/>
  <c r="I142" i="19"/>
  <c r="H142" i="19"/>
  <c r="S142" i="19" s="1"/>
  <c r="G142" i="19"/>
  <c r="F142" i="19"/>
  <c r="E142" i="19"/>
  <c r="C142" i="19"/>
  <c r="B142" i="19"/>
  <c r="A142" i="19"/>
  <c r="O141" i="19"/>
  <c r="J141" i="19"/>
  <c r="I141" i="19"/>
  <c r="H141" i="19"/>
  <c r="S141" i="19" s="1"/>
  <c r="G141" i="19"/>
  <c r="F141" i="19"/>
  <c r="E141" i="19"/>
  <c r="C141" i="19"/>
  <c r="B141" i="19"/>
  <c r="A141" i="19"/>
  <c r="O140" i="19"/>
  <c r="J140" i="19"/>
  <c r="I140" i="19"/>
  <c r="H140" i="19"/>
  <c r="S140" i="19" s="1"/>
  <c r="G140" i="19"/>
  <c r="F140" i="19"/>
  <c r="E140" i="19"/>
  <c r="C140" i="19"/>
  <c r="B140" i="19"/>
  <c r="A140" i="19"/>
  <c r="O139" i="19"/>
  <c r="J139" i="19"/>
  <c r="I139" i="19"/>
  <c r="H139" i="19"/>
  <c r="S139" i="19" s="1"/>
  <c r="G139" i="19"/>
  <c r="F139" i="19"/>
  <c r="E139" i="19"/>
  <c r="C139" i="19"/>
  <c r="B139" i="19"/>
  <c r="A139" i="19"/>
  <c r="O138" i="19"/>
  <c r="J138" i="19"/>
  <c r="I138" i="19"/>
  <c r="H138" i="19"/>
  <c r="S138" i="19" s="1"/>
  <c r="G138" i="19"/>
  <c r="F138" i="19"/>
  <c r="E138" i="19"/>
  <c r="C138" i="19"/>
  <c r="B138" i="19"/>
  <c r="A138" i="19"/>
  <c r="O137" i="19"/>
  <c r="J137" i="19"/>
  <c r="I137" i="19"/>
  <c r="H137" i="19"/>
  <c r="S137" i="19" s="1"/>
  <c r="G137" i="19"/>
  <c r="F137" i="19"/>
  <c r="E137" i="19"/>
  <c r="C137" i="19"/>
  <c r="B137" i="19"/>
  <c r="A137" i="19"/>
  <c r="O136" i="19"/>
  <c r="J136" i="19"/>
  <c r="I136" i="19"/>
  <c r="H136" i="19"/>
  <c r="S136" i="19" s="1"/>
  <c r="G136" i="19"/>
  <c r="F136" i="19"/>
  <c r="E136" i="19"/>
  <c r="C136" i="19"/>
  <c r="B136" i="19"/>
  <c r="A136" i="19"/>
  <c r="O135" i="19"/>
  <c r="J135" i="19"/>
  <c r="I135" i="19"/>
  <c r="H135" i="19"/>
  <c r="S135" i="19" s="1"/>
  <c r="G135" i="19"/>
  <c r="F135" i="19"/>
  <c r="E135" i="19"/>
  <c r="C135" i="19"/>
  <c r="B135" i="19"/>
  <c r="A135" i="19"/>
  <c r="O134" i="19"/>
  <c r="J134" i="19"/>
  <c r="I134" i="19"/>
  <c r="H134" i="19"/>
  <c r="S134" i="19" s="1"/>
  <c r="G134" i="19"/>
  <c r="F134" i="19"/>
  <c r="E134" i="19"/>
  <c r="C134" i="19"/>
  <c r="B134" i="19"/>
  <c r="A134" i="19"/>
  <c r="O133" i="19"/>
  <c r="J133" i="19"/>
  <c r="I133" i="19"/>
  <c r="H133" i="19"/>
  <c r="S133" i="19" s="1"/>
  <c r="G133" i="19"/>
  <c r="F133" i="19"/>
  <c r="E133" i="19"/>
  <c r="C133" i="19"/>
  <c r="B133" i="19"/>
  <c r="A133" i="19"/>
  <c r="O132" i="19"/>
  <c r="J132" i="19"/>
  <c r="I132" i="19"/>
  <c r="H132" i="19"/>
  <c r="S132" i="19" s="1"/>
  <c r="G132" i="19"/>
  <c r="F132" i="19"/>
  <c r="E132" i="19"/>
  <c r="C132" i="19"/>
  <c r="B132" i="19"/>
  <c r="A132" i="19"/>
  <c r="O131" i="19"/>
  <c r="J131" i="19"/>
  <c r="I131" i="19"/>
  <c r="H131" i="19"/>
  <c r="S131" i="19" s="1"/>
  <c r="G131" i="19"/>
  <c r="F131" i="19"/>
  <c r="E131" i="19"/>
  <c r="C131" i="19"/>
  <c r="B131" i="19"/>
  <c r="A131" i="19"/>
  <c r="O130" i="19"/>
  <c r="J130" i="19"/>
  <c r="I130" i="19"/>
  <c r="H130" i="19"/>
  <c r="S130" i="19" s="1"/>
  <c r="G130" i="19"/>
  <c r="F130" i="19"/>
  <c r="E130" i="19"/>
  <c r="C130" i="19"/>
  <c r="B130" i="19"/>
  <c r="A130" i="19"/>
  <c r="O129" i="19"/>
  <c r="J129" i="19"/>
  <c r="I129" i="19"/>
  <c r="H129" i="19"/>
  <c r="S129" i="19" s="1"/>
  <c r="G129" i="19"/>
  <c r="F129" i="19"/>
  <c r="E129" i="19"/>
  <c r="C129" i="19"/>
  <c r="B129" i="19"/>
  <c r="A129" i="19"/>
  <c r="O128" i="19"/>
  <c r="J128" i="19"/>
  <c r="I128" i="19"/>
  <c r="H128" i="19"/>
  <c r="S128" i="19" s="1"/>
  <c r="G128" i="19"/>
  <c r="F128" i="19"/>
  <c r="E128" i="19"/>
  <c r="C128" i="19"/>
  <c r="B128" i="19"/>
  <c r="A128" i="19"/>
  <c r="O127" i="19"/>
  <c r="J127" i="19"/>
  <c r="I127" i="19"/>
  <c r="H127" i="19"/>
  <c r="S127" i="19" s="1"/>
  <c r="G127" i="19"/>
  <c r="F127" i="19"/>
  <c r="E127" i="19"/>
  <c r="C127" i="19"/>
  <c r="B127" i="19"/>
  <c r="A127" i="19"/>
  <c r="O126" i="19"/>
  <c r="J126" i="19"/>
  <c r="I126" i="19"/>
  <c r="H126" i="19"/>
  <c r="S126" i="19" s="1"/>
  <c r="G126" i="19"/>
  <c r="F126" i="19"/>
  <c r="E126" i="19"/>
  <c r="C126" i="19"/>
  <c r="B126" i="19"/>
  <c r="A126" i="19"/>
  <c r="O125" i="19"/>
  <c r="J125" i="19"/>
  <c r="I125" i="19"/>
  <c r="H125" i="19"/>
  <c r="S125" i="19" s="1"/>
  <c r="G125" i="19"/>
  <c r="F125" i="19"/>
  <c r="E125" i="19"/>
  <c r="C125" i="19"/>
  <c r="B125" i="19"/>
  <c r="A125" i="19"/>
  <c r="O124" i="19"/>
  <c r="J124" i="19"/>
  <c r="I124" i="19"/>
  <c r="H124" i="19"/>
  <c r="S124" i="19" s="1"/>
  <c r="G124" i="19"/>
  <c r="F124" i="19"/>
  <c r="E124" i="19"/>
  <c r="C124" i="19"/>
  <c r="B124" i="19"/>
  <c r="A124" i="19"/>
  <c r="O123" i="19"/>
  <c r="J123" i="19"/>
  <c r="I123" i="19"/>
  <c r="H123" i="19"/>
  <c r="S123" i="19" s="1"/>
  <c r="G123" i="19"/>
  <c r="F123" i="19"/>
  <c r="E123" i="19"/>
  <c r="C123" i="19"/>
  <c r="B123" i="19"/>
  <c r="A123" i="19"/>
  <c r="O122" i="19"/>
  <c r="J122" i="19"/>
  <c r="I122" i="19"/>
  <c r="H122" i="19"/>
  <c r="S122" i="19" s="1"/>
  <c r="G122" i="19"/>
  <c r="F122" i="19"/>
  <c r="E122" i="19"/>
  <c r="C122" i="19"/>
  <c r="B122" i="19"/>
  <c r="A122" i="19"/>
  <c r="O121" i="19"/>
  <c r="J121" i="19"/>
  <c r="I121" i="19"/>
  <c r="H121" i="19"/>
  <c r="S121" i="19" s="1"/>
  <c r="G121" i="19"/>
  <c r="F121" i="19"/>
  <c r="E121" i="19"/>
  <c r="C121" i="19"/>
  <c r="B121" i="19"/>
  <c r="A121" i="19"/>
  <c r="O120" i="19"/>
  <c r="J120" i="19"/>
  <c r="I120" i="19"/>
  <c r="H120" i="19"/>
  <c r="S120" i="19" s="1"/>
  <c r="G120" i="19"/>
  <c r="F120" i="19"/>
  <c r="E120" i="19"/>
  <c r="C120" i="19"/>
  <c r="B120" i="19"/>
  <c r="A120" i="19"/>
  <c r="O119" i="19"/>
  <c r="J119" i="19"/>
  <c r="I119" i="19"/>
  <c r="H119" i="19"/>
  <c r="S119" i="19" s="1"/>
  <c r="G119" i="19"/>
  <c r="F119" i="19"/>
  <c r="E119" i="19"/>
  <c r="C119" i="19"/>
  <c r="B119" i="19"/>
  <c r="A119" i="19"/>
  <c r="O118" i="19"/>
  <c r="J118" i="19"/>
  <c r="I118" i="19"/>
  <c r="H118" i="19"/>
  <c r="S118" i="19" s="1"/>
  <c r="G118" i="19"/>
  <c r="F118" i="19"/>
  <c r="E118" i="19"/>
  <c r="C118" i="19"/>
  <c r="B118" i="19"/>
  <c r="A118" i="19"/>
  <c r="O117" i="19"/>
  <c r="J117" i="19"/>
  <c r="I117" i="19"/>
  <c r="H117" i="19"/>
  <c r="S117" i="19" s="1"/>
  <c r="G117" i="19"/>
  <c r="F117" i="19"/>
  <c r="E117" i="19"/>
  <c r="C117" i="19"/>
  <c r="B117" i="19"/>
  <c r="A117" i="19"/>
  <c r="O116" i="19"/>
  <c r="J116" i="19"/>
  <c r="I116" i="19"/>
  <c r="H116" i="19"/>
  <c r="S116" i="19" s="1"/>
  <c r="G116" i="19"/>
  <c r="F116" i="19"/>
  <c r="E116" i="19"/>
  <c r="C116" i="19"/>
  <c r="B116" i="19"/>
  <c r="A116" i="19"/>
  <c r="O115" i="19"/>
  <c r="J115" i="19"/>
  <c r="I115" i="19"/>
  <c r="H115" i="19"/>
  <c r="S115" i="19" s="1"/>
  <c r="G115" i="19"/>
  <c r="F115" i="19"/>
  <c r="E115" i="19"/>
  <c r="C115" i="19"/>
  <c r="B115" i="19"/>
  <c r="A115" i="19"/>
  <c r="O114" i="19"/>
  <c r="J114" i="19"/>
  <c r="I114" i="19"/>
  <c r="H114" i="19"/>
  <c r="S114" i="19" s="1"/>
  <c r="G114" i="19"/>
  <c r="F114" i="19"/>
  <c r="E114" i="19"/>
  <c r="C114" i="19"/>
  <c r="B114" i="19"/>
  <c r="A114" i="19"/>
  <c r="O113" i="19"/>
  <c r="J113" i="19"/>
  <c r="I113" i="19"/>
  <c r="H113" i="19"/>
  <c r="S113" i="19" s="1"/>
  <c r="G113" i="19"/>
  <c r="F113" i="19"/>
  <c r="E113" i="19"/>
  <c r="C113" i="19"/>
  <c r="B113" i="19"/>
  <c r="A113" i="19"/>
  <c r="O112" i="19"/>
  <c r="J112" i="19"/>
  <c r="I112" i="19"/>
  <c r="H112" i="19"/>
  <c r="S112" i="19" s="1"/>
  <c r="G112" i="19"/>
  <c r="F112" i="19"/>
  <c r="E112" i="19"/>
  <c r="C112" i="19"/>
  <c r="B112" i="19"/>
  <c r="A112" i="19"/>
  <c r="O111" i="19"/>
  <c r="J111" i="19"/>
  <c r="I111" i="19"/>
  <c r="H111" i="19"/>
  <c r="S111" i="19" s="1"/>
  <c r="G111" i="19"/>
  <c r="F111" i="19"/>
  <c r="E111" i="19"/>
  <c r="C111" i="19"/>
  <c r="B111" i="19"/>
  <c r="A111" i="19"/>
  <c r="O110" i="19"/>
  <c r="J110" i="19"/>
  <c r="I110" i="19"/>
  <c r="H110" i="19"/>
  <c r="S110" i="19" s="1"/>
  <c r="G110" i="19"/>
  <c r="F110" i="19"/>
  <c r="E110" i="19"/>
  <c r="C110" i="19"/>
  <c r="B110" i="19"/>
  <c r="A110" i="19"/>
  <c r="O109" i="19"/>
  <c r="J109" i="19"/>
  <c r="I109" i="19"/>
  <c r="H109" i="19"/>
  <c r="S109" i="19" s="1"/>
  <c r="G109" i="19"/>
  <c r="F109" i="19"/>
  <c r="E109" i="19"/>
  <c r="C109" i="19"/>
  <c r="B109" i="19"/>
  <c r="A109" i="19"/>
  <c r="O108" i="19"/>
  <c r="J108" i="19"/>
  <c r="I108" i="19"/>
  <c r="H108" i="19"/>
  <c r="S108" i="19" s="1"/>
  <c r="G108" i="19"/>
  <c r="F108" i="19"/>
  <c r="E108" i="19"/>
  <c r="C108" i="19"/>
  <c r="B108" i="19"/>
  <c r="A108" i="19"/>
  <c r="O107" i="19"/>
  <c r="J107" i="19"/>
  <c r="I107" i="19"/>
  <c r="H107" i="19"/>
  <c r="S107" i="19" s="1"/>
  <c r="G107" i="19"/>
  <c r="F107" i="19"/>
  <c r="E107" i="19"/>
  <c r="C107" i="19"/>
  <c r="B107" i="19"/>
  <c r="A107" i="19"/>
  <c r="O106" i="19"/>
  <c r="J106" i="19"/>
  <c r="I106" i="19"/>
  <c r="H106" i="19"/>
  <c r="S106" i="19" s="1"/>
  <c r="G106" i="19"/>
  <c r="F106" i="19"/>
  <c r="E106" i="19"/>
  <c r="C106" i="19"/>
  <c r="B106" i="19"/>
  <c r="A106" i="19"/>
  <c r="O105" i="19"/>
  <c r="J105" i="19"/>
  <c r="I105" i="19"/>
  <c r="H105" i="19"/>
  <c r="S105" i="19" s="1"/>
  <c r="G105" i="19"/>
  <c r="F105" i="19"/>
  <c r="E105" i="19"/>
  <c r="C105" i="19"/>
  <c r="B105" i="19"/>
  <c r="A105" i="19"/>
  <c r="O104" i="19"/>
  <c r="J104" i="19"/>
  <c r="I104" i="19"/>
  <c r="H104" i="19"/>
  <c r="S104" i="19" s="1"/>
  <c r="G104" i="19"/>
  <c r="F104" i="19"/>
  <c r="E104" i="19"/>
  <c r="C104" i="19"/>
  <c r="B104" i="19"/>
  <c r="A104" i="19"/>
  <c r="O103" i="19"/>
  <c r="J103" i="19"/>
  <c r="I103" i="19"/>
  <c r="H103" i="19"/>
  <c r="S103" i="19" s="1"/>
  <c r="G103" i="19"/>
  <c r="F103" i="19"/>
  <c r="E103" i="19"/>
  <c r="C103" i="19"/>
  <c r="B103" i="19"/>
  <c r="A103" i="19"/>
  <c r="O102" i="19"/>
  <c r="J102" i="19"/>
  <c r="I102" i="19"/>
  <c r="H102" i="19"/>
  <c r="S102" i="19" s="1"/>
  <c r="G102" i="19"/>
  <c r="F102" i="19"/>
  <c r="E102" i="19"/>
  <c r="C102" i="19"/>
  <c r="B102" i="19"/>
  <c r="A102" i="19"/>
  <c r="O101" i="19"/>
  <c r="J101" i="19"/>
  <c r="I101" i="19"/>
  <c r="H101" i="19"/>
  <c r="S101" i="19" s="1"/>
  <c r="G101" i="19"/>
  <c r="F101" i="19"/>
  <c r="E101" i="19"/>
  <c r="C101" i="19"/>
  <c r="B101" i="19"/>
  <c r="A101" i="19"/>
  <c r="O100" i="19"/>
  <c r="J100" i="19"/>
  <c r="I100" i="19"/>
  <c r="H100" i="19"/>
  <c r="S100" i="19" s="1"/>
  <c r="G100" i="19"/>
  <c r="F100" i="19"/>
  <c r="E100" i="19"/>
  <c r="C100" i="19"/>
  <c r="B100" i="19"/>
  <c r="A100" i="19"/>
  <c r="O99" i="19"/>
  <c r="J99" i="19"/>
  <c r="I99" i="19"/>
  <c r="H99" i="19"/>
  <c r="S99" i="19" s="1"/>
  <c r="G99" i="19"/>
  <c r="F99" i="19"/>
  <c r="E99" i="19"/>
  <c r="C99" i="19"/>
  <c r="B99" i="19"/>
  <c r="A99" i="19"/>
  <c r="O98" i="19"/>
  <c r="J98" i="19"/>
  <c r="I98" i="19"/>
  <c r="H98" i="19"/>
  <c r="S98" i="19" s="1"/>
  <c r="G98" i="19"/>
  <c r="F98" i="19"/>
  <c r="E98" i="19"/>
  <c r="C98" i="19"/>
  <c r="B98" i="19"/>
  <c r="A98" i="19"/>
  <c r="O97" i="19"/>
  <c r="J97" i="19"/>
  <c r="I97" i="19"/>
  <c r="H97" i="19"/>
  <c r="S97" i="19" s="1"/>
  <c r="G97" i="19"/>
  <c r="F97" i="19"/>
  <c r="E97" i="19"/>
  <c r="C97" i="19"/>
  <c r="B97" i="19"/>
  <c r="A97" i="19"/>
  <c r="O96" i="19"/>
  <c r="J96" i="19"/>
  <c r="I96" i="19"/>
  <c r="H96" i="19"/>
  <c r="S96" i="19" s="1"/>
  <c r="G96" i="19"/>
  <c r="F96" i="19"/>
  <c r="E96" i="19"/>
  <c r="C96" i="19"/>
  <c r="B96" i="19"/>
  <c r="A96" i="19"/>
  <c r="O95" i="19"/>
  <c r="J95" i="19"/>
  <c r="I95" i="19"/>
  <c r="H95" i="19"/>
  <c r="S95" i="19" s="1"/>
  <c r="G95" i="19"/>
  <c r="F95" i="19"/>
  <c r="E95" i="19"/>
  <c r="C95" i="19"/>
  <c r="B95" i="19"/>
  <c r="A95" i="19"/>
  <c r="O94" i="19"/>
  <c r="J94" i="19"/>
  <c r="I94" i="19"/>
  <c r="H94" i="19"/>
  <c r="S94" i="19" s="1"/>
  <c r="G94" i="19"/>
  <c r="F94" i="19"/>
  <c r="E94" i="19"/>
  <c r="C94" i="19"/>
  <c r="B94" i="19"/>
  <c r="A94" i="19"/>
  <c r="O93" i="19"/>
  <c r="J93" i="19"/>
  <c r="I93" i="19"/>
  <c r="H93" i="19"/>
  <c r="S93" i="19" s="1"/>
  <c r="G93" i="19"/>
  <c r="F93" i="19"/>
  <c r="E93" i="19"/>
  <c r="C93" i="19"/>
  <c r="B93" i="19"/>
  <c r="A93" i="19"/>
  <c r="O92" i="19"/>
  <c r="J92" i="19"/>
  <c r="I92" i="19"/>
  <c r="H92" i="19"/>
  <c r="S92" i="19" s="1"/>
  <c r="G92" i="19"/>
  <c r="F92" i="19"/>
  <c r="E92" i="19"/>
  <c r="D92" i="19"/>
  <c r="C92" i="19"/>
  <c r="B92" i="19"/>
  <c r="A92" i="19"/>
  <c r="O91" i="19"/>
  <c r="J91" i="19"/>
  <c r="I91" i="19"/>
  <c r="H91" i="19"/>
  <c r="S91" i="19" s="1"/>
  <c r="G91" i="19"/>
  <c r="F91" i="19"/>
  <c r="E91" i="19"/>
  <c r="D91" i="19"/>
  <c r="C91" i="19"/>
  <c r="B91" i="19"/>
  <c r="A91" i="19"/>
  <c r="O90" i="19"/>
  <c r="J90" i="19"/>
  <c r="I90" i="19"/>
  <c r="H90" i="19"/>
  <c r="S90" i="19" s="1"/>
  <c r="G90" i="19"/>
  <c r="F90" i="19"/>
  <c r="E90" i="19"/>
  <c r="D90" i="19"/>
  <c r="C90" i="19"/>
  <c r="B90" i="19"/>
  <c r="A90" i="19"/>
  <c r="O89" i="19"/>
  <c r="J89" i="19"/>
  <c r="I89" i="19"/>
  <c r="H89" i="19"/>
  <c r="S89" i="19" s="1"/>
  <c r="G89" i="19"/>
  <c r="F89" i="19"/>
  <c r="E89" i="19"/>
  <c r="D89" i="19"/>
  <c r="C89" i="19"/>
  <c r="B89" i="19"/>
  <c r="A89" i="19"/>
  <c r="O88" i="19"/>
  <c r="J88" i="19"/>
  <c r="I88" i="19"/>
  <c r="H88" i="19"/>
  <c r="S88" i="19" s="1"/>
  <c r="G88" i="19"/>
  <c r="F88" i="19"/>
  <c r="E88" i="19"/>
  <c r="D88" i="19"/>
  <c r="C88" i="19"/>
  <c r="B88" i="19"/>
  <c r="A88" i="19"/>
  <c r="O87" i="19"/>
  <c r="J87" i="19"/>
  <c r="I87" i="19"/>
  <c r="H87" i="19"/>
  <c r="S87" i="19" s="1"/>
  <c r="G87" i="19"/>
  <c r="F87" i="19"/>
  <c r="E87" i="19"/>
  <c r="D87" i="19"/>
  <c r="C87" i="19"/>
  <c r="B87" i="19"/>
  <c r="A87" i="19"/>
  <c r="O86" i="19"/>
  <c r="J86" i="19"/>
  <c r="I86" i="19"/>
  <c r="H86" i="19"/>
  <c r="S86" i="19" s="1"/>
  <c r="G86" i="19"/>
  <c r="F86" i="19"/>
  <c r="E86" i="19"/>
  <c r="C86" i="19"/>
  <c r="B86" i="19"/>
  <c r="A86" i="19"/>
  <c r="O85" i="19"/>
  <c r="J85" i="19"/>
  <c r="I85" i="19"/>
  <c r="H85" i="19"/>
  <c r="S85" i="19" s="1"/>
  <c r="G85" i="19"/>
  <c r="F85" i="19"/>
  <c r="E85" i="19"/>
  <c r="C85" i="19"/>
  <c r="B85" i="19"/>
  <c r="A85" i="19"/>
  <c r="O84" i="19"/>
  <c r="J84" i="19"/>
  <c r="I84" i="19"/>
  <c r="H84" i="19"/>
  <c r="S84" i="19" s="1"/>
  <c r="G84" i="19"/>
  <c r="F84" i="19"/>
  <c r="E84" i="19"/>
  <c r="C84" i="19"/>
  <c r="B84" i="19"/>
  <c r="A84" i="19"/>
  <c r="O83" i="19"/>
  <c r="J83" i="19"/>
  <c r="I83" i="19"/>
  <c r="H83" i="19"/>
  <c r="S83" i="19" s="1"/>
  <c r="G83" i="19"/>
  <c r="F83" i="19"/>
  <c r="E83" i="19"/>
  <c r="C83" i="19"/>
  <c r="B83" i="19"/>
  <c r="A83" i="19"/>
  <c r="O82" i="19"/>
  <c r="J82" i="19"/>
  <c r="I82" i="19"/>
  <c r="H82" i="19"/>
  <c r="S82" i="19" s="1"/>
  <c r="G82" i="19"/>
  <c r="F82" i="19"/>
  <c r="E82" i="19"/>
  <c r="D82" i="19"/>
  <c r="C82" i="19"/>
  <c r="B82" i="19"/>
  <c r="A82" i="19"/>
  <c r="O81" i="19"/>
  <c r="J81" i="19"/>
  <c r="I81" i="19"/>
  <c r="H81" i="19"/>
  <c r="S81" i="19" s="1"/>
  <c r="G81" i="19"/>
  <c r="F81" i="19"/>
  <c r="E81" i="19"/>
  <c r="D81" i="19"/>
  <c r="C81" i="19"/>
  <c r="B81" i="19"/>
  <c r="A81" i="19"/>
  <c r="O80" i="19"/>
  <c r="J80" i="19"/>
  <c r="I80" i="19"/>
  <c r="H80" i="19"/>
  <c r="S80" i="19" s="1"/>
  <c r="G80" i="19"/>
  <c r="F80" i="19"/>
  <c r="E80" i="19"/>
  <c r="D80" i="19"/>
  <c r="C80" i="19"/>
  <c r="B80" i="19"/>
  <c r="A80" i="19"/>
  <c r="O79" i="19"/>
  <c r="J79" i="19"/>
  <c r="I79" i="19"/>
  <c r="H79" i="19"/>
  <c r="S79" i="19" s="1"/>
  <c r="G79" i="19"/>
  <c r="F79" i="19"/>
  <c r="E79" i="19"/>
  <c r="D79" i="19"/>
  <c r="C79" i="19"/>
  <c r="B79" i="19"/>
  <c r="A79" i="19"/>
  <c r="O78" i="19"/>
  <c r="J78" i="19"/>
  <c r="I78" i="19"/>
  <c r="H78" i="19"/>
  <c r="S78" i="19" s="1"/>
  <c r="G78" i="19"/>
  <c r="F78" i="19"/>
  <c r="E78" i="19"/>
  <c r="D78" i="19"/>
  <c r="C78" i="19"/>
  <c r="B78" i="19"/>
  <c r="A78" i="19"/>
  <c r="O77" i="19"/>
  <c r="J77" i="19"/>
  <c r="I77" i="19"/>
  <c r="H77" i="19"/>
  <c r="S77" i="19" s="1"/>
  <c r="G77" i="19"/>
  <c r="F77" i="19"/>
  <c r="E77" i="19"/>
  <c r="D77" i="19"/>
  <c r="C77" i="19"/>
  <c r="B77" i="19"/>
  <c r="A77" i="19"/>
  <c r="O76" i="19"/>
  <c r="J76" i="19"/>
  <c r="I76" i="19"/>
  <c r="H76" i="19"/>
  <c r="S76" i="19" s="1"/>
  <c r="G76" i="19"/>
  <c r="F76" i="19"/>
  <c r="E76" i="19"/>
  <c r="C76" i="19"/>
  <c r="B76" i="19"/>
  <c r="A76" i="19"/>
  <c r="O75" i="19"/>
  <c r="J75" i="19"/>
  <c r="I75" i="19"/>
  <c r="H75" i="19"/>
  <c r="S75" i="19" s="1"/>
  <c r="G75" i="19"/>
  <c r="F75" i="19"/>
  <c r="E75" i="19"/>
  <c r="C75" i="19"/>
  <c r="B75" i="19"/>
  <c r="A75" i="19"/>
  <c r="O74" i="19"/>
  <c r="J74" i="19"/>
  <c r="I74" i="19"/>
  <c r="H74" i="19"/>
  <c r="S74" i="19" s="1"/>
  <c r="G74" i="19"/>
  <c r="F74" i="19"/>
  <c r="E74" i="19"/>
  <c r="C74" i="19"/>
  <c r="B74" i="19"/>
  <c r="A74" i="19"/>
  <c r="O73" i="19"/>
  <c r="J73" i="19"/>
  <c r="I73" i="19"/>
  <c r="H73" i="19"/>
  <c r="S73" i="19" s="1"/>
  <c r="G73" i="19"/>
  <c r="F73" i="19"/>
  <c r="E73" i="19"/>
  <c r="C73" i="19"/>
  <c r="B73" i="19"/>
  <c r="A73" i="19"/>
  <c r="O72" i="19"/>
  <c r="J72" i="19"/>
  <c r="I72" i="19"/>
  <c r="H72" i="19"/>
  <c r="S72" i="19" s="1"/>
  <c r="G72" i="19"/>
  <c r="F72" i="19"/>
  <c r="E72" i="19"/>
  <c r="D72" i="19"/>
  <c r="C72" i="19"/>
  <c r="B72" i="19"/>
  <c r="A72" i="19"/>
  <c r="O71" i="19"/>
  <c r="J71" i="19"/>
  <c r="I71" i="19"/>
  <c r="H71" i="19"/>
  <c r="S71" i="19" s="1"/>
  <c r="G71" i="19"/>
  <c r="F71" i="19"/>
  <c r="E71" i="19"/>
  <c r="D71" i="19"/>
  <c r="C71" i="19"/>
  <c r="B71" i="19"/>
  <c r="A71" i="19"/>
  <c r="O70" i="19"/>
  <c r="J70" i="19"/>
  <c r="I70" i="19"/>
  <c r="H70" i="19"/>
  <c r="S70" i="19" s="1"/>
  <c r="G70" i="19"/>
  <c r="F70" i="19"/>
  <c r="E70" i="19"/>
  <c r="D70" i="19"/>
  <c r="C70" i="19"/>
  <c r="B70" i="19"/>
  <c r="A70" i="19"/>
  <c r="O69" i="19"/>
  <c r="J69" i="19"/>
  <c r="I69" i="19"/>
  <c r="H69" i="19"/>
  <c r="S69" i="19" s="1"/>
  <c r="G69" i="19"/>
  <c r="F69" i="19"/>
  <c r="E69" i="19"/>
  <c r="D69" i="19"/>
  <c r="C69" i="19"/>
  <c r="B69" i="19"/>
  <c r="A69" i="19"/>
  <c r="O68" i="19"/>
  <c r="J68" i="19"/>
  <c r="I68" i="19"/>
  <c r="H68" i="19"/>
  <c r="S68" i="19" s="1"/>
  <c r="G68" i="19"/>
  <c r="F68" i="19"/>
  <c r="E68" i="19"/>
  <c r="D68" i="19"/>
  <c r="C68" i="19"/>
  <c r="B68" i="19"/>
  <c r="A68" i="19"/>
  <c r="O67" i="19"/>
  <c r="J67" i="19"/>
  <c r="I67" i="19"/>
  <c r="H67" i="19"/>
  <c r="S67" i="19" s="1"/>
  <c r="G67" i="19"/>
  <c r="F67" i="19"/>
  <c r="E67" i="19"/>
  <c r="D67" i="19"/>
  <c r="C67" i="19"/>
  <c r="B67" i="19"/>
  <c r="A67" i="19"/>
  <c r="O66" i="19"/>
  <c r="J66" i="19"/>
  <c r="I66" i="19"/>
  <c r="H66" i="19"/>
  <c r="S66" i="19" s="1"/>
  <c r="G66" i="19"/>
  <c r="F66" i="19"/>
  <c r="E66" i="19"/>
  <c r="C66" i="19"/>
  <c r="B66" i="19"/>
  <c r="A66" i="19"/>
  <c r="O65" i="19"/>
  <c r="J65" i="19"/>
  <c r="I65" i="19"/>
  <c r="H65" i="19"/>
  <c r="S65" i="19" s="1"/>
  <c r="G65" i="19"/>
  <c r="F65" i="19"/>
  <c r="E65" i="19"/>
  <c r="C65" i="19"/>
  <c r="B65" i="19"/>
  <c r="A65" i="19"/>
  <c r="O64" i="19"/>
  <c r="J64" i="19"/>
  <c r="I64" i="19"/>
  <c r="H64" i="19"/>
  <c r="S64" i="19" s="1"/>
  <c r="G64" i="19"/>
  <c r="F64" i="19"/>
  <c r="E64" i="19"/>
  <c r="C64" i="19"/>
  <c r="B64" i="19"/>
  <c r="A64" i="19"/>
  <c r="O63" i="19"/>
  <c r="J63" i="19"/>
  <c r="I63" i="19"/>
  <c r="H63" i="19"/>
  <c r="S63" i="19" s="1"/>
  <c r="G63" i="19"/>
  <c r="F63" i="19"/>
  <c r="E63" i="19"/>
  <c r="C63" i="19"/>
  <c r="B63" i="19"/>
  <c r="A63" i="19"/>
  <c r="O62" i="19"/>
  <c r="J62" i="19"/>
  <c r="I62" i="19"/>
  <c r="H62" i="19"/>
  <c r="S62" i="19" s="1"/>
  <c r="G62" i="19"/>
  <c r="F62" i="19"/>
  <c r="E62" i="19"/>
  <c r="D62" i="19"/>
  <c r="C62" i="19"/>
  <c r="B62" i="19"/>
  <c r="A62" i="19"/>
  <c r="O61" i="19"/>
  <c r="J61" i="19"/>
  <c r="I61" i="19"/>
  <c r="H61" i="19"/>
  <c r="S61" i="19" s="1"/>
  <c r="G61" i="19"/>
  <c r="F61" i="19"/>
  <c r="E61" i="19"/>
  <c r="D61" i="19"/>
  <c r="C61" i="19"/>
  <c r="B61" i="19"/>
  <c r="A61" i="19"/>
  <c r="O60" i="19"/>
  <c r="J60" i="19"/>
  <c r="I60" i="19"/>
  <c r="H60" i="19"/>
  <c r="S60" i="19" s="1"/>
  <c r="G60" i="19"/>
  <c r="F60" i="19"/>
  <c r="E60" i="19"/>
  <c r="D60" i="19"/>
  <c r="C60" i="19"/>
  <c r="B60" i="19"/>
  <c r="A60" i="19"/>
  <c r="O59" i="19"/>
  <c r="J59" i="19"/>
  <c r="I59" i="19"/>
  <c r="H59" i="19"/>
  <c r="S59" i="19" s="1"/>
  <c r="G59" i="19"/>
  <c r="F59" i="19"/>
  <c r="E59" i="19"/>
  <c r="D59" i="19"/>
  <c r="C59" i="19"/>
  <c r="B59" i="19"/>
  <c r="A59" i="19"/>
  <c r="O58" i="19"/>
  <c r="J58" i="19"/>
  <c r="I58" i="19"/>
  <c r="H58" i="19"/>
  <c r="S58" i="19" s="1"/>
  <c r="G58" i="19"/>
  <c r="F58" i="19"/>
  <c r="E58" i="19"/>
  <c r="D58" i="19"/>
  <c r="C58" i="19"/>
  <c r="B58" i="19"/>
  <c r="A58" i="19"/>
  <c r="O57" i="19"/>
  <c r="J57" i="19"/>
  <c r="I57" i="19"/>
  <c r="H57" i="19"/>
  <c r="S57" i="19" s="1"/>
  <c r="G57" i="19"/>
  <c r="F57" i="19"/>
  <c r="E57" i="19"/>
  <c r="D57" i="19"/>
  <c r="C57" i="19"/>
  <c r="B57" i="19"/>
  <c r="A57" i="19"/>
  <c r="O56" i="19"/>
  <c r="J56" i="19"/>
  <c r="I56" i="19"/>
  <c r="H56" i="19"/>
  <c r="S56" i="19" s="1"/>
  <c r="G56" i="19"/>
  <c r="F56" i="19"/>
  <c r="E56" i="19"/>
  <c r="C56" i="19"/>
  <c r="B56" i="19"/>
  <c r="A56" i="19"/>
  <c r="O55" i="19"/>
  <c r="J55" i="19"/>
  <c r="I55" i="19"/>
  <c r="H55" i="19"/>
  <c r="S55" i="19" s="1"/>
  <c r="G55" i="19"/>
  <c r="F55" i="19"/>
  <c r="E55" i="19"/>
  <c r="C55" i="19"/>
  <c r="B55" i="19"/>
  <c r="A55" i="19"/>
  <c r="O54" i="19"/>
  <c r="J54" i="19"/>
  <c r="I54" i="19"/>
  <c r="H54" i="19"/>
  <c r="S54" i="19" s="1"/>
  <c r="G54" i="19"/>
  <c r="F54" i="19"/>
  <c r="E54" i="19"/>
  <c r="C54" i="19"/>
  <c r="B54" i="19"/>
  <c r="A54" i="19"/>
  <c r="O53" i="19"/>
  <c r="J53" i="19"/>
  <c r="I53" i="19"/>
  <c r="H53" i="19"/>
  <c r="S53" i="19" s="1"/>
  <c r="G53" i="19"/>
  <c r="F53" i="19"/>
  <c r="E53" i="19"/>
  <c r="C53" i="19"/>
  <c r="B53" i="19"/>
  <c r="A53" i="19"/>
  <c r="O52" i="19"/>
  <c r="J52" i="19"/>
  <c r="I52" i="19"/>
  <c r="H52" i="19"/>
  <c r="S52" i="19" s="1"/>
  <c r="G52" i="19"/>
  <c r="F52" i="19"/>
  <c r="E52" i="19"/>
  <c r="D52" i="19"/>
  <c r="C52" i="19"/>
  <c r="B52" i="19"/>
  <c r="A52" i="19"/>
  <c r="O51" i="19"/>
  <c r="J51" i="19"/>
  <c r="I51" i="19"/>
  <c r="H51" i="19"/>
  <c r="S51" i="19" s="1"/>
  <c r="G51" i="19"/>
  <c r="F51" i="19"/>
  <c r="E51" i="19"/>
  <c r="D51" i="19"/>
  <c r="C51" i="19"/>
  <c r="B51" i="19"/>
  <c r="A51" i="19"/>
  <c r="O50" i="19"/>
  <c r="J50" i="19"/>
  <c r="I50" i="19"/>
  <c r="H50" i="19"/>
  <c r="S50" i="19" s="1"/>
  <c r="G50" i="19"/>
  <c r="F50" i="19"/>
  <c r="E50" i="19"/>
  <c r="D50" i="19"/>
  <c r="C50" i="19"/>
  <c r="B50" i="19"/>
  <c r="A50" i="19"/>
  <c r="O49" i="19"/>
  <c r="J49" i="19"/>
  <c r="I49" i="19"/>
  <c r="H49" i="19"/>
  <c r="S49" i="19" s="1"/>
  <c r="G49" i="19"/>
  <c r="F49" i="19"/>
  <c r="E49" i="19"/>
  <c r="D49" i="19"/>
  <c r="C49" i="19"/>
  <c r="B49" i="19"/>
  <c r="A49" i="19"/>
  <c r="O48" i="19"/>
  <c r="J48" i="19"/>
  <c r="I48" i="19"/>
  <c r="H48" i="19"/>
  <c r="S48" i="19" s="1"/>
  <c r="G48" i="19"/>
  <c r="F48" i="19"/>
  <c r="E48" i="19"/>
  <c r="D48" i="19"/>
  <c r="C48" i="19"/>
  <c r="B48" i="19"/>
  <c r="A48" i="19"/>
  <c r="O47" i="19"/>
  <c r="J47" i="19"/>
  <c r="I47" i="19"/>
  <c r="H47" i="19"/>
  <c r="S47" i="19" s="1"/>
  <c r="G47" i="19"/>
  <c r="F47" i="19"/>
  <c r="E47" i="19"/>
  <c r="D47" i="19"/>
  <c r="C47" i="19"/>
  <c r="B47" i="19"/>
  <c r="A47" i="19"/>
  <c r="O46" i="19"/>
  <c r="J46" i="19"/>
  <c r="I46" i="19"/>
  <c r="H46" i="19"/>
  <c r="S46" i="19" s="1"/>
  <c r="G46" i="19"/>
  <c r="F46" i="19"/>
  <c r="E46" i="19"/>
  <c r="C46" i="19"/>
  <c r="B46" i="19"/>
  <c r="A46" i="19"/>
  <c r="O45" i="19"/>
  <c r="J45" i="19"/>
  <c r="I45" i="19"/>
  <c r="H45" i="19"/>
  <c r="S45" i="19" s="1"/>
  <c r="G45" i="19"/>
  <c r="F45" i="19"/>
  <c r="E45" i="19"/>
  <c r="C45" i="19"/>
  <c r="B45" i="19"/>
  <c r="A45" i="19"/>
  <c r="O44" i="19"/>
  <c r="J44" i="19"/>
  <c r="I44" i="19"/>
  <c r="H44" i="19"/>
  <c r="S44" i="19" s="1"/>
  <c r="G44" i="19"/>
  <c r="F44" i="19"/>
  <c r="E44" i="19"/>
  <c r="C44" i="19"/>
  <c r="B44" i="19"/>
  <c r="A44" i="19"/>
  <c r="O43" i="19"/>
  <c r="J43" i="19"/>
  <c r="I43" i="19"/>
  <c r="H43" i="19"/>
  <c r="S43" i="19" s="1"/>
  <c r="G43" i="19"/>
  <c r="F43" i="19"/>
  <c r="E43" i="19"/>
  <c r="C43" i="19"/>
  <c r="B43" i="19"/>
  <c r="A43" i="19"/>
  <c r="O42" i="19"/>
  <c r="J42" i="19"/>
  <c r="I42" i="19"/>
  <c r="H42" i="19"/>
  <c r="S42" i="19" s="1"/>
  <c r="G42" i="19"/>
  <c r="F42" i="19"/>
  <c r="E42" i="19"/>
  <c r="D42" i="19"/>
  <c r="C42" i="19"/>
  <c r="B42" i="19"/>
  <c r="A42" i="19"/>
  <c r="O41" i="19"/>
  <c r="J41" i="19"/>
  <c r="I41" i="19"/>
  <c r="H41" i="19"/>
  <c r="S41" i="19" s="1"/>
  <c r="G41" i="19"/>
  <c r="F41" i="19"/>
  <c r="E41" i="19"/>
  <c r="D41" i="19"/>
  <c r="C41" i="19"/>
  <c r="B41" i="19"/>
  <c r="A41" i="19"/>
  <c r="O40" i="19"/>
  <c r="J40" i="19"/>
  <c r="I40" i="19"/>
  <c r="H40" i="19"/>
  <c r="S40" i="19" s="1"/>
  <c r="G40" i="19"/>
  <c r="F40" i="19"/>
  <c r="E40" i="19"/>
  <c r="D40" i="19"/>
  <c r="C40" i="19"/>
  <c r="B40" i="19"/>
  <c r="A40" i="19"/>
  <c r="O39" i="19"/>
  <c r="J39" i="19"/>
  <c r="I39" i="19"/>
  <c r="H39" i="19"/>
  <c r="S39" i="19" s="1"/>
  <c r="G39" i="19"/>
  <c r="F39" i="19"/>
  <c r="E39" i="19"/>
  <c r="D39" i="19"/>
  <c r="C39" i="19"/>
  <c r="B39" i="19"/>
  <c r="A39" i="19"/>
  <c r="O38" i="19"/>
  <c r="J38" i="19"/>
  <c r="I38" i="19"/>
  <c r="H38" i="19"/>
  <c r="S38" i="19" s="1"/>
  <c r="G38" i="19"/>
  <c r="F38" i="19"/>
  <c r="E38" i="19"/>
  <c r="D38" i="19"/>
  <c r="C38" i="19"/>
  <c r="B38" i="19"/>
  <c r="A38" i="19"/>
  <c r="O37" i="19"/>
  <c r="J37" i="19"/>
  <c r="I37" i="19"/>
  <c r="H37" i="19"/>
  <c r="S37" i="19" s="1"/>
  <c r="G37" i="19"/>
  <c r="F37" i="19"/>
  <c r="E37" i="19"/>
  <c r="D37" i="19"/>
  <c r="C37" i="19"/>
  <c r="B37" i="19"/>
  <c r="A37" i="19"/>
  <c r="O36" i="19"/>
  <c r="J36" i="19"/>
  <c r="I36" i="19"/>
  <c r="H36" i="19"/>
  <c r="S36" i="19" s="1"/>
  <c r="G36" i="19"/>
  <c r="F36" i="19"/>
  <c r="E36" i="19"/>
  <c r="C36" i="19"/>
  <c r="B36" i="19"/>
  <c r="A36" i="19"/>
  <c r="O35" i="19"/>
  <c r="J35" i="19"/>
  <c r="I35" i="19"/>
  <c r="H35" i="19"/>
  <c r="S35" i="19" s="1"/>
  <c r="G35" i="19"/>
  <c r="F35" i="19"/>
  <c r="E35" i="19"/>
  <c r="C35" i="19"/>
  <c r="B35" i="19"/>
  <c r="A35" i="19"/>
  <c r="O34" i="19"/>
  <c r="J34" i="19"/>
  <c r="I34" i="19"/>
  <c r="H34" i="19"/>
  <c r="S34" i="19" s="1"/>
  <c r="G34" i="19"/>
  <c r="F34" i="19"/>
  <c r="E34" i="19"/>
  <c r="C34" i="19"/>
  <c r="B34" i="19"/>
  <c r="A34" i="19"/>
  <c r="O33" i="19"/>
  <c r="J33" i="19"/>
  <c r="I33" i="19"/>
  <c r="H33" i="19"/>
  <c r="S33" i="19" s="1"/>
  <c r="G33" i="19"/>
  <c r="F33" i="19"/>
  <c r="E33" i="19"/>
  <c r="C33" i="19"/>
  <c r="B33" i="19"/>
  <c r="A33" i="19"/>
  <c r="O32" i="19"/>
  <c r="J32" i="19"/>
  <c r="I32" i="19"/>
  <c r="H32" i="19"/>
  <c r="S32" i="19" s="1"/>
  <c r="G32" i="19"/>
  <c r="F32" i="19"/>
  <c r="E32" i="19"/>
  <c r="D32" i="19"/>
  <c r="C32" i="19"/>
  <c r="B32" i="19"/>
  <c r="A32" i="19"/>
  <c r="O31" i="19"/>
  <c r="J31" i="19"/>
  <c r="I31" i="19"/>
  <c r="H31" i="19"/>
  <c r="S31" i="19" s="1"/>
  <c r="G31" i="19"/>
  <c r="F31" i="19"/>
  <c r="E31" i="19"/>
  <c r="D31" i="19"/>
  <c r="C31" i="19"/>
  <c r="B31" i="19"/>
  <c r="A31" i="19"/>
  <c r="O30" i="19"/>
  <c r="J30" i="19"/>
  <c r="I30" i="19"/>
  <c r="H30" i="19"/>
  <c r="S30" i="19" s="1"/>
  <c r="G30" i="19"/>
  <c r="F30" i="19"/>
  <c r="E30" i="19"/>
  <c r="D30" i="19"/>
  <c r="C30" i="19"/>
  <c r="B30" i="19"/>
  <c r="A30" i="19"/>
  <c r="O29" i="19"/>
  <c r="J29" i="19"/>
  <c r="I29" i="19"/>
  <c r="H29" i="19"/>
  <c r="S29" i="19" s="1"/>
  <c r="G29" i="19"/>
  <c r="F29" i="19"/>
  <c r="E29" i="19"/>
  <c r="D29" i="19"/>
  <c r="C29" i="19"/>
  <c r="B29" i="19"/>
  <c r="A29" i="19"/>
  <c r="O28" i="19"/>
  <c r="J28" i="19"/>
  <c r="I28" i="19"/>
  <c r="H28" i="19"/>
  <c r="S28" i="19" s="1"/>
  <c r="G28" i="19"/>
  <c r="F28" i="19"/>
  <c r="E28" i="19"/>
  <c r="D28" i="19"/>
  <c r="C28" i="19"/>
  <c r="B28" i="19"/>
  <c r="A28" i="19"/>
  <c r="O27" i="19"/>
  <c r="J27" i="19"/>
  <c r="I27" i="19"/>
  <c r="H27" i="19"/>
  <c r="S27" i="19" s="1"/>
  <c r="G27" i="19"/>
  <c r="F27" i="19"/>
  <c r="E27" i="19"/>
  <c r="D27" i="19"/>
  <c r="C27" i="19"/>
  <c r="B27" i="19"/>
  <c r="A27" i="19"/>
  <c r="O26" i="19"/>
  <c r="J26" i="19"/>
  <c r="I26" i="19"/>
  <c r="H26" i="19"/>
  <c r="S26" i="19" s="1"/>
  <c r="G26" i="19"/>
  <c r="F26" i="19"/>
  <c r="E26" i="19"/>
  <c r="C26" i="19"/>
  <c r="B26" i="19"/>
  <c r="A26" i="19"/>
  <c r="O25" i="19"/>
  <c r="J25" i="19"/>
  <c r="I25" i="19"/>
  <c r="H25" i="19"/>
  <c r="S25" i="19" s="1"/>
  <c r="G25" i="19"/>
  <c r="F25" i="19"/>
  <c r="E25" i="19"/>
  <c r="C25" i="19"/>
  <c r="B25" i="19"/>
  <c r="A25" i="19"/>
  <c r="O24" i="19"/>
  <c r="J24" i="19"/>
  <c r="I24" i="19"/>
  <c r="H24" i="19"/>
  <c r="S24" i="19" s="1"/>
  <c r="G24" i="19"/>
  <c r="F24" i="19"/>
  <c r="E24" i="19"/>
  <c r="C24" i="19"/>
  <c r="B24" i="19"/>
  <c r="A24" i="19"/>
  <c r="O23" i="19"/>
  <c r="J23" i="19"/>
  <c r="I23" i="19"/>
  <c r="H23" i="19"/>
  <c r="S23" i="19" s="1"/>
  <c r="G23" i="19"/>
  <c r="F23" i="19"/>
  <c r="E23" i="19"/>
  <c r="C23" i="19"/>
  <c r="B23" i="19"/>
  <c r="A23" i="19"/>
  <c r="O22" i="19"/>
  <c r="J22" i="19"/>
  <c r="I22" i="19"/>
  <c r="H22" i="19"/>
  <c r="S22" i="19" s="1"/>
  <c r="G22" i="19"/>
  <c r="F22" i="19"/>
  <c r="E22" i="19"/>
  <c r="D22" i="19"/>
  <c r="C22" i="19"/>
  <c r="B22" i="19"/>
  <c r="A22" i="19"/>
  <c r="O21" i="19"/>
  <c r="J21" i="19"/>
  <c r="I21" i="19"/>
  <c r="H21" i="19"/>
  <c r="S21" i="19" s="1"/>
  <c r="G21" i="19"/>
  <c r="F21" i="19"/>
  <c r="E21" i="19"/>
  <c r="D21" i="19"/>
  <c r="C21" i="19"/>
  <c r="B21" i="19"/>
  <c r="A21" i="19"/>
  <c r="O20" i="19"/>
  <c r="J20" i="19"/>
  <c r="I20" i="19"/>
  <c r="H20" i="19"/>
  <c r="S20" i="19" s="1"/>
  <c r="G20" i="19"/>
  <c r="F20" i="19"/>
  <c r="E20" i="19"/>
  <c r="D20" i="19"/>
  <c r="C20" i="19"/>
  <c r="B20" i="19"/>
  <c r="A20" i="19"/>
  <c r="O19" i="19"/>
  <c r="J19" i="19"/>
  <c r="I19" i="19"/>
  <c r="H19" i="19"/>
  <c r="S19" i="19" s="1"/>
  <c r="G19" i="19"/>
  <c r="F19" i="19"/>
  <c r="E19" i="19"/>
  <c r="D19" i="19"/>
  <c r="C19" i="19"/>
  <c r="B19" i="19"/>
  <c r="A19" i="19"/>
  <c r="O18" i="19"/>
  <c r="J18" i="19"/>
  <c r="I18" i="19"/>
  <c r="H18" i="19"/>
  <c r="S18" i="19" s="1"/>
  <c r="G18" i="19"/>
  <c r="F18" i="19"/>
  <c r="E18" i="19"/>
  <c r="D18" i="19"/>
  <c r="C18" i="19"/>
  <c r="B18" i="19"/>
  <c r="A18" i="19"/>
  <c r="O17" i="19"/>
  <c r="J17" i="19"/>
  <c r="I17" i="19"/>
  <c r="H17" i="19"/>
  <c r="S17" i="19" s="1"/>
  <c r="G17" i="19"/>
  <c r="F17" i="19"/>
  <c r="E17" i="19"/>
  <c r="D17" i="19"/>
  <c r="C17" i="19"/>
  <c r="B17" i="19"/>
  <c r="A17" i="19"/>
  <c r="O16" i="19"/>
  <c r="J16" i="19"/>
  <c r="I16" i="19"/>
  <c r="H16" i="19"/>
  <c r="S16" i="19" s="1"/>
  <c r="G16" i="19"/>
  <c r="F16" i="19"/>
  <c r="E16" i="19"/>
  <c r="C16" i="19"/>
  <c r="B16" i="19"/>
  <c r="A16" i="19"/>
  <c r="O15" i="19"/>
  <c r="J15" i="19"/>
  <c r="I15" i="19"/>
  <c r="H15" i="19"/>
  <c r="S15" i="19" s="1"/>
  <c r="G15" i="19"/>
  <c r="F15" i="19"/>
  <c r="E15" i="19"/>
  <c r="C15" i="19"/>
  <c r="B15" i="19"/>
  <c r="A15" i="19"/>
  <c r="O14" i="19"/>
  <c r="J14" i="19"/>
  <c r="I14" i="19"/>
  <c r="H14" i="19"/>
  <c r="S14" i="19" s="1"/>
  <c r="G14" i="19"/>
  <c r="F14" i="19"/>
  <c r="E14" i="19"/>
  <c r="C14" i="19"/>
  <c r="B14" i="19"/>
  <c r="A14" i="19"/>
  <c r="O13" i="19"/>
  <c r="J13" i="19"/>
  <c r="I13" i="19"/>
  <c r="H13" i="19"/>
  <c r="S13" i="19" s="1"/>
  <c r="G13" i="19"/>
  <c r="F13" i="19"/>
  <c r="E13" i="19"/>
  <c r="C13" i="19"/>
  <c r="B13" i="19"/>
  <c r="A13" i="19"/>
  <c r="O12" i="19"/>
  <c r="J12" i="19"/>
  <c r="I12" i="19"/>
  <c r="H12" i="19"/>
  <c r="S12" i="19" s="1"/>
  <c r="G12" i="19"/>
  <c r="F12" i="19"/>
  <c r="E12" i="19"/>
  <c r="C12" i="19"/>
  <c r="B12" i="19"/>
  <c r="A12" i="19"/>
  <c r="O11" i="19"/>
  <c r="J11" i="19"/>
  <c r="I11" i="19"/>
  <c r="H11" i="19"/>
  <c r="S11" i="19" s="1"/>
  <c r="G11" i="19"/>
  <c r="F11" i="19"/>
  <c r="E11" i="19"/>
  <c r="C11" i="19"/>
  <c r="B11" i="19"/>
  <c r="A11" i="19"/>
  <c r="O10" i="19"/>
  <c r="J10" i="19"/>
  <c r="I10" i="19"/>
  <c r="H10" i="19"/>
  <c r="S10" i="19" s="1"/>
  <c r="G10" i="19"/>
  <c r="F10" i="19"/>
  <c r="E10" i="19"/>
  <c r="C10" i="19"/>
  <c r="B10" i="19"/>
  <c r="A10" i="19"/>
  <c r="O9" i="19"/>
  <c r="J9" i="19"/>
  <c r="I9" i="19"/>
  <c r="H9" i="19"/>
  <c r="S9" i="19" s="1"/>
  <c r="G9" i="19"/>
  <c r="F9" i="19"/>
  <c r="E9" i="19"/>
  <c r="C9" i="19"/>
  <c r="B9" i="19"/>
  <c r="A9" i="19"/>
  <c r="O8" i="19"/>
  <c r="J8" i="19"/>
  <c r="I8" i="19"/>
  <c r="H8" i="19"/>
  <c r="S8" i="19" s="1"/>
  <c r="G8" i="19"/>
  <c r="F8" i="19"/>
  <c r="E8" i="19"/>
  <c r="C8" i="19"/>
  <c r="B8" i="19"/>
  <c r="A8" i="19"/>
  <c r="O7" i="19"/>
  <c r="J7" i="19"/>
  <c r="I7" i="19"/>
  <c r="H7" i="19"/>
  <c r="S7" i="19" s="1"/>
  <c r="G7" i="19"/>
  <c r="F7" i="19"/>
  <c r="E7" i="19"/>
  <c r="C7" i="19"/>
  <c r="B7" i="19"/>
  <c r="A7" i="19"/>
  <c r="A1" i="19"/>
  <c r="A174" i="3" l="1"/>
  <c r="A165" i="3"/>
  <c r="A166" i="3"/>
  <c r="A167" i="3"/>
  <c r="A168" i="3"/>
  <c r="A169" i="3"/>
  <c r="A170" i="3"/>
  <c r="A171" i="3"/>
  <c r="A172" i="3"/>
  <c r="A173" i="3"/>
  <c r="A164" i="3"/>
  <c r="A163" i="3"/>
  <c r="D7" i="19" l="1"/>
  <c r="D8" i="19" l="1"/>
  <c r="D9" i="19"/>
  <c r="D10" i="19"/>
  <c r="D11" i="19"/>
  <c r="D12" i="19"/>
  <c r="D13" i="19"/>
  <c r="D14" i="19"/>
  <c r="D15" i="19"/>
  <c r="D16" i="19"/>
  <c r="D23" i="19"/>
  <c r="D24" i="19"/>
  <c r="D25" i="19"/>
  <c r="D26" i="19"/>
  <c r="D33" i="19"/>
  <c r="D34" i="19"/>
  <c r="D35" i="19"/>
  <c r="D36" i="19"/>
  <c r="D43" i="19"/>
  <c r="D44" i="19"/>
  <c r="D45" i="19"/>
  <c r="D46" i="19"/>
  <c r="D53" i="19"/>
  <c r="D54" i="19"/>
  <c r="D55" i="19"/>
  <c r="D56" i="19"/>
  <c r="D63" i="19"/>
  <c r="D64" i="19"/>
  <c r="D65" i="19"/>
  <c r="D66" i="19"/>
  <c r="D73" i="19"/>
  <c r="D74" i="19"/>
  <c r="D75" i="19"/>
  <c r="D76" i="19"/>
  <c r="D83" i="19"/>
  <c r="D84" i="19"/>
  <c r="D85" i="19"/>
  <c r="D86" i="19"/>
  <c r="D93" i="19"/>
  <c r="D94" i="19"/>
  <c r="D95" i="19"/>
  <c r="D96" i="19"/>
  <c r="I118" i="1"/>
  <c r="I119" i="1"/>
  <c r="I120" i="1"/>
  <c r="I121" i="1"/>
  <c r="U71" i="3"/>
  <c r="U72" i="3"/>
  <c r="U73" i="3"/>
  <c r="U74" i="3"/>
  <c r="U75" i="3"/>
  <c r="U76" i="3"/>
  <c r="U77" i="3"/>
  <c r="U78" i="3"/>
  <c r="U79" i="3"/>
  <c r="D99" i="19" l="1"/>
  <c r="E99" i="16"/>
  <c r="D100" i="19"/>
  <c r="E100" i="16"/>
  <c r="D97" i="19"/>
  <c r="E97" i="16"/>
  <c r="D98" i="19"/>
  <c r="E98" i="16"/>
  <c r="G155" i="16"/>
  <c r="F155" i="16"/>
  <c r="D155" i="16"/>
  <c r="C155" i="16"/>
  <c r="B155" i="16"/>
  <c r="A152" i="3" l="1"/>
  <c r="A153" i="3"/>
  <c r="A154" i="3"/>
  <c r="A155" i="3"/>
  <c r="A156" i="3"/>
  <c r="A157" i="3"/>
  <c r="A158" i="3"/>
  <c r="A159" i="3"/>
  <c r="A160" i="3"/>
  <c r="A161" i="3"/>
  <c r="A162"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25" i="3"/>
  <c r="D18" i="5"/>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36" i="3"/>
  <c r="A37" i="3"/>
  <c r="A38" i="3"/>
  <c r="A39" i="3"/>
  <c r="A40" i="3"/>
  <c r="A41" i="3"/>
  <c r="A42" i="3"/>
  <c r="A43" i="3"/>
  <c r="A44" i="3"/>
  <c r="A45" i="3"/>
  <c r="A46" i="3"/>
  <c r="A47" i="3"/>
  <c r="A48" i="3"/>
  <c r="A49" i="3"/>
  <c r="A50" i="3"/>
  <c r="A51" i="3"/>
  <c r="A52" i="3"/>
  <c r="A53" i="3"/>
  <c r="B35" i="3"/>
  <c r="D8" i="5" l="1"/>
  <c r="AF100" i="3"/>
  <c r="AG100" i="3"/>
  <c r="AH100" i="3"/>
  <c r="AI100" i="3"/>
  <c r="AJ100" i="3"/>
  <c r="AF2" i="3"/>
  <c r="AG2" i="3"/>
  <c r="AH2" i="3"/>
  <c r="AI2" i="3"/>
  <c r="AJ2" i="3"/>
  <c r="AG3" i="3"/>
  <c r="AH3" i="3"/>
  <c r="AI3" i="3"/>
  <c r="AJ3" i="3"/>
  <c r="AF4" i="3"/>
  <c r="AG4" i="3"/>
  <c r="AH4" i="3"/>
  <c r="AI4" i="3"/>
  <c r="AJ4" i="3"/>
  <c r="AF5" i="3"/>
  <c r="AG5" i="3"/>
  <c r="AH5" i="3"/>
  <c r="AI5" i="3"/>
  <c r="AJ5" i="3"/>
  <c r="AF6" i="3"/>
  <c r="AG6" i="3"/>
  <c r="AH6" i="3"/>
  <c r="AI6" i="3"/>
  <c r="AJ6" i="3"/>
  <c r="AF7" i="3"/>
  <c r="AG7" i="3"/>
  <c r="AH7" i="3"/>
  <c r="AI7" i="3"/>
  <c r="AJ7" i="3"/>
  <c r="AF8" i="3"/>
  <c r="AG8" i="3"/>
  <c r="AH8" i="3"/>
  <c r="AI8" i="3"/>
  <c r="AJ8" i="3"/>
  <c r="AF9" i="3"/>
  <c r="AG9" i="3"/>
  <c r="AH9" i="3"/>
  <c r="AI9" i="3"/>
  <c r="AJ9" i="3"/>
  <c r="AF10" i="3"/>
  <c r="AG10" i="3"/>
  <c r="AH10" i="3"/>
  <c r="AI10" i="3"/>
  <c r="AJ10" i="3"/>
  <c r="AF11" i="3"/>
  <c r="AG11" i="3"/>
  <c r="AH11" i="3"/>
  <c r="AI11" i="3"/>
  <c r="AJ11" i="3"/>
  <c r="AF12" i="3"/>
  <c r="AG12" i="3"/>
  <c r="AH12" i="3"/>
  <c r="AI12" i="3"/>
  <c r="AJ12" i="3"/>
  <c r="AF13" i="3"/>
  <c r="AG13" i="3"/>
  <c r="AH13" i="3"/>
  <c r="AI13" i="3"/>
  <c r="AJ13" i="3"/>
  <c r="AF14" i="3"/>
  <c r="AG14" i="3"/>
  <c r="AH14" i="3"/>
  <c r="AI14" i="3"/>
  <c r="AJ14" i="3"/>
  <c r="AF15" i="3"/>
  <c r="AG15" i="3"/>
  <c r="AH15" i="3"/>
  <c r="AI15" i="3"/>
  <c r="AJ15" i="3"/>
  <c r="AF16" i="3"/>
  <c r="AG16" i="3"/>
  <c r="AH16" i="3"/>
  <c r="AI16" i="3"/>
  <c r="AJ16" i="3"/>
  <c r="AF17" i="3"/>
  <c r="AG17" i="3"/>
  <c r="AH17" i="3"/>
  <c r="AI17" i="3"/>
  <c r="AJ17" i="3"/>
  <c r="AF18" i="3"/>
  <c r="AG18" i="3"/>
  <c r="AH18" i="3"/>
  <c r="AI18" i="3"/>
  <c r="AJ18" i="3"/>
  <c r="AF19" i="3"/>
  <c r="AG19" i="3"/>
  <c r="AH19" i="3"/>
  <c r="AI19" i="3"/>
  <c r="AJ19" i="3"/>
  <c r="AF20" i="3"/>
  <c r="AG20" i="3"/>
  <c r="AH20" i="3"/>
  <c r="AI20" i="3"/>
  <c r="AJ20" i="3"/>
  <c r="AF21" i="3"/>
  <c r="AG21" i="3"/>
  <c r="AH21" i="3"/>
  <c r="AI21" i="3"/>
  <c r="AJ21" i="3"/>
  <c r="AF22" i="3"/>
  <c r="AG22" i="3"/>
  <c r="AH22" i="3"/>
  <c r="AI22" i="3"/>
  <c r="AJ22" i="3"/>
  <c r="AF23" i="3"/>
  <c r="AG23" i="3"/>
  <c r="AH23" i="3"/>
  <c r="AI23" i="3"/>
  <c r="AJ23" i="3"/>
  <c r="AF24" i="3"/>
  <c r="AG24" i="3"/>
  <c r="AH24" i="3"/>
  <c r="AI24" i="3"/>
  <c r="AJ24" i="3"/>
  <c r="AF25" i="3"/>
  <c r="AG25" i="3"/>
  <c r="AH25" i="3"/>
  <c r="AI25" i="3"/>
  <c r="AJ25" i="3"/>
  <c r="AF26" i="3"/>
  <c r="AG26" i="3"/>
  <c r="AH26" i="3"/>
  <c r="AI26" i="3"/>
  <c r="AJ26" i="3"/>
  <c r="AF27" i="3"/>
  <c r="AG27" i="3"/>
  <c r="AH27" i="3"/>
  <c r="AI27" i="3"/>
  <c r="AJ27" i="3"/>
  <c r="AF28" i="3"/>
  <c r="AG28" i="3"/>
  <c r="AH28" i="3"/>
  <c r="AI28" i="3"/>
  <c r="AJ28" i="3"/>
  <c r="AF29" i="3"/>
  <c r="AG29" i="3"/>
  <c r="AH29" i="3"/>
  <c r="AI29" i="3"/>
  <c r="AJ29" i="3"/>
  <c r="AF30" i="3"/>
  <c r="AG30" i="3"/>
  <c r="AH30" i="3"/>
  <c r="AI30" i="3"/>
  <c r="AJ30" i="3"/>
  <c r="AF31" i="3"/>
  <c r="AG31" i="3"/>
  <c r="AH31" i="3"/>
  <c r="AI31" i="3"/>
  <c r="AJ31" i="3"/>
  <c r="AF32" i="3"/>
  <c r="AG32" i="3"/>
  <c r="AH32" i="3"/>
  <c r="AI32" i="3"/>
  <c r="AJ32" i="3"/>
  <c r="AF33" i="3"/>
  <c r="AG33" i="3"/>
  <c r="AH33" i="3"/>
  <c r="AI33" i="3"/>
  <c r="AJ33" i="3"/>
  <c r="AF34" i="3"/>
  <c r="AG34" i="3"/>
  <c r="AH34" i="3"/>
  <c r="AI34" i="3"/>
  <c r="AJ34" i="3"/>
  <c r="AF35" i="3"/>
  <c r="AG35" i="3"/>
  <c r="AH35" i="3"/>
  <c r="AI35" i="3"/>
  <c r="AJ35" i="3"/>
  <c r="AF36" i="3"/>
  <c r="AG36" i="3"/>
  <c r="AH36" i="3"/>
  <c r="AI36" i="3"/>
  <c r="AJ36" i="3"/>
  <c r="AF37" i="3"/>
  <c r="AG37" i="3"/>
  <c r="AH37" i="3"/>
  <c r="AI37" i="3"/>
  <c r="AJ37" i="3"/>
  <c r="AF38" i="3"/>
  <c r="AG38" i="3"/>
  <c r="AH38" i="3"/>
  <c r="AI38" i="3"/>
  <c r="AJ38" i="3"/>
  <c r="AF39" i="3"/>
  <c r="AG39" i="3"/>
  <c r="AH39" i="3"/>
  <c r="AI39" i="3"/>
  <c r="AJ39" i="3"/>
  <c r="AF40" i="3"/>
  <c r="AG40" i="3"/>
  <c r="AH40" i="3"/>
  <c r="AI40" i="3"/>
  <c r="AJ40" i="3"/>
  <c r="AF41" i="3"/>
  <c r="AG41" i="3"/>
  <c r="AH41" i="3"/>
  <c r="AI41" i="3"/>
  <c r="AJ41" i="3"/>
  <c r="AF42" i="3"/>
  <c r="AG42" i="3"/>
  <c r="AH42" i="3"/>
  <c r="AI42" i="3"/>
  <c r="AJ42" i="3"/>
  <c r="AF43" i="3"/>
  <c r="AG43" i="3"/>
  <c r="AH43" i="3"/>
  <c r="AI43" i="3"/>
  <c r="AJ43" i="3"/>
  <c r="AF44" i="3"/>
  <c r="AG44" i="3"/>
  <c r="AH44" i="3"/>
  <c r="AI44" i="3"/>
  <c r="AJ44" i="3"/>
  <c r="AF45" i="3"/>
  <c r="AG45" i="3"/>
  <c r="AH45" i="3"/>
  <c r="AI45" i="3"/>
  <c r="AJ45" i="3"/>
  <c r="AF46" i="3"/>
  <c r="AG46" i="3"/>
  <c r="AH46" i="3"/>
  <c r="AI46" i="3"/>
  <c r="AJ46" i="3"/>
  <c r="AF47" i="3"/>
  <c r="AG47" i="3"/>
  <c r="AH47" i="3"/>
  <c r="AI47" i="3"/>
  <c r="AJ47" i="3"/>
  <c r="AF48" i="3"/>
  <c r="AG48" i="3"/>
  <c r="AH48" i="3"/>
  <c r="AI48" i="3"/>
  <c r="AJ48" i="3"/>
  <c r="AF49" i="3"/>
  <c r="AG49" i="3"/>
  <c r="AH49" i="3"/>
  <c r="AI49" i="3"/>
  <c r="AJ49" i="3"/>
  <c r="AF50" i="3"/>
  <c r="AG50" i="3"/>
  <c r="AH50" i="3"/>
  <c r="AI50" i="3"/>
  <c r="AJ50" i="3"/>
  <c r="AF51" i="3"/>
  <c r="AG51" i="3"/>
  <c r="AH51" i="3"/>
  <c r="AI51" i="3"/>
  <c r="AJ51" i="3"/>
  <c r="AF52" i="3"/>
  <c r="AG52" i="3"/>
  <c r="AH52" i="3"/>
  <c r="AI52" i="3"/>
  <c r="AJ52" i="3"/>
  <c r="AF53" i="3"/>
  <c r="AG53" i="3"/>
  <c r="AH53" i="3"/>
  <c r="AI53" i="3"/>
  <c r="AJ53" i="3"/>
  <c r="AF54" i="3"/>
  <c r="AG54" i="3"/>
  <c r="AH54" i="3"/>
  <c r="AI54" i="3"/>
  <c r="AJ54" i="3"/>
  <c r="AF55" i="3"/>
  <c r="AG55" i="3"/>
  <c r="AH55" i="3"/>
  <c r="AI55" i="3"/>
  <c r="AJ55" i="3"/>
  <c r="AF56" i="3"/>
  <c r="AG56" i="3"/>
  <c r="AH56" i="3"/>
  <c r="AI56" i="3"/>
  <c r="AJ56" i="3"/>
  <c r="AF57" i="3"/>
  <c r="AG57" i="3"/>
  <c r="AH57" i="3"/>
  <c r="AI57" i="3"/>
  <c r="AJ57" i="3"/>
  <c r="AF58" i="3"/>
  <c r="AG58" i="3"/>
  <c r="AH58" i="3"/>
  <c r="AI58" i="3"/>
  <c r="AJ58" i="3"/>
  <c r="AF59" i="3"/>
  <c r="AG59" i="3"/>
  <c r="AH59" i="3"/>
  <c r="AI59" i="3"/>
  <c r="AJ59" i="3"/>
  <c r="AF60" i="3"/>
  <c r="AG60" i="3"/>
  <c r="AH60" i="3"/>
  <c r="AI60" i="3"/>
  <c r="AJ60" i="3"/>
  <c r="AF61" i="3"/>
  <c r="AG61" i="3"/>
  <c r="AH61" i="3"/>
  <c r="AI61" i="3"/>
  <c r="AJ61" i="3"/>
  <c r="AF62" i="3"/>
  <c r="AG62" i="3"/>
  <c r="AH62" i="3"/>
  <c r="AI62" i="3"/>
  <c r="AJ62" i="3"/>
  <c r="AF63" i="3"/>
  <c r="AG63" i="3"/>
  <c r="AH63" i="3"/>
  <c r="AI63" i="3"/>
  <c r="AJ63" i="3"/>
  <c r="AF64" i="3"/>
  <c r="AG64" i="3"/>
  <c r="AH64" i="3"/>
  <c r="AI64" i="3"/>
  <c r="AJ64" i="3"/>
  <c r="AF65" i="3"/>
  <c r="AG65" i="3"/>
  <c r="AH65" i="3"/>
  <c r="AI65" i="3"/>
  <c r="AJ65" i="3"/>
  <c r="AF66" i="3"/>
  <c r="AG66" i="3"/>
  <c r="AH66" i="3"/>
  <c r="AI66" i="3"/>
  <c r="AJ66" i="3"/>
  <c r="AF67" i="3"/>
  <c r="AG67" i="3"/>
  <c r="AH67" i="3"/>
  <c r="AI67" i="3"/>
  <c r="AJ67" i="3"/>
  <c r="AF68" i="3"/>
  <c r="AG68" i="3"/>
  <c r="AH68" i="3"/>
  <c r="AI68" i="3"/>
  <c r="AJ68" i="3"/>
  <c r="AF69" i="3"/>
  <c r="AG69" i="3"/>
  <c r="AH69" i="3"/>
  <c r="AI69" i="3"/>
  <c r="AJ69" i="3"/>
  <c r="AF70" i="3"/>
  <c r="AG70" i="3"/>
  <c r="AH70" i="3"/>
  <c r="AI70" i="3"/>
  <c r="AJ70" i="3"/>
  <c r="AF71" i="3"/>
  <c r="AG71" i="3"/>
  <c r="AH71" i="3"/>
  <c r="AI71" i="3"/>
  <c r="AJ71" i="3"/>
  <c r="AF72" i="3"/>
  <c r="AG72" i="3"/>
  <c r="AH72" i="3"/>
  <c r="AI72" i="3"/>
  <c r="AJ72" i="3"/>
  <c r="AF73" i="3"/>
  <c r="AG73" i="3"/>
  <c r="AH73" i="3"/>
  <c r="AI73" i="3"/>
  <c r="AJ73" i="3"/>
  <c r="AF74" i="3"/>
  <c r="AG74" i="3"/>
  <c r="AH74" i="3"/>
  <c r="AI74" i="3"/>
  <c r="AJ74" i="3"/>
  <c r="AF75" i="3"/>
  <c r="AG75" i="3"/>
  <c r="AH75" i="3"/>
  <c r="AI75" i="3"/>
  <c r="AJ75" i="3"/>
  <c r="AF76" i="3"/>
  <c r="AG76" i="3"/>
  <c r="AH76" i="3"/>
  <c r="AI76" i="3"/>
  <c r="AJ76" i="3"/>
  <c r="AF77" i="3"/>
  <c r="AG77" i="3"/>
  <c r="AH77" i="3"/>
  <c r="AI77" i="3"/>
  <c r="AJ77" i="3"/>
  <c r="AF78" i="3"/>
  <c r="AG78" i="3"/>
  <c r="AH78" i="3"/>
  <c r="AI78" i="3"/>
  <c r="AJ78" i="3"/>
  <c r="AF79" i="3"/>
  <c r="AG79" i="3"/>
  <c r="AH79" i="3"/>
  <c r="AI79" i="3"/>
  <c r="AJ79" i="3"/>
  <c r="AF80" i="3"/>
  <c r="AG80" i="3"/>
  <c r="AH80" i="3"/>
  <c r="AI80" i="3"/>
  <c r="AJ80" i="3"/>
  <c r="AF81" i="3"/>
  <c r="AG81" i="3"/>
  <c r="AH81" i="3"/>
  <c r="AI81" i="3"/>
  <c r="AJ81" i="3"/>
  <c r="AF82" i="3"/>
  <c r="AG82" i="3"/>
  <c r="AH82" i="3"/>
  <c r="AI82" i="3"/>
  <c r="AJ82" i="3"/>
  <c r="AF83" i="3"/>
  <c r="AG83" i="3"/>
  <c r="AH83" i="3"/>
  <c r="AI83" i="3"/>
  <c r="AJ83" i="3"/>
  <c r="AF84" i="3"/>
  <c r="AG84" i="3"/>
  <c r="AH84" i="3"/>
  <c r="AI84" i="3"/>
  <c r="AJ84" i="3"/>
  <c r="AF85" i="3"/>
  <c r="AG85" i="3"/>
  <c r="AH85" i="3"/>
  <c r="AI85" i="3"/>
  <c r="AJ85" i="3"/>
  <c r="AF86" i="3"/>
  <c r="AG86" i="3"/>
  <c r="AH86" i="3"/>
  <c r="AI86" i="3"/>
  <c r="AJ86" i="3"/>
  <c r="AF87" i="3"/>
  <c r="AG87" i="3"/>
  <c r="AH87" i="3"/>
  <c r="AI87" i="3"/>
  <c r="AJ87" i="3"/>
  <c r="AF88" i="3"/>
  <c r="AG88" i="3"/>
  <c r="AH88" i="3"/>
  <c r="AI88" i="3"/>
  <c r="AJ88" i="3"/>
  <c r="AF89" i="3"/>
  <c r="AG89" i="3"/>
  <c r="AH89" i="3"/>
  <c r="AI89" i="3"/>
  <c r="AJ89" i="3"/>
  <c r="AF90" i="3"/>
  <c r="AG90" i="3"/>
  <c r="AH90" i="3"/>
  <c r="AI90" i="3"/>
  <c r="AJ90" i="3"/>
  <c r="AF91" i="3"/>
  <c r="AG91" i="3"/>
  <c r="AH91" i="3"/>
  <c r="AI91" i="3"/>
  <c r="AJ91" i="3"/>
  <c r="AF92" i="3"/>
  <c r="AG92" i="3"/>
  <c r="AH92" i="3"/>
  <c r="AI92" i="3"/>
  <c r="AJ92" i="3"/>
  <c r="AF93" i="3"/>
  <c r="AG93" i="3"/>
  <c r="AH93" i="3"/>
  <c r="AI93" i="3"/>
  <c r="AJ93" i="3"/>
  <c r="AF94" i="3"/>
  <c r="AG94" i="3"/>
  <c r="AH94" i="3"/>
  <c r="AI94" i="3"/>
  <c r="AJ94" i="3"/>
  <c r="AF95" i="3"/>
  <c r="AG95" i="3"/>
  <c r="AH95" i="3"/>
  <c r="AI95" i="3"/>
  <c r="AJ95" i="3"/>
  <c r="AF96" i="3"/>
  <c r="AG96" i="3"/>
  <c r="AH96" i="3"/>
  <c r="AI96" i="3"/>
  <c r="AJ96" i="3"/>
  <c r="AF97" i="3"/>
  <c r="AG97" i="3"/>
  <c r="AH97" i="3"/>
  <c r="AI97" i="3"/>
  <c r="AJ97" i="3"/>
  <c r="AF98" i="3"/>
  <c r="AG98" i="3"/>
  <c r="AH98" i="3"/>
  <c r="AI98" i="3"/>
  <c r="AJ98" i="3"/>
  <c r="AF99" i="3"/>
  <c r="AG99" i="3"/>
  <c r="AH99" i="3"/>
  <c r="AI99" i="3"/>
  <c r="AJ99" i="3"/>
  <c r="AG1" i="3"/>
  <c r="AH1" i="3"/>
  <c r="AI1" i="3"/>
  <c r="AJ1" i="3"/>
  <c r="AF1" i="3"/>
  <c r="B126" i="3"/>
  <c r="B127" i="3"/>
  <c r="B128" i="3"/>
  <c r="B129" i="3"/>
  <c r="B130" i="3"/>
  <c r="B131" i="3"/>
  <c r="B132" i="3"/>
  <c r="B133" i="3"/>
  <c r="B134" i="3"/>
  <c r="B112" i="3"/>
  <c r="B113" i="3"/>
  <c r="B114" i="3"/>
  <c r="B115" i="3"/>
  <c r="B116" i="3"/>
  <c r="B117" i="3"/>
  <c r="B118" i="3"/>
  <c r="B119" i="3"/>
  <c r="B120" i="3"/>
  <c r="B121" i="3"/>
  <c r="B122" i="3"/>
  <c r="B123" i="3"/>
  <c r="B124" i="3"/>
  <c r="B125"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36" i="3"/>
  <c r="B37" i="3"/>
  <c r="B38" i="3"/>
  <c r="B39" i="3"/>
  <c r="B40" i="3"/>
  <c r="B41" i="3"/>
  <c r="B42" i="3"/>
  <c r="B43" i="3"/>
  <c r="B44" i="3"/>
  <c r="P23" i="1"/>
  <c r="L11" i="16" s="1"/>
  <c r="G7" i="16"/>
  <c r="J7" i="16"/>
  <c r="F7" i="16"/>
  <c r="C7" i="16"/>
  <c r="D7" i="16"/>
  <c r="B7" i="16"/>
  <c r="K156" i="19"/>
  <c r="K155" i="19"/>
  <c r="I12" i="11"/>
  <c r="E158" i="16" s="1"/>
  <c r="I10" i="11"/>
  <c r="E156" i="16" s="1"/>
  <c r="I9" i="11"/>
  <c r="E155" i="16" l="1"/>
  <c r="D155" i="19"/>
  <c r="D158" i="19"/>
  <c r="D156" i="19"/>
  <c r="K11" i="19"/>
  <c r="A177" i="3"/>
  <c r="AL55" i="3"/>
  <c r="AL52" i="3"/>
  <c r="AL85" i="3"/>
  <c r="AL97" i="3"/>
  <c r="AL48" i="3"/>
  <c r="AL40" i="3"/>
  <c r="AL22" i="3"/>
  <c r="AL50" i="3"/>
  <c r="AL42" i="3"/>
  <c r="AL32" i="3"/>
  <c r="AL53" i="3"/>
  <c r="AL51" i="3"/>
  <c r="AL43" i="3"/>
  <c r="AL41" i="3"/>
  <c r="AL33" i="3"/>
  <c r="AL31" i="3"/>
  <c r="AL23" i="3"/>
  <c r="AL92" i="3"/>
  <c r="AL99" i="3"/>
  <c r="AL87" i="3"/>
  <c r="AL75" i="3"/>
  <c r="AL63" i="3"/>
  <c r="AL98" i="3"/>
  <c r="AL86" i="3"/>
  <c r="AL74" i="3"/>
  <c r="AL62" i="3"/>
  <c r="AL73" i="3"/>
  <c r="AL61" i="3"/>
  <c r="AL39" i="3"/>
  <c r="AL36" i="3"/>
  <c r="AL27" i="3"/>
  <c r="AL24" i="3"/>
  <c r="AL30" i="3"/>
  <c r="AL13" i="3"/>
  <c r="AL6" i="3"/>
  <c r="AL18" i="3"/>
  <c r="L155" i="16"/>
  <c r="AL9" i="3"/>
  <c r="Q10" i="11"/>
  <c r="AL21" i="3"/>
  <c r="AL80" i="3"/>
  <c r="AL68" i="3"/>
  <c r="AL89" i="3"/>
  <c r="AL77" i="3"/>
  <c r="AL65" i="3"/>
  <c r="AL94" i="3"/>
  <c r="AL96" i="3"/>
  <c r="AL84" i="3"/>
  <c r="AL72" i="3"/>
  <c r="AL60" i="3"/>
  <c r="AL91" i="3"/>
  <c r="AL79" i="3"/>
  <c r="AL67" i="3"/>
  <c r="AL82" i="3"/>
  <c r="AL93" i="3"/>
  <c r="AL81" i="3"/>
  <c r="AL69" i="3"/>
  <c r="AL88" i="3"/>
  <c r="AL76" i="3"/>
  <c r="AL64" i="3"/>
  <c r="AL70" i="3"/>
  <c r="AL95" i="3"/>
  <c r="AL83" i="3"/>
  <c r="AL71" i="3"/>
  <c r="AL90" i="3"/>
  <c r="AL78" i="3"/>
  <c r="AL66" i="3"/>
  <c r="AL10" i="3"/>
  <c r="AL3" i="3"/>
  <c r="AL17" i="3"/>
  <c r="AL5" i="3"/>
  <c r="AL12" i="3"/>
  <c r="AL19" i="3"/>
  <c r="AL7" i="3"/>
  <c r="AL14" i="3"/>
  <c r="AL2" i="3"/>
  <c r="AL15" i="3"/>
  <c r="AL16" i="3"/>
  <c r="AL4" i="3"/>
  <c r="AL11" i="3"/>
  <c r="AL8" i="3"/>
  <c r="AL20" i="3"/>
  <c r="AL38" i="3"/>
  <c r="AL57" i="3"/>
  <c r="AL45" i="3"/>
  <c r="AL56" i="3"/>
  <c r="AL28" i="3"/>
  <c r="AL59" i="3"/>
  <c r="AL47" i="3"/>
  <c r="AL35" i="3"/>
  <c r="AL54" i="3"/>
  <c r="AL49" i="3"/>
  <c r="AL37" i="3"/>
  <c r="AL25" i="3"/>
  <c r="AL44" i="3"/>
  <c r="AL58" i="3"/>
  <c r="AL46" i="3"/>
  <c r="AL34" i="3"/>
  <c r="AL29" i="3"/>
  <c r="AL26" i="3"/>
  <c r="AL1" i="3"/>
  <c r="AL100" i="3"/>
  <c r="C139" i="5"/>
  <c r="C140" i="5"/>
  <c r="C141" i="5"/>
  <c r="C142" i="5"/>
  <c r="C143" i="5"/>
  <c r="C144" i="5"/>
  <c r="C145" i="5"/>
  <c r="C146" i="5"/>
  <c r="C147" i="5"/>
  <c r="C138" i="5"/>
  <c r="D129" i="5"/>
  <c r="D130" i="5"/>
  <c r="D131" i="5"/>
  <c r="D132" i="5"/>
  <c r="D133" i="5"/>
  <c r="D134" i="5"/>
  <c r="D135" i="5"/>
  <c r="D136" i="5"/>
  <c r="D137" i="5"/>
  <c r="C129" i="5"/>
  <c r="C130" i="5"/>
  <c r="C131" i="5"/>
  <c r="C132" i="5"/>
  <c r="C133" i="5"/>
  <c r="C134" i="5"/>
  <c r="C135" i="5"/>
  <c r="C136" i="5"/>
  <c r="C137" i="5"/>
  <c r="D128" i="5"/>
  <c r="C128" i="5"/>
  <c r="C119" i="5"/>
  <c r="C120" i="5"/>
  <c r="C121" i="5"/>
  <c r="C122" i="5"/>
  <c r="C123" i="5"/>
  <c r="C124" i="5"/>
  <c r="C125" i="5"/>
  <c r="C126" i="5"/>
  <c r="C127" i="5"/>
  <c r="C118" i="5"/>
  <c r="D109" i="5"/>
  <c r="D110" i="5"/>
  <c r="D111" i="5"/>
  <c r="D112" i="5"/>
  <c r="D113" i="5"/>
  <c r="D114" i="5"/>
  <c r="D115" i="5"/>
  <c r="D116" i="5"/>
  <c r="D117" i="5"/>
  <c r="C109" i="5"/>
  <c r="C110" i="5"/>
  <c r="C111" i="5"/>
  <c r="C112" i="5"/>
  <c r="C113" i="5"/>
  <c r="C114" i="5"/>
  <c r="C115" i="5"/>
  <c r="C116" i="5"/>
  <c r="C117" i="5"/>
  <c r="C108" i="5"/>
  <c r="I108" i="11"/>
  <c r="E254" i="16" s="1"/>
  <c r="I107" i="11"/>
  <c r="E253" i="16" s="1"/>
  <c r="I106" i="11"/>
  <c r="E252" i="16" s="1"/>
  <c r="I105" i="11"/>
  <c r="E251" i="16" s="1"/>
  <c r="I104" i="11"/>
  <c r="E250" i="16" s="1"/>
  <c r="I103" i="11"/>
  <c r="E249" i="16" s="1"/>
  <c r="I102" i="11"/>
  <c r="E248" i="16" s="1"/>
  <c r="I101" i="11"/>
  <c r="E247" i="16" s="1"/>
  <c r="I100" i="11"/>
  <c r="E246" i="16" s="1"/>
  <c r="I99" i="11"/>
  <c r="E245" i="16" s="1"/>
  <c r="I98" i="11"/>
  <c r="E244" i="16" s="1"/>
  <c r="I97" i="11"/>
  <c r="E243" i="16" s="1"/>
  <c r="I96" i="11"/>
  <c r="E242" i="16" s="1"/>
  <c r="I95" i="11"/>
  <c r="E241" i="16" s="1"/>
  <c r="I94" i="11"/>
  <c r="E240" i="16" s="1"/>
  <c r="I93" i="11"/>
  <c r="E239" i="16" s="1"/>
  <c r="I92" i="11"/>
  <c r="E238" i="16" s="1"/>
  <c r="I91" i="11"/>
  <c r="E237" i="16" s="1"/>
  <c r="I90" i="11"/>
  <c r="E236" i="16" s="1"/>
  <c r="I89" i="11"/>
  <c r="E235" i="16" s="1"/>
  <c r="I88" i="11"/>
  <c r="E234" i="16" s="1"/>
  <c r="I87" i="11"/>
  <c r="E233" i="16" s="1"/>
  <c r="I86" i="11"/>
  <c r="E232" i="16" s="1"/>
  <c r="I85" i="11"/>
  <c r="E231" i="16" s="1"/>
  <c r="I84" i="11"/>
  <c r="E230" i="16" s="1"/>
  <c r="I83" i="11"/>
  <c r="E229" i="16" s="1"/>
  <c r="I82" i="11"/>
  <c r="E228" i="16" s="1"/>
  <c r="I81" i="11"/>
  <c r="E227" i="16" s="1"/>
  <c r="I80" i="11"/>
  <c r="E226" i="16" s="1"/>
  <c r="I79" i="11"/>
  <c r="E225" i="16" s="1"/>
  <c r="I78" i="11"/>
  <c r="E224" i="16" s="1"/>
  <c r="I77" i="11"/>
  <c r="E223" i="16" s="1"/>
  <c r="I76" i="11"/>
  <c r="E222" i="16" s="1"/>
  <c r="I75" i="11"/>
  <c r="E221" i="16" s="1"/>
  <c r="I74" i="11"/>
  <c r="E220" i="16" s="1"/>
  <c r="I73" i="11"/>
  <c r="E219" i="16" s="1"/>
  <c r="I72" i="11"/>
  <c r="E218" i="16" s="1"/>
  <c r="I71" i="11"/>
  <c r="E217" i="16" s="1"/>
  <c r="I70" i="11"/>
  <c r="E216" i="16" s="1"/>
  <c r="I69" i="11"/>
  <c r="E215" i="16" s="1"/>
  <c r="I68" i="11"/>
  <c r="E214" i="16" s="1"/>
  <c r="I67" i="11"/>
  <c r="E213" i="16" s="1"/>
  <c r="I66" i="11"/>
  <c r="E212" i="16" s="1"/>
  <c r="I65" i="11"/>
  <c r="E211" i="16" s="1"/>
  <c r="I64" i="11"/>
  <c r="E210" i="16" s="1"/>
  <c r="I63" i="11"/>
  <c r="E209" i="16" s="1"/>
  <c r="I62" i="11"/>
  <c r="E208" i="16" s="1"/>
  <c r="I61" i="11"/>
  <c r="E207" i="16" s="1"/>
  <c r="I60" i="11"/>
  <c r="E206" i="16" s="1"/>
  <c r="I59" i="11"/>
  <c r="E205" i="16" s="1"/>
  <c r="I58" i="11"/>
  <c r="E204" i="16" s="1"/>
  <c r="I57" i="11"/>
  <c r="E203" i="16" s="1"/>
  <c r="I56" i="11"/>
  <c r="E202" i="16" s="1"/>
  <c r="I55" i="11"/>
  <c r="E201" i="16" s="1"/>
  <c r="I54" i="11"/>
  <c r="E200" i="16" s="1"/>
  <c r="I53" i="11"/>
  <c r="E199" i="16" s="1"/>
  <c r="I52" i="11"/>
  <c r="E198" i="16" s="1"/>
  <c r="I51" i="11"/>
  <c r="E197" i="16" s="1"/>
  <c r="I50" i="11"/>
  <c r="E196" i="16" s="1"/>
  <c r="I49" i="11"/>
  <c r="E195" i="16" s="1"/>
  <c r="I48" i="11"/>
  <c r="E194" i="16" s="1"/>
  <c r="I47" i="11"/>
  <c r="E193" i="16" s="1"/>
  <c r="I46" i="11"/>
  <c r="E192" i="16" s="1"/>
  <c r="I45" i="11"/>
  <c r="E191" i="16" s="1"/>
  <c r="I44" i="11"/>
  <c r="E190" i="16" s="1"/>
  <c r="I43" i="11"/>
  <c r="E189" i="16" s="1"/>
  <c r="I42" i="11"/>
  <c r="E188" i="16" s="1"/>
  <c r="I41" i="11"/>
  <c r="E187" i="16" s="1"/>
  <c r="I40" i="11"/>
  <c r="E186" i="16" s="1"/>
  <c r="I39" i="11"/>
  <c r="E185" i="16" s="1"/>
  <c r="I38" i="11"/>
  <c r="E184" i="16" s="1"/>
  <c r="I37" i="11"/>
  <c r="E183" i="16" s="1"/>
  <c r="I36" i="11"/>
  <c r="E182" i="16" s="1"/>
  <c r="I35" i="11"/>
  <c r="E181" i="16" s="1"/>
  <c r="I34" i="11"/>
  <c r="E180" i="16" s="1"/>
  <c r="I33" i="11"/>
  <c r="E179" i="16" s="1"/>
  <c r="I32" i="11"/>
  <c r="E178" i="16" s="1"/>
  <c r="I31" i="11"/>
  <c r="E177" i="16" s="1"/>
  <c r="I30" i="11"/>
  <c r="E176" i="16" s="1"/>
  <c r="I29" i="11"/>
  <c r="E175" i="16" s="1"/>
  <c r="I28" i="11"/>
  <c r="E174" i="16" s="1"/>
  <c r="I27" i="11"/>
  <c r="E173" i="16" s="1"/>
  <c r="I26" i="11"/>
  <c r="E172" i="16" s="1"/>
  <c r="I25" i="11"/>
  <c r="E171" i="16" s="1"/>
  <c r="I24" i="11"/>
  <c r="E170" i="16" s="1"/>
  <c r="I23" i="11"/>
  <c r="E169" i="16" s="1"/>
  <c r="I22" i="11"/>
  <c r="E168" i="16" s="1"/>
  <c r="I21" i="11"/>
  <c r="E167" i="16" s="1"/>
  <c r="I20" i="11"/>
  <c r="E166" i="16" s="1"/>
  <c r="I19" i="11"/>
  <c r="E165" i="16" s="1"/>
  <c r="I18" i="11"/>
  <c r="E164" i="16" s="1"/>
  <c r="I17" i="11"/>
  <c r="E163" i="16" s="1"/>
  <c r="I16" i="11"/>
  <c r="E162" i="16" s="1"/>
  <c r="I15" i="11"/>
  <c r="E161" i="16" s="1"/>
  <c r="I14" i="11"/>
  <c r="E160" i="16" s="1"/>
  <c r="I13" i="11"/>
  <c r="E159" i="16" s="1"/>
  <c r="I11" i="11"/>
  <c r="E157" i="16" s="1"/>
  <c r="D176" i="19" l="1"/>
  <c r="D200" i="19"/>
  <c r="D216" i="19"/>
  <c r="D232" i="19"/>
  <c r="D248" i="19"/>
  <c r="D178" i="19"/>
  <c r="D202" i="19"/>
  <c r="D226" i="19"/>
  <c r="D234" i="19"/>
  <c r="D187" i="19"/>
  <c r="D235" i="19"/>
  <c r="D172" i="19"/>
  <c r="D180" i="19"/>
  <c r="D188" i="19"/>
  <c r="D196" i="19"/>
  <c r="D204" i="19"/>
  <c r="D212" i="19"/>
  <c r="D220" i="19"/>
  <c r="D228" i="19"/>
  <c r="D236" i="19"/>
  <c r="D244" i="19"/>
  <c r="D252" i="19"/>
  <c r="D210" i="19"/>
  <c r="D219" i="19"/>
  <c r="D173" i="19"/>
  <c r="D181" i="19"/>
  <c r="D189" i="19"/>
  <c r="D197" i="19"/>
  <c r="D205" i="19"/>
  <c r="D213" i="19"/>
  <c r="D221" i="19"/>
  <c r="D229" i="19"/>
  <c r="D237" i="19"/>
  <c r="D245" i="19"/>
  <c r="D253" i="19"/>
  <c r="D184" i="19"/>
  <c r="D170" i="19"/>
  <c r="D186" i="19"/>
  <c r="D218" i="19"/>
  <c r="D242" i="19"/>
  <c r="D171" i="19"/>
  <c r="D179" i="19"/>
  <c r="D195" i="19"/>
  <c r="D203" i="19"/>
  <c r="D211" i="19"/>
  <c r="D243" i="19"/>
  <c r="D251" i="19"/>
  <c r="D166" i="19"/>
  <c r="D182" i="19"/>
  <c r="D198" i="19"/>
  <c r="D206" i="19"/>
  <c r="D214" i="19"/>
  <c r="D222" i="19"/>
  <c r="D230" i="19"/>
  <c r="D238" i="19"/>
  <c r="D246" i="19"/>
  <c r="D254" i="19"/>
  <c r="D192" i="19"/>
  <c r="D208" i="19"/>
  <c r="D224" i="19"/>
  <c r="D240" i="19"/>
  <c r="D194" i="19"/>
  <c r="D250" i="19"/>
  <c r="D227" i="19"/>
  <c r="D157" i="19"/>
  <c r="D174" i="19"/>
  <c r="D190" i="19"/>
  <c r="D167" i="19"/>
  <c r="D175" i="19"/>
  <c r="D183" i="19"/>
  <c r="D191" i="19"/>
  <c r="D199" i="19"/>
  <c r="D207" i="19"/>
  <c r="D215" i="19"/>
  <c r="D223" i="19"/>
  <c r="D231" i="19"/>
  <c r="D239" i="19"/>
  <c r="D247" i="19"/>
  <c r="D168" i="19"/>
  <c r="D169" i="19"/>
  <c r="D177" i="19"/>
  <c r="D185" i="19"/>
  <c r="D193" i="19"/>
  <c r="D201" i="19"/>
  <c r="D209" i="19"/>
  <c r="D217" i="19"/>
  <c r="D225" i="19"/>
  <c r="D233" i="19"/>
  <c r="D241" i="19"/>
  <c r="D249" i="19"/>
  <c r="D165" i="19"/>
  <c r="D162" i="19"/>
  <c r="D163" i="19"/>
  <c r="D159" i="19"/>
  <c r="D160" i="19"/>
  <c r="D161" i="19"/>
  <c r="D164" i="19"/>
  <c r="I127" i="1"/>
  <c r="E106" i="16" s="1"/>
  <c r="I126" i="1"/>
  <c r="E105" i="16" s="1"/>
  <c r="I125" i="1"/>
  <c r="E104" i="16" s="1"/>
  <c r="I124" i="1"/>
  <c r="E103" i="16" s="1"/>
  <c r="I123" i="1"/>
  <c r="E102" i="16" s="1"/>
  <c r="I122" i="1"/>
  <c r="E101" i="16" s="1"/>
  <c r="E7" i="16"/>
  <c r="C107" i="5"/>
  <c r="J29" i="1"/>
  <c r="K29" i="1"/>
  <c r="L29" i="1"/>
  <c r="M29" i="1"/>
  <c r="N29" i="1"/>
  <c r="O29" i="1"/>
  <c r="J40" i="1"/>
  <c r="K40" i="1"/>
  <c r="L40" i="1"/>
  <c r="M40" i="1"/>
  <c r="N40" i="1"/>
  <c r="O40" i="1"/>
  <c r="J51" i="1"/>
  <c r="K51" i="1"/>
  <c r="L51" i="1"/>
  <c r="M51" i="1"/>
  <c r="N51" i="1"/>
  <c r="O51" i="1"/>
  <c r="J62" i="1"/>
  <c r="K62" i="1"/>
  <c r="L62" i="1"/>
  <c r="M62" i="1"/>
  <c r="N62" i="1"/>
  <c r="O62" i="1"/>
  <c r="J73" i="1"/>
  <c r="K73" i="1"/>
  <c r="L73" i="1"/>
  <c r="M73" i="1"/>
  <c r="N73" i="1"/>
  <c r="O73" i="1"/>
  <c r="J84" i="1"/>
  <c r="K84" i="1"/>
  <c r="L84" i="1"/>
  <c r="M84" i="1"/>
  <c r="N84" i="1"/>
  <c r="O84" i="1"/>
  <c r="J95" i="1"/>
  <c r="K95" i="1"/>
  <c r="L95" i="1"/>
  <c r="M95" i="1"/>
  <c r="N95" i="1"/>
  <c r="O95" i="1"/>
  <c r="J106" i="1"/>
  <c r="K106" i="1"/>
  <c r="L106" i="1"/>
  <c r="M106" i="1"/>
  <c r="N106" i="1"/>
  <c r="O106" i="1"/>
  <c r="J117" i="1"/>
  <c r="K117" i="1"/>
  <c r="L117" i="1"/>
  <c r="M117" i="1"/>
  <c r="N117" i="1"/>
  <c r="O117" i="1"/>
  <c r="J128" i="1"/>
  <c r="K128" i="1"/>
  <c r="L128" i="1"/>
  <c r="M128" i="1"/>
  <c r="N128" i="1"/>
  <c r="O128" i="1"/>
  <c r="J139" i="1"/>
  <c r="K139" i="1"/>
  <c r="L139" i="1"/>
  <c r="M139" i="1"/>
  <c r="N139" i="1"/>
  <c r="O139" i="1"/>
  <c r="J150" i="1"/>
  <c r="K150" i="1"/>
  <c r="L150" i="1"/>
  <c r="M150" i="1"/>
  <c r="N150" i="1"/>
  <c r="O150" i="1"/>
  <c r="J161" i="1"/>
  <c r="K161" i="1"/>
  <c r="L161" i="1"/>
  <c r="M161" i="1"/>
  <c r="N161" i="1"/>
  <c r="O161" i="1"/>
  <c r="F15" i="1"/>
  <c r="F14" i="1"/>
  <c r="F11" i="1"/>
  <c r="F10" i="1"/>
  <c r="F9" i="1"/>
  <c r="D201" i="5"/>
  <c r="D202" i="5"/>
  <c r="D203" i="5"/>
  <c r="D204" i="5"/>
  <c r="D205" i="5"/>
  <c r="D206" i="5"/>
  <c r="D207" i="5"/>
  <c r="D208" i="5"/>
  <c r="D209" i="5"/>
  <c r="D210" i="5"/>
  <c r="D211" i="5"/>
  <c r="M215" i="16" s="1"/>
  <c r="D212" i="5"/>
  <c r="M216" i="16" s="1"/>
  <c r="D213" i="5"/>
  <c r="M217" i="16" s="1"/>
  <c r="D214" i="5"/>
  <c r="M218" i="16" s="1"/>
  <c r="D215" i="5"/>
  <c r="M219" i="16" s="1"/>
  <c r="D216" i="5"/>
  <c r="M220" i="16" s="1"/>
  <c r="D217" i="5"/>
  <c r="M221" i="16" s="1"/>
  <c r="D218" i="5"/>
  <c r="M222" i="16" s="1"/>
  <c r="D219" i="5"/>
  <c r="M223" i="16" s="1"/>
  <c r="D220" i="5"/>
  <c r="M224" i="16" s="1"/>
  <c r="D221" i="5"/>
  <c r="M225" i="16" s="1"/>
  <c r="D222" i="5"/>
  <c r="M226" i="16" s="1"/>
  <c r="D223" i="5"/>
  <c r="M227" i="16" s="1"/>
  <c r="D224" i="5"/>
  <c r="M228" i="16" s="1"/>
  <c r="D225" i="5"/>
  <c r="M229" i="16" s="1"/>
  <c r="D226" i="5"/>
  <c r="M230" i="16" s="1"/>
  <c r="D227" i="5"/>
  <c r="M231" i="16" s="1"/>
  <c r="D228" i="5"/>
  <c r="M232" i="16" s="1"/>
  <c r="D229" i="5"/>
  <c r="M233" i="16" s="1"/>
  <c r="D230" i="5"/>
  <c r="M234" i="16" s="1"/>
  <c r="D231" i="5"/>
  <c r="M235" i="16" s="1"/>
  <c r="D232" i="5"/>
  <c r="M236" i="16" s="1"/>
  <c r="D233" i="5"/>
  <c r="M237" i="16" s="1"/>
  <c r="D234" i="5"/>
  <c r="M238" i="16" s="1"/>
  <c r="D235" i="5"/>
  <c r="M239" i="16" s="1"/>
  <c r="D236" i="5"/>
  <c r="M240" i="16" s="1"/>
  <c r="D237" i="5"/>
  <c r="M241" i="16" s="1"/>
  <c r="D238" i="5"/>
  <c r="M242" i="16" s="1"/>
  <c r="D239" i="5"/>
  <c r="M243" i="16" s="1"/>
  <c r="D240" i="5"/>
  <c r="M244" i="16" s="1"/>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K244" i="19"/>
  <c r="K243" i="19"/>
  <c r="K242" i="19"/>
  <c r="K241" i="19"/>
  <c r="K240" i="19"/>
  <c r="K239" i="19"/>
  <c r="K238" i="19"/>
  <c r="K237" i="19"/>
  <c r="K236" i="19"/>
  <c r="K235" i="19"/>
  <c r="K234" i="19"/>
  <c r="K233" i="19"/>
  <c r="K232" i="19"/>
  <c r="K231" i="19"/>
  <c r="K230" i="19"/>
  <c r="K229" i="19"/>
  <c r="K228" i="19"/>
  <c r="K227" i="19"/>
  <c r="K226" i="19"/>
  <c r="K225" i="19"/>
  <c r="K224" i="19"/>
  <c r="K223" i="19"/>
  <c r="K222" i="19"/>
  <c r="K221" i="19"/>
  <c r="K220" i="19"/>
  <c r="K219" i="19"/>
  <c r="K218" i="19"/>
  <c r="K217" i="19"/>
  <c r="K216" i="19"/>
  <c r="K215" i="19"/>
  <c r="K214" i="19"/>
  <c r="K213" i="19"/>
  <c r="K212" i="19"/>
  <c r="K211" i="19"/>
  <c r="K210" i="19"/>
  <c r="K209" i="19"/>
  <c r="K208" i="19"/>
  <c r="K207" i="19"/>
  <c r="K206" i="19"/>
  <c r="K205" i="19"/>
  <c r="M208" i="16" l="1"/>
  <c r="M207" i="16"/>
  <c r="M206" i="16"/>
  <c r="M205" i="16"/>
  <c r="M214" i="16"/>
  <c r="M213" i="16"/>
  <c r="M212" i="16"/>
  <c r="M211" i="16"/>
  <c r="M210" i="16"/>
  <c r="M209" i="16"/>
  <c r="D102" i="19"/>
  <c r="D103" i="19"/>
  <c r="D101" i="19"/>
  <c r="D104" i="19"/>
  <c r="D105" i="19"/>
  <c r="J173" i="1"/>
  <c r="L209" i="19"/>
  <c r="L208" i="19"/>
  <c r="L207" i="19"/>
  <c r="L206" i="19"/>
  <c r="L205" i="19"/>
  <c r="D109" i="19"/>
  <c r="D117" i="19"/>
  <c r="D125" i="19"/>
  <c r="D133" i="19"/>
  <c r="D141" i="19"/>
  <c r="D115" i="19"/>
  <c r="D110" i="19"/>
  <c r="D118" i="19"/>
  <c r="D126" i="19"/>
  <c r="D134" i="19"/>
  <c r="D142" i="19"/>
  <c r="D123" i="19"/>
  <c r="D131" i="19"/>
  <c r="D139" i="19"/>
  <c r="D108" i="19"/>
  <c r="D132" i="19"/>
  <c r="D111" i="19"/>
  <c r="D119" i="19"/>
  <c r="D127" i="19"/>
  <c r="D135" i="19"/>
  <c r="D143" i="19"/>
  <c r="D116" i="19"/>
  <c r="D124" i="19"/>
  <c r="D140" i="19"/>
  <c r="D112" i="19"/>
  <c r="D120" i="19"/>
  <c r="D128" i="19"/>
  <c r="D136" i="19"/>
  <c r="D144" i="19"/>
  <c r="D107" i="19"/>
  <c r="D113" i="19"/>
  <c r="D121" i="19"/>
  <c r="D129" i="19"/>
  <c r="D137" i="19"/>
  <c r="D145" i="19"/>
  <c r="D106" i="19"/>
  <c r="D114" i="19"/>
  <c r="D122" i="19"/>
  <c r="D130" i="19"/>
  <c r="D138" i="19"/>
  <c r="D146" i="19"/>
  <c r="Q68" i="11"/>
  <c r="Q61" i="11"/>
  <c r="Q60" i="11"/>
  <c r="Q59" i="11"/>
  <c r="Q71" i="11"/>
  <c r="Q72" i="11"/>
  <c r="Q96" i="11"/>
  <c r="Q74" i="11"/>
  <c r="Q86" i="11"/>
  <c r="Q98" i="11"/>
  <c r="Q83" i="11"/>
  <c r="Q84" i="11"/>
  <c r="Q75" i="11"/>
  <c r="Q87" i="11"/>
  <c r="Q76" i="11"/>
  <c r="Q85" i="11"/>
  <c r="Q77" i="11"/>
  <c r="Q89" i="11"/>
  <c r="Q95" i="11"/>
  <c r="Q90" i="11"/>
  <c r="Q97" i="11"/>
  <c r="Q88" i="11"/>
  <c r="Q78" i="11"/>
  <c r="Q79" i="11"/>
  <c r="Q91" i="11"/>
  <c r="Q80" i="11"/>
  <c r="Q92" i="11"/>
  <c r="Q73" i="11"/>
  <c r="Q69" i="11"/>
  <c r="Q81" i="11"/>
  <c r="Q93" i="11"/>
  <c r="Q70" i="11"/>
  <c r="Q82" i="11"/>
  <c r="Q94" i="11"/>
  <c r="Q62" i="11"/>
  <c r="Q63" i="11"/>
  <c r="H206" i="5"/>
  <c r="Q65" i="11"/>
  <c r="Q66" i="11"/>
  <c r="Q67" i="11"/>
  <c r="H225" i="5"/>
  <c r="H202" i="5"/>
  <c r="H215" i="5"/>
  <c r="H213" i="5"/>
  <c r="H239" i="5"/>
  <c r="H237" i="5"/>
  <c r="H227" i="5"/>
  <c r="H11" i="1" a="1"/>
  <c r="H11" i="1" s="1"/>
  <c r="H238" i="5"/>
  <c r="H226" i="5"/>
  <c r="H214" i="5"/>
  <c r="H201" i="5"/>
  <c r="Q64" i="11"/>
  <c r="H236" i="5"/>
  <c r="H224" i="5"/>
  <c r="H212" i="5"/>
  <c r="H235" i="5"/>
  <c r="H223" i="5"/>
  <c r="H211" i="5"/>
  <c r="H234" i="5"/>
  <c r="H222" i="5"/>
  <c r="H210" i="5"/>
  <c r="H233" i="5"/>
  <c r="H221" i="5"/>
  <c r="H209" i="5"/>
  <c r="H232" i="5"/>
  <c r="H220" i="5"/>
  <c r="H208" i="5"/>
  <c r="H231" i="5"/>
  <c r="H219" i="5"/>
  <c r="H230" i="5"/>
  <c r="H218" i="5"/>
  <c r="H205" i="5"/>
  <c r="H229" i="5"/>
  <c r="H217" i="5"/>
  <c r="H204" i="5"/>
  <c r="H240" i="5"/>
  <c r="H228" i="5"/>
  <c r="H216" i="5"/>
  <c r="H203" i="5"/>
  <c r="G9" i="1" a="1"/>
  <c r="G9" i="1" s="1"/>
  <c r="I9" i="1" a="1"/>
  <c r="I9" i="1" s="1"/>
  <c r="G14" i="1" a="1"/>
  <c r="G14" i="1" s="1"/>
  <c r="H9" i="1" a="1"/>
  <c r="H9" i="1" s="1"/>
  <c r="H10" i="1" a="1"/>
  <c r="H10" i="1" s="1"/>
  <c r="H207" i="5"/>
  <c r="CQ7" i="6"/>
  <c r="AP14" i="3"/>
  <c r="AQ14" i="3"/>
  <c r="AR14" i="3"/>
  <c r="AS14" i="3"/>
  <c r="AT14" i="3"/>
  <c r="AP15" i="3"/>
  <c r="AQ15" i="3"/>
  <c r="AR15" i="3"/>
  <c r="AS15" i="3"/>
  <c r="AT15" i="3"/>
  <c r="AO15" i="3"/>
  <c r="AO14" i="3"/>
  <c r="AP13" i="3"/>
  <c r="AQ13" i="3"/>
  <c r="AR13" i="3"/>
  <c r="AS13" i="3"/>
  <c r="AT13" i="3"/>
  <c r="AO13" i="3"/>
  <c r="AP12" i="3"/>
  <c r="AQ12" i="3"/>
  <c r="AR12" i="3"/>
  <c r="AS12" i="3"/>
  <c r="AT12" i="3"/>
  <c r="AO12" i="3"/>
  <c r="AN21" i="3"/>
  <c r="Y647" i="3"/>
  <c r="Y646" i="3"/>
  <c r="Y645" i="3"/>
  <c r="Y644" i="3"/>
  <c r="Y643" i="3"/>
  <c r="Y642" i="3"/>
  <c r="Y641" i="3"/>
  <c r="Y640" i="3"/>
  <c r="Y639" i="3"/>
  <c r="Y638" i="3"/>
  <c r="Y637" i="3"/>
  <c r="AB637" i="3" s="1"/>
  <c r="AC637" i="3" s="1"/>
  <c r="Y636" i="3"/>
  <c r="Y635" i="3"/>
  <c r="Y634" i="3"/>
  <c r="Y633" i="3"/>
  <c r="Y632" i="3"/>
  <c r="Y631" i="3"/>
  <c r="Y630" i="3"/>
  <c r="Y629" i="3"/>
  <c r="Y628" i="3"/>
  <c r="Y627" i="3"/>
  <c r="Y626" i="3"/>
  <c r="Y625" i="3"/>
  <c r="Y624" i="3"/>
  <c r="Y623" i="3"/>
  <c r="Y622" i="3"/>
  <c r="Y621" i="3"/>
  <c r="Y620" i="3"/>
  <c r="Y619" i="3"/>
  <c r="Y618" i="3"/>
  <c r="Y617" i="3"/>
  <c r="Y616" i="3"/>
  <c r="Y615" i="3"/>
  <c r="AB615" i="3" s="1"/>
  <c r="AC615" i="3" s="1"/>
  <c r="Y614" i="3"/>
  <c r="Y613" i="3"/>
  <c r="Y612" i="3"/>
  <c r="Y611" i="3"/>
  <c r="Y610" i="3"/>
  <c r="Y609" i="3"/>
  <c r="Y608" i="3"/>
  <c r="Y607" i="3"/>
  <c r="Y606" i="3"/>
  <c r="Y605" i="3"/>
  <c r="Y604" i="3"/>
  <c r="Y603" i="3"/>
  <c r="Y602" i="3"/>
  <c r="Y601" i="3"/>
  <c r="Y600" i="3"/>
  <c r="Y599" i="3"/>
  <c r="Y598" i="3"/>
  <c r="Y597" i="3"/>
  <c r="Y596" i="3"/>
  <c r="Y595" i="3"/>
  <c r="Y594" i="3"/>
  <c r="Y593" i="3"/>
  <c r="Y592" i="3"/>
  <c r="Y591" i="3"/>
  <c r="Y590" i="3"/>
  <c r="Y589" i="3"/>
  <c r="Y588" i="3"/>
  <c r="Y587" i="3"/>
  <c r="Y586" i="3"/>
  <c r="Y585" i="3"/>
  <c r="Y584" i="3"/>
  <c r="Y583" i="3"/>
  <c r="Y582" i="3"/>
  <c r="Y581" i="3"/>
  <c r="Y580" i="3"/>
  <c r="Y579" i="3"/>
  <c r="Y578" i="3"/>
  <c r="Y577" i="3"/>
  <c r="Y576" i="3"/>
  <c r="Y575" i="3"/>
  <c r="Y574" i="3"/>
  <c r="Y573" i="3"/>
  <c r="Y572" i="3"/>
  <c r="Y571" i="3"/>
  <c r="Y570" i="3"/>
  <c r="Y569" i="3"/>
  <c r="Y568" i="3"/>
  <c r="Y567" i="3"/>
  <c r="Y566" i="3"/>
  <c r="Y565" i="3"/>
  <c r="Y564" i="3"/>
  <c r="Y563" i="3"/>
  <c r="Y562" i="3"/>
  <c r="Y561" i="3"/>
  <c r="Y560" i="3"/>
  <c r="Y559" i="3"/>
  <c r="Y558" i="3"/>
  <c r="Y557" i="3"/>
  <c r="Y556" i="3"/>
  <c r="Y555" i="3"/>
  <c r="Y554" i="3"/>
  <c r="Y553" i="3"/>
  <c r="Y552" i="3"/>
  <c r="Y551" i="3"/>
  <c r="Y550" i="3"/>
  <c r="Y549" i="3"/>
  <c r="Y548" i="3"/>
  <c r="Y547" i="3"/>
  <c r="Y546" i="3"/>
  <c r="Y545" i="3"/>
  <c r="Y544" i="3"/>
  <c r="Y540" i="3"/>
  <c r="Y543" i="3"/>
  <c r="Y542" i="3"/>
  <c r="Y541" i="3"/>
  <c r="Y539" i="3"/>
  <c r="Y538" i="3"/>
  <c r="Y537" i="3"/>
  <c r="Y536" i="3"/>
  <c r="Y535" i="3"/>
  <c r="Y534" i="3"/>
  <c r="Y533" i="3"/>
  <c r="Y532" i="3"/>
  <c r="Y531" i="3"/>
  <c r="Y530" i="3"/>
  <c r="Y529" i="3"/>
  <c r="Y528" i="3"/>
  <c r="Y527" i="3"/>
  <c r="Y526" i="3"/>
  <c r="Y525" i="3"/>
  <c r="Y524" i="3"/>
  <c r="Y523" i="3"/>
  <c r="Y522" i="3"/>
  <c r="Y521" i="3"/>
  <c r="Y520" i="3"/>
  <c r="Y519" i="3"/>
  <c r="Y518" i="3"/>
  <c r="Y517" i="3"/>
  <c r="Y516" i="3"/>
  <c r="Y515" i="3"/>
  <c r="Y514" i="3"/>
  <c r="Y513" i="3"/>
  <c r="Y512" i="3"/>
  <c r="Y511" i="3"/>
  <c r="Y510" i="3"/>
  <c r="Y509" i="3"/>
  <c r="Y508" i="3"/>
  <c r="Y507" i="3"/>
  <c r="Y506" i="3"/>
  <c r="Y505" i="3"/>
  <c r="Y504" i="3"/>
  <c r="Y503" i="3"/>
  <c r="Y502" i="3"/>
  <c r="Y501" i="3"/>
  <c r="Y500" i="3"/>
  <c r="Y499" i="3"/>
  <c r="Y498" i="3"/>
  <c r="Y497" i="3"/>
  <c r="Y496" i="3"/>
  <c r="Y495" i="3"/>
  <c r="Y494" i="3"/>
  <c r="Y493" i="3"/>
  <c r="Y492" i="3"/>
  <c r="Y491" i="3"/>
  <c r="Y490" i="3"/>
  <c r="Y489" i="3"/>
  <c r="Y488" i="3"/>
  <c r="Y487" i="3"/>
  <c r="Y486" i="3"/>
  <c r="Y485" i="3"/>
  <c r="Y484" i="3"/>
  <c r="Y483" i="3"/>
  <c r="Y482" i="3"/>
  <c r="Y481" i="3"/>
  <c r="Y480" i="3"/>
  <c r="Y479" i="3"/>
  <c r="Y478" i="3"/>
  <c r="Y477" i="3"/>
  <c r="Y476" i="3"/>
  <c r="Y475" i="3"/>
  <c r="Y474" i="3"/>
  <c r="Y473" i="3"/>
  <c r="Y653" i="3"/>
  <c r="Y654" i="3"/>
  <c r="Y655" i="3"/>
  <c r="Y656" i="3"/>
  <c r="Y657" i="3"/>
  <c r="Y663" i="3"/>
  <c r="Y664" i="3"/>
  <c r="Y665" i="3"/>
  <c r="Y666" i="3"/>
  <c r="Y667" i="3"/>
  <c r="Y673" i="3"/>
  <c r="Y674" i="3"/>
  <c r="Y675" i="3"/>
  <c r="Y676" i="3"/>
  <c r="Y677" i="3"/>
  <c r="Y683" i="3"/>
  <c r="Y684" i="3"/>
  <c r="Y685" i="3"/>
  <c r="Y686" i="3"/>
  <c r="Y687" i="3"/>
  <c r="Y693" i="3"/>
  <c r="Y694" i="3"/>
  <c r="Y695" i="3"/>
  <c r="Y696" i="3"/>
  <c r="Y697" i="3"/>
  <c r="Y678" i="3"/>
  <c r="Y472" i="3"/>
  <c r="Y471" i="3"/>
  <c r="Y470" i="3"/>
  <c r="Y469" i="3"/>
  <c r="Y468" i="3"/>
  <c r="Y467" i="3"/>
  <c r="Y466" i="3"/>
  <c r="Y465" i="3"/>
  <c r="Y464" i="3"/>
  <c r="Y463" i="3"/>
  <c r="Y648" i="3"/>
  <c r="Y652" i="3"/>
  <c r="Y651" i="3"/>
  <c r="Y650" i="3"/>
  <c r="Y649" i="3"/>
  <c r="Y658" i="3"/>
  <c r="Y659" i="3"/>
  <c r="Y660" i="3"/>
  <c r="Y661" i="3"/>
  <c r="Y662" i="3"/>
  <c r="Y668" i="3"/>
  <c r="Y669" i="3"/>
  <c r="Y670" i="3"/>
  <c r="Y671" i="3"/>
  <c r="Y672" i="3"/>
  <c r="Y679" i="3"/>
  <c r="Y680" i="3"/>
  <c r="Y681" i="3"/>
  <c r="Y682" i="3"/>
  <c r="Y688" i="3"/>
  <c r="Y689" i="3"/>
  <c r="Y690" i="3"/>
  <c r="Y691" i="3"/>
  <c r="Y692" i="3"/>
  <c r="Y698" i="3"/>
  <c r="Y699" i="3"/>
  <c r="Y700" i="3"/>
  <c r="Y701" i="3"/>
  <c r="Y702" i="3"/>
  <c r="Y462" i="3"/>
  <c r="Y461" i="3"/>
  <c r="Y460" i="3"/>
  <c r="Y459" i="3"/>
  <c r="Y458" i="3"/>
  <c r="Y457" i="3"/>
  <c r="Y456" i="3"/>
  <c r="Y455" i="3"/>
  <c r="AB455" i="3" s="1"/>
  <c r="AC455" i="3" s="1"/>
  <c r="Y449" i="3"/>
  <c r="Y453" i="3"/>
  <c r="Y454" i="3"/>
  <c r="Y448" i="3"/>
  <c r="Y452" i="3"/>
  <c r="X649" i="3"/>
  <c r="X650" i="3"/>
  <c r="X651" i="3"/>
  <c r="X652" i="3"/>
  <c r="X648" i="3"/>
  <c r="X644" i="3"/>
  <c r="X645" i="3"/>
  <c r="X646" i="3"/>
  <c r="X647" i="3"/>
  <c r="X643" i="3"/>
  <c r="X639" i="3"/>
  <c r="X640" i="3"/>
  <c r="X641" i="3"/>
  <c r="X642" i="3"/>
  <c r="X638" i="3"/>
  <c r="X634" i="3"/>
  <c r="X635" i="3"/>
  <c r="X636" i="3"/>
  <c r="X637" i="3"/>
  <c r="X633" i="3"/>
  <c r="X629" i="3"/>
  <c r="X630" i="3"/>
  <c r="X631" i="3"/>
  <c r="X632" i="3"/>
  <c r="X628" i="3"/>
  <c r="X624" i="3"/>
  <c r="X625" i="3"/>
  <c r="X626" i="3"/>
  <c r="X627" i="3"/>
  <c r="X623" i="3"/>
  <c r="X619" i="3"/>
  <c r="X620" i="3"/>
  <c r="X621" i="3"/>
  <c r="X622" i="3"/>
  <c r="X618" i="3"/>
  <c r="X614" i="3"/>
  <c r="X615" i="3"/>
  <c r="X616" i="3"/>
  <c r="X617" i="3"/>
  <c r="X613" i="3"/>
  <c r="X609" i="3"/>
  <c r="X610" i="3"/>
  <c r="X611" i="3"/>
  <c r="X612" i="3"/>
  <c r="X608" i="3"/>
  <c r="X607" i="3"/>
  <c r="X605" i="3"/>
  <c r="X606" i="3"/>
  <c r="X604" i="3"/>
  <c r="X603" i="3"/>
  <c r="X599" i="3"/>
  <c r="X600" i="3"/>
  <c r="X601" i="3"/>
  <c r="X602" i="3"/>
  <c r="X598" i="3"/>
  <c r="X594" i="3"/>
  <c r="X595" i="3"/>
  <c r="X596" i="3"/>
  <c r="X597" i="3"/>
  <c r="X593" i="3"/>
  <c r="X589" i="3"/>
  <c r="X590" i="3"/>
  <c r="X591" i="3"/>
  <c r="X592" i="3"/>
  <c r="X588" i="3"/>
  <c r="X584" i="3"/>
  <c r="X585" i="3"/>
  <c r="X586" i="3"/>
  <c r="X587" i="3"/>
  <c r="X583" i="3"/>
  <c r="X579" i="3"/>
  <c r="X580" i="3"/>
  <c r="X581" i="3"/>
  <c r="X582" i="3"/>
  <c r="X578" i="3"/>
  <c r="X577" i="3"/>
  <c r="X574" i="3"/>
  <c r="X575" i="3"/>
  <c r="X576" i="3"/>
  <c r="X573" i="3"/>
  <c r="X569" i="3"/>
  <c r="X570" i="3"/>
  <c r="X571" i="3"/>
  <c r="X572" i="3"/>
  <c r="X568" i="3"/>
  <c r="X564" i="3"/>
  <c r="X565" i="3"/>
  <c r="X566" i="3"/>
  <c r="X567" i="3"/>
  <c r="X563" i="3"/>
  <c r="X559" i="3"/>
  <c r="X560" i="3"/>
  <c r="X561" i="3"/>
  <c r="X562" i="3"/>
  <c r="X558" i="3"/>
  <c r="X555" i="3"/>
  <c r="X556" i="3"/>
  <c r="X557" i="3"/>
  <c r="X554" i="3"/>
  <c r="X553" i="3"/>
  <c r="X549" i="3"/>
  <c r="X550" i="3"/>
  <c r="X551" i="3"/>
  <c r="X552" i="3"/>
  <c r="X547" i="3"/>
  <c r="X544" i="3"/>
  <c r="X545" i="3"/>
  <c r="X546" i="3"/>
  <c r="X548" i="3"/>
  <c r="X543" i="3"/>
  <c r="X539" i="3"/>
  <c r="X540" i="3"/>
  <c r="X541" i="3"/>
  <c r="X542" i="3"/>
  <c r="X538" i="3"/>
  <c r="X534" i="3"/>
  <c r="X535" i="3"/>
  <c r="X536" i="3"/>
  <c r="X537" i="3"/>
  <c r="X533" i="3"/>
  <c r="X529" i="3"/>
  <c r="X530" i="3"/>
  <c r="X531" i="3"/>
  <c r="X532" i="3"/>
  <c r="X528" i="3"/>
  <c r="X524" i="3"/>
  <c r="X525" i="3"/>
  <c r="X526" i="3"/>
  <c r="X527" i="3"/>
  <c r="X523" i="3"/>
  <c r="X519" i="3"/>
  <c r="X520" i="3"/>
  <c r="X521" i="3"/>
  <c r="X522" i="3"/>
  <c r="X518" i="3"/>
  <c r="X514" i="3"/>
  <c r="X515" i="3"/>
  <c r="X516" i="3"/>
  <c r="X517" i="3"/>
  <c r="X513" i="3"/>
  <c r="X509" i="3"/>
  <c r="X510" i="3"/>
  <c r="X511" i="3"/>
  <c r="X512" i="3"/>
  <c r="X508" i="3"/>
  <c r="X505" i="3"/>
  <c r="X506" i="3"/>
  <c r="X507" i="3"/>
  <c r="X504" i="3"/>
  <c r="X503" i="3"/>
  <c r="X499" i="3"/>
  <c r="X500" i="3"/>
  <c r="X501" i="3"/>
  <c r="X502" i="3"/>
  <c r="X498" i="3"/>
  <c r="X497" i="3"/>
  <c r="X494" i="3"/>
  <c r="X495" i="3"/>
  <c r="X496" i="3"/>
  <c r="X493" i="3"/>
  <c r="X489" i="3"/>
  <c r="X490" i="3"/>
  <c r="X491" i="3"/>
  <c r="X492" i="3"/>
  <c r="X488" i="3"/>
  <c r="X484" i="3"/>
  <c r="X485" i="3"/>
  <c r="X486" i="3"/>
  <c r="X487" i="3"/>
  <c r="X483" i="3"/>
  <c r="X479" i="3"/>
  <c r="X480" i="3"/>
  <c r="X481" i="3"/>
  <c r="X482" i="3"/>
  <c r="X478" i="3"/>
  <c r="X474" i="3"/>
  <c r="X475" i="3"/>
  <c r="X476" i="3"/>
  <c r="X477" i="3"/>
  <c r="X473" i="3"/>
  <c r="X469" i="3"/>
  <c r="X470" i="3"/>
  <c r="X471" i="3"/>
  <c r="X472" i="3"/>
  <c r="X468" i="3"/>
  <c r="X464" i="3"/>
  <c r="X465" i="3"/>
  <c r="X466" i="3"/>
  <c r="X467" i="3"/>
  <c r="X463" i="3"/>
  <c r="X459" i="3"/>
  <c r="X460" i="3"/>
  <c r="X461" i="3"/>
  <c r="X462" i="3"/>
  <c r="X458" i="3"/>
  <c r="X457" i="3"/>
  <c r="X455" i="3"/>
  <c r="X456" i="3"/>
  <c r="X454" i="3"/>
  <c r="X453" i="3"/>
  <c r="X452" i="3"/>
  <c r="Z24" i="4"/>
  <c r="Z22" i="4"/>
  <c r="Z20" i="4"/>
  <c r="Z18" i="4"/>
  <c r="Z16" i="4"/>
  <c r="Z14" i="4"/>
  <c r="Z12" i="4"/>
  <c r="Z10" i="4"/>
  <c r="Z8" i="4"/>
  <c r="Z6" i="4"/>
  <c r="X24" i="4"/>
  <c r="X22" i="4"/>
  <c r="X20" i="4"/>
  <c r="X18" i="4"/>
  <c r="X16" i="4"/>
  <c r="X14" i="4"/>
  <c r="X12" i="4"/>
  <c r="X10" i="4"/>
  <c r="X8" i="4"/>
  <c r="X6" i="4"/>
  <c r="V24" i="4"/>
  <c r="V22" i="4"/>
  <c r="V20" i="4"/>
  <c r="V18" i="4"/>
  <c r="V16" i="4"/>
  <c r="V14" i="4"/>
  <c r="V12" i="4"/>
  <c r="V10" i="4"/>
  <c r="V8" i="4"/>
  <c r="V6" i="4"/>
  <c r="T22" i="4"/>
  <c r="T20" i="4"/>
  <c r="T24" i="4"/>
  <c r="T8" i="4"/>
  <c r="T6" i="4"/>
  <c r="T12" i="4"/>
  <c r="T10" i="4"/>
  <c r="T18" i="4"/>
  <c r="T16" i="4"/>
  <c r="T14" i="4"/>
  <c r="B139" i="5"/>
  <c r="B140" i="5"/>
  <c r="B141" i="5"/>
  <c r="B142" i="5"/>
  <c r="B143" i="5"/>
  <c r="B144" i="5"/>
  <c r="B145" i="5"/>
  <c r="B146" i="5"/>
  <c r="B147" i="5"/>
  <c r="B138" i="5"/>
  <c r="B133" i="5"/>
  <c r="B134" i="5"/>
  <c r="B135" i="5"/>
  <c r="B136" i="5"/>
  <c r="B137" i="5"/>
  <c r="B129" i="5"/>
  <c r="B130" i="5"/>
  <c r="B131" i="5"/>
  <c r="B132" i="5"/>
  <c r="B128" i="5"/>
  <c r="B126" i="5"/>
  <c r="B127" i="5"/>
  <c r="B119" i="5"/>
  <c r="B120" i="5"/>
  <c r="B121" i="5"/>
  <c r="B122" i="5"/>
  <c r="B123" i="5"/>
  <c r="B124" i="5"/>
  <c r="B125" i="5"/>
  <c r="B118" i="5"/>
  <c r="B116" i="5"/>
  <c r="B117" i="5"/>
  <c r="B109" i="5"/>
  <c r="B110" i="5"/>
  <c r="B111" i="5"/>
  <c r="B112" i="5"/>
  <c r="B113" i="5"/>
  <c r="B114" i="5"/>
  <c r="B115" i="5"/>
  <c r="B108" i="5"/>
  <c r="C99" i="5"/>
  <c r="C100" i="5"/>
  <c r="C101" i="5"/>
  <c r="C102" i="5"/>
  <c r="C103" i="5"/>
  <c r="C104" i="5"/>
  <c r="C105" i="5"/>
  <c r="C106" i="5"/>
  <c r="C98" i="5"/>
  <c r="B99" i="5"/>
  <c r="B100" i="5"/>
  <c r="B101" i="5"/>
  <c r="B102" i="5"/>
  <c r="B103" i="5"/>
  <c r="B104" i="5"/>
  <c r="B105" i="5"/>
  <c r="B106" i="5"/>
  <c r="B107" i="5"/>
  <c r="B98" i="5"/>
  <c r="B94" i="5"/>
  <c r="B95" i="5"/>
  <c r="B96" i="5"/>
  <c r="B97" i="5"/>
  <c r="P27" i="1"/>
  <c r="L15" i="16" s="1"/>
  <c r="P26" i="1"/>
  <c r="L14" i="16" s="1"/>
  <c r="P25" i="1"/>
  <c r="L13" i="16" s="1"/>
  <c r="P24" i="1"/>
  <c r="L12" i="16" s="1"/>
  <c r="P22" i="1"/>
  <c r="L10" i="16" s="1"/>
  <c r="P21" i="1"/>
  <c r="L9" i="16" s="1"/>
  <c r="P20" i="1"/>
  <c r="L8" i="16" s="1"/>
  <c r="P19" i="1"/>
  <c r="K7" i="19" s="1"/>
  <c r="K9" i="19" l="1"/>
  <c r="K10" i="19"/>
  <c r="K12" i="19"/>
  <c r="K8" i="19"/>
  <c r="K14" i="19"/>
  <c r="K13" i="19"/>
  <c r="K15" i="19"/>
  <c r="L212" i="19"/>
  <c r="L231" i="19"/>
  <c r="L219" i="19"/>
  <c r="L244" i="19"/>
  <c r="L215" i="19"/>
  <c r="L213" i="19"/>
  <c r="L240" i="19"/>
  <c r="L227" i="19"/>
  <c r="L222" i="19"/>
  <c r="L214" i="19"/>
  <c r="L217" i="19"/>
  <c r="L226" i="19"/>
  <c r="L243" i="19"/>
  <c r="L216" i="19"/>
  <c r="L218" i="19"/>
  <c r="L225" i="19"/>
  <c r="L234" i="19"/>
  <c r="L232" i="19"/>
  <c r="L221" i="19"/>
  <c r="L233" i="19"/>
  <c r="L242" i="19"/>
  <c r="L220" i="19"/>
  <c r="L229" i="19"/>
  <c r="L239" i="19"/>
  <c r="L210" i="19"/>
  <c r="L241" i="19"/>
  <c r="L238" i="19"/>
  <c r="L228" i="19"/>
  <c r="L237" i="19"/>
  <c r="L235" i="19"/>
  <c r="L211" i="19"/>
  <c r="L230" i="19"/>
  <c r="L224" i="19"/>
  <c r="L236" i="19"/>
  <c r="L223" i="19"/>
  <c r="Z493" i="3"/>
  <c r="Z588" i="3"/>
  <c r="Z556" i="3"/>
  <c r="Z628" i="3"/>
  <c r="Q19" i="1"/>
  <c r="L7" i="16"/>
  <c r="Z515" i="3"/>
  <c r="Z542" i="3"/>
  <c r="Z505" i="3"/>
  <c r="Z565" i="3"/>
  <c r="Z589" i="3"/>
  <c r="Z541" i="3"/>
  <c r="Z627" i="3"/>
  <c r="AA696" i="3"/>
  <c r="AB696" i="3"/>
  <c r="AC696" i="3" s="1"/>
  <c r="AA497" i="3"/>
  <c r="AB497" i="3"/>
  <c r="AC497" i="3" s="1"/>
  <c r="AA581" i="3"/>
  <c r="AB581" i="3"/>
  <c r="AC581" i="3" s="1"/>
  <c r="AA691" i="3"/>
  <c r="AB691" i="3"/>
  <c r="AC691" i="3" s="1"/>
  <c r="AA695" i="3"/>
  <c r="AB695" i="3"/>
  <c r="AC695" i="3" s="1"/>
  <c r="AA486" i="3"/>
  <c r="AB486" i="3"/>
  <c r="AC486" i="3" s="1"/>
  <c r="AA522" i="3"/>
  <c r="AB522" i="3"/>
  <c r="AC522" i="3" s="1"/>
  <c r="AA558" i="3"/>
  <c r="AB558" i="3"/>
  <c r="AC558" i="3" s="1"/>
  <c r="AA594" i="3"/>
  <c r="AB594" i="3"/>
  <c r="AC594" i="3" s="1"/>
  <c r="AA630" i="3"/>
  <c r="AB630" i="3"/>
  <c r="AC630" i="3" s="1"/>
  <c r="AA458" i="3"/>
  <c r="AB458" i="3"/>
  <c r="AC458" i="3" s="1"/>
  <c r="AA690" i="3"/>
  <c r="AB690" i="3"/>
  <c r="AC690" i="3" s="1"/>
  <c r="AA662" i="3"/>
  <c r="AB662" i="3"/>
  <c r="AC662" i="3" s="1"/>
  <c r="AA465" i="3"/>
  <c r="AB465" i="3"/>
  <c r="AC465" i="3" s="1"/>
  <c r="AA694" i="3"/>
  <c r="AB694" i="3"/>
  <c r="AC694" i="3" s="1"/>
  <c r="AA667" i="3"/>
  <c r="AB667" i="3"/>
  <c r="AC667" i="3" s="1"/>
  <c r="AA475" i="3"/>
  <c r="AB475" i="3"/>
  <c r="AC475" i="3" s="1"/>
  <c r="AA487" i="3"/>
  <c r="AB487" i="3"/>
  <c r="AC487" i="3" s="1"/>
  <c r="AA499" i="3"/>
  <c r="AB499" i="3"/>
  <c r="AC499" i="3" s="1"/>
  <c r="AA511" i="3"/>
  <c r="AB511" i="3"/>
  <c r="AC511" i="3" s="1"/>
  <c r="AA523" i="3"/>
  <c r="AB523" i="3"/>
  <c r="AC523" i="3" s="1"/>
  <c r="AA535" i="3"/>
  <c r="AB535" i="3"/>
  <c r="AC535" i="3" s="1"/>
  <c r="AA547" i="3"/>
  <c r="AB547" i="3"/>
  <c r="AC547" i="3" s="1"/>
  <c r="AA559" i="3"/>
  <c r="AB559" i="3"/>
  <c r="AC559" i="3" s="1"/>
  <c r="AA571" i="3"/>
  <c r="AB571" i="3"/>
  <c r="AC571" i="3" s="1"/>
  <c r="AA583" i="3"/>
  <c r="AB583" i="3"/>
  <c r="AC583" i="3" s="1"/>
  <c r="AA595" i="3"/>
  <c r="AB595" i="3"/>
  <c r="AC595" i="3" s="1"/>
  <c r="AA607" i="3"/>
  <c r="AB607" i="3"/>
  <c r="AC607" i="3" s="1"/>
  <c r="AA619" i="3"/>
  <c r="AB619" i="3"/>
  <c r="AC619" i="3" s="1"/>
  <c r="AA631" i="3"/>
  <c r="AB631" i="3"/>
  <c r="AC631" i="3" s="1"/>
  <c r="AA643" i="3"/>
  <c r="AB643" i="3"/>
  <c r="AC643" i="3" s="1"/>
  <c r="AA669" i="3"/>
  <c r="AB669" i="3"/>
  <c r="AC669" i="3" s="1"/>
  <c r="AA485" i="3"/>
  <c r="AB485" i="3"/>
  <c r="AC485" i="3" s="1"/>
  <c r="AA605" i="3"/>
  <c r="AB605" i="3"/>
  <c r="AC605" i="3" s="1"/>
  <c r="AA668" i="3"/>
  <c r="AB668" i="3"/>
  <c r="AC668" i="3" s="1"/>
  <c r="AA474" i="3"/>
  <c r="AB474" i="3"/>
  <c r="AC474" i="3" s="1"/>
  <c r="AA534" i="3"/>
  <c r="AB534" i="3"/>
  <c r="AC534" i="3" s="1"/>
  <c r="AA570" i="3"/>
  <c r="AB570" i="3"/>
  <c r="AC570" i="3" s="1"/>
  <c r="AA606" i="3"/>
  <c r="AB606" i="3"/>
  <c r="AC606" i="3" s="1"/>
  <c r="AA642" i="3"/>
  <c r="AB642" i="3"/>
  <c r="AC642" i="3" s="1"/>
  <c r="Z554" i="3"/>
  <c r="Z599" i="3"/>
  <c r="Z638" i="3"/>
  <c r="AA459" i="3"/>
  <c r="AB459" i="3"/>
  <c r="AC459" i="3" s="1"/>
  <c r="AA689" i="3"/>
  <c r="AB689" i="3"/>
  <c r="AC689" i="3" s="1"/>
  <c r="AA661" i="3"/>
  <c r="AB661" i="3"/>
  <c r="AC661" i="3" s="1"/>
  <c r="AA466" i="3"/>
  <c r="AB466" i="3"/>
  <c r="AC466" i="3" s="1"/>
  <c r="AA693" i="3"/>
  <c r="AB693" i="3"/>
  <c r="AC693" i="3" s="1"/>
  <c r="AA666" i="3"/>
  <c r="AB666" i="3"/>
  <c r="AC666" i="3" s="1"/>
  <c r="AA476" i="3"/>
  <c r="AB476" i="3"/>
  <c r="AC476" i="3" s="1"/>
  <c r="AA488" i="3"/>
  <c r="AB488" i="3"/>
  <c r="AC488" i="3" s="1"/>
  <c r="AA500" i="3"/>
  <c r="AB500" i="3"/>
  <c r="AC500" i="3" s="1"/>
  <c r="AA512" i="3"/>
  <c r="AB512" i="3"/>
  <c r="AC512" i="3" s="1"/>
  <c r="AA524" i="3"/>
  <c r="AB524" i="3"/>
  <c r="AC524" i="3" s="1"/>
  <c r="AA536" i="3"/>
  <c r="AB536" i="3"/>
  <c r="AC536" i="3" s="1"/>
  <c r="AA548" i="3"/>
  <c r="AB548" i="3"/>
  <c r="AC548" i="3" s="1"/>
  <c r="AA560" i="3"/>
  <c r="AB560" i="3"/>
  <c r="AC560" i="3" s="1"/>
  <c r="AA572" i="3"/>
  <c r="AB572" i="3"/>
  <c r="AC572" i="3" s="1"/>
  <c r="AA584" i="3"/>
  <c r="AB584" i="3"/>
  <c r="AC584" i="3" s="1"/>
  <c r="AA596" i="3"/>
  <c r="AB596" i="3"/>
  <c r="AC596" i="3" s="1"/>
  <c r="AA608" i="3"/>
  <c r="AB608" i="3"/>
  <c r="AC608" i="3" s="1"/>
  <c r="AA620" i="3"/>
  <c r="AB620" i="3"/>
  <c r="AC620" i="3" s="1"/>
  <c r="AA632" i="3"/>
  <c r="AB632" i="3"/>
  <c r="AC632" i="3" s="1"/>
  <c r="AA644" i="3"/>
  <c r="AB644" i="3"/>
  <c r="AC644" i="3" s="1"/>
  <c r="AA674" i="3"/>
  <c r="AB674" i="3"/>
  <c r="AC674" i="3" s="1"/>
  <c r="AA509" i="3"/>
  <c r="AB509" i="3"/>
  <c r="AC509" i="3" s="1"/>
  <c r="AA629" i="3"/>
  <c r="AB629" i="3"/>
  <c r="AC629" i="3" s="1"/>
  <c r="AA457" i="3"/>
  <c r="AB457" i="3"/>
  <c r="AC457" i="3" s="1"/>
  <c r="AA510" i="3"/>
  <c r="AB510" i="3"/>
  <c r="AC510" i="3" s="1"/>
  <c r="AA460" i="3"/>
  <c r="AB460" i="3"/>
  <c r="AC460" i="3" s="1"/>
  <c r="AA688" i="3"/>
  <c r="AB688" i="3"/>
  <c r="AC688" i="3" s="1"/>
  <c r="AA660" i="3"/>
  <c r="AB660" i="3"/>
  <c r="AC660" i="3" s="1"/>
  <c r="AA467" i="3"/>
  <c r="AB467" i="3"/>
  <c r="AC467" i="3" s="1"/>
  <c r="AA687" i="3"/>
  <c r="AB687" i="3"/>
  <c r="AC687" i="3" s="1"/>
  <c r="AA665" i="3"/>
  <c r="AB665" i="3"/>
  <c r="AC665" i="3" s="1"/>
  <c r="AA477" i="3"/>
  <c r="AB477" i="3"/>
  <c r="AC477" i="3" s="1"/>
  <c r="AA489" i="3"/>
  <c r="AB489" i="3"/>
  <c r="AC489" i="3" s="1"/>
  <c r="AA501" i="3"/>
  <c r="AB501" i="3"/>
  <c r="AC501" i="3" s="1"/>
  <c r="AA513" i="3"/>
  <c r="AB513" i="3"/>
  <c r="AC513" i="3" s="1"/>
  <c r="AA525" i="3"/>
  <c r="AB525" i="3"/>
  <c r="AC525" i="3" s="1"/>
  <c r="AA537" i="3"/>
  <c r="AB537" i="3"/>
  <c r="AC537" i="3" s="1"/>
  <c r="AA549" i="3"/>
  <c r="AB549" i="3"/>
  <c r="AC549" i="3" s="1"/>
  <c r="AA561" i="3"/>
  <c r="AB561" i="3"/>
  <c r="AC561" i="3" s="1"/>
  <c r="AA573" i="3"/>
  <c r="AB573" i="3"/>
  <c r="AC573" i="3" s="1"/>
  <c r="AA585" i="3"/>
  <c r="AB585" i="3"/>
  <c r="AC585" i="3" s="1"/>
  <c r="AA597" i="3"/>
  <c r="AB597" i="3"/>
  <c r="AC597" i="3" s="1"/>
  <c r="AA609" i="3"/>
  <c r="AB609" i="3"/>
  <c r="AC609" i="3" s="1"/>
  <c r="AA621" i="3"/>
  <c r="AB621" i="3"/>
  <c r="AC621" i="3" s="1"/>
  <c r="AA633" i="3"/>
  <c r="AB633" i="3"/>
  <c r="AC633" i="3" s="1"/>
  <c r="AA645" i="3"/>
  <c r="AB645" i="3"/>
  <c r="AC645" i="3" s="1"/>
  <c r="AA473" i="3"/>
  <c r="AB473" i="3"/>
  <c r="AC473" i="3" s="1"/>
  <c r="AA533" i="3"/>
  <c r="AB533" i="3"/>
  <c r="AC533" i="3" s="1"/>
  <c r="AA641" i="3"/>
  <c r="AB641" i="3"/>
  <c r="AC641" i="3" s="1"/>
  <c r="AA464" i="3"/>
  <c r="AB464" i="3"/>
  <c r="AC464" i="3" s="1"/>
  <c r="AA673" i="3"/>
  <c r="AB673" i="3"/>
  <c r="AC673" i="3" s="1"/>
  <c r="AA498" i="3"/>
  <c r="AB498" i="3"/>
  <c r="AC498" i="3" s="1"/>
  <c r="AA546" i="3"/>
  <c r="AB546" i="3"/>
  <c r="AC546" i="3" s="1"/>
  <c r="AA582" i="3"/>
  <c r="AB582" i="3"/>
  <c r="AC582" i="3" s="1"/>
  <c r="AA618" i="3"/>
  <c r="AB618" i="3"/>
  <c r="AC618" i="3" s="1"/>
  <c r="AA461" i="3"/>
  <c r="AB461" i="3"/>
  <c r="AC461" i="3" s="1"/>
  <c r="AA682" i="3"/>
  <c r="AB682" i="3"/>
  <c r="AC682" i="3" s="1"/>
  <c r="AA659" i="3"/>
  <c r="AB659" i="3"/>
  <c r="AC659" i="3" s="1"/>
  <c r="AA468" i="3"/>
  <c r="AB468" i="3"/>
  <c r="AC468" i="3" s="1"/>
  <c r="AA686" i="3"/>
  <c r="AB686" i="3"/>
  <c r="AC686" i="3" s="1"/>
  <c r="AA664" i="3"/>
  <c r="AB664" i="3"/>
  <c r="AC664" i="3" s="1"/>
  <c r="AA478" i="3"/>
  <c r="AB478" i="3"/>
  <c r="AC478" i="3" s="1"/>
  <c r="AA490" i="3"/>
  <c r="AB490" i="3"/>
  <c r="AC490" i="3" s="1"/>
  <c r="AA502" i="3"/>
  <c r="AB502" i="3"/>
  <c r="AC502" i="3" s="1"/>
  <c r="AA514" i="3"/>
  <c r="AB514" i="3"/>
  <c r="AC514" i="3" s="1"/>
  <c r="AA526" i="3"/>
  <c r="AB526" i="3"/>
  <c r="AC526" i="3" s="1"/>
  <c r="AA538" i="3"/>
  <c r="AB538" i="3"/>
  <c r="AC538" i="3" s="1"/>
  <c r="AA550" i="3"/>
  <c r="AB550" i="3"/>
  <c r="AC550" i="3" s="1"/>
  <c r="AA562" i="3"/>
  <c r="AB562" i="3"/>
  <c r="AC562" i="3" s="1"/>
  <c r="AA574" i="3"/>
  <c r="AB574" i="3"/>
  <c r="AC574" i="3" s="1"/>
  <c r="AA586" i="3"/>
  <c r="AB586" i="3"/>
  <c r="AC586" i="3" s="1"/>
  <c r="AA598" i="3"/>
  <c r="AB598" i="3"/>
  <c r="AC598" i="3" s="1"/>
  <c r="AA610" i="3"/>
  <c r="AB610" i="3"/>
  <c r="AC610" i="3" s="1"/>
  <c r="AA622" i="3"/>
  <c r="AB622" i="3"/>
  <c r="AC622" i="3" s="1"/>
  <c r="AA634" i="3"/>
  <c r="AB634" i="3"/>
  <c r="AC634" i="3" s="1"/>
  <c r="AA646" i="3"/>
  <c r="AB646" i="3"/>
  <c r="AC646" i="3" s="1"/>
  <c r="AA545" i="3"/>
  <c r="AB545" i="3"/>
  <c r="AC545" i="3" s="1"/>
  <c r="AA681" i="3"/>
  <c r="AB681" i="3"/>
  <c r="AC681" i="3" s="1"/>
  <c r="AA479" i="3"/>
  <c r="AB479" i="3"/>
  <c r="AC479" i="3" s="1"/>
  <c r="AA587" i="3"/>
  <c r="AB587" i="3"/>
  <c r="AC587" i="3" s="1"/>
  <c r="AA521" i="3"/>
  <c r="AB521" i="3"/>
  <c r="AC521" i="3" s="1"/>
  <c r="AA469" i="3"/>
  <c r="AB469" i="3"/>
  <c r="AC469" i="3" s="1"/>
  <c r="AA663" i="3"/>
  <c r="AB663" i="3"/>
  <c r="AC663" i="3" s="1"/>
  <c r="AA503" i="3"/>
  <c r="AB503" i="3"/>
  <c r="AC503" i="3" s="1"/>
  <c r="AA527" i="3"/>
  <c r="AB527" i="3"/>
  <c r="AC527" i="3" s="1"/>
  <c r="AA551" i="3"/>
  <c r="AB551" i="3"/>
  <c r="AC551" i="3" s="1"/>
  <c r="AA575" i="3"/>
  <c r="AB575" i="3"/>
  <c r="AC575" i="3" s="1"/>
  <c r="AA611" i="3"/>
  <c r="AB611" i="3"/>
  <c r="AC611" i="3" s="1"/>
  <c r="AA635" i="3"/>
  <c r="AB635" i="3"/>
  <c r="AC635" i="3" s="1"/>
  <c r="AA448" i="3"/>
  <c r="AB448" i="3"/>
  <c r="AC448" i="3" s="1"/>
  <c r="AA702" i="3"/>
  <c r="AB702" i="3"/>
  <c r="AC702" i="3" s="1"/>
  <c r="AA680" i="3"/>
  <c r="AB680" i="3"/>
  <c r="AC680" i="3" s="1"/>
  <c r="AA649" i="3"/>
  <c r="AB649" i="3"/>
  <c r="AC649" i="3" s="1"/>
  <c r="AA470" i="3"/>
  <c r="AB470" i="3"/>
  <c r="AC470" i="3" s="1"/>
  <c r="AA684" i="3"/>
  <c r="AB684" i="3"/>
  <c r="AC684" i="3" s="1"/>
  <c r="AA657" i="3"/>
  <c r="AB657" i="3"/>
  <c r="AC657" i="3" s="1"/>
  <c r="AA480" i="3"/>
  <c r="AB480" i="3"/>
  <c r="AC480" i="3" s="1"/>
  <c r="AA492" i="3"/>
  <c r="AB492" i="3"/>
  <c r="AC492" i="3" s="1"/>
  <c r="AA504" i="3"/>
  <c r="AB504" i="3"/>
  <c r="AC504" i="3" s="1"/>
  <c r="AA516" i="3"/>
  <c r="AB516" i="3"/>
  <c r="AC516" i="3" s="1"/>
  <c r="AA528" i="3"/>
  <c r="AB528" i="3"/>
  <c r="AC528" i="3" s="1"/>
  <c r="AA541" i="3"/>
  <c r="AB541" i="3"/>
  <c r="AC541" i="3" s="1"/>
  <c r="AA552" i="3"/>
  <c r="AB552" i="3"/>
  <c r="AC552" i="3" s="1"/>
  <c r="AA564" i="3"/>
  <c r="AB564" i="3"/>
  <c r="AC564" i="3" s="1"/>
  <c r="AA576" i="3"/>
  <c r="AB576" i="3"/>
  <c r="AC576" i="3" s="1"/>
  <c r="AA588" i="3"/>
  <c r="AB588" i="3"/>
  <c r="AC588" i="3" s="1"/>
  <c r="AA600" i="3"/>
  <c r="AB600" i="3"/>
  <c r="AC600" i="3" s="1"/>
  <c r="AA612" i="3"/>
  <c r="AB612" i="3"/>
  <c r="AC612" i="3" s="1"/>
  <c r="AA624" i="3"/>
  <c r="AB624" i="3"/>
  <c r="AC624" i="3" s="1"/>
  <c r="AA636" i="3"/>
  <c r="AB636" i="3"/>
  <c r="AC636" i="3" s="1"/>
  <c r="AA456" i="3"/>
  <c r="AB456" i="3"/>
  <c r="AC456" i="3" s="1"/>
  <c r="AA569" i="3"/>
  <c r="AB569" i="3"/>
  <c r="AC569" i="3" s="1"/>
  <c r="AA452" i="3"/>
  <c r="AB452" i="3"/>
  <c r="AC452" i="3" s="1"/>
  <c r="AA462" i="3"/>
  <c r="AB462" i="3"/>
  <c r="AC462" i="3" s="1"/>
  <c r="AA658" i="3"/>
  <c r="AB658" i="3"/>
  <c r="AC658" i="3" s="1"/>
  <c r="AA685" i="3"/>
  <c r="AB685" i="3"/>
  <c r="AC685" i="3" s="1"/>
  <c r="AA491" i="3"/>
  <c r="AB491" i="3"/>
  <c r="AC491" i="3" s="1"/>
  <c r="AA515" i="3"/>
  <c r="AB515" i="3"/>
  <c r="AC515" i="3" s="1"/>
  <c r="AA539" i="3"/>
  <c r="AB539" i="3"/>
  <c r="AC539" i="3" s="1"/>
  <c r="AA563" i="3"/>
  <c r="AB563" i="3"/>
  <c r="AC563" i="3" s="1"/>
  <c r="AA599" i="3"/>
  <c r="AB599" i="3"/>
  <c r="AC599" i="3" s="1"/>
  <c r="AA623" i="3"/>
  <c r="AB623" i="3"/>
  <c r="AC623" i="3" s="1"/>
  <c r="AA647" i="3"/>
  <c r="AB647" i="3"/>
  <c r="AC647" i="3" s="1"/>
  <c r="AA454" i="3"/>
  <c r="AB454" i="3"/>
  <c r="AC454" i="3" s="1"/>
  <c r="AA701" i="3"/>
  <c r="AB701" i="3"/>
  <c r="AC701" i="3" s="1"/>
  <c r="AA679" i="3"/>
  <c r="AB679" i="3"/>
  <c r="AC679" i="3" s="1"/>
  <c r="AA650" i="3"/>
  <c r="AB650" i="3"/>
  <c r="AC650" i="3" s="1"/>
  <c r="AA471" i="3"/>
  <c r="AB471" i="3"/>
  <c r="AC471" i="3" s="1"/>
  <c r="AA683" i="3"/>
  <c r="AB683" i="3"/>
  <c r="AC683" i="3" s="1"/>
  <c r="AA656" i="3"/>
  <c r="AB656" i="3"/>
  <c r="AC656" i="3" s="1"/>
  <c r="AA481" i="3"/>
  <c r="AB481" i="3"/>
  <c r="AC481" i="3" s="1"/>
  <c r="AA493" i="3"/>
  <c r="AB493" i="3"/>
  <c r="AC493" i="3" s="1"/>
  <c r="AA505" i="3"/>
  <c r="AB505" i="3"/>
  <c r="AC505" i="3" s="1"/>
  <c r="AA517" i="3"/>
  <c r="AB517" i="3"/>
  <c r="AC517" i="3" s="1"/>
  <c r="AA529" i="3"/>
  <c r="AB529" i="3"/>
  <c r="AC529" i="3" s="1"/>
  <c r="AA542" i="3"/>
  <c r="AB542" i="3"/>
  <c r="AC542" i="3" s="1"/>
  <c r="AA553" i="3"/>
  <c r="AB553" i="3"/>
  <c r="AC553" i="3" s="1"/>
  <c r="AA565" i="3"/>
  <c r="AB565" i="3"/>
  <c r="AC565" i="3" s="1"/>
  <c r="AA577" i="3"/>
  <c r="AB577" i="3"/>
  <c r="AC577" i="3" s="1"/>
  <c r="AA589" i="3"/>
  <c r="AB589" i="3"/>
  <c r="AC589" i="3" s="1"/>
  <c r="AA601" i="3"/>
  <c r="AB601" i="3"/>
  <c r="AC601" i="3" s="1"/>
  <c r="AA613" i="3"/>
  <c r="AB613" i="3"/>
  <c r="AC613" i="3" s="1"/>
  <c r="AA625" i="3"/>
  <c r="AB625" i="3"/>
  <c r="AC625" i="3" s="1"/>
  <c r="AA557" i="3"/>
  <c r="AB557" i="3"/>
  <c r="AC557" i="3" s="1"/>
  <c r="AA655" i="3"/>
  <c r="AB655" i="3"/>
  <c r="AC655" i="3" s="1"/>
  <c r="AA566" i="3"/>
  <c r="AB566" i="3"/>
  <c r="AC566" i="3" s="1"/>
  <c r="AA463" i="3"/>
  <c r="AB463" i="3"/>
  <c r="AC463" i="3" s="1"/>
  <c r="AA593" i="3"/>
  <c r="AB593" i="3"/>
  <c r="AC593" i="3" s="1"/>
  <c r="AA453" i="3"/>
  <c r="AB453" i="3"/>
  <c r="AC453" i="3" s="1"/>
  <c r="AA672" i="3"/>
  <c r="AB672" i="3"/>
  <c r="AC672" i="3" s="1"/>
  <c r="AA472" i="3"/>
  <c r="AB472" i="3"/>
  <c r="AC472" i="3" s="1"/>
  <c r="AA482" i="3"/>
  <c r="AB482" i="3"/>
  <c r="AC482" i="3" s="1"/>
  <c r="AA506" i="3"/>
  <c r="AB506" i="3"/>
  <c r="AC506" i="3" s="1"/>
  <c r="AA518" i="3"/>
  <c r="AB518" i="3"/>
  <c r="AC518" i="3" s="1"/>
  <c r="AA543" i="3"/>
  <c r="AB543" i="3"/>
  <c r="AC543" i="3" s="1"/>
  <c r="AA578" i="3"/>
  <c r="AB578" i="3"/>
  <c r="AC578" i="3" s="1"/>
  <c r="AA602" i="3"/>
  <c r="AB602" i="3"/>
  <c r="AC602" i="3" s="1"/>
  <c r="AA626" i="3"/>
  <c r="AB626" i="3"/>
  <c r="AC626" i="3" s="1"/>
  <c r="AA449" i="3"/>
  <c r="AB449" i="3"/>
  <c r="AC449" i="3" s="1"/>
  <c r="AA699" i="3"/>
  <c r="AB699" i="3"/>
  <c r="AC699" i="3" s="1"/>
  <c r="AA671" i="3"/>
  <c r="AB671" i="3"/>
  <c r="AC671" i="3" s="1"/>
  <c r="AA652" i="3"/>
  <c r="AB652" i="3"/>
  <c r="AC652" i="3" s="1"/>
  <c r="AA678" i="3"/>
  <c r="AB678" i="3"/>
  <c r="AC678" i="3" s="1"/>
  <c r="AA676" i="3"/>
  <c r="AB676" i="3"/>
  <c r="AC676" i="3" s="1"/>
  <c r="AA654" i="3"/>
  <c r="AB654" i="3"/>
  <c r="AC654" i="3" s="1"/>
  <c r="AA483" i="3"/>
  <c r="AB483" i="3"/>
  <c r="AC483" i="3" s="1"/>
  <c r="AA495" i="3"/>
  <c r="AB495" i="3"/>
  <c r="AC495" i="3" s="1"/>
  <c r="AA507" i="3"/>
  <c r="AB507" i="3"/>
  <c r="AC507" i="3" s="1"/>
  <c r="AA519" i="3"/>
  <c r="AB519" i="3"/>
  <c r="AC519" i="3" s="1"/>
  <c r="AA531" i="3"/>
  <c r="AB531" i="3"/>
  <c r="AC531" i="3" s="1"/>
  <c r="AA540" i="3"/>
  <c r="AB540" i="3"/>
  <c r="AC540" i="3" s="1"/>
  <c r="AA555" i="3"/>
  <c r="AB555" i="3"/>
  <c r="AC555" i="3" s="1"/>
  <c r="AA567" i="3"/>
  <c r="AB567" i="3"/>
  <c r="AC567" i="3" s="1"/>
  <c r="AA579" i="3"/>
  <c r="AB579" i="3"/>
  <c r="AC579" i="3" s="1"/>
  <c r="AA591" i="3"/>
  <c r="AB591" i="3"/>
  <c r="AC591" i="3" s="1"/>
  <c r="AA603" i="3"/>
  <c r="AB603" i="3"/>
  <c r="AC603" i="3" s="1"/>
  <c r="AA627" i="3"/>
  <c r="AB627" i="3"/>
  <c r="AC627" i="3" s="1"/>
  <c r="AA639" i="3"/>
  <c r="AB639" i="3"/>
  <c r="AC639" i="3" s="1"/>
  <c r="AA692" i="3"/>
  <c r="AB692" i="3"/>
  <c r="AC692" i="3" s="1"/>
  <c r="AA617" i="3"/>
  <c r="AB617" i="3"/>
  <c r="AC617" i="3" s="1"/>
  <c r="AA700" i="3"/>
  <c r="AB700" i="3"/>
  <c r="AC700" i="3" s="1"/>
  <c r="AA651" i="3"/>
  <c r="AB651" i="3"/>
  <c r="AC651" i="3" s="1"/>
  <c r="AA677" i="3"/>
  <c r="AB677" i="3"/>
  <c r="AC677" i="3" s="1"/>
  <c r="AA494" i="3"/>
  <c r="AB494" i="3"/>
  <c r="AC494" i="3" s="1"/>
  <c r="AA530" i="3"/>
  <c r="AB530" i="3"/>
  <c r="AC530" i="3" s="1"/>
  <c r="AA554" i="3"/>
  <c r="AB554" i="3"/>
  <c r="AC554" i="3" s="1"/>
  <c r="AA590" i="3"/>
  <c r="AB590" i="3"/>
  <c r="AC590" i="3" s="1"/>
  <c r="AA614" i="3"/>
  <c r="AB614" i="3"/>
  <c r="AC614" i="3" s="1"/>
  <c r="AA638" i="3"/>
  <c r="AB638" i="3"/>
  <c r="AC638" i="3" s="1"/>
  <c r="AA698" i="3"/>
  <c r="AB698" i="3"/>
  <c r="AC698" i="3" s="1"/>
  <c r="AA670" i="3"/>
  <c r="AB670" i="3"/>
  <c r="AC670" i="3" s="1"/>
  <c r="AA648" i="3"/>
  <c r="AB648" i="3"/>
  <c r="AC648" i="3" s="1"/>
  <c r="AA697" i="3"/>
  <c r="AB697" i="3"/>
  <c r="AC697" i="3" s="1"/>
  <c r="AA675" i="3"/>
  <c r="AB675" i="3"/>
  <c r="AC675" i="3" s="1"/>
  <c r="AA653" i="3"/>
  <c r="AB653" i="3"/>
  <c r="AC653" i="3" s="1"/>
  <c r="AA484" i="3"/>
  <c r="AB484" i="3"/>
  <c r="AC484" i="3" s="1"/>
  <c r="AA496" i="3"/>
  <c r="AB496" i="3"/>
  <c r="AC496" i="3" s="1"/>
  <c r="AA508" i="3"/>
  <c r="AB508" i="3"/>
  <c r="AC508" i="3" s="1"/>
  <c r="AA520" i="3"/>
  <c r="AB520" i="3"/>
  <c r="AC520" i="3" s="1"/>
  <c r="AA532" i="3"/>
  <c r="AB532" i="3"/>
  <c r="AC532" i="3" s="1"/>
  <c r="AA544" i="3"/>
  <c r="AB544" i="3"/>
  <c r="AC544" i="3" s="1"/>
  <c r="AA556" i="3"/>
  <c r="AB556" i="3"/>
  <c r="AC556" i="3" s="1"/>
  <c r="AA568" i="3"/>
  <c r="AB568" i="3"/>
  <c r="AC568" i="3" s="1"/>
  <c r="AA580" i="3"/>
  <c r="AB580" i="3"/>
  <c r="AC580" i="3" s="1"/>
  <c r="AA592" i="3"/>
  <c r="AB592" i="3"/>
  <c r="AC592" i="3" s="1"/>
  <c r="AA604" i="3"/>
  <c r="AB604" i="3"/>
  <c r="AC604" i="3" s="1"/>
  <c r="AA616" i="3"/>
  <c r="AB616" i="3"/>
  <c r="AC616" i="3" s="1"/>
  <c r="AA628" i="3"/>
  <c r="AB628" i="3"/>
  <c r="AC628" i="3" s="1"/>
  <c r="AA640" i="3"/>
  <c r="AB640" i="3"/>
  <c r="AC640" i="3" s="1"/>
  <c r="L9" i="1"/>
  <c r="J9" i="1"/>
  <c r="Z648" i="3"/>
  <c r="Z592" i="3"/>
  <c r="Z616" i="3"/>
  <c r="Z601" i="3"/>
  <c r="Z553" i="3"/>
  <c r="Z651" i="3"/>
  <c r="Z527" i="3"/>
  <c r="Z551" i="3"/>
  <c r="Z563" i="3"/>
  <c r="Z575" i="3"/>
  <c r="Z623" i="3"/>
  <c r="Z635" i="3"/>
  <c r="Z540" i="3"/>
  <c r="Z591" i="3"/>
  <c r="Z495" i="3"/>
  <c r="Z557" i="3"/>
  <c r="Z641" i="3"/>
  <c r="Z555" i="3"/>
  <c r="Z605" i="3"/>
  <c r="Z639" i="3"/>
  <c r="Z602" i="3"/>
  <c r="Z636" i="3"/>
  <c r="Z472" i="3"/>
  <c r="Z480" i="3"/>
  <c r="Z626" i="3"/>
  <c r="AX12" i="3"/>
  <c r="Z494" i="3"/>
  <c r="Z624" i="3"/>
  <c r="Z460" i="3"/>
  <c r="Z580" i="3"/>
  <c r="Z640" i="3"/>
  <c r="Z631" i="3"/>
  <c r="Z463" i="3"/>
  <c r="Z523" i="3"/>
  <c r="Z583" i="3"/>
  <c r="Z607" i="3"/>
  <c r="Z630" i="3"/>
  <c r="Z508" i="3"/>
  <c r="Z548" i="3"/>
  <c r="Z467" i="3"/>
  <c r="Z475" i="3"/>
  <c r="Z535" i="3"/>
  <c r="Z561" i="3"/>
  <c r="Z474" i="3"/>
  <c r="Z573" i="3"/>
  <c r="Z594" i="3"/>
  <c r="Z458" i="3"/>
  <c r="Z499" i="3"/>
  <c r="Z582" i="3"/>
  <c r="Z642" i="3"/>
  <c r="Z621" i="3"/>
  <c r="Z645" i="3"/>
  <c r="Z512" i="3"/>
  <c r="Z572" i="3"/>
  <c r="Z632" i="3"/>
  <c r="Z647" i="3"/>
  <c r="Z459" i="3"/>
  <c r="Z637" i="3"/>
  <c r="Z608" i="3"/>
  <c r="Z502" i="3"/>
  <c r="Z536" i="3"/>
  <c r="Z500" i="3"/>
  <c r="Z615" i="3"/>
  <c r="Z478" i="3"/>
  <c r="AA615" i="3"/>
  <c r="AU14" i="3"/>
  <c r="Z524" i="3"/>
  <c r="Z550" i="3"/>
  <c r="Z584" i="3"/>
  <c r="Z629" i="3"/>
  <c r="Z574" i="3"/>
  <c r="AA637" i="3"/>
  <c r="Z596" i="3"/>
  <c r="Z514" i="3"/>
  <c r="Z634" i="3"/>
  <c r="Z461" i="3"/>
  <c r="Z462" i="3"/>
  <c r="AX14" i="3"/>
  <c r="AW13" i="3"/>
  <c r="AW14" i="3"/>
  <c r="AX15" i="3"/>
  <c r="AX13" i="3"/>
  <c r="AV13" i="3"/>
  <c r="AU12" i="3"/>
  <c r="AW12" i="3"/>
  <c r="Z520" i="3"/>
  <c r="Z650" i="3"/>
  <c r="Z479" i="3"/>
  <c r="Z559" i="3"/>
  <c r="Z567" i="3"/>
  <c r="Z473" i="3"/>
  <c r="Z504" i="3"/>
  <c r="Z528" i="3"/>
  <c r="Z545" i="3"/>
  <c r="Z569" i="3"/>
  <c r="Z577" i="3"/>
  <c r="Z585" i="3"/>
  <c r="Z593" i="3"/>
  <c r="Z652" i="3"/>
  <c r="Z469" i="3"/>
  <c r="Z506" i="3"/>
  <c r="Z530" i="3"/>
  <c r="Z538" i="3"/>
  <c r="Z484" i="3"/>
  <c r="Z492" i="3"/>
  <c r="Z613" i="3"/>
  <c r="Z468" i="3"/>
  <c r="Z485" i="3"/>
  <c r="Z513" i="3"/>
  <c r="Z521" i="3"/>
  <c r="Z529" i="3"/>
  <c r="Z537" i="3"/>
  <c r="Z544" i="3"/>
  <c r="Z560" i="3"/>
  <c r="Z568" i="3"/>
  <c r="Z576" i="3"/>
  <c r="Z600" i="3"/>
  <c r="Z606" i="3"/>
  <c r="Z614" i="3"/>
  <c r="Z622" i="3"/>
  <c r="Z646" i="3"/>
  <c r="Z486" i="3"/>
  <c r="Z470" i="3"/>
  <c r="Z487" i="3"/>
  <c r="Z501" i="3"/>
  <c r="Z507" i="3"/>
  <c r="Z531" i="3"/>
  <c r="Z539" i="3"/>
  <c r="Z546" i="3"/>
  <c r="Z562" i="3"/>
  <c r="Z570" i="3"/>
  <c r="Z578" i="3"/>
  <c r="Z586" i="3"/>
  <c r="Z471" i="3"/>
  <c r="Z488" i="3"/>
  <c r="Z516" i="3"/>
  <c r="Z532" i="3"/>
  <c r="Z547" i="3"/>
  <c r="Z571" i="3"/>
  <c r="Z579" i="3"/>
  <c r="Z587" i="3"/>
  <c r="Z595" i="3"/>
  <c r="Z609" i="3"/>
  <c r="Z617" i="3"/>
  <c r="Z625" i="3"/>
  <c r="Z633" i="3"/>
  <c r="Z522" i="3"/>
  <c r="Z464" i="3"/>
  <c r="Z481" i="3"/>
  <c r="Z489" i="3"/>
  <c r="Z496" i="3"/>
  <c r="Z509" i="3"/>
  <c r="Z517" i="3"/>
  <c r="Z525" i="3"/>
  <c r="Z533" i="3"/>
  <c r="Z564" i="3"/>
  <c r="Z610" i="3"/>
  <c r="Z618" i="3"/>
  <c r="Z465" i="3"/>
  <c r="Z476" i="3"/>
  <c r="Z482" i="3"/>
  <c r="Z490" i="3"/>
  <c r="Z497" i="3"/>
  <c r="Z510" i="3"/>
  <c r="Z518" i="3"/>
  <c r="Z526" i="3"/>
  <c r="Z534" i="3"/>
  <c r="Z581" i="3"/>
  <c r="Z597" i="3"/>
  <c r="Z603" i="3"/>
  <c r="Z611" i="3"/>
  <c r="Z619" i="3"/>
  <c r="Z643" i="3"/>
  <c r="Z649" i="3"/>
  <c r="Z466" i="3"/>
  <c r="Z477" i="3"/>
  <c r="Z483" i="3"/>
  <c r="Z491" i="3"/>
  <c r="Z498" i="3"/>
  <c r="Z503" i="3"/>
  <c r="Z511" i="3"/>
  <c r="Z519" i="3"/>
  <c r="Z543" i="3"/>
  <c r="Z558" i="3"/>
  <c r="Z566" i="3"/>
  <c r="Z590" i="3"/>
  <c r="Z598" i="3"/>
  <c r="Z604" i="3"/>
  <c r="Z612" i="3"/>
  <c r="Z620" i="3"/>
  <c r="Z644" i="3"/>
  <c r="Z549" i="3"/>
  <c r="Z552" i="3"/>
  <c r="Z455" i="3"/>
  <c r="Z457" i="3"/>
  <c r="Z456" i="3"/>
  <c r="AA455" i="3"/>
  <c r="Z454" i="3"/>
  <c r="Z453" i="3"/>
  <c r="AW15" i="3"/>
  <c r="AU13" i="3"/>
  <c r="AV14" i="3"/>
  <c r="AV12" i="3"/>
  <c r="AU15" i="3"/>
  <c r="AV15" i="3"/>
  <c r="Z452" i="3"/>
  <c r="D146" i="5"/>
  <c r="D145" i="5"/>
  <c r="D144" i="5"/>
  <c r="D143" i="5"/>
  <c r="D142" i="5"/>
  <c r="D141" i="5"/>
  <c r="D140" i="5"/>
  <c r="D147" i="5"/>
  <c r="D139" i="5"/>
  <c r="D138" i="5"/>
  <c r="D126" i="5"/>
  <c r="D125" i="5"/>
  <c r="D124" i="5"/>
  <c r="D123" i="5"/>
  <c r="D122" i="5"/>
  <c r="D121" i="5"/>
  <c r="D120" i="5"/>
  <c r="D127" i="5"/>
  <c r="D119" i="5"/>
  <c r="D118" i="5"/>
  <c r="D108" i="5"/>
  <c r="D106" i="5"/>
  <c r="D105" i="5"/>
  <c r="D104" i="5"/>
  <c r="D103" i="5"/>
  <c r="D102" i="5"/>
  <c r="D101" i="5"/>
  <c r="D100" i="5"/>
  <c r="D107" i="5"/>
  <c r="D99" i="5"/>
  <c r="D98" i="5"/>
  <c r="AD146" i="3" l="1"/>
  <c r="M146" i="16"/>
  <c r="AD108" i="3"/>
  <c r="AD125" i="3"/>
  <c r="AD123" i="3"/>
  <c r="AD137" i="3"/>
  <c r="AD138" i="3"/>
  <c r="M138" i="16" s="1"/>
  <c r="AD139" i="3"/>
  <c r="M139" i="16" s="1"/>
  <c r="AD130" i="3"/>
  <c r="AD101" i="3"/>
  <c r="M101" i="16" s="1"/>
  <c r="AD109" i="3"/>
  <c r="AD142" i="3"/>
  <c r="AD115" i="3"/>
  <c r="AD134" i="3"/>
  <c r="AD140" i="3"/>
  <c r="M140" i="16" s="1"/>
  <c r="AD135" i="3"/>
  <c r="AD98" i="3"/>
  <c r="AD132" i="3"/>
  <c r="AD136" i="3"/>
  <c r="AD127" i="3"/>
  <c r="AD122" i="3"/>
  <c r="AD105" i="3"/>
  <c r="AD119" i="3"/>
  <c r="M119" i="16" s="1"/>
  <c r="AD107" i="3"/>
  <c r="AD126" i="3"/>
  <c r="AD106" i="3"/>
  <c r="M106" i="16" s="1"/>
  <c r="AD113" i="3"/>
  <c r="AD121" i="3"/>
  <c r="AD116" i="3"/>
  <c r="AD145" i="3"/>
  <c r="M145" i="16" s="1"/>
  <c r="AD114" i="3"/>
  <c r="AD100" i="3"/>
  <c r="AD104" i="3"/>
  <c r="AD141" i="3"/>
  <c r="M141" i="16" s="1"/>
  <c r="AD144" i="3"/>
  <c r="M144" i="16" s="1"/>
  <c r="AD111" i="3"/>
  <c r="AD120" i="3"/>
  <c r="M120" i="16" s="1"/>
  <c r="AD124" i="3"/>
  <c r="M124" i="16" s="1"/>
  <c r="AD102" i="3"/>
  <c r="AD118" i="3"/>
  <c r="AD99" i="3"/>
  <c r="M99" i="16" s="1"/>
  <c r="AD103" i="3"/>
  <c r="AD110" i="3"/>
  <c r="AD129" i="3"/>
  <c r="AD131" i="3"/>
  <c r="AD97" i="3"/>
  <c r="AD117" i="3"/>
  <c r="AD143" i="3"/>
  <c r="M143" i="16" s="1"/>
  <c r="AD112" i="3"/>
  <c r="AD133" i="3"/>
  <c r="AD128" i="3"/>
  <c r="DL7" i="6" a="1"/>
  <c r="DL7" i="6" s="1"/>
  <c r="DB7" i="6" a="1"/>
  <c r="DB7" i="6" s="1"/>
  <c r="DV7" i="6" a="1"/>
  <c r="DV7" i="6" s="1"/>
  <c r="CR7" i="6" a="1"/>
  <c r="CR7" i="6" s="1"/>
  <c r="P160" i="1"/>
  <c r="L136" i="16" s="1"/>
  <c r="P159" i="1"/>
  <c r="L135" i="16" s="1"/>
  <c r="P158" i="1"/>
  <c r="L134" i="16" s="1"/>
  <c r="P157" i="1"/>
  <c r="L133" i="16" s="1"/>
  <c r="P156" i="1"/>
  <c r="L132" i="16" s="1"/>
  <c r="P155" i="1"/>
  <c r="L131" i="16" s="1"/>
  <c r="P154" i="1"/>
  <c r="L130" i="16" s="1"/>
  <c r="P153" i="1"/>
  <c r="L129" i="16" s="1"/>
  <c r="P152" i="1"/>
  <c r="L128" i="16" s="1"/>
  <c r="P151" i="1"/>
  <c r="P149" i="1"/>
  <c r="L126" i="16" s="1"/>
  <c r="P148" i="1"/>
  <c r="L125" i="16" s="1"/>
  <c r="P147" i="1"/>
  <c r="L124" i="16" s="1"/>
  <c r="P146" i="1"/>
  <c r="L123" i="16" s="1"/>
  <c r="P145" i="1"/>
  <c r="L122" i="16" s="1"/>
  <c r="P144" i="1"/>
  <c r="L121" i="16" s="1"/>
  <c r="P143" i="1"/>
  <c r="L120" i="16" s="1"/>
  <c r="P142" i="1"/>
  <c r="L119" i="16" s="1"/>
  <c r="P141" i="1"/>
  <c r="L118" i="16" s="1"/>
  <c r="P140" i="1"/>
  <c r="L117" i="16" s="1"/>
  <c r="P138" i="1"/>
  <c r="L116" i="16" s="1"/>
  <c r="P137" i="1"/>
  <c r="L115" i="16" s="1"/>
  <c r="P136" i="1"/>
  <c r="L114" i="16" s="1"/>
  <c r="P135" i="1"/>
  <c r="L113" i="16" s="1"/>
  <c r="P134" i="1"/>
  <c r="L112" i="16" s="1"/>
  <c r="P133" i="1"/>
  <c r="L111" i="16" s="1"/>
  <c r="P132" i="1"/>
  <c r="L110" i="16" s="1"/>
  <c r="P131" i="1"/>
  <c r="L109" i="16" s="1"/>
  <c r="P130" i="1"/>
  <c r="L108" i="16" s="1"/>
  <c r="P129" i="1"/>
  <c r="L107" i="16" s="1"/>
  <c r="P127" i="1"/>
  <c r="L106" i="16" s="1"/>
  <c r="P126" i="1"/>
  <c r="L105" i="16" s="1"/>
  <c r="P125" i="1"/>
  <c r="L104" i="16" s="1"/>
  <c r="P124" i="1"/>
  <c r="L103" i="16" s="1"/>
  <c r="P123" i="1"/>
  <c r="L102" i="16" s="1"/>
  <c r="P122" i="1"/>
  <c r="L101" i="16" s="1"/>
  <c r="P121" i="1"/>
  <c r="L100" i="16" s="1"/>
  <c r="P120" i="1"/>
  <c r="L99" i="16" s="1"/>
  <c r="P119" i="1"/>
  <c r="L98" i="16" s="1"/>
  <c r="P118" i="1"/>
  <c r="L97" i="16" s="1"/>
  <c r="C246" i="5"/>
  <c r="D246" i="5"/>
  <c r="M250" i="16" s="1"/>
  <c r="C247" i="5"/>
  <c r="D247" i="5"/>
  <c r="M251" i="16" s="1"/>
  <c r="C248" i="5"/>
  <c r="D248" i="5"/>
  <c r="M252" i="16" s="1"/>
  <c r="C249" i="5"/>
  <c r="D249" i="5"/>
  <c r="M253" i="16" s="1"/>
  <c r="C250" i="5"/>
  <c r="D250" i="5"/>
  <c r="M254" i="16" s="1"/>
  <c r="C152" i="5"/>
  <c r="D152" i="5"/>
  <c r="C153" i="5"/>
  <c r="D153" i="5"/>
  <c r="C154" i="5"/>
  <c r="D154" i="5"/>
  <c r="C155" i="5"/>
  <c r="D155" i="5"/>
  <c r="C156" i="5"/>
  <c r="D156" i="5"/>
  <c r="C157" i="5"/>
  <c r="D157" i="5"/>
  <c r="C158" i="5"/>
  <c r="D158" i="5"/>
  <c r="C159" i="5"/>
  <c r="D159" i="5"/>
  <c r="M163" i="16" s="1"/>
  <c r="C160" i="5"/>
  <c r="D160" i="5"/>
  <c r="C161" i="5"/>
  <c r="D161" i="5"/>
  <c r="C162" i="5"/>
  <c r="D162" i="5"/>
  <c r="C163" i="5"/>
  <c r="D163" i="5"/>
  <c r="C164" i="5"/>
  <c r="D164" i="5"/>
  <c r="C165" i="5"/>
  <c r="D165" i="5"/>
  <c r="M169" i="16" s="1"/>
  <c r="C166" i="5"/>
  <c r="D166" i="5"/>
  <c r="C167" i="5"/>
  <c r="D167" i="5"/>
  <c r="C168" i="5"/>
  <c r="D168" i="5"/>
  <c r="C169" i="5"/>
  <c r="D169" i="5"/>
  <c r="C170" i="5"/>
  <c r="D170" i="5"/>
  <c r="C171" i="5"/>
  <c r="D171" i="5"/>
  <c r="M175" i="16" s="1"/>
  <c r="C172" i="5"/>
  <c r="D172" i="5"/>
  <c r="C173" i="5"/>
  <c r="D173" i="5"/>
  <c r="C174" i="5"/>
  <c r="D174" i="5"/>
  <c r="C175" i="5"/>
  <c r="D175" i="5"/>
  <c r="C176" i="5"/>
  <c r="D176" i="5"/>
  <c r="C177" i="5"/>
  <c r="D177" i="5"/>
  <c r="M181" i="16" s="1"/>
  <c r="C178" i="5"/>
  <c r="D178" i="5"/>
  <c r="C179" i="5"/>
  <c r="D179" i="5"/>
  <c r="C180" i="5"/>
  <c r="D180" i="5"/>
  <c r="C181" i="5"/>
  <c r="D181" i="5"/>
  <c r="C182" i="5"/>
  <c r="D182" i="5"/>
  <c r="C183" i="5"/>
  <c r="D183" i="5"/>
  <c r="M187" i="16" s="1"/>
  <c r="C184" i="5"/>
  <c r="D184" i="5"/>
  <c r="C185" i="5"/>
  <c r="D185" i="5"/>
  <c r="C186" i="5"/>
  <c r="D186" i="5"/>
  <c r="C187" i="5"/>
  <c r="D187" i="5"/>
  <c r="C188" i="5"/>
  <c r="D188" i="5"/>
  <c r="C189" i="5"/>
  <c r="D189" i="5"/>
  <c r="C190" i="5"/>
  <c r="D190" i="5"/>
  <c r="C191" i="5"/>
  <c r="D191" i="5"/>
  <c r="C192" i="5"/>
  <c r="D192" i="5"/>
  <c r="C193" i="5"/>
  <c r="D193" i="5"/>
  <c r="C194" i="5"/>
  <c r="D194" i="5"/>
  <c r="C195" i="5"/>
  <c r="D195" i="5"/>
  <c r="M199" i="16" s="1"/>
  <c r="C196" i="5"/>
  <c r="D196" i="5"/>
  <c r="C197" i="5"/>
  <c r="D197" i="5"/>
  <c r="C198" i="5"/>
  <c r="D198" i="5"/>
  <c r="C199" i="5"/>
  <c r="D199" i="5"/>
  <c r="C200" i="5"/>
  <c r="D200" i="5"/>
  <c r="C241" i="5"/>
  <c r="D241" i="5"/>
  <c r="M245" i="16" s="1"/>
  <c r="C242" i="5"/>
  <c r="D242" i="5"/>
  <c r="M246" i="16" s="1"/>
  <c r="C243" i="5"/>
  <c r="D243" i="5"/>
  <c r="M247" i="16" s="1"/>
  <c r="C244" i="5"/>
  <c r="D244" i="5"/>
  <c r="M248" i="16" s="1"/>
  <c r="C245" i="5"/>
  <c r="D245" i="5"/>
  <c r="M249" i="16" s="1"/>
  <c r="B250" i="5"/>
  <c r="B248" i="5"/>
  <c r="B249" i="5"/>
  <c r="B242" i="5"/>
  <c r="B243" i="5"/>
  <c r="B244" i="5"/>
  <c r="B245" i="5"/>
  <c r="B246" i="5"/>
  <c r="B247" i="5"/>
  <c r="B196" i="5"/>
  <c r="B197" i="5"/>
  <c r="B198" i="5"/>
  <c r="B199" i="5"/>
  <c r="B200" i="5"/>
  <c r="B241" i="5"/>
  <c r="B187" i="5"/>
  <c r="B188" i="5"/>
  <c r="B189" i="5"/>
  <c r="B190" i="5"/>
  <c r="B191" i="5"/>
  <c r="B192" i="5"/>
  <c r="B193" i="5"/>
  <c r="B194" i="5"/>
  <c r="B195"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Y412" i="3"/>
  <c r="Y411" i="3"/>
  <c r="Y410" i="3"/>
  <c r="C151" i="5"/>
  <c r="D151" i="5"/>
  <c r="B151" i="5"/>
  <c r="K127" i="19" l="1"/>
  <c r="L127" i="16"/>
  <c r="M193" i="16"/>
  <c r="M157" i="16"/>
  <c r="M204" i="16"/>
  <c r="M198" i="16"/>
  <c r="M192" i="16"/>
  <c r="M186" i="16"/>
  <c r="M180" i="16"/>
  <c r="M174" i="16"/>
  <c r="M168" i="16"/>
  <c r="M162" i="16"/>
  <c r="M156" i="16"/>
  <c r="M203" i="16"/>
  <c r="M197" i="16"/>
  <c r="M191" i="16"/>
  <c r="M185" i="16"/>
  <c r="M179" i="16"/>
  <c r="M173" i="16"/>
  <c r="M167" i="16"/>
  <c r="M161" i="16"/>
  <c r="M202" i="16"/>
  <c r="M196" i="16"/>
  <c r="M190" i="16"/>
  <c r="M184" i="16"/>
  <c r="M178" i="16"/>
  <c r="M172" i="16"/>
  <c r="M166" i="16"/>
  <c r="M160" i="16"/>
  <c r="M201" i="16"/>
  <c r="M195" i="16"/>
  <c r="M189" i="16"/>
  <c r="M183" i="16"/>
  <c r="M177" i="16"/>
  <c r="M171" i="16"/>
  <c r="M165" i="16"/>
  <c r="M159" i="16"/>
  <c r="M200" i="16"/>
  <c r="M194" i="16"/>
  <c r="M188" i="16"/>
  <c r="M182" i="16"/>
  <c r="M176" i="16"/>
  <c r="M170" i="16"/>
  <c r="M164" i="16"/>
  <c r="M158" i="16"/>
  <c r="M115" i="16"/>
  <c r="L115" i="19"/>
  <c r="L111" i="19"/>
  <c r="M111" i="16"/>
  <c r="L109" i="19"/>
  <c r="M109" i="16"/>
  <c r="L131" i="19"/>
  <c r="M131" i="16"/>
  <c r="M130" i="16"/>
  <c r="L130" i="19"/>
  <c r="L129" i="19"/>
  <c r="M129" i="16"/>
  <c r="L110" i="19"/>
  <c r="M110" i="16"/>
  <c r="L114" i="19"/>
  <c r="M114" i="16"/>
  <c r="L136" i="19"/>
  <c r="M136" i="16"/>
  <c r="L116" i="19"/>
  <c r="M116" i="16"/>
  <c r="L135" i="19"/>
  <c r="M135" i="16"/>
  <c r="L128" i="19"/>
  <c r="M128" i="16"/>
  <c r="M113" i="16"/>
  <c r="L113" i="19"/>
  <c r="L108" i="19"/>
  <c r="M108" i="16"/>
  <c r="L133" i="19"/>
  <c r="M133" i="16"/>
  <c r="L134" i="19"/>
  <c r="M134" i="16"/>
  <c r="L121" i="19"/>
  <c r="M121" i="16"/>
  <c r="L103" i="19"/>
  <c r="M103" i="16"/>
  <c r="L104" i="19"/>
  <c r="M104" i="16"/>
  <c r="L126" i="19"/>
  <c r="M126" i="16"/>
  <c r="L125" i="19"/>
  <c r="M125" i="16"/>
  <c r="L105" i="19"/>
  <c r="M105" i="16"/>
  <c r="L118" i="19"/>
  <c r="M118" i="16"/>
  <c r="L123" i="19"/>
  <c r="M123" i="16"/>
  <c r="L98" i="19"/>
  <c r="M98" i="16"/>
  <c r="L100" i="19"/>
  <c r="M100" i="16"/>
  <c r="L124" i="19"/>
  <c r="L119" i="19"/>
  <c r="L120" i="19"/>
  <c r="L101" i="19"/>
  <c r="L106" i="19"/>
  <c r="L99" i="19"/>
  <c r="L155" i="19"/>
  <c r="K102" i="19"/>
  <c r="K103" i="19"/>
  <c r="K104" i="19"/>
  <c r="K97" i="19"/>
  <c r="K98" i="19"/>
  <c r="K99" i="19"/>
  <c r="K100" i="19"/>
  <c r="K105" i="19"/>
  <c r="K101" i="19"/>
  <c r="K253" i="19"/>
  <c r="K192" i="19"/>
  <c r="L188" i="19"/>
  <c r="K191" i="19"/>
  <c r="K250" i="19"/>
  <c r="L199" i="19"/>
  <c r="L195" i="19"/>
  <c r="L187" i="19"/>
  <c r="L179" i="19"/>
  <c r="L175" i="19"/>
  <c r="L167" i="19"/>
  <c r="K183" i="19"/>
  <c r="K203" i="19"/>
  <c r="K173" i="19"/>
  <c r="K172" i="19"/>
  <c r="L176" i="19"/>
  <c r="K251" i="19"/>
  <c r="K190" i="19"/>
  <c r="K202" i="19"/>
  <c r="L186" i="19"/>
  <c r="L178" i="19"/>
  <c r="L166" i="19"/>
  <c r="K181" i="19"/>
  <c r="K201" i="19"/>
  <c r="K193" i="19"/>
  <c r="K252" i="19"/>
  <c r="K171" i="19"/>
  <c r="K170" i="19"/>
  <c r="K182" i="19"/>
  <c r="L198" i="19"/>
  <c r="K180" i="19"/>
  <c r="K200" i="19"/>
  <c r="L197" i="19"/>
  <c r="L189" i="19"/>
  <c r="L185" i="19"/>
  <c r="L177" i="19"/>
  <c r="L169" i="19"/>
  <c r="L196" i="19"/>
  <c r="L168" i="19"/>
  <c r="K162" i="19"/>
  <c r="K161" i="19"/>
  <c r="K160" i="19"/>
  <c r="L165" i="19"/>
  <c r="K163" i="19"/>
  <c r="K111" i="19"/>
  <c r="K119" i="19"/>
  <c r="K135" i="19"/>
  <c r="K112" i="19"/>
  <c r="K120" i="19"/>
  <c r="K128" i="19"/>
  <c r="K136" i="19"/>
  <c r="K121" i="19"/>
  <c r="K129" i="19"/>
  <c r="K106" i="19"/>
  <c r="K114" i="19"/>
  <c r="K122" i="19"/>
  <c r="K130" i="19"/>
  <c r="K126" i="19"/>
  <c r="K110" i="19"/>
  <c r="K134" i="19"/>
  <c r="K115" i="19"/>
  <c r="K123" i="19"/>
  <c r="K108" i="19"/>
  <c r="K116" i="19"/>
  <c r="K124" i="19"/>
  <c r="K132" i="19"/>
  <c r="K118" i="19"/>
  <c r="K113" i="19"/>
  <c r="K107" i="19"/>
  <c r="K131" i="19"/>
  <c r="K109" i="19"/>
  <c r="K117" i="19"/>
  <c r="K125" i="19"/>
  <c r="K133" i="19"/>
  <c r="H128" i="5"/>
  <c r="AA411" i="3"/>
  <c r="AB411" i="3"/>
  <c r="AC411" i="3" s="1"/>
  <c r="AA410" i="3"/>
  <c r="AB410" i="3"/>
  <c r="AC410" i="3" s="1"/>
  <c r="AA412" i="3"/>
  <c r="AB412" i="3"/>
  <c r="AC412" i="3" s="1"/>
  <c r="Q26" i="11"/>
  <c r="H168" i="5"/>
  <c r="Q25" i="11"/>
  <c r="H167" i="5"/>
  <c r="Q55" i="11"/>
  <c r="H197" i="5"/>
  <c r="Q14" i="11"/>
  <c r="H156" i="5"/>
  <c r="Q24" i="11"/>
  <c r="H166" i="5"/>
  <c r="Q54" i="11"/>
  <c r="H196" i="5"/>
  <c r="Q107" i="11"/>
  <c r="H249" i="5"/>
  <c r="Q56" i="11"/>
  <c r="H198" i="5"/>
  <c r="Q17" i="11"/>
  <c r="H159" i="5"/>
  <c r="Q37" i="11"/>
  <c r="H179" i="5"/>
  <c r="Q16" i="11"/>
  <c r="H158" i="5"/>
  <c r="Q36" i="11"/>
  <c r="H178" i="5"/>
  <c r="Q106" i="11"/>
  <c r="H248" i="5"/>
  <c r="Q15" i="11"/>
  <c r="H157" i="5"/>
  <c r="Q35" i="11"/>
  <c r="H177" i="5"/>
  <c r="Q105" i="11"/>
  <c r="H247" i="5"/>
  <c r="Q104" i="11"/>
  <c r="H246" i="5"/>
  <c r="Q46" i="11"/>
  <c r="H188" i="5"/>
  <c r="Q34" i="11"/>
  <c r="H176" i="5"/>
  <c r="Q47" i="11"/>
  <c r="H189" i="5"/>
  <c r="Q45" i="11"/>
  <c r="H187" i="5"/>
  <c r="Q44" i="11"/>
  <c r="H186" i="5"/>
  <c r="Q27" i="11"/>
  <c r="H169" i="5"/>
  <c r="Q57" i="11"/>
  <c r="H199" i="5"/>
  <c r="Q141" i="1"/>
  <c r="H119" i="5"/>
  <c r="Q149" i="1"/>
  <c r="H127" i="5"/>
  <c r="Q158" i="1"/>
  <c r="H135" i="5"/>
  <c r="Q124" i="1"/>
  <c r="H104" i="5"/>
  <c r="Q133" i="1"/>
  <c r="H112" i="5"/>
  <c r="Q142" i="1"/>
  <c r="H120" i="5"/>
  <c r="Q151" i="1"/>
  <c r="Q159" i="1"/>
  <c r="H136" i="5"/>
  <c r="Q123" i="1"/>
  <c r="H103" i="5"/>
  <c r="Q125" i="1"/>
  <c r="H105" i="5"/>
  <c r="Q160" i="1"/>
  <c r="H137" i="5"/>
  <c r="Q118" i="1"/>
  <c r="H98" i="5"/>
  <c r="Q126" i="1"/>
  <c r="H106" i="5"/>
  <c r="Q135" i="1"/>
  <c r="H114" i="5"/>
  <c r="Q144" i="1"/>
  <c r="H122" i="5"/>
  <c r="Q153" i="1"/>
  <c r="H130" i="5"/>
  <c r="Q119" i="1"/>
  <c r="H99" i="5"/>
  <c r="Q127" i="1"/>
  <c r="H107" i="5"/>
  <c r="Q136" i="1"/>
  <c r="H115" i="5"/>
  <c r="Q145" i="1"/>
  <c r="H123" i="5"/>
  <c r="Q154" i="1"/>
  <c r="H131" i="5"/>
  <c r="Q143" i="1"/>
  <c r="H121" i="5"/>
  <c r="Q120" i="1"/>
  <c r="H100" i="5"/>
  <c r="Q129" i="1"/>
  <c r="H108" i="5"/>
  <c r="Q137" i="1"/>
  <c r="H116" i="5"/>
  <c r="Q146" i="1"/>
  <c r="H124" i="5"/>
  <c r="Q155" i="1"/>
  <c r="H132" i="5"/>
  <c r="Q132" i="1"/>
  <c r="H111" i="5"/>
  <c r="Q152" i="1"/>
  <c r="H129" i="5"/>
  <c r="Q121" i="1"/>
  <c r="H101" i="5"/>
  <c r="Q130" i="1"/>
  <c r="H109" i="5"/>
  <c r="Q138" i="1"/>
  <c r="H117" i="5"/>
  <c r="Q147" i="1"/>
  <c r="H125" i="5"/>
  <c r="Q156" i="1"/>
  <c r="H133" i="5"/>
  <c r="Q134" i="1"/>
  <c r="H113" i="5"/>
  <c r="Q122" i="1"/>
  <c r="H102" i="5"/>
  <c r="Q131" i="1"/>
  <c r="H110" i="5"/>
  <c r="Q140" i="1"/>
  <c r="H118" i="5"/>
  <c r="Q148" i="1"/>
  <c r="H126" i="5"/>
  <c r="Q157" i="1"/>
  <c r="H134" i="5"/>
  <c r="P139" i="1"/>
  <c r="P150" i="1"/>
  <c r="P128" i="1"/>
  <c r="P161" i="1"/>
  <c r="B27" i="7"/>
  <c r="M155" i="16" l="1"/>
  <c r="L252" i="19"/>
  <c r="L163" i="19"/>
  <c r="L194" i="19"/>
  <c r="L157" i="19"/>
  <c r="L158" i="19"/>
  <c r="L182" i="19"/>
  <c r="L201" i="19"/>
  <c r="L245" i="19"/>
  <c r="L160" i="19"/>
  <c r="L180" i="19"/>
  <c r="L203" i="19"/>
  <c r="L156" i="19"/>
  <c r="L170" i="19"/>
  <c r="L184" i="19"/>
  <c r="L202" i="19"/>
  <c r="L247" i="19"/>
  <c r="L159" i="19"/>
  <c r="L174" i="19"/>
  <c r="L248" i="19"/>
  <c r="L172" i="19"/>
  <c r="L192" i="19"/>
  <c r="L204" i="19"/>
  <c r="L254" i="19"/>
  <c r="L183" i="19"/>
  <c r="L162" i="19"/>
  <c r="L173" i="19"/>
  <c r="L249" i="19"/>
  <c r="L193" i="19"/>
  <c r="L200" i="19"/>
  <c r="L164" i="19"/>
  <c r="L171" i="19"/>
  <c r="L191" i="19"/>
  <c r="L250" i="19"/>
  <c r="L253" i="19"/>
  <c r="L161" i="19"/>
  <c r="L181" i="19"/>
  <c r="L190" i="19"/>
  <c r="L251" i="19"/>
  <c r="L246" i="19"/>
  <c r="B122" i="7"/>
  <c r="U4" i="3" l="1"/>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N4" i="24" l="1"/>
  <c r="Y97" i="3"/>
  <c r="Y91" i="3"/>
  <c r="Y86" i="3"/>
  <c r="Y7" i="3"/>
  <c r="E13" i="23" l="1"/>
  <c r="H13" i="23" s="1"/>
  <c r="J16" i="23" s="1"/>
  <c r="AA7" i="3"/>
  <c r="AB7" i="3"/>
  <c r="AC7" i="3" s="1"/>
  <c r="AA86" i="3"/>
  <c r="AB86" i="3"/>
  <c r="AC86" i="3" s="1"/>
  <c r="AA91" i="3"/>
  <c r="AB91" i="3"/>
  <c r="AC91" i="3" s="1"/>
  <c r="AA97" i="3"/>
  <c r="AB97" i="3"/>
  <c r="AC97" i="3" s="1"/>
  <c r="B149" i="7" l="1"/>
  <c r="B158" i="7"/>
  <c r="B167" i="7"/>
  <c r="B131" i="7"/>
  <c r="B140" i="7"/>
  <c r="B77" i="7"/>
  <c r="B86" i="7"/>
  <c r="B95" i="7"/>
  <c r="B104" i="7"/>
  <c r="B113" i="7"/>
  <c r="B68" i="7"/>
  <c r="Y217" i="3" l="1"/>
  <c r="Y216" i="3"/>
  <c r="Y215" i="3"/>
  <c r="Y214" i="3"/>
  <c r="AA216" i="3" l="1"/>
  <c r="AB216" i="3"/>
  <c r="AC216" i="3" s="1"/>
  <c r="AA214" i="3"/>
  <c r="AB214" i="3"/>
  <c r="AC214" i="3" s="1"/>
  <c r="AA215" i="3"/>
  <c r="AB215" i="3"/>
  <c r="AC215" i="3" s="1"/>
  <c r="AA217" i="3"/>
  <c r="AB217" i="3"/>
  <c r="AC217" i="3" s="1"/>
  <c r="D94" i="5"/>
  <c r="D95" i="5"/>
  <c r="D96" i="5"/>
  <c r="C93" i="5"/>
  <c r="C94" i="5"/>
  <c r="C95" i="5"/>
  <c r="C96" i="5"/>
  <c r="D85" i="5"/>
  <c r="D86" i="5"/>
  <c r="D87" i="5"/>
  <c r="C84" i="5"/>
  <c r="C85" i="5"/>
  <c r="C86" i="5"/>
  <c r="C87" i="5"/>
  <c r="B83" i="5"/>
  <c r="B84" i="5"/>
  <c r="B85" i="5"/>
  <c r="B86" i="5"/>
  <c r="B87" i="5"/>
  <c r="D83" i="5"/>
  <c r="D84" i="5"/>
  <c r="C83" i="5"/>
  <c r="AB24" i="4"/>
  <c r="AB22" i="4"/>
  <c r="AB20" i="4"/>
  <c r="AB18" i="4"/>
  <c r="R24" i="4"/>
  <c r="R22" i="4"/>
  <c r="R20" i="4"/>
  <c r="R18" i="4"/>
  <c r="P24" i="4"/>
  <c r="P22" i="4"/>
  <c r="P20" i="4"/>
  <c r="P18" i="4"/>
  <c r="P16" i="4"/>
  <c r="EN7" i="6"/>
  <c r="EM7" i="6"/>
  <c r="EL7" i="6"/>
  <c r="CP7" i="6"/>
  <c r="CO7" i="6"/>
  <c r="CN7" i="6"/>
  <c r="CF7" i="6"/>
  <c r="CE7" i="6"/>
  <c r="CD7" i="6"/>
  <c r="X694" i="3"/>
  <c r="X695" i="3"/>
  <c r="X696" i="3"/>
  <c r="Z696" i="3" s="1"/>
  <c r="X697" i="3"/>
  <c r="X693" i="3"/>
  <c r="X689" i="3"/>
  <c r="X690" i="3"/>
  <c r="X691" i="3"/>
  <c r="X692" i="3"/>
  <c r="X688" i="3"/>
  <c r="X684" i="3"/>
  <c r="X685" i="3"/>
  <c r="X686" i="3"/>
  <c r="X687" i="3"/>
  <c r="X683" i="3"/>
  <c r="Y447" i="3"/>
  <c r="Y446" i="3"/>
  <c r="Y445" i="3"/>
  <c r="Y444" i="3"/>
  <c r="Y443" i="3"/>
  <c r="Y442" i="3"/>
  <c r="Y441" i="3"/>
  <c r="Y440" i="3"/>
  <c r="Y439" i="3"/>
  <c r="Y438" i="3"/>
  <c r="Y437" i="3"/>
  <c r="Y436" i="3"/>
  <c r="Y435" i="3"/>
  <c r="Y434" i="3"/>
  <c r="Y433" i="3"/>
  <c r="X444" i="3"/>
  <c r="X445" i="3"/>
  <c r="X446" i="3"/>
  <c r="X447" i="3"/>
  <c r="X443" i="3"/>
  <c r="X439" i="3"/>
  <c r="X440" i="3"/>
  <c r="X441" i="3"/>
  <c r="X442" i="3"/>
  <c r="X438" i="3"/>
  <c r="X434" i="3"/>
  <c r="X435" i="3"/>
  <c r="X436" i="3"/>
  <c r="X437" i="3"/>
  <c r="X433" i="3"/>
  <c r="Y397" i="3"/>
  <c r="Y396" i="3"/>
  <c r="Y395" i="3"/>
  <c r="Y394" i="3"/>
  <c r="Y393" i="3"/>
  <c r="Y392" i="3"/>
  <c r="Y391" i="3"/>
  <c r="Y390" i="3"/>
  <c r="Y389" i="3"/>
  <c r="Y388" i="3"/>
  <c r="Y387" i="3"/>
  <c r="Y386" i="3"/>
  <c r="Y385" i="3"/>
  <c r="Y384" i="3"/>
  <c r="Y383" i="3"/>
  <c r="X394" i="3"/>
  <c r="X395" i="3"/>
  <c r="X396" i="3"/>
  <c r="X397" i="3"/>
  <c r="X393" i="3"/>
  <c r="X392" i="3"/>
  <c r="X389" i="3"/>
  <c r="X390" i="3"/>
  <c r="X391" i="3"/>
  <c r="X388" i="3"/>
  <c r="X384" i="3"/>
  <c r="X385" i="3"/>
  <c r="X386" i="3"/>
  <c r="X387" i="3"/>
  <c r="X383" i="3"/>
  <c r="P168" i="1"/>
  <c r="P169" i="1"/>
  <c r="P170" i="1"/>
  <c r="L145" i="16" s="1"/>
  <c r="P113" i="1"/>
  <c r="P114" i="1"/>
  <c r="L94" i="16" s="1"/>
  <c r="P115" i="1"/>
  <c r="L95" i="16" s="1"/>
  <c r="P102" i="1"/>
  <c r="L83" i="16" s="1"/>
  <c r="P103" i="1"/>
  <c r="L84" i="16" s="1"/>
  <c r="P104" i="1"/>
  <c r="L85" i="16" s="1"/>
  <c r="D74" i="5"/>
  <c r="D75" i="5"/>
  <c r="D76" i="5"/>
  <c r="D77" i="5"/>
  <c r="C73" i="5"/>
  <c r="C74" i="5"/>
  <c r="C75" i="5"/>
  <c r="C76" i="5"/>
  <c r="C77" i="5"/>
  <c r="B74" i="5"/>
  <c r="B75" i="5"/>
  <c r="B76" i="5"/>
  <c r="D64" i="5"/>
  <c r="D65" i="5"/>
  <c r="D66" i="5"/>
  <c r="D67" i="5"/>
  <c r="C64" i="5"/>
  <c r="C65" i="5"/>
  <c r="C66" i="5"/>
  <c r="N24" i="4"/>
  <c r="N22" i="4"/>
  <c r="N20" i="4"/>
  <c r="N18" i="4"/>
  <c r="BV7" i="6"/>
  <c r="BU7" i="6"/>
  <c r="BT7" i="6"/>
  <c r="Y347" i="3"/>
  <c r="Y346" i="3"/>
  <c r="Y345" i="3"/>
  <c r="Y344" i="3"/>
  <c r="Y343" i="3"/>
  <c r="Y342" i="3"/>
  <c r="Y341" i="3"/>
  <c r="Y340" i="3"/>
  <c r="Y339" i="3"/>
  <c r="Y338" i="3"/>
  <c r="Y337" i="3"/>
  <c r="Y336" i="3"/>
  <c r="Y335" i="3"/>
  <c r="Y334" i="3"/>
  <c r="Y333" i="3"/>
  <c r="X344" i="3"/>
  <c r="X345" i="3"/>
  <c r="X346" i="3"/>
  <c r="X347" i="3"/>
  <c r="X343" i="3"/>
  <c r="X339" i="3"/>
  <c r="X340" i="3"/>
  <c r="X341" i="3"/>
  <c r="X342" i="3"/>
  <c r="X338" i="3"/>
  <c r="X334" i="3"/>
  <c r="X335" i="3"/>
  <c r="X336" i="3"/>
  <c r="X337" i="3"/>
  <c r="X333" i="3"/>
  <c r="P91" i="1"/>
  <c r="P92" i="1"/>
  <c r="P93" i="1"/>
  <c r="L75" i="16" s="1"/>
  <c r="C67" i="5"/>
  <c r="C63" i="5"/>
  <c r="B64" i="5"/>
  <c r="B65" i="5"/>
  <c r="B66" i="5"/>
  <c r="L24" i="4"/>
  <c r="L22" i="4"/>
  <c r="L20" i="4"/>
  <c r="L18" i="4"/>
  <c r="BL7" i="6"/>
  <c r="BK7" i="6"/>
  <c r="BJ7" i="6"/>
  <c r="Y297" i="3"/>
  <c r="Y296" i="3"/>
  <c r="Y295" i="3"/>
  <c r="Y294" i="3"/>
  <c r="Y293" i="3"/>
  <c r="Y292" i="3"/>
  <c r="Y291" i="3"/>
  <c r="Y290" i="3"/>
  <c r="Y289" i="3"/>
  <c r="Y288" i="3"/>
  <c r="Y287" i="3"/>
  <c r="Y286" i="3"/>
  <c r="Y285" i="3"/>
  <c r="Y284" i="3"/>
  <c r="Y283" i="3"/>
  <c r="X294" i="3"/>
  <c r="X295" i="3"/>
  <c r="X296" i="3"/>
  <c r="X297" i="3"/>
  <c r="X293" i="3"/>
  <c r="X289" i="3"/>
  <c r="X290" i="3"/>
  <c r="X291" i="3"/>
  <c r="X292" i="3"/>
  <c r="X288" i="3"/>
  <c r="X284" i="3"/>
  <c r="X285" i="3"/>
  <c r="X286" i="3"/>
  <c r="X287" i="3"/>
  <c r="X283" i="3"/>
  <c r="P80" i="1"/>
  <c r="P81" i="1"/>
  <c r="P82" i="1"/>
  <c r="D54" i="5"/>
  <c r="D55" i="5"/>
  <c r="D56" i="5"/>
  <c r="D57" i="5"/>
  <c r="C53" i="5"/>
  <c r="C54" i="5"/>
  <c r="C55" i="5"/>
  <c r="C56" i="5"/>
  <c r="B54" i="5"/>
  <c r="B55" i="5"/>
  <c r="B56" i="5"/>
  <c r="J24" i="4"/>
  <c r="J22" i="4"/>
  <c r="J20" i="4"/>
  <c r="J18" i="4"/>
  <c r="BB7" i="6"/>
  <c r="BA7" i="6"/>
  <c r="AZ7" i="6"/>
  <c r="Y247" i="3"/>
  <c r="Y246" i="3"/>
  <c r="Y245" i="3"/>
  <c r="Y244" i="3"/>
  <c r="Y243" i="3"/>
  <c r="Y242" i="3"/>
  <c r="Y241" i="3"/>
  <c r="Y240" i="3"/>
  <c r="Y239" i="3"/>
  <c r="Y238" i="3"/>
  <c r="Y237" i="3"/>
  <c r="Y236" i="3"/>
  <c r="Y235" i="3"/>
  <c r="Y234" i="3"/>
  <c r="Y233" i="3"/>
  <c r="X244" i="3"/>
  <c r="X245" i="3"/>
  <c r="X246" i="3"/>
  <c r="X247" i="3"/>
  <c r="X243" i="3"/>
  <c r="X239" i="3"/>
  <c r="X240" i="3"/>
  <c r="X241" i="3"/>
  <c r="X242" i="3"/>
  <c r="X238" i="3"/>
  <c r="X234" i="3"/>
  <c r="X235" i="3"/>
  <c r="X236" i="3"/>
  <c r="X237" i="3"/>
  <c r="X233" i="3"/>
  <c r="P69" i="1"/>
  <c r="P70" i="1"/>
  <c r="P71" i="1"/>
  <c r="C43" i="5"/>
  <c r="C44" i="5"/>
  <c r="C45" i="5"/>
  <c r="C46" i="5"/>
  <c r="D44" i="5"/>
  <c r="D45" i="5"/>
  <c r="D46" i="5"/>
  <c r="B44" i="5"/>
  <c r="B45" i="5"/>
  <c r="B46" i="5"/>
  <c r="H24" i="4"/>
  <c r="H22" i="4"/>
  <c r="H20" i="4"/>
  <c r="H18" i="4"/>
  <c r="AR7" i="6"/>
  <c r="AQ7" i="6"/>
  <c r="AP7" i="6"/>
  <c r="Y197" i="3"/>
  <c r="Y196" i="3"/>
  <c r="Y195" i="3"/>
  <c r="Y194" i="3"/>
  <c r="Y193" i="3"/>
  <c r="Y192" i="3"/>
  <c r="Y191" i="3"/>
  <c r="Y190" i="3"/>
  <c r="Y189" i="3"/>
  <c r="Y188" i="3"/>
  <c r="Y187" i="3"/>
  <c r="Y186" i="3"/>
  <c r="Y185" i="3"/>
  <c r="Y184" i="3"/>
  <c r="Y183" i="3"/>
  <c r="X194" i="3"/>
  <c r="X195" i="3"/>
  <c r="X196" i="3"/>
  <c r="X197" i="3"/>
  <c r="X193" i="3"/>
  <c r="X192" i="3"/>
  <c r="X189" i="3"/>
  <c r="X190" i="3"/>
  <c r="X191" i="3"/>
  <c r="X188" i="3"/>
  <c r="X184" i="3"/>
  <c r="X185" i="3"/>
  <c r="X186" i="3"/>
  <c r="X187" i="3"/>
  <c r="X183" i="3"/>
  <c r="P58" i="1"/>
  <c r="P59" i="1"/>
  <c r="P60" i="1"/>
  <c r="C34" i="5"/>
  <c r="C35" i="5"/>
  <c r="C36" i="5"/>
  <c r="C37" i="5"/>
  <c r="K144" i="19" l="1"/>
  <c r="L144" i="16"/>
  <c r="K143" i="19"/>
  <c r="L143" i="16"/>
  <c r="K93" i="19"/>
  <c r="L93" i="16"/>
  <c r="K74" i="19"/>
  <c r="L74" i="16"/>
  <c r="K73" i="19"/>
  <c r="L73" i="16"/>
  <c r="K65" i="19"/>
  <c r="L65" i="16"/>
  <c r="K64" i="19"/>
  <c r="L64" i="16"/>
  <c r="K63" i="19"/>
  <c r="L63" i="16"/>
  <c r="K55" i="19"/>
  <c r="L55" i="16"/>
  <c r="K54" i="19"/>
  <c r="L54" i="16"/>
  <c r="K53" i="19"/>
  <c r="L53" i="16"/>
  <c r="K45" i="19"/>
  <c r="L45" i="16"/>
  <c r="K44" i="19"/>
  <c r="L44" i="16"/>
  <c r="K43" i="19"/>
  <c r="L43" i="16"/>
  <c r="K145" i="19"/>
  <c r="K95" i="19"/>
  <c r="K94" i="19"/>
  <c r="K83" i="19"/>
  <c r="K85" i="19"/>
  <c r="K84" i="19"/>
  <c r="K75" i="19"/>
  <c r="H145" i="5"/>
  <c r="H144" i="5"/>
  <c r="Q113" i="1"/>
  <c r="H75" i="5"/>
  <c r="H74" i="5"/>
  <c r="Q80" i="1"/>
  <c r="Q82" i="1"/>
  <c r="Q81" i="1"/>
  <c r="Q69" i="1"/>
  <c r="Q71" i="1"/>
  <c r="H55" i="5"/>
  <c r="H45" i="5"/>
  <c r="Q58" i="1"/>
  <c r="Q60" i="1"/>
  <c r="Z291" i="3"/>
  <c r="AA342" i="3"/>
  <c r="AB342" i="3"/>
  <c r="AC342" i="3" s="1"/>
  <c r="AA195" i="3"/>
  <c r="AB195" i="3"/>
  <c r="AC195" i="3" s="1"/>
  <c r="AA243" i="3"/>
  <c r="AB243" i="3"/>
  <c r="AC243" i="3" s="1"/>
  <c r="AA290" i="3"/>
  <c r="AB290" i="3"/>
  <c r="AC290" i="3" s="1"/>
  <c r="AA343" i="3"/>
  <c r="AB343" i="3"/>
  <c r="AC343" i="3" s="1"/>
  <c r="AA388" i="3"/>
  <c r="AB388" i="3"/>
  <c r="AC388" i="3" s="1"/>
  <c r="AA444" i="3"/>
  <c r="AB444" i="3"/>
  <c r="AC444" i="3" s="1"/>
  <c r="AA289" i="3"/>
  <c r="AB289" i="3"/>
  <c r="AC289" i="3" s="1"/>
  <c r="AA387" i="3"/>
  <c r="AB387" i="3"/>
  <c r="AC387" i="3" s="1"/>
  <c r="AA443" i="3"/>
  <c r="AB443" i="3"/>
  <c r="AC443" i="3" s="1"/>
  <c r="AA183" i="3"/>
  <c r="AB183" i="3"/>
  <c r="AC183" i="3" s="1"/>
  <c r="AA184" i="3"/>
  <c r="AB184" i="3"/>
  <c r="AC184" i="3" s="1"/>
  <c r="AA196" i="3"/>
  <c r="AB196" i="3"/>
  <c r="AC196" i="3" s="1"/>
  <c r="AA244" i="3"/>
  <c r="AB244" i="3"/>
  <c r="AC244" i="3" s="1"/>
  <c r="AA291" i="3"/>
  <c r="AB291" i="3"/>
  <c r="AC291" i="3" s="1"/>
  <c r="AA344" i="3"/>
  <c r="AB344" i="3"/>
  <c r="AC344" i="3" s="1"/>
  <c r="AA389" i="3"/>
  <c r="AB389" i="3"/>
  <c r="AC389" i="3" s="1"/>
  <c r="AA433" i="3"/>
  <c r="AB433" i="3"/>
  <c r="AC433" i="3" s="1"/>
  <c r="AA445" i="3"/>
  <c r="AB445" i="3"/>
  <c r="AC445" i="3" s="1"/>
  <c r="AA185" i="3"/>
  <c r="AB185" i="3"/>
  <c r="AC185" i="3" s="1"/>
  <c r="AA390" i="3"/>
  <c r="AB390" i="3"/>
  <c r="AC390" i="3" s="1"/>
  <c r="AA186" i="3"/>
  <c r="AB186" i="3"/>
  <c r="AC186" i="3" s="1"/>
  <c r="AA234" i="3"/>
  <c r="AB234" i="3"/>
  <c r="AC234" i="3" s="1"/>
  <c r="AA246" i="3"/>
  <c r="AB246" i="3"/>
  <c r="AC246" i="3" s="1"/>
  <c r="AA293" i="3"/>
  <c r="AB293" i="3"/>
  <c r="AC293" i="3" s="1"/>
  <c r="AA334" i="3"/>
  <c r="AB334" i="3"/>
  <c r="AC334" i="3" s="1"/>
  <c r="AA346" i="3"/>
  <c r="AB346" i="3"/>
  <c r="AC346" i="3" s="1"/>
  <c r="AA391" i="3"/>
  <c r="AB391" i="3"/>
  <c r="AC391" i="3" s="1"/>
  <c r="AA435" i="3"/>
  <c r="AB435" i="3"/>
  <c r="AC435" i="3" s="1"/>
  <c r="AA447" i="3"/>
  <c r="AB447" i="3"/>
  <c r="AC447" i="3" s="1"/>
  <c r="AA245" i="3"/>
  <c r="AB245" i="3"/>
  <c r="AC245" i="3" s="1"/>
  <c r="AA247" i="3"/>
  <c r="AB247" i="3"/>
  <c r="AC247" i="3" s="1"/>
  <c r="AA294" i="3"/>
  <c r="AB294" i="3"/>
  <c r="AC294" i="3" s="1"/>
  <c r="AA335" i="3"/>
  <c r="AB335" i="3"/>
  <c r="AC335" i="3" s="1"/>
  <c r="AA347" i="3"/>
  <c r="AB347" i="3"/>
  <c r="AC347" i="3" s="1"/>
  <c r="AA392" i="3"/>
  <c r="AB392" i="3"/>
  <c r="AC392" i="3" s="1"/>
  <c r="AA436" i="3"/>
  <c r="AB436" i="3"/>
  <c r="AC436" i="3" s="1"/>
  <c r="AA188" i="3"/>
  <c r="AB188" i="3"/>
  <c r="AC188" i="3" s="1"/>
  <c r="AA236" i="3"/>
  <c r="AB236" i="3"/>
  <c r="AC236" i="3" s="1"/>
  <c r="AA283" i="3"/>
  <c r="AB283" i="3"/>
  <c r="AC283" i="3" s="1"/>
  <c r="AA295" i="3"/>
  <c r="AB295" i="3"/>
  <c r="AC295" i="3" s="1"/>
  <c r="AA336" i="3"/>
  <c r="AB336" i="3"/>
  <c r="AC336" i="3" s="1"/>
  <c r="AA393" i="3"/>
  <c r="AB393" i="3"/>
  <c r="AC393" i="3" s="1"/>
  <c r="AA437" i="3"/>
  <c r="AB437" i="3"/>
  <c r="AC437" i="3" s="1"/>
  <c r="AA197" i="3"/>
  <c r="AB197" i="3"/>
  <c r="AC197" i="3" s="1"/>
  <c r="AA434" i="3"/>
  <c r="AB434" i="3"/>
  <c r="AC434" i="3" s="1"/>
  <c r="AA235" i="3"/>
  <c r="AB235" i="3"/>
  <c r="AC235" i="3" s="1"/>
  <c r="AA189" i="3"/>
  <c r="AB189" i="3"/>
  <c r="AC189" i="3" s="1"/>
  <c r="AA237" i="3"/>
  <c r="AB237" i="3"/>
  <c r="AC237" i="3" s="1"/>
  <c r="AA284" i="3"/>
  <c r="AB284" i="3"/>
  <c r="AC284" i="3" s="1"/>
  <c r="AA296" i="3"/>
  <c r="AB296" i="3"/>
  <c r="AC296" i="3" s="1"/>
  <c r="AA337" i="3"/>
  <c r="AB337" i="3"/>
  <c r="AC337" i="3" s="1"/>
  <c r="AA394" i="3"/>
  <c r="AB394" i="3"/>
  <c r="AC394" i="3" s="1"/>
  <c r="AA438" i="3"/>
  <c r="AB438" i="3"/>
  <c r="AC438" i="3" s="1"/>
  <c r="AA446" i="3"/>
  <c r="AB446" i="3"/>
  <c r="AC446" i="3" s="1"/>
  <c r="AA187" i="3"/>
  <c r="AB187" i="3"/>
  <c r="AC187" i="3" s="1"/>
  <c r="AA190" i="3"/>
  <c r="AB190" i="3"/>
  <c r="AC190" i="3" s="1"/>
  <c r="AA238" i="3"/>
  <c r="AB238" i="3"/>
  <c r="AC238" i="3" s="1"/>
  <c r="AA285" i="3"/>
  <c r="AB285" i="3"/>
  <c r="AC285" i="3" s="1"/>
  <c r="AA297" i="3"/>
  <c r="AB297" i="3"/>
  <c r="AC297" i="3" s="1"/>
  <c r="AA338" i="3"/>
  <c r="AB338" i="3"/>
  <c r="AC338" i="3" s="1"/>
  <c r="AA383" i="3"/>
  <c r="AB383" i="3"/>
  <c r="AC383" i="3" s="1"/>
  <c r="AA395" i="3"/>
  <c r="AB395" i="3"/>
  <c r="AC395" i="3" s="1"/>
  <c r="AA439" i="3"/>
  <c r="AB439" i="3"/>
  <c r="AC439" i="3" s="1"/>
  <c r="AA194" i="3"/>
  <c r="AB194" i="3"/>
  <c r="AC194" i="3" s="1"/>
  <c r="AA233" i="3"/>
  <c r="AB233" i="3"/>
  <c r="AC233" i="3" s="1"/>
  <c r="AA333" i="3"/>
  <c r="AB333" i="3"/>
  <c r="AC333" i="3" s="1"/>
  <c r="AA191" i="3"/>
  <c r="AB191" i="3"/>
  <c r="AC191" i="3" s="1"/>
  <c r="AA239" i="3"/>
  <c r="AB239" i="3"/>
  <c r="AC239" i="3" s="1"/>
  <c r="AA286" i="3"/>
  <c r="AB286" i="3"/>
  <c r="AC286" i="3" s="1"/>
  <c r="AA339" i="3"/>
  <c r="AB339" i="3"/>
  <c r="AC339" i="3" s="1"/>
  <c r="AA384" i="3"/>
  <c r="AB384" i="3"/>
  <c r="AC384" i="3" s="1"/>
  <c r="AA396" i="3"/>
  <c r="AB396" i="3"/>
  <c r="AC396" i="3" s="1"/>
  <c r="AA440" i="3"/>
  <c r="AB440" i="3"/>
  <c r="AC440" i="3" s="1"/>
  <c r="AA292" i="3"/>
  <c r="AB292" i="3"/>
  <c r="AC292" i="3" s="1"/>
  <c r="AA192" i="3"/>
  <c r="AB192" i="3"/>
  <c r="AC192" i="3" s="1"/>
  <c r="AA240" i="3"/>
  <c r="AB240" i="3"/>
  <c r="AC240" i="3" s="1"/>
  <c r="AA287" i="3"/>
  <c r="AB287" i="3"/>
  <c r="AC287" i="3" s="1"/>
  <c r="AA340" i="3"/>
  <c r="AB340" i="3"/>
  <c r="AC340" i="3" s="1"/>
  <c r="AA385" i="3"/>
  <c r="AB385" i="3"/>
  <c r="AC385" i="3" s="1"/>
  <c r="AA397" i="3"/>
  <c r="AB397" i="3"/>
  <c r="AC397" i="3" s="1"/>
  <c r="AA441" i="3"/>
  <c r="AB441" i="3"/>
  <c r="AC441" i="3" s="1"/>
  <c r="AA242" i="3"/>
  <c r="AB242" i="3"/>
  <c r="AC242" i="3" s="1"/>
  <c r="AA345" i="3"/>
  <c r="AB345" i="3"/>
  <c r="AC345" i="3" s="1"/>
  <c r="AA193" i="3"/>
  <c r="AB193" i="3"/>
  <c r="AC193" i="3" s="1"/>
  <c r="AA241" i="3"/>
  <c r="AB241" i="3"/>
  <c r="AC241" i="3" s="1"/>
  <c r="AA288" i="3"/>
  <c r="AB288" i="3"/>
  <c r="AC288" i="3" s="1"/>
  <c r="AA341" i="3"/>
  <c r="AB341" i="3"/>
  <c r="AC341" i="3" s="1"/>
  <c r="AA386" i="3"/>
  <c r="AB386" i="3"/>
  <c r="AC386" i="3" s="1"/>
  <c r="Z446" i="3"/>
  <c r="AA442" i="3"/>
  <c r="AB442" i="3"/>
  <c r="AC442" i="3" s="1"/>
  <c r="Z341" i="3"/>
  <c r="Z386" i="3"/>
  <c r="Z334" i="3"/>
  <c r="Z196" i="3"/>
  <c r="Z186" i="3"/>
  <c r="Z436" i="3"/>
  <c r="Z234" i="3"/>
  <c r="Z194" i="3"/>
  <c r="Z289" i="3"/>
  <c r="Z236" i="3"/>
  <c r="Z336" i="3"/>
  <c r="Z296" i="3"/>
  <c r="Q170" i="1"/>
  <c r="H146" i="5"/>
  <c r="Z686" i="3"/>
  <c r="Z284" i="3"/>
  <c r="Z396" i="3"/>
  <c r="Z241" i="3"/>
  <c r="Z246" i="3"/>
  <c r="Z691" i="3"/>
  <c r="Z346" i="3"/>
  <c r="Z441" i="3"/>
  <c r="Z184" i="3"/>
  <c r="Z384" i="3"/>
  <c r="Z444" i="3"/>
  <c r="Z244" i="3"/>
  <c r="Z344" i="3"/>
  <c r="Z689" i="3"/>
  <c r="Z434" i="3"/>
  <c r="Z694" i="3"/>
  <c r="Z189" i="3"/>
  <c r="Z286" i="3"/>
  <c r="Z394" i="3"/>
  <c r="Z439" i="3"/>
  <c r="Z239" i="3"/>
  <c r="Z294" i="3"/>
  <c r="Z339" i="3"/>
  <c r="Z684" i="3"/>
  <c r="Z191" i="3"/>
  <c r="Z243" i="3"/>
  <c r="Z343" i="3"/>
  <c r="Z388" i="3"/>
  <c r="Z392" i="3"/>
  <c r="Z688" i="3"/>
  <c r="Z193" i="3"/>
  <c r="Z233" i="3"/>
  <c r="Z240" i="3"/>
  <c r="Z287" i="3"/>
  <c r="Z288" i="3"/>
  <c r="Z295" i="3"/>
  <c r="Z333" i="3"/>
  <c r="Z340" i="3"/>
  <c r="Z385" i="3"/>
  <c r="Z390" i="3"/>
  <c r="Z397" i="3"/>
  <c r="Z437" i="3"/>
  <c r="Z438" i="3"/>
  <c r="Z445" i="3"/>
  <c r="Z685" i="3"/>
  <c r="Z697" i="3"/>
  <c r="Z185" i="3"/>
  <c r="Z197" i="3"/>
  <c r="Z237" i="3"/>
  <c r="Z245" i="3"/>
  <c r="Z292" i="3"/>
  <c r="Z337" i="3"/>
  <c r="Z345" i="3"/>
  <c r="Z389" i="3"/>
  <c r="Z442" i="3"/>
  <c r="Z690" i="3"/>
  <c r="Z190" i="3"/>
  <c r="Z238" i="3"/>
  <c r="Z293" i="3"/>
  <c r="Z338" i="3"/>
  <c r="Z383" i="3"/>
  <c r="Z443" i="3"/>
  <c r="Z683" i="3"/>
  <c r="Z183" i="3"/>
  <c r="Z242" i="3"/>
  <c r="Z285" i="3"/>
  <c r="Z297" i="3"/>
  <c r="Z342" i="3"/>
  <c r="Z387" i="3"/>
  <c r="Z395" i="3"/>
  <c r="Z435" i="3"/>
  <c r="Z447" i="3"/>
  <c r="Z687" i="3"/>
  <c r="Z695" i="3"/>
  <c r="Z187" i="3"/>
  <c r="Z188" i="3"/>
  <c r="Z192" i="3"/>
  <c r="Z195" i="3"/>
  <c r="Z235" i="3"/>
  <c r="Z247" i="3"/>
  <c r="Z283" i="3"/>
  <c r="Z290" i="3"/>
  <c r="Z335" i="3"/>
  <c r="Z347" i="3"/>
  <c r="Z391" i="3"/>
  <c r="Z393" i="3"/>
  <c r="Z433" i="3"/>
  <c r="Z440" i="3"/>
  <c r="Z692" i="3"/>
  <c r="Z693" i="3"/>
  <c r="H65" i="5"/>
  <c r="Q169" i="1"/>
  <c r="Q115" i="1"/>
  <c r="H96" i="5"/>
  <c r="Q104" i="1"/>
  <c r="H86" i="5"/>
  <c r="Q168" i="1"/>
  <c r="H95" i="5"/>
  <c r="Q102" i="1"/>
  <c r="H84" i="5"/>
  <c r="H85" i="5"/>
  <c r="H94" i="5"/>
  <c r="Q114" i="1"/>
  <c r="Q70" i="1"/>
  <c r="Q92" i="1"/>
  <c r="Q103" i="1"/>
  <c r="H76" i="5"/>
  <c r="Q91" i="1"/>
  <c r="H64" i="5"/>
  <c r="Q93" i="1"/>
  <c r="H66" i="5"/>
  <c r="H56" i="5"/>
  <c r="H54" i="5"/>
  <c r="H46" i="5"/>
  <c r="Q59" i="1"/>
  <c r="H44" i="5"/>
  <c r="C32" i="5"/>
  <c r="C33" i="5"/>
  <c r="D34" i="5"/>
  <c r="D35" i="5"/>
  <c r="D36" i="5"/>
  <c r="B34" i="5"/>
  <c r="B35" i="5"/>
  <c r="B36" i="5"/>
  <c r="F24" i="4"/>
  <c r="F22" i="4"/>
  <c r="F20" i="4"/>
  <c r="F18" i="4"/>
  <c r="AH7" i="6"/>
  <c r="AG7" i="6"/>
  <c r="AF7" i="6"/>
  <c r="Y138" i="3"/>
  <c r="Y147" i="3"/>
  <c r="Y146" i="3"/>
  <c r="Y145" i="3"/>
  <c r="Y144" i="3"/>
  <c r="Y143" i="3"/>
  <c r="Y142" i="3"/>
  <c r="Y141" i="3"/>
  <c r="Y140" i="3"/>
  <c r="Y139" i="3"/>
  <c r="Y137" i="3"/>
  <c r="Y136" i="3"/>
  <c r="Y135" i="3"/>
  <c r="Y134" i="3"/>
  <c r="Y133" i="3"/>
  <c r="X144" i="3"/>
  <c r="X145" i="3"/>
  <c r="X146" i="3"/>
  <c r="X147" i="3"/>
  <c r="X143" i="3"/>
  <c r="X139" i="3"/>
  <c r="X140" i="3"/>
  <c r="X141" i="3"/>
  <c r="X142" i="3"/>
  <c r="X138" i="3"/>
  <c r="X134" i="3"/>
  <c r="X135" i="3"/>
  <c r="X136" i="3"/>
  <c r="X137" i="3"/>
  <c r="X133" i="3"/>
  <c r="P46" i="1"/>
  <c r="P47" i="1"/>
  <c r="P48" i="1"/>
  <c r="P49" i="1"/>
  <c r="C19" i="5"/>
  <c r="C20" i="5"/>
  <c r="C21" i="5"/>
  <c r="C22" i="5"/>
  <c r="C23" i="5"/>
  <c r="C24" i="5"/>
  <c r="C25" i="5"/>
  <c r="C26" i="5"/>
  <c r="C27" i="5"/>
  <c r="C11" i="5"/>
  <c r="C12" i="5"/>
  <c r="C13" i="5"/>
  <c r="C14" i="5"/>
  <c r="C15" i="5"/>
  <c r="C16" i="5"/>
  <c r="C17" i="5"/>
  <c r="C9" i="5"/>
  <c r="C10" i="5"/>
  <c r="D24" i="5"/>
  <c r="D25" i="5"/>
  <c r="D26" i="5"/>
  <c r="D27" i="5"/>
  <c r="B24" i="5"/>
  <c r="B25" i="5"/>
  <c r="B26" i="5"/>
  <c r="B27" i="5"/>
  <c r="D24" i="4"/>
  <c r="D22" i="4"/>
  <c r="D20" i="4"/>
  <c r="D18" i="4"/>
  <c r="X7" i="6"/>
  <c r="W7" i="6"/>
  <c r="V7" i="6"/>
  <c r="Y96" i="3"/>
  <c r="Y95" i="3"/>
  <c r="Y94" i="3"/>
  <c r="Y93" i="3"/>
  <c r="Y92" i="3"/>
  <c r="Y90" i="3"/>
  <c r="Y89" i="3"/>
  <c r="Y88" i="3"/>
  <c r="Y87" i="3"/>
  <c r="Y85" i="3"/>
  <c r="Y84" i="3"/>
  <c r="Y83" i="3"/>
  <c r="X94" i="3"/>
  <c r="X95" i="3"/>
  <c r="X96" i="3"/>
  <c r="X97" i="3"/>
  <c r="Z97" i="3" s="1"/>
  <c r="X93" i="3"/>
  <c r="X89" i="3"/>
  <c r="X90" i="3"/>
  <c r="X91" i="3"/>
  <c r="Z91" i="3" s="1"/>
  <c r="X92" i="3"/>
  <c r="X88" i="3"/>
  <c r="X87" i="3"/>
  <c r="X84" i="3"/>
  <c r="X85" i="3"/>
  <c r="X86" i="3"/>
  <c r="Z86" i="3" s="1"/>
  <c r="X83" i="3"/>
  <c r="X82" i="3"/>
  <c r="P36" i="1"/>
  <c r="P37" i="1"/>
  <c r="L24" i="16" s="1"/>
  <c r="P38" i="1"/>
  <c r="D14" i="5"/>
  <c r="D15" i="5"/>
  <c r="D16" i="5"/>
  <c r="B14" i="5"/>
  <c r="B15" i="5"/>
  <c r="B16" i="5"/>
  <c r="B24" i="4"/>
  <c r="B22" i="4"/>
  <c r="B20" i="4"/>
  <c r="B18" i="4"/>
  <c r="N7" i="6"/>
  <c r="M7" i="6"/>
  <c r="L7" i="6"/>
  <c r="K7" i="6"/>
  <c r="Y47" i="3"/>
  <c r="Y46" i="3"/>
  <c r="Y45" i="3"/>
  <c r="Y44" i="3"/>
  <c r="Y43" i="3"/>
  <c r="Y42" i="3"/>
  <c r="Y41" i="3"/>
  <c r="Y40" i="3"/>
  <c r="Y39" i="3"/>
  <c r="Y38" i="3"/>
  <c r="Y37" i="3"/>
  <c r="Y36" i="3"/>
  <c r="Y35" i="3"/>
  <c r="Y34" i="3"/>
  <c r="Y33" i="3"/>
  <c r="X44" i="3"/>
  <c r="X45" i="3"/>
  <c r="X46" i="3"/>
  <c r="X47" i="3"/>
  <c r="X43" i="3"/>
  <c r="X39" i="3"/>
  <c r="X40" i="3"/>
  <c r="X41" i="3"/>
  <c r="X42" i="3"/>
  <c r="X38" i="3"/>
  <c r="X37" i="3"/>
  <c r="X34" i="3"/>
  <c r="X35" i="3"/>
  <c r="X36" i="3"/>
  <c r="X33" i="3"/>
  <c r="X32" i="3"/>
  <c r="Q26" i="1"/>
  <c r="H16" i="5"/>
  <c r="K35" i="19" l="1"/>
  <c r="L35" i="16"/>
  <c r="K34" i="19"/>
  <c r="L34" i="16"/>
  <c r="K33" i="19"/>
  <c r="L33" i="16"/>
  <c r="K32" i="19"/>
  <c r="L32" i="16"/>
  <c r="K23" i="19"/>
  <c r="L23" i="16"/>
  <c r="K25" i="19"/>
  <c r="L25" i="16"/>
  <c r="K24" i="19"/>
  <c r="AD64" i="3"/>
  <c r="L64" i="19" s="1"/>
  <c r="AD45" i="3"/>
  <c r="L45" i="19" s="1"/>
  <c r="H35" i="5"/>
  <c r="H34" i="5"/>
  <c r="H33" i="5"/>
  <c r="H36" i="5"/>
  <c r="Q38" i="1"/>
  <c r="Q36" i="1"/>
  <c r="AD73" i="3"/>
  <c r="L73" i="19" s="1"/>
  <c r="Z138" i="3"/>
  <c r="AD53" i="3"/>
  <c r="L53" i="19" s="1"/>
  <c r="AD74" i="3"/>
  <c r="L74" i="19" s="1"/>
  <c r="AD65" i="3"/>
  <c r="L65" i="19" s="1"/>
  <c r="AD75" i="3"/>
  <c r="L75" i="19" s="1"/>
  <c r="AD63" i="3"/>
  <c r="L63" i="19" s="1"/>
  <c r="AD85" i="3"/>
  <c r="L85" i="19" s="1"/>
  <c r="AD43" i="3"/>
  <c r="M43" i="16" s="1"/>
  <c r="AD55" i="3"/>
  <c r="M55" i="16" s="1"/>
  <c r="AD83" i="3"/>
  <c r="L83" i="19" s="1"/>
  <c r="AD54" i="3"/>
  <c r="L54" i="19" s="1"/>
  <c r="AD94" i="3"/>
  <c r="M94" i="16" s="1"/>
  <c r="AD44" i="3"/>
  <c r="M44" i="16" s="1"/>
  <c r="AD93" i="3"/>
  <c r="L93" i="19" s="1"/>
  <c r="AD95" i="3"/>
  <c r="L95" i="19" s="1"/>
  <c r="AD84" i="3"/>
  <c r="L84" i="19" s="1"/>
  <c r="AA94" i="3"/>
  <c r="AB94" i="3"/>
  <c r="AC94" i="3" s="1"/>
  <c r="AA44" i="3"/>
  <c r="AB44" i="3"/>
  <c r="AC44" i="3" s="1"/>
  <c r="AA140" i="3"/>
  <c r="AB140" i="3"/>
  <c r="AC140" i="3" s="1"/>
  <c r="AA96" i="3"/>
  <c r="AB96" i="3"/>
  <c r="AC96" i="3" s="1"/>
  <c r="AA141" i="3"/>
  <c r="AB141" i="3"/>
  <c r="AC141" i="3" s="1"/>
  <c r="AA33" i="3"/>
  <c r="AB33" i="3"/>
  <c r="AC33" i="3" s="1"/>
  <c r="AA45" i="3"/>
  <c r="AB45" i="3"/>
  <c r="AC45" i="3" s="1"/>
  <c r="AA83" i="3"/>
  <c r="AB83" i="3"/>
  <c r="AC83" i="3" s="1"/>
  <c r="AA142" i="3"/>
  <c r="AB142" i="3"/>
  <c r="AC142" i="3" s="1"/>
  <c r="AA34" i="3"/>
  <c r="AB34" i="3"/>
  <c r="AC34" i="3" s="1"/>
  <c r="AA84" i="3"/>
  <c r="AB84" i="3"/>
  <c r="AC84" i="3" s="1"/>
  <c r="AA143" i="3"/>
  <c r="AB143" i="3"/>
  <c r="AC143" i="3" s="1"/>
  <c r="AA46" i="3"/>
  <c r="AB46" i="3"/>
  <c r="AC46" i="3" s="1"/>
  <c r="AA35" i="3"/>
  <c r="AB35" i="3"/>
  <c r="AC35" i="3" s="1"/>
  <c r="AA47" i="3"/>
  <c r="AB47" i="3"/>
  <c r="AC47" i="3" s="1"/>
  <c r="AA85" i="3"/>
  <c r="AB85" i="3"/>
  <c r="AC85" i="3" s="1"/>
  <c r="AA144" i="3"/>
  <c r="AB144" i="3"/>
  <c r="AC144" i="3" s="1"/>
  <c r="AA36" i="3"/>
  <c r="AB36" i="3"/>
  <c r="AC36" i="3" s="1"/>
  <c r="AA87" i="3"/>
  <c r="AB87" i="3"/>
  <c r="AC87" i="3" s="1"/>
  <c r="AA145" i="3"/>
  <c r="AB145" i="3"/>
  <c r="AC145" i="3" s="1"/>
  <c r="AA95" i="3"/>
  <c r="AB95" i="3"/>
  <c r="AC95" i="3" s="1"/>
  <c r="AA37" i="3"/>
  <c r="AB37" i="3"/>
  <c r="AC37" i="3" s="1"/>
  <c r="AA133" i="3"/>
  <c r="AB133" i="3"/>
  <c r="AC133" i="3" s="1"/>
  <c r="AA134" i="3"/>
  <c r="AB134" i="3"/>
  <c r="AC134" i="3" s="1"/>
  <c r="AA93" i="3"/>
  <c r="AB93" i="3"/>
  <c r="AC93" i="3" s="1"/>
  <c r="AA42" i="3"/>
  <c r="AB42" i="3"/>
  <c r="AC42" i="3" s="1"/>
  <c r="AA139" i="3"/>
  <c r="AB139" i="3"/>
  <c r="AC139" i="3" s="1"/>
  <c r="AA146" i="3"/>
  <c r="AB146" i="3"/>
  <c r="AC146" i="3" s="1"/>
  <c r="AA147" i="3"/>
  <c r="AB147" i="3"/>
  <c r="AC147" i="3" s="1"/>
  <c r="AA39" i="3"/>
  <c r="AB39" i="3"/>
  <c r="AC39" i="3" s="1"/>
  <c r="AA90" i="3"/>
  <c r="AB90" i="3"/>
  <c r="AC90" i="3" s="1"/>
  <c r="AA135" i="3"/>
  <c r="AB135" i="3"/>
  <c r="AC135" i="3" s="1"/>
  <c r="AA138" i="3"/>
  <c r="AB138" i="3"/>
  <c r="AA41" i="3"/>
  <c r="AB41" i="3"/>
  <c r="AC41" i="3" s="1"/>
  <c r="AA43" i="3"/>
  <c r="AB43" i="3"/>
  <c r="AC43" i="3" s="1"/>
  <c r="AA88" i="3"/>
  <c r="AB88" i="3"/>
  <c r="AC88" i="3" s="1"/>
  <c r="AA38" i="3"/>
  <c r="AB38" i="3"/>
  <c r="AC38" i="3" s="1"/>
  <c r="AA89" i="3"/>
  <c r="AB89" i="3"/>
  <c r="AC89" i="3" s="1"/>
  <c r="AA40" i="3"/>
  <c r="AB40" i="3"/>
  <c r="AC40" i="3" s="1"/>
  <c r="AA92" i="3"/>
  <c r="AB92" i="3"/>
  <c r="AC92" i="3" s="1"/>
  <c r="AA136" i="3"/>
  <c r="AB136" i="3"/>
  <c r="AC136" i="3" s="1"/>
  <c r="AA137" i="3"/>
  <c r="AB137" i="3"/>
  <c r="AC137" i="3" s="1"/>
  <c r="Z46" i="3"/>
  <c r="Z96" i="3"/>
  <c r="Z39" i="3"/>
  <c r="Z136" i="3"/>
  <c r="Z89" i="3"/>
  <c r="Z134" i="3"/>
  <c r="Z41" i="3"/>
  <c r="Z137" i="3"/>
  <c r="Z44" i="3"/>
  <c r="Z94" i="3"/>
  <c r="Z40" i="3"/>
  <c r="Z90" i="3"/>
  <c r="Z36" i="3"/>
  <c r="Z142" i="3"/>
  <c r="Z133" i="3"/>
  <c r="Z140" i="3"/>
  <c r="Z146" i="3"/>
  <c r="Z34" i="3"/>
  <c r="Z84" i="3"/>
  <c r="Z88" i="3"/>
  <c r="Z38" i="3"/>
  <c r="Z42" i="3"/>
  <c r="Z92" i="3"/>
  <c r="Z135" i="3"/>
  <c r="Z33" i="3"/>
  <c r="Z37" i="3"/>
  <c r="Z83" i="3"/>
  <c r="Z87" i="3"/>
  <c r="Z139" i="3"/>
  <c r="Z143" i="3"/>
  <c r="Z45" i="3"/>
  <c r="Z95" i="3"/>
  <c r="Z147" i="3"/>
  <c r="Z35" i="3"/>
  <c r="Z43" i="3"/>
  <c r="Z85" i="3"/>
  <c r="Z93" i="3"/>
  <c r="Z141" i="3"/>
  <c r="Z47" i="3"/>
  <c r="Z145" i="3"/>
  <c r="Z144" i="3"/>
  <c r="H25" i="5"/>
  <c r="Q49" i="1"/>
  <c r="Q47" i="1"/>
  <c r="Q27" i="1"/>
  <c r="Q48" i="1"/>
  <c r="H24" i="5"/>
  <c r="H26" i="5"/>
  <c r="H14" i="5"/>
  <c r="Q37" i="1"/>
  <c r="Q25" i="1"/>
  <c r="H15" i="5"/>
  <c r="M53" i="16" l="1"/>
  <c r="L94" i="19"/>
  <c r="M54" i="16"/>
  <c r="L44" i="19"/>
  <c r="M95" i="16"/>
  <c r="M45" i="16"/>
  <c r="M84" i="16"/>
  <c r="M83" i="16"/>
  <c r="M93" i="16"/>
  <c r="M75" i="16"/>
  <c r="M85" i="16"/>
  <c r="M74" i="16"/>
  <c r="L43" i="19"/>
  <c r="M64" i="16"/>
  <c r="M63" i="16"/>
  <c r="M73" i="16"/>
  <c r="M65" i="16"/>
  <c r="L55" i="19"/>
  <c r="AC138" i="3"/>
  <c r="L145" i="19"/>
  <c r="L139" i="19"/>
  <c r="L140" i="19"/>
  <c r="L146" i="19"/>
  <c r="L144" i="19"/>
  <c r="L141" i="19"/>
  <c r="L143" i="19"/>
  <c r="AD15" i="3"/>
  <c r="L15" i="19" s="1"/>
  <c r="AD24" i="3"/>
  <c r="M24" i="16" s="1"/>
  <c r="AD35" i="3"/>
  <c r="L35" i="19" s="1"/>
  <c r="AD13" i="3"/>
  <c r="M13" i="16" s="1"/>
  <c r="AD23" i="3"/>
  <c r="L23" i="19" s="1"/>
  <c r="AD33" i="3"/>
  <c r="AD14" i="3"/>
  <c r="L14" i="19" s="1"/>
  <c r="AD25" i="3"/>
  <c r="D93" i="5"/>
  <c r="B93" i="5"/>
  <c r="AB16" i="4"/>
  <c r="R16" i="4"/>
  <c r="EK7" i="6"/>
  <c r="CM7" i="6"/>
  <c r="X679" i="3"/>
  <c r="X680" i="3"/>
  <c r="X681" i="3"/>
  <c r="X682" i="3"/>
  <c r="X678" i="3"/>
  <c r="Y432" i="3"/>
  <c r="Y431" i="3"/>
  <c r="Y430" i="3"/>
  <c r="Y429" i="3"/>
  <c r="Y428" i="3"/>
  <c r="X429" i="3"/>
  <c r="X430" i="3"/>
  <c r="X431" i="3"/>
  <c r="X432" i="3"/>
  <c r="X428" i="3"/>
  <c r="Y382" i="3"/>
  <c r="Y381" i="3"/>
  <c r="Y380" i="3"/>
  <c r="Y379" i="3"/>
  <c r="Y378" i="3"/>
  <c r="X379" i="3"/>
  <c r="X380" i="3"/>
  <c r="X381" i="3"/>
  <c r="X382" i="3"/>
  <c r="X378" i="3"/>
  <c r="P167" i="1"/>
  <c r="P112" i="1"/>
  <c r="L92" i="16" s="1"/>
  <c r="CC7" i="6"/>
  <c r="P101" i="1"/>
  <c r="L82" i="16" s="1"/>
  <c r="D73" i="5"/>
  <c r="B73" i="5"/>
  <c r="N16" i="4"/>
  <c r="BS7" i="6"/>
  <c r="Y332" i="3"/>
  <c r="Y331" i="3"/>
  <c r="Y330" i="3"/>
  <c r="Y329" i="3"/>
  <c r="Y328" i="3"/>
  <c r="X329" i="3"/>
  <c r="X330" i="3"/>
  <c r="X331" i="3"/>
  <c r="X332" i="3"/>
  <c r="X328" i="3"/>
  <c r="P90" i="1"/>
  <c r="L72" i="16" s="1"/>
  <c r="D63" i="5"/>
  <c r="B63" i="5"/>
  <c r="L16" i="4"/>
  <c r="BI7" i="6"/>
  <c r="Y282" i="3"/>
  <c r="Y281" i="3"/>
  <c r="Y280" i="3"/>
  <c r="Y279" i="3"/>
  <c r="Y278" i="3"/>
  <c r="X279" i="3"/>
  <c r="X280" i="3"/>
  <c r="X281" i="3"/>
  <c r="X282" i="3"/>
  <c r="X278" i="3"/>
  <c r="P79" i="1"/>
  <c r="K142" i="19" l="1"/>
  <c r="L142" i="16"/>
  <c r="K62" i="19"/>
  <c r="L62" i="16"/>
  <c r="L24" i="19"/>
  <c r="M35" i="16"/>
  <c r="M14" i="16"/>
  <c r="M23" i="16"/>
  <c r="M97" i="16"/>
  <c r="M137" i="16"/>
  <c r="M15" i="16"/>
  <c r="L13" i="19"/>
  <c r="AD34" i="3"/>
  <c r="K82" i="19"/>
  <c r="K72" i="19"/>
  <c r="K92" i="19"/>
  <c r="L138" i="19"/>
  <c r="L137" i="19"/>
  <c r="L97" i="19"/>
  <c r="H143" i="5"/>
  <c r="H63" i="5"/>
  <c r="AA382" i="3"/>
  <c r="AB382" i="3"/>
  <c r="AC382" i="3" s="1"/>
  <c r="AA278" i="3"/>
  <c r="AB278" i="3"/>
  <c r="AC278" i="3" s="1"/>
  <c r="AA282" i="3"/>
  <c r="AB282" i="3"/>
  <c r="AC282" i="3" s="1"/>
  <c r="AA328" i="3"/>
  <c r="AB328" i="3"/>
  <c r="AC328" i="3" s="1"/>
  <c r="AA432" i="3"/>
  <c r="AB432" i="3"/>
  <c r="AC432" i="3" s="1"/>
  <c r="AA329" i="3"/>
  <c r="AB329" i="3"/>
  <c r="AC329" i="3" s="1"/>
  <c r="AA279" i="3"/>
  <c r="AB279" i="3"/>
  <c r="AC279" i="3" s="1"/>
  <c r="AA330" i="3"/>
  <c r="AB330" i="3"/>
  <c r="AC330" i="3" s="1"/>
  <c r="AA428" i="3"/>
  <c r="AB428" i="3"/>
  <c r="AC428" i="3" s="1"/>
  <c r="AA381" i="3"/>
  <c r="AB381" i="3"/>
  <c r="AC381" i="3" s="1"/>
  <c r="AA331" i="3"/>
  <c r="AB331" i="3"/>
  <c r="AC331" i="3" s="1"/>
  <c r="AA429" i="3"/>
  <c r="AB429" i="3"/>
  <c r="AC429" i="3" s="1"/>
  <c r="AA281" i="3"/>
  <c r="AB281" i="3"/>
  <c r="AC281" i="3" s="1"/>
  <c r="AA332" i="3"/>
  <c r="AB332" i="3"/>
  <c r="AC332" i="3" s="1"/>
  <c r="AA378" i="3"/>
  <c r="AB378" i="3"/>
  <c r="AC378" i="3" s="1"/>
  <c r="AA430" i="3"/>
  <c r="AB430" i="3"/>
  <c r="AC430" i="3" s="1"/>
  <c r="AA380" i="3"/>
  <c r="AB380" i="3"/>
  <c r="AC380" i="3" s="1"/>
  <c r="AA280" i="3"/>
  <c r="AB280" i="3"/>
  <c r="AC280" i="3" s="1"/>
  <c r="AA379" i="3"/>
  <c r="AB379" i="3"/>
  <c r="AC379" i="3" s="1"/>
  <c r="AA431" i="3"/>
  <c r="AB431" i="3"/>
  <c r="AC431" i="3" s="1"/>
  <c r="Z432" i="3"/>
  <c r="Z382" i="3"/>
  <c r="Z682" i="3"/>
  <c r="Z332" i="3"/>
  <c r="Z282" i="3"/>
  <c r="Z430" i="3"/>
  <c r="Z330" i="3"/>
  <c r="Z380" i="3"/>
  <c r="Z329" i="3"/>
  <c r="Z381" i="3"/>
  <c r="Z429" i="3"/>
  <c r="Z681" i="3"/>
  <c r="Z278" i="3"/>
  <c r="Z280" i="3"/>
  <c r="Z281" i="3"/>
  <c r="Z328" i="3"/>
  <c r="Z428" i="3"/>
  <c r="Z680" i="3"/>
  <c r="Z678" i="3"/>
  <c r="Z279" i="3"/>
  <c r="Z331" i="3"/>
  <c r="Z378" i="3"/>
  <c r="Z379" i="3"/>
  <c r="Z431" i="3"/>
  <c r="Z679" i="3"/>
  <c r="H83" i="5"/>
  <c r="Q167" i="1"/>
  <c r="Q112" i="1"/>
  <c r="H73" i="5"/>
  <c r="Q90" i="1"/>
  <c r="H93" i="5"/>
  <c r="Q101" i="1"/>
  <c r="Q79" i="1"/>
  <c r="D53" i="5"/>
  <c r="B53" i="5"/>
  <c r="J16" i="4"/>
  <c r="AY7" i="6"/>
  <c r="Y232" i="3"/>
  <c r="Y231" i="3"/>
  <c r="Y230" i="3"/>
  <c r="Y229" i="3"/>
  <c r="Y228" i="3"/>
  <c r="X229" i="3"/>
  <c r="X230" i="3"/>
  <c r="X231" i="3"/>
  <c r="X232" i="3"/>
  <c r="X228" i="3"/>
  <c r="P68" i="1"/>
  <c r="L52" i="16" s="1"/>
  <c r="D43" i="5"/>
  <c r="B43" i="5"/>
  <c r="H16" i="4"/>
  <c r="AO7" i="6"/>
  <c r="AN7" i="6"/>
  <c r="Y182" i="3"/>
  <c r="Y181" i="3"/>
  <c r="Y180" i="3"/>
  <c r="Y179" i="3"/>
  <c r="Y178" i="3"/>
  <c r="X179" i="3"/>
  <c r="X180" i="3"/>
  <c r="X181" i="3"/>
  <c r="X182" i="3"/>
  <c r="X178" i="3"/>
  <c r="P57" i="1"/>
  <c r="L42" i="16" s="1"/>
  <c r="D33" i="5"/>
  <c r="B33" i="5"/>
  <c r="D23" i="5"/>
  <c r="B23" i="5"/>
  <c r="F16" i="4"/>
  <c r="F14" i="4"/>
  <c r="Y132" i="3"/>
  <c r="Y131" i="3"/>
  <c r="Y130" i="3"/>
  <c r="Y129" i="3"/>
  <c r="Y128" i="3"/>
  <c r="X129" i="3"/>
  <c r="X130" i="3"/>
  <c r="X131" i="3"/>
  <c r="X132" i="3"/>
  <c r="X128" i="3"/>
  <c r="AE7" i="6"/>
  <c r="D13" i="5"/>
  <c r="B13" i="5"/>
  <c r="D16" i="4"/>
  <c r="U7" i="6"/>
  <c r="T7" i="6"/>
  <c r="Y82" i="3"/>
  <c r="Y81" i="3"/>
  <c r="Y80" i="3"/>
  <c r="Y79" i="3"/>
  <c r="Y78" i="3"/>
  <c r="X81" i="3"/>
  <c r="X80" i="3"/>
  <c r="X79" i="3"/>
  <c r="X78" i="3"/>
  <c r="P35" i="1"/>
  <c r="L22" i="16" s="1"/>
  <c r="M142" i="16" l="1"/>
  <c r="M33" i="16"/>
  <c r="L33" i="19"/>
  <c r="L25" i="19"/>
  <c r="M25" i="16"/>
  <c r="L142" i="19"/>
  <c r="K52" i="19"/>
  <c r="K42" i="19"/>
  <c r="K22" i="19"/>
  <c r="AD72" i="3"/>
  <c r="AD82" i="3"/>
  <c r="AD62" i="3"/>
  <c r="AD92" i="3"/>
  <c r="L92" i="19" s="1"/>
  <c r="AA78" i="3"/>
  <c r="AB78" i="3"/>
  <c r="AC78" i="3" s="1"/>
  <c r="AA182" i="3"/>
  <c r="AB182" i="3"/>
  <c r="AC182" i="3" s="1"/>
  <c r="AA80" i="3"/>
  <c r="AB80" i="3"/>
  <c r="AC80" i="3" s="1"/>
  <c r="AA229" i="3"/>
  <c r="AB229" i="3"/>
  <c r="AC229" i="3" s="1"/>
  <c r="AA230" i="3"/>
  <c r="AB230" i="3"/>
  <c r="AC230" i="3" s="1"/>
  <c r="AA128" i="3"/>
  <c r="AB128" i="3"/>
  <c r="AC128" i="3" s="1"/>
  <c r="AA231" i="3"/>
  <c r="AB231" i="3"/>
  <c r="AC231" i="3" s="1"/>
  <c r="AA181" i="3"/>
  <c r="AB181" i="3"/>
  <c r="AC181" i="3" s="1"/>
  <c r="AA130" i="3"/>
  <c r="AB130" i="3"/>
  <c r="AC130" i="3" s="1"/>
  <c r="AA82" i="3"/>
  <c r="AB82" i="3"/>
  <c r="AC82" i="3" s="1"/>
  <c r="AA79" i="3"/>
  <c r="AB79" i="3"/>
  <c r="AC79" i="3" s="1"/>
  <c r="AA129" i="3"/>
  <c r="AB129" i="3"/>
  <c r="AC129" i="3" s="1"/>
  <c r="AA131" i="3"/>
  <c r="AB131" i="3"/>
  <c r="AC131" i="3" s="1"/>
  <c r="AA132" i="3"/>
  <c r="AB132" i="3"/>
  <c r="AC132" i="3" s="1"/>
  <c r="AA228" i="3"/>
  <c r="AB228" i="3"/>
  <c r="AC228" i="3" s="1"/>
  <c r="AA232" i="3"/>
  <c r="AB232" i="3"/>
  <c r="AC232" i="3" s="1"/>
  <c r="AA178" i="3"/>
  <c r="AB178" i="3"/>
  <c r="AC178" i="3" s="1"/>
  <c r="AA180" i="3"/>
  <c r="AB180" i="3"/>
  <c r="AC180" i="3" s="1"/>
  <c r="AA81" i="3"/>
  <c r="AB81" i="3"/>
  <c r="AC81" i="3" s="1"/>
  <c r="AA179" i="3"/>
  <c r="AB179" i="3"/>
  <c r="AC179" i="3" s="1"/>
  <c r="Z132" i="3"/>
  <c r="Z182" i="3"/>
  <c r="Z232" i="3"/>
  <c r="Z180" i="3"/>
  <c r="Z230" i="3"/>
  <c r="Z229" i="3"/>
  <c r="Z79" i="3"/>
  <c r="Z130" i="3"/>
  <c r="Z81" i="3"/>
  <c r="Z131" i="3"/>
  <c r="Z80" i="3"/>
  <c r="Z179" i="3"/>
  <c r="Z178" i="3"/>
  <c r="Z228" i="3"/>
  <c r="Z231" i="3"/>
  <c r="Z78" i="3"/>
  <c r="Z82" i="3"/>
  <c r="Z181" i="3"/>
  <c r="Z128" i="3"/>
  <c r="Z129" i="3"/>
  <c r="H53" i="5"/>
  <c r="H43" i="5"/>
  <c r="Q35" i="1"/>
  <c r="H23" i="5"/>
  <c r="Q68" i="1"/>
  <c r="Q57" i="1"/>
  <c r="Q46" i="1"/>
  <c r="B16" i="4"/>
  <c r="B14" i="4"/>
  <c r="Y32" i="3"/>
  <c r="Y31" i="3"/>
  <c r="Y30" i="3"/>
  <c r="Y29" i="3"/>
  <c r="Y28" i="3"/>
  <c r="X31" i="3"/>
  <c r="X30" i="3"/>
  <c r="X29" i="3"/>
  <c r="X28" i="3"/>
  <c r="M92" i="16" l="1"/>
  <c r="M34" i="16"/>
  <c r="L34" i="19"/>
  <c r="AD32" i="3"/>
  <c r="AD42" i="3"/>
  <c r="L42" i="19" s="1"/>
  <c r="AD22" i="3"/>
  <c r="AD52" i="3"/>
  <c r="AA30" i="3"/>
  <c r="AB30" i="3"/>
  <c r="AC30" i="3" s="1"/>
  <c r="AA31" i="3"/>
  <c r="AB31" i="3"/>
  <c r="AC31" i="3" s="1"/>
  <c r="AA32" i="3"/>
  <c r="AB32" i="3"/>
  <c r="AC32" i="3" s="1"/>
  <c r="AA28" i="3"/>
  <c r="AB28" i="3"/>
  <c r="AC28" i="3" s="1"/>
  <c r="AA29" i="3"/>
  <c r="AB29" i="3"/>
  <c r="AC29" i="3" s="1"/>
  <c r="Z29" i="3"/>
  <c r="Z30" i="3"/>
  <c r="Z28" i="3"/>
  <c r="Z31" i="3"/>
  <c r="Z32" i="3"/>
  <c r="M82" i="16" l="1"/>
  <c r="M132" i="16"/>
  <c r="M42" i="16"/>
  <c r="AD12" i="3"/>
  <c r="H13" i="5"/>
  <c r="Q24" i="1"/>
  <c r="L132" i="19" l="1"/>
  <c r="L82" i="19"/>
  <c r="A1" i="14"/>
  <c r="D9" i="6"/>
  <c r="D10" i="6"/>
  <c r="L32" i="19" l="1"/>
  <c r="M32" i="16"/>
  <c r="Z7" i="6"/>
  <c r="D43" i="6" l="1"/>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8" i="6"/>
  <c r="B43" i="6"/>
  <c r="EQ43" i="6" s="1"/>
  <c r="B42" i="6"/>
  <c r="EQ42" i="6" s="1"/>
  <c r="B41" i="6"/>
  <c r="EQ41" i="6" s="1"/>
  <c r="B40" i="6"/>
  <c r="EQ40" i="6" s="1"/>
  <c r="B39" i="6"/>
  <c r="EQ39" i="6" s="1"/>
  <c r="B38" i="6"/>
  <c r="EQ38" i="6" s="1"/>
  <c r="B37" i="6"/>
  <c r="EQ37" i="6" s="1"/>
  <c r="B36" i="6"/>
  <c r="EQ36" i="6" s="1"/>
  <c r="B35" i="6"/>
  <c r="EQ35" i="6" s="1"/>
  <c r="B34" i="6"/>
  <c r="EQ34" i="6" s="1"/>
  <c r="B33" i="6"/>
  <c r="EQ33" i="6" s="1"/>
  <c r="B32" i="6"/>
  <c r="EQ32" i="6" s="1"/>
  <c r="B31" i="6"/>
  <c r="EQ31" i="6" s="1"/>
  <c r="B30" i="6"/>
  <c r="EQ30" i="6" s="1"/>
  <c r="B29" i="6"/>
  <c r="EQ29" i="6" s="1"/>
  <c r="B28" i="6"/>
  <c r="EQ28" i="6" s="1"/>
  <c r="B27" i="6"/>
  <c r="EQ27" i="6" s="1"/>
  <c r="B26" i="6"/>
  <c r="EQ26" i="6" s="1"/>
  <c r="B25" i="6"/>
  <c r="EQ25" i="6" s="1"/>
  <c r="B24" i="6"/>
  <c r="EQ24" i="6" s="1"/>
  <c r="B23" i="6"/>
  <c r="EQ23" i="6" s="1"/>
  <c r="B22" i="6"/>
  <c r="EQ22" i="6" s="1"/>
  <c r="B21" i="6"/>
  <c r="EQ21" i="6" s="1"/>
  <c r="B20" i="6"/>
  <c r="EQ20" i="6" s="1"/>
  <c r="B19" i="6"/>
  <c r="EQ19" i="6" s="1"/>
  <c r="B18" i="6"/>
  <c r="EQ18" i="6" s="1"/>
  <c r="B17" i="6"/>
  <c r="EQ17" i="6" s="1"/>
  <c r="B16" i="6"/>
  <c r="EQ16" i="6" s="1"/>
  <c r="B15" i="6"/>
  <c r="EQ15" i="6" s="1"/>
  <c r="B14" i="6"/>
  <c r="EQ14" i="6" s="1"/>
  <c r="B13" i="6"/>
  <c r="EQ13" i="6" s="1"/>
  <c r="B12" i="6"/>
  <c r="EQ12" i="6" s="1"/>
  <c r="B11" i="6"/>
  <c r="EQ11" i="6" s="1"/>
  <c r="B10" i="6"/>
  <c r="EQ10" i="6" s="1"/>
  <c r="B9" i="6"/>
  <c r="EQ9" i="6" s="1"/>
  <c r="B8" i="6"/>
  <c r="EQ8" i="6" s="1"/>
  <c r="E43" i="6" l="1"/>
  <c r="E36" i="6"/>
  <c r="E37" i="6"/>
  <c r="E35" i="6"/>
  <c r="D10" i="5" l="1"/>
  <c r="D11" i="5"/>
  <c r="D12" i="5"/>
  <c r="D17" i="5"/>
  <c r="D19" i="5"/>
  <c r="D20" i="5"/>
  <c r="D21" i="5"/>
  <c r="D22" i="5"/>
  <c r="D28" i="5"/>
  <c r="D29" i="5"/>
  <c r="D30" i="5"/>
  <c r="D31" i="5"/>
  <c r="D32" i="5"/>
  <c r="D37" i="5"/>
  <c r="D38" i="5"/>
  <c r="D39" i="5"/>
  <c r="D40" i="5"/>
  <c r="D41" i="5"/>
  <c r="D42" i="5"/>
  <c r="D47" i="5"/>
  <c r="D48" i="5"/>
  <c r="D49" i="5"/>
  <c r="D50" i="5"/>
  <c r="D51" i="5"/>
  <c r="D52" i="5"/>
  <c r="D58" i="5"/>
  <c r="D59" i="5"/>
  <c r="D60" i="5"/>
  <c r="D61" i="5"/>
  <c r="D62" i="5"/>
  <c r="D68" i="5"/>
  <c r="D69" i="5"/>
  <c r="D70" i="5"/>
  <c r="D71" i="5"/>
  <c r="D72" i="5"/>
  <c r="D78" i="5"/>
  <c r="D79" i="5"/>
  <c r="D80" i="5"/>
  <c r="D81" i="5"/>
  <c r="D82" i="5"/>
  <c r="D88" i="5"/>
  <c r="D89" i="5"/>
  <c r="D90" i="5"/>
  <c r="D91" i="5"/>
  <c r="D92" i="5"/>
  <c r="D97" i="5"/>
  <c r="D9" i="5"/>
  <c r="C18" i="5"/>
  <c r="C28" i="5"/>
  <c r="C29" i="5"/>
  <c r="C30" i="5"/>
  <c r="C31" i="5"/>
  <c r="C38" i="5"/>
  <c r="C39" i="5"/>
  <c r="C40" i="5"/>
  <c r="C41" i="5"/>
  <c r="C42" i="5"/>
  <c r="C47" i="5"/>
  <c r="C48" i="5"/>
  <c r="C49" i="5"/>
  <c r="C50" i="5"/>
  <c r="C51" i="5"/>
  <c r="C52" i="5"/>
  <c r="C57" i="5"/>
  <c r="C58" i="5"/>
  <c r="C59" i="5"/>
  <c r="C60" i="5"/>
  <c r="C61" i="5"/>
  <c r="C62" i="5"/>
  <c r="C68" i="5"/>
  <c r="C69" i="5"/>
  <c r="C70" i="5"/>
  <c r="C71" i="5"/>
  <c r="C72" i="5"/>
  <c r="C78" i="5"/>
  <c r="C79" i="5"/>
  <c r="C80" i="5"/>
  <c r="C81" i="5"/>
  <c r="C82" i="5"/>
  <c r="C88" i="5"/>
  <c r="C89" i="5"/>
  <c r="C90" i="5"/>
  <c r="C91" i="5"/>
  <c r="C92" i="5"/>
  <c r="C97" i="5"/>
  <c r="C8" i="5"/>
  <c r="B78" i="5"/>
  <c r="B79" i="5"/>
  <c r="B80" i="5"/>
  <c r="B81" i="5"/>
  <c r="B82" i="5"/>
  <c r="B88" i="5"/>
  <c r="B89" i="5"/>
  <c r="B90" i="5"/>
  <c r="B91" i="5"/>
  <c r="B92" i="5"/>
  <c r="B72" i="5"/>
  <c r="B77" i="5"/>
  <c r="B70" i="5"/>
  <c r="B71" i="5"/>
  <c r="B47" i="5"/>
  <c r="B48" i="5"/>
  <c r="B49" i="5"/>
  <c r="B50" i="5"/>
  <c r="B51" i="5"/>
  <c r="B52" i="5"/>
  <c r="B57" i="5"/>
  <c r="B58" i="5"/>
  <c r="B59" i="5"/>
  <c r="B60" i="5"/>
  <c r="B61" i="5"/>
  <c r="B62" i="5"/>
  <c r="B67" i="5"/>
  <c r="B68" i="5"/>
  <c r="B69" i="5"/>
  <c r="B22" i="5"/>
  <c r="B28" i="5"/>
  <c r="B29" i="5"/>
  <c r="B30" i="5"/>
  <c r="B31" i="5"/>
  <c r="B32" i="5"/>
  <c r="B37" i="5"/>
  <c r="B38" i="5"/>
  <c r="B39" i="5"/>
  <c r="B40" i="5"/>
  <c r="B41" i="5"/>
  <c r="B42" i="5"/>
  <c r="B9" i="5"/>
  <c r="B10" i="5"/>
  <c r="B11" i="5"/>
  <c r="B12" i="5"/>
  <c r="B17" i="5"/>
  <c r="B18" i="5"/>
  <c r="B19" i="5"/>
  <c r="B20" i="5"/>
  <c r="B21" i="5"/>
  <c r="B8" i="5"/>
  <c r="A178" i="3" l="1"/>
  <c r="K164" i="19"/>
  <c r="H160" i="5" l="1"/>
  <c r="H151" i="5"/>
  <c r="Q18" i="11"/>
  <c r="P28" i="1"/>
  <c r="CB7" i="6"/>
  <c r="EO7" i="6"/>
  <c r="EJ7" i="6"/>
  <c r="EI7" i="6"/>
  <c r="EH7" i="6"/>
  <c r="EG7" i="6"/>
  <c r="EF7" i="6"/>
  <c r="CL7" i="6"/>
  <c r="CK7" i="6"/>
  <c r="CJ7" i="6"/>
  <c r="CI7" i="6"/>
  <c r="CH7" i="6"/>
  <c r="CG7" i="6"/>
  <c r="BZ7" i="6"/>
  <c r="CA7" i="6"/>
  <c r="BY7" i="6"/>
  <c r="BX7" i="6"/>
  <c r="BW7" i="6"/>
  <c r="BR7" i="6"/>
  <c r="BQ7" i="6"/>
  <c r="BP7" i="6"/>
  <c r="BO7" i="6"/>
  <c r="BN7" i="6"/>
  <c r="BM7" i="6"/>
  <c r="BH7" i="6"/>
  <c r="BG7" i="6"/>
  <c r="BF7" i="6"/>
  <c r="BE7" i="6"/>
  <c r="BD7" i="6"/>
  <c r="BC7" i="6"/>
  <c r="AX7" i="6"/>
  <c r="AW7" i="6"/>
  <c r="AV7" i="6"/>
  <c r="AU7" i="6"/>
  <c r="AT7" i="6"/>
  <c r="AS7" i="6"/>
  <c r="AM7" i="6"/>
  <c r="AL7" i="6"/>
  <c r="AK7" i="6"/>
  <c r="AJ7" i="6"/>
  <c r="AI7" i="6"/>
  <c r="AD7" i="6"/>
  <c r="AC7" i="6"/>
  <c r="AB7" i="6"/>
  <c r="AA7" i="6"/>
  <c r="Y451" i="3"/>
  <c r="Y450" i="3"/>
  <c r="Y427" i="3"/>
  <c r="Y426" i="3"/>
  <c r="Y425" i="3"/>
  <c r="Y424" i="3"/>
  <c r="Y423" i="3"/>
  <c r="Y422" i="3"/>
  <c r="Y421" i="3"/>
  <c r="Y420" i="3"/>
  <c r="Y419" i="3"/>
  <c r="Y418" i="3"/>
  <c r="Y417" i="3"/>
  <c r="Y416" i="3"/>
  <c r="Y415" i="3"/>
  <c r="Y414" i="3"/>
  <c r="Y413" i="3"/>
  <c r="Y409" i="3"/>
  <c r="Y408" i="3"/>
  <c r="Y407" i="3"/>
  <c r="Y406" i="3"/>
  <c r="Y405" i="3"/>
  <c r="Y404" i="3"/>
  <c r="Y403" i="3"/>
  <c r="Y402" i="3"/>
  <c r="Y401" i="3"/>
  <c r="Y400" i="3"/>
  <c r="Y399" i="3"/>
  <c r="Y398" i="3"/>
  <c r="Y377" i="3"/>
  <c r="Y376" i="3"/>
  <c r="Y375" i="3"/>
  <c r="Y374" i="3"/>
  <c r="Y373" i="3"/>
  <c r="Y372" i="3"/>
  <c r="Y371" i="3"/>
  <c r="Y370" i="3"/>
  <c r="Y369" i="3"/>
  <c r="Y368" i="3"/>
  <c r="Y367" i="3"/>
  <c r="Y366" i="3"/>
  <c r="Y365" i="3"/>
  <c r="Y364" i="3"/>
  <c r="Y363" i="3"/>
  <c r="Y362" i="3"/>
  <c r="Y361" i="3"/>
  <c r="Y360" i="3"/>
  <c r="Y359" i="3"/>
  <c r="Y358" i="3"/>
  <c r="Y357" i="3"/>
  <c r="Y356" i="3"/>
  <c r="Y355" i="3"/>
  <c r="Y354" i="3"/>
  <c r="Y353" i="3"/>
  <c r="Y352" i="3"/>
  <c r="Y351" i="3"/>
  <c r="Y350" i="3"/>
  <c r="Y349" i="3"/>
  <c r="Y348" i="3"/>
  <c r="Y327" i="3"/>
  <c r="Y326" i="3"/>
  <c r="Y325" i="3"/>
  <c r="Y324" i="3"/>
  <c r="Y323" i="3"/>
  <c r="Y322" i="3"/>
  <c r="Y321" i="3"/>
  <c r="Y320" i="3"/>
  <c r="Y319" i="3"/>
  <c r="Y318" i="3"/>
  <c r="Y317" i="3"/>
  <c r="Y316" i="3"/>
  <c r="Y315" i="3"/>
  <c r="Y314" i="3"/>
  <c r="Y313" i="3"/>
  <c r="Y308" i="3"/>
  <c r="Y312" i="3"/>
  <c r="Y311" i="3"/>
  <c r="Y310" i="3"/>
  <c r="Y309" i="3"/>
  <c r="Y307" i="3"/>
  <c r="Y306" i="3"/>
  <c r="Y305" i="3"/>
  <c r="Y304" i="3"/>
  <c r="Y303" i="3"/>
  <c r="Y302" i="3"/>
  <c r="Y301" i="3"/>
  <c r="Y300" i="3"/>
  <c r="Y299" i="3"/>
  <c r="Y298" i="3"/>
  <c r="Y277" i="3"/>
  <c r="Y276" i="3"/>
  <c r="Y275" i="3"/>
  <c r="Y274" i="3"/>
  <c r="Y273" i="3"/>
  <c r="Y272" i="3"/>
  <c r="Y271" i="3"/>
  <c r="Y270" i="3"/>
  <c r="Y269" i="3"/>
  <c r="Y268" i="3"/>
  <c r="Y267" i="3"/>
  <c r="Y266" i="3"/>
  <c r="Y265" i="3"/>
  <c r="Y264" i="3"/>
  <c r="Y263" i="3"/>
  <c r="Y262" i="3"/>
  <c r="Y261" i="3"/>
  <c r="Y260" i="3"/>
  <c r="Y259" i="3"/>
  <c r="Y258" i="3"/>
  <c r="Y257" i="3"/>
  <c r="Y256" i="3"/>
  <c r="Y255" i="3"/>
  <c r="Y254" i="3"/>
  <c r="Y253" i="3"/>
  <c r="Y252" i="3"/>
  <c r="Y251" i="3"/>
  <c r="Y250" i="3"/>
  <c r="Y249" i="3"/>
  <c r="Y248" i="3"/>
  <c r="Y227" i="3"/>
  <c r="Y226" i="3"/>
  <c r="Y225" i="3"/>
  <c r="Y224" i="3"/>
  <c r="Y223" i="3"/>
  <c r="Y222" i="3"/>
  <c r="Y221" i="3"/>
  <c r="Y220" i="3"/>
  <c r="Y219" i="3"/>
  <c r="Y218" i="3"/>
  <c r="Y213" i="3"/>
  <c r="Y212" i="3"/>
  <c r="Y211" i="3"/>
  <c r="Y210" i="3"/>
  <c r="Y209" i="3"/>
  <c r="Y208" i="3"/>
  <c r="Y207" i="3"/>
  <c r="Y206" i="3"/>
  <c r="Y205" i="3"/>
  <c r="Y204" i="3"/>
  <c r="Y203" i="3"/>
  <c r="Y202" i="3"/>
  <c r="Y201" i="3"/>
  <c r="Y200" i="3"/>
  <c r="Y199" i="3"/>
  <c r="Y198" i="3"/>
  <c r="Y177" i="3"/>
  <c r="Y176" i="3"/>
  <c r="Y175" i="3"/>
  <c r="Y174" i="3"/>
  <c r="Y173" i="3"/>
  <c r="Y172" i="3"/>
  <c r="Y171" i="3"/>
  <c r="Y170" i="3"/>
  <c r="Y169" i="3"/>
  <c r="Y168" i="3"/>
  <c r="Y167" i="3"/>
  <c r="Y166" i="3"/>
  <c r="Y165" i="3"/>
  <c r="Y164" i="3"/>
  <c r="Y163" i="3"/>
  <c r="Y162" i="3"/>
  <c r="Y161" i="3"/>
  <c r="Y160" i="3"/>
  <c r="Y159" i="3"/>
  <c r="Y158" i="3"/>
  <c r="Y157" i="3"/>
  <c r="Y156" i="3"/>
  <c r="Y155" i="3"/>
  <c r="Y154" i="3"/>
  <c r="Y153" i="3"/>
  <c r="AB153" i="3" s="1"/>
  <c r="AC153" i="3" s="1"/>
  <c r="Y152" i="3"/>
  <c r="Y151" i="3"/>
  <c r="Y150" i="3"/>
  <c r="Y149" i="3"/>
  <c r="Y148" i="3"/>
  <c r="Y127" i="3"/>
  <c r="Y126" i="3"/>
  <c r="Y125" i="3"/>
  <c r="Y124" i="3"/>
  <c r="Y123" i="3"/>
  <c r="Y122" i="3"/>
  <c r="Y121" i="3"/>
  <c r="Y120" i="3"/>
  <c r="Y119" i="3"/>
  <c r="Y118" i="3"/>
  <c r="Y117" i="3"/>
  <c r="Y116" i="3"/>
  <c r="Y115" i="3"/>
  <c r="Y114" i="3"/>
  <c r="Y113" i="3"/>
  <c r="Y112" i="3"/>
  <c r="Y111" i="3"/>
  <c r="Y110" i="3"/>
  <c r="Y109" i="3"/>
  <c r="Y108" i="3"/>
  <c r="Y107" i="3"/>
  <c r="Y106" i="3"/>
  <c r="Y105" i="3"/>
  <c r="Y104" i="3"/>
  <c r="Y103" i="3"/>
  <c r="Y102" i="3"/>
  <c r="Y101" i="3"/>
  <c r="Y100" i="3"/>
  <c r="Y99" i="3"/>
  <c r="Y98" i="3"/>
  <c r="Y77" i="3"/>
  <c r="Y76" i="3"/>
  <c r="Y75" i="3"/>
  <c r="Y74" i="3"/>
  <c r="Y73" i="3"/>
  <c r="Y72" i="3"/>
  <c r="Y71" i="3"/>
  <c r="Y70" i="3"/>
  <c r="Y69" i="3"/>
  <c r="Y68" i="3"/>
  <c r="Y67" i="3"/>
  <c r="Y66" i="3"/>
  <c r="Y65" i="3"/>
  <c r="Y64" i="3"/>
  <c r="Y63" i="3"/>
  <c r="Y62" i="3"/>
  <c r="Y61" i="3"/>
  <c r="Y60" i="3"/>
  <c r="Y59" i="3"/>
  <c r="Y58" i="3"/>
  <c r="Y57" i="3"/>
  <c r="Y56" i="3"/>
  <c r="Y55" i="3"/>
  <c r="Y54" i="3"/>
  <c r="Y53" i="3"/>
  <c r="Y52" i="3"/>
  <c r="Y51" i="3"/>
  <c r="Y50" i="3"/>
  <c r="Y49" i="3"/>
  <c r="Y48" i="3"/>
  <c r="Y27" i="3"/>
  <c r="Y26" i="3"/>
  <c r="X699" i="3"/>
  <c r="X700" i="3"/>
  <c r="X701" i="3"/>
  <c r="X702" i="3"/>
  <c r="Z702" i="3" s="1"/>
  <c r="X698" i="3"/>
  <c r="Z698" i="3" s="1"/>
  <c r="X674" i="3"/>
  <c r="X675" i="3"/>
  <c r="Z675" i="3" s="1"/>
  <c r="X676" i="3"/>
  <c r="Z676" i="3" s="1"/>
  <c r="X677" i="3"/>
  <c r="Z677" i="3" s="1"/>
  <c r="X673" i="3"/>
  <c r="X669" i="3"/>
  <c r="Z669" i="3" s="1"/>
  <c r="X670" i="3"/>
  <c r="X671" i="3"/>
  <c r="X672" i="3"/>
  <c r="Z672" i="3" s="1"/>
  <c r="X668" i="3"/>
  <c r="Z668" i="3" s="1"/>
  <c r="X664" i="3"/>
  <c r="X665" i="3"/>
  <c r="X666" i="3"/>
  <c r="X667" i="3"/>
  <c r="Z667" i="3" s="1"/>
  <c r="X663" i="3"/>
  <c r="X659" i="3"/>
  <c r="X660" i="3"/>
  <c r="Z660" i="3" s="1"/>
  <c r="X661" i="3"/>
  <c r="Z661" i="3" s="1"/>
  <c r="X662" i="3"/>
  <c r="Z662" i="3" s="1"/>
  <c r="X658" i="3"/>
  <c r="X654" i="3"/>
  <c r="X655" i="3"/>
  <c r="X656" i="3"/>
  <c r="X657" i="3"/>
  <c r="Z657" i="3" s="1"/>
  <c r="X653" i="3"/>
  <c r="Z653" i="3" s="1"/>
  <c r="X449" i="3"/>
  <c r="Z449" i="3" s="1"/>
  <c r="X450" i="3"/>
  <c r="X451" i="3"/>
  <c r="X448" i="3"/>
  <c r="X424" i="3"/>
  <c r="X425" i="3"/>
  <c r="X426" i="3"/>
  <c r="X427" i="3"/>
  <c r="X423" i="3"/>
  <c r="X419" i="3"/>
  <c r="X420" i="3"/>
  <c r="X421" i="3"/>
  <c r="X422" i="3"/>
  <c r="X418" i="3"/>
  <c r="X414" i="3"/>
  <c r="X415" i="3"/>
  <c r="X416" i="3"/>
  <c r="X417" i="3"/>
  <c r="X413" i="3"/>
  <c r="X409" i="3"/>
  <c r="X410" i="3"/>
  <c r="Z410" i="3" s="1"/>
  <c r="X411" i="3"/>
  <c r="X412" i="3"/>
  <c r="Z412" i="3" s="1"/>
  <c r="X408" i="3"/>
  <c r="X404" i="3"/>
  <c r="X405" i="3"/>
  <c r="X406" i="3"/>
  <c r="X407" i="3"/>
  <c r="X403" i="3"/>
  <c r="X399" i="3"/>
  <c r="X400" i="3"/>
  <c r="X401" i="3"/>
  <c r="X402" i="3"/>
  <c r="X398" i="3"/>
  <c r="X374" i="3"/>
  <c r="X375" i="3"/>
  <c r="X376" i="3"/>
  <c r="X377" i="3"/>
  <c r="X373" i="3"/>
  <c r="X369" i="3"/>
  <c r="X370" i="3"/>
  <c r="X371" i="3"/>
  <c r="X372" i="3"/>
  <c r="X368" i="3"/>
  <c r="X364" i="3"/>
  <c r="X365" i="3"/>
  <c r="X366" i="3"/>
  <c r="X367" i="3"/>
  <c r="X363" i="3"/>
  <c r="X359" i="3"/>
  <c r="X360" i="3"/>
  <c r="X361" i="3"/>
  <c r="X362" i="3"/>
  <c r="X358" i="3"/>
  <c r="X354" i="3"/>
  <c r="X355" i="3"/>
  <c r="X356" i="3"/>
  <c r="X357" i="3"/>
  <c r="X353" i="3"/>
  <c r="X349" i="3"/>
  <c r="X350" i="3"/>
  <c r="X351" i="3"/>
  <c r="X352" i="3"/>
  <c r="X348" i="3"/>
  <c r="X324" i="3"/>
  <c r="X325" i="3"/>
  <c r="X326" i="3"/>
  <c r="X327" i="3"/>
  <c r="X323" i="3"/>
  <c r="X319" i="3"/>
  <c r="X320" i="3"/>
  <c r="X321" i="3"/>
  <c r="X322" i="3"/>
  <c r="X318" i="3"/>
  <c r="X314" i="3"/>
  <c r="X315" i="3"/>
  <c r="X316" i="3"/>
  <c r="X317" i="3"/>
  <c r="X313" i="3"/>
  <c r="X309" i="3"/>
  <c r="X310" i="3"/>
  <c r="X311" i="3"/>
  <c r="X312" i="3"/>
  <c r="X308" i="3"/>
  <c r="X304" i="3"/>
  <c r="X305" i="3"/>
  <c r="X306" i="3"/>
  <c r="X307" i="3"/>
  <c r="X303" i="3"/>
  <c r="X299" i="3"/>
  <c r="X300" i="3"/>
  <c r="X301" i="3"/>
  <c r="X302" i="3"/>
  <c r="X298" i="3"/>
  <c r="X274" i="3"/>
  <c r="X275" i="3"/>
  <c r="X276" i="3"/>
  <c r="X277" i="3"/>
  <c r="X273" i="3"/>
  <c r="X269" i="3"/>
  <c r="X270" i="3"/>
  <c r="X271" i="3"/>
  <c r="X272" i="3"/>
  <c r="X268" i="3"/>
  <c r="X264" i="3"/>
  <c r="X265" i="3"/>
  <c r="X266" i="3"/>
  <c r="X267" i="3"/>
  <c r="X263" i="3"/>
  <c r="X259" i="3"/>
  <c r="X260" i="3"/>
  <c r="X261" i="3"/>
  <c r="X262" i="3"/>
  <c r="X258" i="3"/>
  <c r="X254" i="3"/>
  <c r="X255" i="3"/>
  <c r="X256" i="3"/>
  <c r="X257" i="3"/>
  <c r="X253" i="3"/>
  <c r="X250" i="3"/>
  <c r="X251" i="3"/>
  <c r="X252" i="3"/>
  <c r="X249" i="3"/>
  <c r="X248" i="3"/>
  <c r="X224" i="3"/>
  <c r="X225" i="3"/>
  <c r="X226" i="3"/>
  <c r="X227" i="3"/>
  <c r="X223" i="3"/>
  <c r="X219" i="3"/>
  <c r="X220" i="3"/>
  <c r="X221" i="3"/>
  <c r="X222" i="3"/>
  <c r="X218" i="3"/>
  <c r="X214" i="3"/>
  <c r="Z214" i="3" s="1"/>
  <c r="X215" i="3"/>
  <c r="Z215" i="3" s="1"/>
  <c r="X216" i="3"/>
  <c r="Z216" i="3" s="1"/>
  <c r="X217" i="3"/>
  <c r="Z217" i="3" s="1"/>
  <c r="X213" i="3"/>
  <c r="X209" i="3"/>
  <c r="X210" i="3"/>
  <c r="X211" i="3"/>
  <c r="X212" i="3"/>
  <c r="X208" i="3"/>
  <c r="X204" i="3"/>
  <c r="X205" i="3"/>
  <c r="X206" i="3"/>
  <c r="X207" i="3"/>
  <c r="X203" i="3"/>
  <c r="X199" i="3"/>
  <c r="X200" i="3"/>
  <c r="X201" i="3"/>
  <c r="X202" i="3"/>
  <c r="X198" i="3"/>
  <c r="X174" i="3"/>
  <c r="X175" i="3"/>
  <c r="X176" i="3"/>
  <c r="X177" i="3"/>
  <c r="X173" i="3"/>
  <c r="X169" i="3"/>
  <c r="X170" i="3"/>
  <c r="X171" i="3"/>
  <c r="X172" i="3"/>
  <c r="X168" i="3"/>
  <c r="X164" i="3"/>
  <c r="X165" i="3"/>
  <c r="X166" i="3"/>
  <c r="X167" i="3"/>
  <c r="X163" i="3"/>
  <c r="X159" i="3"/>
  <c r="X160" i="3"/>
  <c r="X161" i="3"/>
  <c r="X162" i="3"/>
  <c r="X158" i="3"/>
  <c r="X154" i="3"/>
  <c r="X155" i="3"/>
  <c r="X156" i="3"/>
  <c r="X157" i="3"/>
  <c r="X153" i="3"/>
  <c r="X149" i="3"/>
  <c r="X150" i="3"/>
  <c r="X151" i="3"/>
  <c r="X152" i="3"/>
  <c r="X148" i="3"/>
  <c r="X124" i="3"/>
  <c r="X125" i="3"/>
  <c r="X126" i="3"/>
  <c r="X127" i="3"/>
  <c r="X123" i="3"/>
  <c r="X119" i="3"/>
  <c r="X120" i="3"/>
  <c r="X121" i="3"/>
  <c r="X122" i="3"/>
  <c r="X118" i="3"/>
  <c r="X114" i="3"/>
  <c r="X115" i="3"/>
  <c r="X116" i="3"/>
  <c r="X117" i="3"/>
  <c r="X113" i="3"/>
  <c r="X112" i="3"/>
  <c r="X109" i="3"/>
  <c r="X110" i="3"/>
  <c r="X111" i="3"/>
  <c r="X108" i="3"/>
  <c r="X104" i="3"/>
  <c r="X105" i="3"/>
  <c r="X106" i="3"/>
  <c r="X107" i="3"/>
  <c r="X103" i="3"/>
  <c r="X101" i="3"/>
  <c r="X102" i="3"/>
  <c r="X99" i="3"/>
  <c r="X100" i="3"/>
  <c r="X98" i="3"/>
  <c r="X77" i="3"/>
  <c r="X76" i="3"/>
  <c r="X75" i="3"/>
  <c r="X74" i="3"/>
  <c r="X73" i="3"/>
  <c r="X72" i="3"/>
  <c r="X71" i="3"/>
  <c r="X70" i="3"/>
  <c r="X69" i="3"/>
  <c r="X68" i="3"/>
  <c r="X67" i="3"/>
  <c r="X66" i="3"/>
  <c r="X65" i="3"/>
  <c r="X64" i="3"/>
  <c r="X63" i="3"/>
  <c r="X62" i="3"/>
  <c r="X61" i="3"/>
  <c r="X60" i="3"/>
  <c r="X59" i="3"/>
  <c r="X58" i="3"/>
  <c r="X57" i="3"/>
  <c r="X56" i="3"/>
  <c r="X55" i="3"/>
  <c r="X54" i="3"/>
  <c r="X53" i="3"/>
  <c r="K16" i="19" l="1"/>
  <c r="L16" i="16"/>
  <c r="Z268" i="3"/>
  <c r="Z313" i="3"/>
  <c r="Z417" i="3"/>
  <c r="Z401" i="3"/>
  <c r="Z357" i="3"/>
  <c r="Z177" i="3"/>
  <c r="Z322" i="3"/>
  <c r="Z402" i="3"/>
  <c r="Z207" i="3"/>
  <c r="Z355" i="3"/>
  <c r="Z267" i="3"/>
  <c r="Z269" i="3"/>
  <c r="Z408" i="3"/>
  <c r="Z308" i="3"/>
  <c r="Z276" i="3"/>
  <c r="Z152" i="3"/>
  <c r="Z320" i="3"/>
  <c r="Z400" i="3"/>
  <c r="Z364" i="3"/>
  <c r="Z122" i="3"/>
  <c r="Z425" i="3"/>
  <c r="Z222" i="3"/>
  <c r="Z302" i="3"/>
  <c r="Z416" i="3"/>
  <c r="Z53" i="3"/>
  <c r="Z77" i="3"/>
  <c r="Z173" i="3"/>
  <c r="Z69" i="3"/>
  <c r="Z113" i="3"/>
  <c r="Z61" i="3"/>
  <c r="Z327" i="3"/>
  <c r="Z155" i="3"/>
  <c r="AA124" i="3"/>
  <c r="AB124" i="3"/>
  <c r="AC124" i="3" s="1"/>
  <c r="AA404" i="3"/>
  <c r="AB404" i="3"/>
  <c r="AC404" i="3" s="1"/>
  <c r="AA101" i="3"/>
  <c r="AB101" i="3"/>
  <c r="AC101" i="3" s="1"/>
  <c r="AA273" i="3"/>
  <c r="AB273" i="3"/>
  <c r="AC273" i="3" s="1"/>
  <c r="AA26" i="3"/>
  <c r="AB26" i="3"/>
  <c r="AC26" i="3" s="1"/>
  <c r="AA58" i="3"/>
  <c r="AB58" i="3"/>
  <c r="AC58" i="3" s="1"/>
  <c r="AA70" i="3"/>
  <c r="AB70" i="3"/>
  <c r="AC70" i="3" s="1"/>
  <c r="AA102" i="3"/>
  <c r="AB102" i="3"/>
  <c r="AC102" i="3" s="1"/>
  <c r="AA114" i="3"/>
  <c r="AB114" i="3"/>
  <c r="AC114" i="3" s="1"/>
  <c r="AA126" i="3"/>
  <c r="AB126" i="3"/>
  <c r="AC126" i="3" s="1"/>
  <c r="AA158" i="3"/>
  <c r="AB158" i="3"/>
  <c r="AC158" i="3" s="1"/>
  <c r="AA170" i="3"/>
  <c r="AB170" i="3"/>
  <c r="AC170" i="3" s="1"/>
  <c r="AA202" i="3"/>
  <c r="AB202" i="3"/>
  <c r="AC202" i="3" s="1"/>
  <c r="AA218" i="3"/>
  <c r="AB218" i="3"/>
  <c r="AC218" i="3" s="1"/>
  <c r="AA250" i="3"/>
  <c r="AB250" i="3"/>
  <c r="AC250" i="3" s="1"/>
  <c r="AA262" i="3"/>
  <c r="AB262" i="3"/>
  <c r="AC262" i="3" s="1"/>
  <c r="AA274" i="3"/>
  <c r="AB274" i="3"/>
  <c r="AC274" i="3" s="1"/>
  <c r="AA306" i="3"/>
  <c r="AB306" i="3"/>
  <c r="AC306" i="3" s="1"/>
  <c r="AA318" i="3"/>
  <c r="AB318" i="3"/>
  <c r="AC318" i="3" s="1"/>
  <c r="AA350" i="3"/>
  <c r="AB350" i="3"/>
  <c r="AC350" i="3" s="1"/>
  <c r="AA362" i="3"/>
  <c r="AB362" i="3"/>
  <c r="AC362" i="3" s="1"/>
  <c r="AA374" i="3"/>
  <c r="AB374" i="3"/>
  <c r="AC374" i="3" s="1"/>
  <c r="AA406" i="3"/>
  <c r="AB406" i="3"/>
  <c r="AC406" i="3" s="1"/>
  <c r="AA421" i="3"/>
  <c r="AB421" i="3"/>
  <c r="AC421" i="3" s="1"/>
  <c r="AA112" i="3"/>
  <c r="AB112" i="3"/>
  <c r="AC112" i="3" s="1"/>
  <c r="AA248" i="3"/>
  <c r="AB248" i="3"/>
  <c r="AC248" i="3" s="1"/>
  <c r="AA169" i="3"/>
  <c r="AB169" i="3"/>
  <c r="AC169" i="3" s="1"/>
  <c r="AA261" i="3"/>
  <c r="AB261" i="3"/>
  <c r="AC261" i="3" s="1"/>
  <c r="AA27" i="3"/>
  <c r="AB27" i="3"/>
  <c r="AC27" i="3" s="1"/>
  <c r="AA59" i="3"/>
  <c r="AB59" i="3"/>
  <c r="AC59" i="3" s="1"/>
  <c r="AA71" i="3"/>
  <c r="AB71" i="3"/>
  <c r="AC71" i="3" s="1"/>
  <c r="AA103" i="3"/>
  <c r="AB103" i="3"/>
  <c r="AC103" i="3" s="1"/>
  <c r="AA115" i="3"/>
  <c r="AB115" i="3"/>
  <c r="AC115" i="3" s="1"/>
  <c r="AA127" i="3"/>
  <c r="AB127" i="3"/>
  <c r="AC127" i="3" s="1"/>
  <c r="AA159" i="3"/>
  <c r="AB159" i="3"/>
  <c r="AC159" i="3" s="1"/>
  <c r="AA171" i="3"/>
  <c r="AB171" i="3"/>
  <c r="AC171" i="3" s="1"/>
  <c r="AA203" i="3"/>
  <c r="AB203" i="3"/>
  <c r="AC203" i="3" s="1"/>
  <c r="AA219" i="3"/>
  <c r="AB219" i="3"/>
  <c r="AC219" i="3" s="1"/>
  <c r="AA251" i="3"/>
  <c r="AB251" i="3"/>
  <c r="AC251" i="3" s="1"/>
  <c r="AA263" i="3"/>
  <c r="AB263" i="3"/>
  <c r="AC263" i="3" s="1"/>
  <c r="AA275" i="3"/>
  <c r="AB275" i="3"/>
  <c r="AC275" i="3" s="1"/>
  <c r="AA307" i="3"/>
  <c r="AB307" i="3"/>
  <c r="AC307" i="3" s="1"/>
  <c r="AA319" i="3"/>
  <c r="AB319" i="3"/>
  <c r="AC319" i="3" s="1"/>
  <c r="AA351" i="3"/>
  <c r="AB351" i="3"/>
  <c r="AC351" i="3" s="1"/>
  <c r="AA363" i="3"/>
  <c r="AB363" i="3"/>
  <c r="AC363" i="3" s="1"/>
  <c r="AA375" i="3"/>
  <c r="AB375" i="3"/>
  <c r="AC375" i="3" s="1"/>
  <c r="AA407" i="3"/>
  <c r="AB407" i="3"/>
  <c r="AC407" i="3" s="1"/>
  <c r="AA422" i="3"/>
  <c r="AB422" i="3"/>
  <c r="AC422" i="3" s="1"/>
  <c r="AA100" i="3"/>
  <c r="AB100" i="3"/>
  <c r="AC100" i="3" s="1"/>
  <c r="AA419" i="3"/>
  <c r="AB419" i="3"/>
  <c r="AC419" i="3" s="1"/>
  <c r="AA317" i="3"/>
  <c r="AB317" i="3"/>
  <c r="AC317" i="3" s="1"/>
  <c r="Z348" i="3"/>
  <c r="AA48" i="3"/>
  <c r="AB48" i="3"/>
  <c r="AC48" i="3" s="1"/>
  <c r="AA60" i="3"/>
  <c r="AB60" i="3"/>
  <c r="AC60" i="3" s="1"/>
  <c r="AA72" i="3"/>
  <c r="AB72" i="3"/>
  <c r="AC72" i="3" s="1"/>
  <c r="AA104" i="3"/>
  <c r="AB104" i="3"/>
  <c r="AC104" i="3" s="1"/>
  <c r="AA116" i="3"/>
  <c r="AB116" i="3"/>
  <c r="AC116" i="3" s="1"/>
  <c r="AA148" i="3"/>
  <c r="AB148" i="3"/>
  <c r="AC148" i="3" s="1"/>
  <c r="AA160" i="3"/>
  <c r="AB160" i="3"/>
  <c r="AC160" i="3" s="1"/>
  <c r="AA172" i="3"/>
  <c r="AB172" i="3"/>
  <c r="AC172" i="3" s="1"/>
  <c r="AA204" i="3"/>
  <c r="AB204" i="3"/>
  <c r="AC204" i="3" s="1"/>
  <c r="AA220" i="3"/>
  <c r="AB220" i="3"/>
  <c r="AC220" i="3" s="1"/>
  <c r="AA252" i="3"/>
  <c r="AB252" i="3"/>
  <c r="AC252" i="3" s="1"/>
  <c r="AA264" i="3"/>
  <c r="AB264" i="3"/>
  <c r="AC264" i="3" s="1"/>
  <c r="AA276" i="3"/>
  <c r="AB276" i="3"/>
  <c r="AC276" i="3" s="1"/>
  <c r="AA309" i="3"/>
  <c r="AB309" i="3"/>
  <c r="AC309" i="3" s="1"/>
  <c r="AA320" i="3"/>
  <c r="AB320" i="3"/>
  <c r="AC320" i="3" s="1"/>
  <c r="AA352" i="3"/>
  <c r="AB352" i="3"/>
  <c r="AC352" i="3" s="1"/>
  <c r="AA364" i="3"/>
  <c r="AB364" i="3"/>
  <c r="AC364" i="3" s="1"/>
  <c r="AA376" i="3"/>
  <c r="AB376" i="3"/>
  <c r="AC376" i="3" s="1"/>
  <c r="AA408" i="3"/>
  <c r="AB408" i="3"/>
  <c r="AC408" i="3" s="1"/>
  <c r="AA423" i="3"/>
  <c r="AB423" i="3"/>
  <c r="AC423" i="3" s="1"/>
  <c r="AA68" i="3"/>
  <c r="AB68" i="3"/>
  <c r="AC68" i="3" s="1"/>
  <c r="AA212" i="3"/>
  <c r="AB212" i="3"/>
  <c r="AC212" i="3" s="1"/>
  <c r="AA304" i="3"/>
  <c r="AB304" i="3"/>
  <c r="AC304" i="3" s="1"/>
  <c r="Z372" i="3"/>
  <c r="AA69" i="3"/>
  <c r="AB69" i="3"/>
  <c r="AC69" i="3" s="1"/>
  <c r="AA213" i="3"/>
  <c r="AB213" i="3"/>
  <c r="AC213" i="3" s="1"/>
  <c r="AD49" i="3" s="1"/>
  <c r="AA49" i="3"/>
  <c r="AB49" i="3"/>
  <c r="AC49" i="3" s="1"/>
  <c r="AA61" i="3"/>
  <c r="AB61" i="3"/>
  <c r="AC61" i="3" s="1"/>
  <c r="AA73" i="3"/>
  <c r="AB73" i="3"/>
  <c r="AC73" i="3" s="1"/>
  <c r="AA105" i="3"/>
  <c r="AB105" i="3"/>
  <c r="AC105" i="3" s="1"/>
  <c r="AA117" i="3"/>
  <c r="AB117" i="3"/>
  <c r="AC117" i="3" s="1"/>
  <c r="AA149" i="3"/>
  <c r="AB149" i="3"/>
  <c r="AC149" i="3" s="1"/>
  <c r="AA161" i="3"/>
  <c r="AB161" i="3"/>
  <c r="AC161" i="3" s="1"/>
  <c r="AA173" i="3"/>
  <c r="AB173" i="3"/>
  <c r="AC173" i="3" s="1"/>
  <c r="AA205" i="3"/>
  <c r="AB205" i="3"/>
  <c r="AC205" i="3" s="1"/>
  <c r="AA221" i="3"/>
  <c r="AB221" i="3"/>
  <c r="AC221" i="3" s="1"/>
  <c r="AA253" i="3"/>
  <c r="AB253" i="3"/>
  <c r="AC253" i="3" s="1"/>
  <c r="AA265" i="3"/>
  <c r="AB265" i="3"/>
  <c r="AC265" i="3" s="1"/>
  <c r="AA277" i="3"/>
  <c r="AB277" i="3"/>
  <c r="AC277" i="3" s="1"/>
  <c r="AA310" i="3"/>
  <c r="AB310" i="3"/>
  <c r="AC310" i="3" s="1"/>
  <c r="AA321" i="3"/>
  <c r="AB321" i="3"/>
  <c r="AC321" i="3" s="1"/>
  <c r="AA353" i="3"/>
  <c r="AB353" i="3"/>
  <c r="AC353" i="3" s="1"/>
  <c r="AA365" i="3"/>
  <c r="AB365" i="3"/>
  <c r="AC365" i="3" s="1"/>
  <c r="AA377" i="3"/>
  <c r="AB377" i="3"/>
  <c r="AC377" i="3" s="1"/>
  <c r="AA409" i="3"/>
  <c r="AB409" i="3"/>
  <c r="AC409" i="3" s="1"/>
  <c r="AA424" i="3"/>
  <c r="AB424" i="3"/>
  <c r="AC424" i="3" s="1"/>
  <c r="AA316" i="3"/>
  <c r="AB316" i="3"/>
  <c r="AC316" i="3" s="1"/>
  <c r="AA420" i="3"/>
  <c r="AB420" i="3"/>
  <c r="AC420" i="3" s="1"/>
  <c r="AA50" i="3"/>
  <c r="AB50" i="3"/>
  <c r="AC50" i="3" s="1"/>
  <c r="AA62" i="3"/>
  <c r="AB62" i="3"/>
  <c r="AC62" i="3" s="1"/>
  <c r="AA74" i="3"/>
  <c r="AB74" i="3"/>
  <c r="AC74" i="3" s="1"/>
  <c r="AA106" i="3"/>
  <c r="AB106" i="3"/>
  <c r="AC106" i="3" s="1"/>
  <c r="AA118" i="3"/>
  <c r="AB118" i="3"/>
  <c r="AC118" i="3" s="1"/>
  <c r="AA150" i="3"/>
  <c r="AB150" i="3"/>
  <c r="AC150" i="3" s="1"/>
  <c r="AA162" i="3"/>
  <c r="AB162" i="3"/>
  <c r="AC162" i="3" s="1"/>
  <c r="AA174" i="3"/>
  <c r="AB174" i="3"/>
  <c r="AC174" i="3" s="1"/>
  <c r="AA206" i="3"/>
  <c r="AB206" i="3"/>
  <c r="AC206" i="3" s="1"/>
  <c r="AA222" i="3"/>
  <c r="AB222" i="3"/>
  <c r="AC222" i="3" s="1"/>
  <c r="AA254" i="3"/>
  <c r="AB254" i="3"/>
  <c r="AC254" i="3" s="1"/>
  <c r="AA266" i="3"/>
  <c r="AB266" i="3"/>
  <c r="AC266" i="3" s="1"/>
  <c r="AA298" i="3"/>
  <c r="AB298" i="3"/>
  <c r="AC298" i="3" s="1"/>
  <c r="AA311" i="3"/>
  <c r="AB311" i="3"/>
  <c r="AC311" i="3" s="1"/>
  <c r="AA322" i="3"/>
  <c r="AB322" i="3"/>
  <c r="AC322" i="3" s="1"/>
  <c r="AA354" i="3"/>
  <c r="AB354" i="3"/>
  <c r="AC354" i="3" s="1"/>
  <c r="AA366" i="3"/>
  <c r="AB366" i="3"/>
  <c r="AC366" i="3" s="1"/>
  <c r="AA398" i="3"/>
  <c r="AB398" i="3"/>
  <c r="AC398" i="3" s="1"/>
  <c r="AA413" i="3"/>
  <c r="AB413" i="3"/>
  <c r="AC413" i="3" s="1"/>
  <c r="AA425" i="3"/>
  <c r="AB425" i="3"/>
  <c r="AC425" i="3" s="1"/>
  <c r="AA348" i="3"/>
  <c r="AB348" i="3"/>
  <c r="AC348" i="3" s="1"/>
  <c r="AA57" i="3"/>
  <c r="AB57" i="3"/>
  <c r="AC57" i="3" s="1"/>
  <c r="AA349" i="3"/>
  <c r="AB349" i="3"/>
  <c r="AC349" i="3" s="1"/>
  <c r="AA51" i="3"/>
  <c r="AB51" i="3"/>
  <c r="AC51" i="3" s="1"/>
  <c r="AA63" i="3"/>
  <c r="AB63" i="3"/>
  <c r="AC63" i="3" s="1"/>
  <c r="AA75" i="3"/>
  <c r="AB75" i="3"/>
  <c r="AC75" i="3" s="1"/>
  <c r="AA107" i="3"/>
  <c r="AB107" i="3"/>
  <c r="AC107" i="3" s="1"/>
  <c r="AA119" i="3"/>
  <c r="AB119" i="3"/>
  <c r="AC119" i="3" s="1"/>
  <c r="AA151" i="3"/>
  <c r="AB151" i="3"/>
  <c r="AC151" i="3" s="1"/>
  <c r="AA163" i="3"/>
  <c r="AB163" i="3"/>
  <c r="AC163" i="3" s="1"/>
  <c r="AA175" i="3"/>
  <c r="AB175" i="3"/>
  <c r="AC175" i="3" s="1"/>
  <c r="AA207" i="3"/>
  <c r="AB207" i="3"/>
  <c r="AC207" i="3" s="1"/>
  <c r="AA223" i="3"/>
  <c r="AB223" i="3"/>
  <c r="AC223" i="3" s="1"/>
  <c r="AA255" i="3"/>
  <c r="AB255" i="3"/>
  <c r="AC255" i="3" s="1"/>
  <c r="AA267" i="3"/>
  <c r="AB267" i="3"/>
  <c r="AC267" i="3" s="1"/>
  <c r="AA299" i="3"/>
  <c r="AB299" i="3"/>
  <c r="AC299" i="3" s="1"/>
  <c r="AA312" i="3"/>
  <c r="AB312" i="3"/>
  <c r="AC312" i="3" s="1"/>
  <c r="AA323" i="3"/>
  <c r="AB323" i="3"/>
  <c r="AC323" i="3" s="1"/>
  <c r="AA355" i="3"/>
  <c r="AB355" i="3"/>
  <c r="AC355" i="3" s="1"/>
  <c r="AA367" i="3"/>
  <c r="AB367" i="3"/>
  <c r="AC367" i="3" s="1"/>
  <c r="AA399" i="3"/>
  <c r="AB399" i="3"/>
  <c r="AC399" i="3" s="1"/>
  <c r="AA414" i="3"/>
  <c r="AB414" i="3"/>
  <c r="AC414" i="3" s="1"/>
  <c r="AA426" i="3"/>
  <c r="AB426" i="3"/>
  <c r="AC426" i="3" s="1"/>
  <c r="AA156" i="3"/>
  <c r="AB156" i="3"/>
  <c r="AC156" i="3" s="1"/>
  <c r="AA372" i="3"/>
  <c r="AB372" i="3"/>
  <c r="AC372" i="3" s="1"/>
  <c r="AA201" i="3"/>
  <c r="AB201" i="3"/>
  <c r="AC201" i="3" s="1"/>
  <c r="AA305" i="3"/>
  <c r="AB305" i="3"/>
  <c r="AC305" i="3" s="1"/>
  <c r="AA52" i="3"/>
  <c r="AB52" i="3"/>
  <c r="AC52" i="3" s="1"/>
  <c r="AA64" i="3"/>
  <c r="AB64" i="3"/>
  <c r="AC64" i="3" s="1"/>
  <c r="AA76" i="3"/>
  <c r="AB76" i="3"/>
  <c r="AC76" i="3" s="1"/>
  <c r="AA108" i="3"/>
  <c r="AB108" i="3"/>
  <c r="AC108" i="3" s="1"/>
  <c r="AA120" i="3"/>
  <c r="AB120" i="3"/>
  <c r="AC120" i="3" s="1"/>
  <c r="AA152" i="3"/>
  <c r="AB152" i="3"/>
  <c r="AC152" i="3" s="1"/>
  <c r="AA164" i="3"/>
  <c r="AB164" i="3"/>
  <c r="AC164" i="3" s="1"/>
  <c r="AA176" i="3"/>
  <c r="AB176" i="3"/>
  <c r="AC176" i="3" s="1"/>
  <c r="AA208" i="3"/>
  <c r="AB208" i="3"/>
  <c r="AC208" i="3" s="1"/>
  <c r="AA224" i="3"/>
  <c r="AB224" i="3"/>
  <c r="AC224" i="3" s="1"/>
  <c r="AA256" i="3"/>
  <c r="AB256" i="3"/>
  <c r="AC256" i="3" s="1"/>
  <c r="AA268" i="3"/>
  <c r="AB268" i="3"/>
  <c r="AC268" i="3" s="1"/>
  <c r="AA300" i="3"/>
  <c r="AB300" i="3"/>
  <c r="AC300" i="3" s="1"/>
  <c r="AA308" i="3"/>
  <c r="AB308" i="3"/>
  <c r="AC308" i="3" s="1"/>
  <c r="AA324" i="3"/>
  <c r="AB324" i="3"/>
  <c r="AC324" i="3" s="1"/>
  <c r="AA356" i="3"/>
  <c r="AB356" i="3"/>
  <c r="AC356" i="3" s="1"/>
  <c r="AA368" i="3"/>
  <c r="AB368" i="3"/>
  <c r="AC368" i="3" s="1"/>
  <c r="AA400" i="3"/>
  <c r="AB400" i="3"/>
  <c r="AC400" i="3" s="1"/>
  <c r="AA415" i="3"/>
  <c r="AB415" i="3"/>
  <c r="AC415" i="3" s="1"/>
  <c r="AA427" i="3"/>
  <c r="AB427" i="3"/>
  <c r="AC427" i="3" s="1"/>
  <c r="AA360" i="3"/>
  <c r="AB360" i="3"/>
  <c r="AC360" i="3" s="1"/>
  <c r="AA113" i="3"/>
  <c r="AB113" i="3"/>
  <c r="AC113" i="3" s="1"/>
  <c r="AA249" i="3"/>
  <c r="AB249" i="3"/>
  <c r="AC249" i="3" s="1"/>
  <c r="AA373" i="3"/>
  <c r="AB373" i="3"/>
  <c r="AC373" i="3" s="1"/>
  <c r="AA53" i="3"/>
  <c r="AB53" i="3"/>
  <c r="AC53" i="3" s="1"/>
  <c r="AA65" i="3"/>
  <c r="AB65" i="3"/>
  <c r="AC65" i="3" s="1"/>
  <c r="AA77" i="3"/>
  <c r="AB77" i="3"/>
  <c r="AC77" i="3" s="1"/>
  <c r="AA109" i="3"/>
  <c r="AB109" i="3"/>
  <c r="AC109" i="3" s="1"/>
  <c r="AA121" i="3"/>
  <c r="AB121" i="3"/>
  <c r="AC121" i="3" s="1"/>
  <c r="AA153" i="3"/>
  <c r="AA165" i="3"/>
  <c r="AB165" i="3"/>
  <c r="AC165" i="3" s="1"/>
  <c r="AA177" i="3"/>
  <c r="AB177" i="3"/>
  <c r="AC177" i="3" s="1"/>
  <c r="AA209" i="3"/>
  <c r="AB209" i="3"/>
  <c r="AC209" i="3" s="1"/>
  <c r="AA225" i="3"/>
  <c r="AB225" i="3"/>
  <c r="AC225" i="3" s="1"/>
  <c r="AA257" i="3"/>
  <c r="AB257" i="3"/>
  <c r="AC257" i="3" s="1"/>
  <c r="AA269" i="3"/>
  <c r="AB269" i="3"/>
  <c r="AC269" i="3" s="1"/>
  <c r="AA301" i="3"/>
  <c r="AB301" i="3"/>
  <c r="AC301" i="3" s="1"/>
  <c r="AA313" i="3"/>
  <c r="AB313" i="3"/>
  <c r="AC313" i="3" s="1"/>
  <c r="AA325" i="3"/>
  <c r="AB325" i="3"/>
  <c r="AC325" i="3" s="1"/>
  <c r="AA357" i="3"/>
  <c r="AB357" i="3"/>
  <c r="AC357" i="3" s="1"/>
  <c r="AA369" i="3"/>
  <c r="AB369" i="3"/>
  <c r="AC369" i="3" s="1"/>
  <c r="AA401" i="3"/>
  <c r="AB401" i="3"/>
  <c r="AC401" i="3" s="1"/>
  <c r="AA416" i="3"/>
  <c r="AB416" i="3"/>
  <c r="AC416" i="3" s="1"/>
  <c r="AA450" i="3"/>
  <c r="AB450" i="3"/>
  <c r="AC450" i="3" s="1"/>
  <c r="AA56" i="3"/>
  <c r="AB56" i="3"/>
  <c r="AC56" i="3" s="1"/>
  <c r="AA200" i="3"/>
  <c r="AB200" i="3"/>
  <c r="AC200" i="3" s="1"/>
  <c r="AA272" i="3"/>
  <c r="AB272" i="3"/>
  <c r="AC272" i="3" s="1"/>
  <c r="AA157" i="3"/>
  <c r="AB157" i="3"/>
  <c r="AC157" i="3" s="1"/>
  <c r="AA361" i="3"/>
  <c r="AB361" i="3"/>
  <c r="AC361" i="3" s="1"/>
  <c r="AA54" i="3"/>
  <c r="AB54" i="3"/>
  <c r="AC54" i="3" s="1"/>
  <c r="AA66" i="3"/>
  <c r="AB66" i="3"/>
  <c r="AC66" i="3" s="1"/>
  <c r="AA98" i="3"/>
  <c r="AB98" i="3"/>
  <c r="AC98" i="3" s="1"/>
  <c r="AA110" i="3"/>
  <c r="AB110" i="3"/>
  <c r="AC110" i="3" s="1"/>
  <c r="AA122" i="3"/>
  <c r="AB122" i="3"/>
  <c r="AC122" i="3" s="1"/>
  <c r="AA154" i="3"/>
  <c r="AB154" i="3"/>
  <c r="AC154" i="3" s="1"/>
  <c r="AA166" i="3"/>
  <c r="AB166" i="3"/>
  <c r="AC166" i="3" s="1"/>
  <c r="AA198" i="3"/>
  <c r="AB198" i="3"/>
  <c r="AC198" i="3" s="1"/>
  <c r="AA210" i="3"/>
  <c r="AB210" i="3"/>
  <c r="AC210" i="3" s="1"/>
  <c r="AA226" i="3"/>
  <c r="AB226" i="3"/>
  <c r="AC226" i="3" s="1"/>
  <c r="AA258" i="3"/>
  <c r="AB258" i="3"/>
  <c r="AC258" i="3" s="1"/>
  <c r="AA270" i="3"/>
  <c r="AB270" i="3"/>
  <c r="AC270" i="3" s="1"/>
  <c r="AA302" i="3"/>
  <c r="AB302" i="3"/>
  <c r="AC302" i="3" s="1"/>
  <c r="AA314" i="3"/>
  <c r="AB314" i="3"/>
  <c r="AC314" i="3" s="1"/>
  <c r="AA326" i="3"/>
  <c r="AB326" i="3"/>
  <c r="AC326" i="3" s="1"/>
  <c r="AA358" i="3"/>
  <c r="AB358" i="3"/>
  <c r="AC358" i="3" s="1"/>
  <c r="AA370" i="3"/>
  <c r="AB370" i="3"/>
  <c r="AC370" i="3" s="1"/>
  <c r="AA402" i="3"/>
  <c r="AB402" i="3"/>
  <c r="AC402" i="3" s="1"/>
  <c r="AA417" i="3"/>
  <c r="AB417" i="3"/>
  <c r="AC417" i="3" s="1"/>
  <c r="AA451" i="3"/>
  <c r="AB451" i="3"/>
  <c r="AC451" i="3" s="1"/>
  <c r="AA168" i="3"/>
  <c r="AB168" i="3"/>
  <c r="AC168" i="3" s="1"/>
  <c r="AA260" i="3"/>
  <c r="AB260" i="3"/>
  <c r="AC260" i="3" s="1"/>
  <c r="AA125" i="3"/>
  <c r="AB125" i="3"/>
  <c r="AC125" i="3" s="1"/>
  <c r="AA405" i="3"/>
  <c r="AB405" i="3"/>
  <c r="AC405" i="3" s="1"/>
  <c r="AA55" i="3"/>
  <c r="AB55" i="3"/>
  <c r="AC55" i="3" s="1"/>
  <c r="AA67" i="3"/>
  <c r="AB67" i="3"/>
  <c r="AC67" i="3" s="1"/>
  <c r="AA99" i="3"/>
  <c r="AB99" i="3"/>
  <c r="AC99" i="3" s="1"/>
  <c r="AA111" i="3"/>
  <c r="AB111" i="3"/>
  <c r="AC111" i="3" s="1"/>
  <c r="AA123" i="3"/>
  <c r="AB123" i="3"/>
  <c r="AC123" i="3" s="1"/>
  <c r="AA155" i="3"/>
  <c r="AB155" i="3"/>
  <c r="AC155" i="3" s="1"/>
  <c r="AA167" i="3"/>
  <c r="AB167" i="3"/>
  <c r="AC167" i="3" s="1"/>
  <c r="AA199" i="3"/>
  <c r="AB199" i="3"/>
  <c r="AC199" i="3" s="1"/>
  <c r="AA211" i="3"/>
  <c r="AB211" i="3"/>
  <c r="AC211" i="3" s="1"/>
  <c r="AA227" i="3"/>
  <c r="AB227" i="3"/>
  <c r="AC227" i="3" s="1"/>
  <c r="AA259" i="3"/>
  <c r="AB259" i="3"/>
  <c r="AC259" i="3" s="1"/>
  <c r="AA271" i="3"/>
  <c r="AB271" i="3"/>
  <c r="AC271" i="3" s="1"/>
  <c r="AA303" i="3"/>
  <c r="AB303" i="3"/>
  <c r="AC303" i="3" s="1"/>
  <c r="AA315" i="3"/>
  <c r="AB315" i="3"/>
  <c r="AC315" i="3" s="1"/>
  <c r="AA327" i="3"/>
  <c r="AB327" i="3"/>
  <c r="AC327" i="3" s="1"/>
  <c r="AA359" i="3"/>
  <c r="AB359" i="3"/>
  <c r="AC359" i="3" s="1"/>
  <c r="AA371" i="3"/>
  <c r="AB371" i="3"/>
  <c r="AC371" i="3" s="1"/>
  <c r="AA403" i="3"/>
  <c r="AB403" i="3"/>
  <c r="AC403" i="3" s="1"/>
  <c r="AA418" i="3"/>
  <c r="AB418" i="3"/>
  <c r="AC418" i="3" s="1"/>
  <c r="H17" i="5"/>
  <c r="Z172" i="3"/>
  <c r="Z309" i="3"/>
  <c r="Z415" i="3"/>
  <c r="Z112" i="3"/>
  <c r="Z200" i="3"/>
  <c r="Z60" i="3"/>
  <c r="Z76" i="3"/>
  <c r="Z148" i="3"/>
  <c r="Z208" i="3"/>
  <c r="Z272" i="3"/>
  <c r="Z352" i="3"/>
  <c r="Z117" i="3"/>
  <c r="Z105" i="3"/>
  <c r="Z277" i="3"/>
  <c r="Z377" i="3"/>
  <c r="Z422" i="3"/>
  <c r="Z275" i="3"/>
  <c r="Z321" i="3"/>
  <c r="Z253" i="3"/>
  <c r="Z365" i="3"/>
  <c r="Z127" i="3"/>
  <c r="Z409" i="3"/>
  <c r="Z225" i="3"/>
  <c r="Z162" i="3"/>
  <c r="Z252" i="3"/>
  <c r="Z104" i="3"/>
  <c r="Z121" i="3"/>
  <c r="Z165" i="3"/>
  <c r="Z257" i="3"/>
  <c r="Z201" i="3"/>
  <c r="Z209" i="3"/>
  <c r="Z317" i="3"/>
  <c r="Z224" i="3"/>
  <c r="Z262" i="3"/>
  <c r="Z362" i="3"/>
  <c r="Z261" i="3"/>
  <c r="Z260" i="3"/>
  <c r="Z373" i="3"/>
  <c r="Z305" i="3"/>
  <c r="Z349" i="3"/>
  <c r="Z120" i="3"/>
  <c r="Z212" i="3"/>
  <c r="Z157" i="3"/>
  <c r="Z156" i="3"/>
  <c r="Z164" i="3"/>
  <c r="Z202" i="3"/>
  <c r="Z356" i="3"/>
  <c r="Z424" i="3"/>
  <c r="Z407" i="3"/>
  <c r="Z167" i="3"/>
  <c r="Z227" i="3"/>
  <c r="Z307" i="3"/>
  <c r="Z367" i="3"/>
  <c r="Z427" i="3"/>
  <c r="Z107" i="3"/>
  <c r="Z426" i="3"/>
  <c r="Z418" i="3"/>
  <c r="Z350" i="3"/>
  <c r="Z670" i="3"/>
  <c r="Z374" i="3"/>
  <c r="Z654" i="3"/>
  <c r="Z270" i="3"/>
  <c r="Z150" i="3"/>
  <c r="Z210" i="3"/>
  <c r="Z169" i="3"/>
  <c r="Z369" i="3"/>
  <c r="Z414" i="3"/>
  <c r="Z674" i="3"/>
  <c r="Z406" i="3"/>
  <c r="Z666" i="3"/>
  <c r="Z398" i="3"/>
  <c r="Z658" i="3"/>
  <c r="Z170" i="3"/>
  <c r="Z370" i="3"/>
  <c r="Z450" i="3"/>
  <c r="Z256" i="3"/>
  <c r="Z316" i="3"/>
  <c r="Z376" i="3"/>
  <c r="Z656" i="3"/>
  <c r="Z56" i="3"/>
  <c r="Z72" i="3"/>
  <c r="Z108" i="3"/>
  <c r="Z168" i="3"/>
  <c r="Z248" i="3"/>
  <c r="Z368" i="3"/>
  <c r="Z448" i="3"/>
  <c r="Z64" i="3"/>
  <c r="Z220" i="3"/>
  <c r="Z300" i="3"/>
  <c r="Z360" i="3"/>
  <c r="Z420" i="3"/>
  <c r="Z700" i="3"/>
  <c r="Z116" i="3"/>
  <c r="Z176" i="3"/>
  <c r="Z100" i="3"/>
  <c r="Z124" i="3"/>
  <c r="Z204" i="3"/>
  <c r="Z264" i="3"/>
  <c r="Z324" i="3"/>
  <c r="Z404" i="3"/>
  <c r="Z664" i="3"/>
  <c r="Z99" i="3"/>
  <c r="Z115" i="3"/>
  <c r="Z161" i="3"/>
  <c r="Z175" i="3"/>
  <c r="Z221" i="3"/>
  <c r="Z255" i="3"/>
  <c r="Z301" i="3"/>
  <c r="Z315" i="3"/>
  <c r="Z361" i="3"/>
  <c r="Z375" i="3"/>
  <c r="Z421" i="3"/>
  <c r="Z655" i="3"/>
  <c r="Z701" i="3"/>
  <c r="Z57" i="3"/>
  <c r="Z153" i="3"/>
  <c r="Z273" i="3"/>
  <c r="Z353" i="3"/>
  <c r="Z413" i="3"/>
  <c r="Z673" i="3"/>
  <c r="Z73" i="3"/>
  <c r="Z213" i="3"/>
  <c r="Z249" i="3"/>
  <c r="Z101" i="3"/>
  <c r="Z125" i="3"/>
  <c r="Z205" i="3"/>
  <c r="Z265" i="3"/>
  <c r="Z325" i="3"/>
  <c r="Z405" i="3"/>
  <c r="Z665" i="3"/>
  <c r="Z65" i="3"/>
  <c r="Z109" i="3"/>
  <c r="Z310" i="3"/>
  <c r="Z304" i="3"/>
  <c r="Z149" i="3"/>
  <c r="Z160" i="3"/>
  <c r="Z68" i="3"/>
  <c r="Z250" i="3"/>
  <c r="Z102" i="3"/>
  <c r="Z106" i="3"/>
  <c r="Z114" i="3"/>
  <c r="Z126" i="3"/>
  <c r="Z154" i="3"/>
  <c r="Z166" i="3"/>
  <c r="Z174" i="3"/>
  <c r="Z206" i="3"/>
  <c r="Z226" i="3"/>
  <c r="Z254" i="3"/>
  <c r="Z266" i="3"/>
  <c r="Z274" i="3"/>
  <c r="Z306" i="3"/>
  <c r="Z314" i="3"/>
  <c r="Z326" i="3"/>
  <c r="Z354" i="3"/>
  <c r="Z366" i="3"/>
  <c r="Z54" i="3"/>
  <c r="Z58" i="3"/>
  <c r="Z62" i="3"/>
  <c r="Z66" i="3"/>
  <c r="Z70" i="3"/>
  <c r="Z74" i="3"/>
  <c r="Z98" i="3"/>
  <c r="Z110" i="3"/>
  <c r="Z118" i="3"/>
  <c r="Z158" i="3"/>
  <c r="Z198" i="3"/>
  <c r="Z218" i="3"/>
  <c r="Z258" i="3"/>
  <c r="Z298" i="3"/>
  <c r="Z311" i="3"/>
  <c r="Z318" i="3"/>
  <c r="Z358" i="3"/>
  <c r="Z312" i="3"/>
  <c r="Z259" i="3"/>
  <c r="Z271" i="3"/>
  <c r="Z299" i="3"/>
  <c r="Z319" i="3"/>
  <c r="Z351" i="3"/>
  <c r="Z359" i="3"/>
  <c r="Z371" i="3"/>
  <c r="Z399" i="3"/>
  <c r="Z411" i="3"/>
  <c r="Z419" i="3"/>
  <c r="Z451" i="3"/>
  <c r="Z659" i="3"/>
  <c r="Z671" i="3"/>
  <c r="Z699" i="3"/>
  <c r="Z55" i="3"/>
  <c r="Z59" i="3"/>
  <c r="Z63" i="3"/>
  <c r="Z67" i="3"/>
  <c r="Z71" i="3"/>
  <c r="Z75" i="3"/>
  <c r="Z103" i="3"/>
  <c r="Z263" i="3"/>
  <c r="Z303" i="3"/>
  <c r="Z323" i="3"/>
  <c r="Z363" i="3"/>
  <c r="Z403" i="3"/>
  <c r="Z423" i="3"/>
  <c r="Z663" i="3"/>
  <c r="Z111" i="3"/>
  <c r="Z119" i="3"/>
  <c r="Z151" i="3"/>
  <c r="Z159" i="3"/>
  <c r="Z171" i="3"/>
  <c r="Z199" i="3"/>
  <c r="Z211" i="3"/>
  <c r="Z219" i="3"/>
  <c r="Z123" i="3"/>
  <c r="Z163" i="3"/>
  <c r="Z203" i="3"/>
  <c r="Z223" i="3"/>
  <c r="Z251" i="3"/>
  <c r="Q28" i="1"/>
  <c r="X52" i="3"/>
  <c r="Z52" i="3" s="1"/>
  <c r="X51" i="3"/>
  <c r="Z51" i="3" s="1"/>
  <c r="X50" i="3"/>
  <c r="Z50" i="3" s="1"/>
  <c r="X49" i="3"/>
  <c r="Z49" i="3" s="1"/>
  <c r="Y25" i="3"/>
  <c r="Y24" i="3"/>
  <c r="Y23" i="3"/>
  <c r="Y22" i="3"/>
  <c r="Y21" i="3"/>
  <c r="Y20" i="3"/>
  <c r="Y19" i="3"/>
  <c r="Y18" i="3"/>
  <c r="X48" i="3"/>
  <c r="Z48" i="3" s="1"/>
  <c r="X27" i="3"/>
  <c r="Z27" i="3" s="1"/>
  <c r="X26" i="3"/>
  <c r="Z26" i="3" s="1"/>
  <c r="X25" i="3"/>
  <c r="X24" i="3"/>
  <c r="X23" i="3"/>
  <c r="X22" i="3"/>
  <c r="X21" i="3"/>
  <c r="X20" i="3"/>
  <c r="X19" i="3"/>
  <c r="X18" i="3"/>
  <c r="Y7" i="6"/>
  <c r="S7" i="6"/>
  <c r="R7" i="6"/>
  <c r="Q7" i="6"/>
  <c r="P7" i="6"/>
  <c r="O7" i="6"/>
  <c r="M49" i="16" l="1"/>
  <c r="L49" i="19"/>
  <c r="AD40" i="3"/>
  <c r="AD37" i="3"/>
  <c r="AD88" i="3"/>
  <c r="AD90" i="3"/>
  <c r="AD81" i="3"/>
  <c r="AD68" i="3"/>
  <c r="AD91" i="3"/>
  <c r="AD87" i="3"/>
  <c r="AD31" i="3"/>
  <c r="AD29" i="3"/>
  <c r="AD78" i="3"/>
  <c r="AD46" i="3"/>
  <c r="AD17" i="3"/>
  <c r="AD80" i="3"/>
  <c r="AD48" i="3"/>
  <c r="AD70" i="3"/>
  <c r="AD38" i="3"/>
  <c r="AD26" i="3"/>
  <c r="AD96" i="3"/>
  <c r="AD60" i="3"/>
  <c r="AD28" i="3"/>
  <c r="AD89" i="3"/>
  <c r="AD56" i="3"/>
  <c r="AD50" i="3"/>
  <c r="AD18" i="3"/>
  <c r="AD58" i="3"/>
  <c r="AD36" i="3"/>
  <c r="AD39" i="3"/>
  <c r="AD86" i="3"/>
  <c r="AD77" i="3"/>
  <c r="AD41" i="3"/>
  <c r="AD79" i="3"/>
  <c r="AD47" i="3"/>
  <c r="AD71" i="3"/>
  <c r="AD20" i="3"/>
  <c r="AD16" i="3"/>
  <c r="AD67" i="3"/>
  <c r="AD69" i="3"/>
  <c r="AD51" i="3"/>
  <c r="AD19" i="3"/>
  <c r="AD76" i="3"/>
  <c r="AD66" i="3"/>
  <c r="AD30" i="3"/>
  <c r="AD57" i="3"/>
  <c r="AD21" i="3"/>
  <c r="AD59" i="3"/>
  <c r="AD27" i="3"/>
  <c r="AD61" i="3"/>
  <c r="AA18" i="3"/>
  <c r="AB18" i="3"/>
  <c r="AC18" i="3" s="1"/>
  <c r="AA19" i="3"/>
  <c r="AB19" i="3"/>
  <c r="AC19" i="3" s="1"/>
  <c r="AA20" i="3"/>
  <c r="AB20" i="3"/>
  <c r="AC20" i="3" s="1"/>
  <c r="AA21" i="3"/>
  <c r="AB21" i="3"/>
  <c r="AC21" i="3" s="1"/>
  <c r="AA22" i="3"/>
  <c r="AB22" i="3"/>
  <c r="AC22" i="3" s="1"/>
  <c r="AA23" i="3"/>
  <c r="AB23" i="3"/>
  <c r="AC23" i="3" s="1"/>
  <c r="AA24" i="3"/>
  <c r="AB24" i="3"/>
  <c r="AC24" i="3" s="1"/>
  <c r="AA25" i="3"/>
  <c r="AB25" i="3"/>
  <c r="AC25" i="3" s="1"/>
  <c r="Z23" i="3"/>
  <c r="Z21" i="3"/>
  <c r="Z25" i="3"/>
  <c r="Z24" i="3"/>
  <c r="Z22" i="3"/>
  <c r="Z19" i="3"/>
  <c r="Z20" i="3"/>
  <c r="Z18" i="3"/>
  <c r="J7" i="6"/>
  <c r="I7" i="6"/>
  <c r="Y17" i="3"/>
  <c r="Y16" i="3"/>
  <c r="Y15" i="3"/>
  <c r="Y14" i="3"/>
  <c r="Y13" i="3"/>
  <c r="X17" i="3"/>
  <c r="X16" i="3"/>
  <c r="X15" i="3"/>
  <c r="X14" i="3"/>
  <c r="X13" i="3"/>
  <c r="H7" i="6"/>
  <c r="G7" i="6"/>
  <c r="Y12" i="3"/>
  <c r="Y11" i="3"/>
  <c r="Y10" i="3"/>
  <c r="Y9" i="3"/>
  <c r="Y8" i="3"/>
  <c r="X12" i="3"/>
  <c r="X11" i="3"/>
  <c r="X10" i="3"/>
  <c r="X9" i="3"/>
  <c r="X8" i="3"/>
  <c r="L59" i="19" l="1"/>
  <c r="M59" i="16"/>
  <c r="L71" i="19"/>
  <c r="M71" i="16"/>
  <c r="L89" i="19"/>
  <c r="M89" i="16"/>
  <c r="M117" i="16"/>
  <c r="M77" i="16"/>
  <c r="L47" i="19"/>
  <c r="M47" i="16"/>
  <c r="M112" i="16"/>
  <c r="M127" i="16"/>
  <c r="L79" i="19"/>
  <c r="M79" i="16"/>
  <c r="M60" i="16"/>
  <c r="L60" i="19"/>
  <c r="L87" i="19"/>
  <c r="M87" i="16"/>
  <c r="M122" i="16"/>
  <c r="L41" i="19"/>
  <c r="M41" i="16"/>
  <c r="L96" i="19"/>
  <c r="M96" i="16"/>
  <c r="M91" i="16"/>
  <c r="L91" i="19"/>
  <c r="M66" i="16"/>
  <c r="L66" i="19"/>
  <c r="M102" i="16"/>
  <c r="L68" i="19"/>
  <c r="M68" i="16"/>
  <c r="L76" i="19"/>
  <c r="M76" i="16"/>
  <c r="M86" i="16"/>
  <c r="L86" i="19"/>
  <c r="L38" i="19"/>
  <c r="M38" i="16"/>
  <c r="L81" i="19"/>
  <c r="M81" i="16"/>
  <c r="M67" i="16"/>
  <c r="L39" i="19"/>
  <c r="M39" i="16"/>
  <c r="L70" i="19"/>
  <c r="M70" i="16"/>
  <c r="M90" i="16"/>
  <c r="L90" i="19"/>
  <c r="L51" i="19"/>
  <c r="M51" i="16"/>
  <c r="L36" i="19"/>
  <c r="M36" i="16"/>
  <c r="L48" i="19"/>
  <c r="M48" i="16"/>
  <c r="L88" i="19"/>
  <c r="M88" i="16"/>
  <c r="L69" i="19"/>
  <c r="M69" i="16"/>
  <c r="L58" i="19"/>
  <c r="M58" i="16"/>
  <c r="L80" i="19"/>
  <c r="M80" i="16"/>
  <c r="L37" i="19"/>
  <c r="M37" i="16"/>
  <c r="M62" i="16"/>
  <c r="M57" i="16"/>
  <c r="L40" i="19"/>
  <c r="M40" i="16"/>
  <c r="M61" i="16"/>
  <c r="L61" i="19"/>
  <c r="M52" i="16"/>
  <c r="L50" i="19"/>
  <c r="M50" i="16"/>
  <c r="L46" i="19"/>
  <c r="M46" i="16"/>
  <c r="M107" i="16"/>
  <c r="M72" i="16"/>
  <c r="L56" i="19"/>
  <c r="M56" i="16"/>
  <c r="L78" i="19"/>
  <c r="M78" i="16"/>
  <c r="L67" i="19"/>
  <c r="L107" i="19"/>
  <c r="L57" i="19"/>
  <c r="L52" i="19"/>
  <c r="L122" i="19"/>
  <c r="L72" i="19"/>
  <c r="L112" i="19"/>
  <c r="L102" i="19"/>
  <c r="L117" i="19"/>
  <c r="L62" i="19"/>
  <c r="AD11" i="3"/>
  <c r="AD10" i="3"/>
  <c r="AA14" i="3"/>
  <c r="AB14" i="3"/>
  <c r="AC14" i="3" s="1"/>
  <c r="AA16" i="3"/>
  <c r="AB16" i="3"/>
  <c r="AC16" i="3" s="1"/>
  <c r="AA13" i="3"/>
  <c r="AB13" i="3"/>
  <c r="AC13" i="3" s="1"/>
  <c r="AA17" i="3"/>
  <c r="AB17" i="3"/>
  <c r="AC17" i="3" s="1"/>
  <c r="AA9" i="3"/>
  <c r="AB9" i="3"/>
  <c r="AC9" i="3" s="1"/>
  <c r="AA10" i="3"/>
  <c r="AB10" i="3"/>
  <c r="AC10" i="3" s="1"/>
  <c r="AA11" i="3"/>
  <c r="AB11" i="3"/>
  <c r="AC11" i="3" s="1"/>
  <c r="AA12" i="3"/>
  <c r="AB12" i="3"/>
  <c r="AC12" i="3" s="1"/>
  <c r="AA8" i="3"/>
  <c r="AB8" i="3"/>
  <c r="AC8" i="3" s="1"/>
  <c r="AA15" i="3"/>
  <c r="AB15" i="3"/>
  <c r="AC15" i="3" s="1"/>
  <c r="Z14" i="3"/>
  <c r="Z12" i="3"/>
  <c r="Z17" i="3"/>
  <c r="Z10" i="3"/>
  <c r="Z15" i="3"/>
  <c r="Z11" i="3"/>
  <c r="Z16" i="3"/>
  <c r="Z13" i="3"/>
  <c r="Z9" i="3"/>
  <c r="Z8" i="3"/>
  <c r="F7" i="6"/>
  <c r="Y6" i="3"/>
  <c r="Y5" i="3"/>
  <c r="Y4" i="3"/>
  <c r="Y3" i="3"/>
  <c r="AB3" i="3" s="1"/>
  <c r="X7" i="3"/>
  <c r="Z7" i="3" s="1"/>
  <c r="X6" i="3"/>
  <c r="X5" i="3"/>
  <c r="X4" i="3"/>
  <c r="X3" i="3"/>
  <c r="E42" i="6"/>
  <c r="E41" i="6"/>
  <c r="E39" i="6"/>
  <c r="E38" i="6"/>
  <c r="E33" i="6"/>
  <c r="E32" i="6"/>
  <c r="E30" i="6"/>
  <c r="E29" i="6"/>
  <c r="E27" i="6"/>
  <c r="E26" i="6"/>
  <c r="E24" i="6"/>
  <c r="E23" i="6"/>
  <c r="E21" i="6"/>
  <c r="E20" i="6"/>
  <c r="E18" i="6"/>
  <c r="E17" i="6"/>
  <c r="E9" i="6"/>
  <c r="E8" i="6"/>
  <c r="E15" i="6"/>
  <c r="E14" i="6"/>
  <c r="E12" i="6"/>
  <c r="E11" i="6"/>
  <c r="L30" i="19" l="1"/>
  <c r="M30" i="16"/>
  <c r="L18" i="19"/>
  <c r="M18" i="16"/>
  <c r="L19" i="19"/>
  <c r="M19" i="16"/>
  <c r="M26" i="16"/>
  <c r="L26" i="19"/>
  <c r="L21" i="19"/>
  <c r="M21" i="16"/>
  <c r="L29" i="19"/>
  <c r="M29" i="16"/>
  <c r="M22" i="16"/>
  <c r="M16" i="16"/>
  <c r="L16" i="19"/>
  <c r="L11" i="19"/>
  <c r="M11" i="16"/>
  <c r="L31" i="19"/>
  <c r="M31" i="16"/>
  <c r="L20" i="19"/>
  <c r="M20" i="16"/>
  <c r="L28" i="19"/>
  <c r="M28" i="16"/>
  <c r="AD8" i="3"/>
  <c r="M27" i="16"/>
  <c r="AE27" i="3"/>
  <c r="L127" i="19"/>
  <c r="L77" i="19"/>
  <c r="L22" i="19"/>
  <c r="AD9" i="3"/>
  <c r="AA3" i="3"/>
  <c r="AC3" i="3"/>
  <c r="AA5" i="3"/>
  <c r="AB5" i="3"/>
  <c r="AC5" i="3" s="1"/>
  <c r="AA4" i="3"/>
  <c r="AB4" i="3"/>
  <c r="AC4" i="3" s="1"/>
  <c r="AA6" i="3"/>
  <c r="AB6" i="3"/>
  <c r="AC6" i="3" s="1"/>
  <c r="Z6" i="3"/>
  <c r="Z5" i="3"/>
  <c r="Z4" i="3"/>
  <c r="Z3" i="3"/>
  <c r="E25" i="6"/>
  <c r="E28" i="6"/>
  <c r="E31" i="6"/>
  <c r="E34" i="6"/>
  <c r="E40" i="6"/>
  <c r="E13" i="6"/>
  <c r="E16" i="6"/>
  <c r="E19" i="6"/>
  <c r="E22" i="6"/>
  <c r="E10" i="6"/>
  <c r="M17" i="16" l="1"/>
  <c r="M10" i="16"/>
  <c r="L9" i="19"/>
  <c r="L10" i="19"/>
  <c r="AE8" i="3"/>
  <c r="M8" i="16"/>
  <c r="AD7" i="3"/>
  <c r="L27" i="19"/>
  <c r="CR38" i="6"/>
  <c r="CR40" i="6"/>
  <c r="CR33" i="6"/>
  <c r="CR29" i="6"/>
  <c r="CR34" i="6"/>
  <c r="CR39" i="6"/>
  <c r="CR31" i="6"/>
  <c r="CR32" i="6"/>
  <c r="CR36" i="6"/>
  <c r="CR27" i="6"/>
  <c r="CR26" i="6"/>
  <c r="CR43" i="6"/>
  <c r="CR41" i="6"/>
  <c r="CR28" i="6"/>
  <c r="CR30" i="6"/>
  <c r="CR35" i="6"/>
  <c r="CR42" i="6"/>
  <c r="CR37" i="6"/>
  <c r="DB9" i="6"/>
  <c r="DF11" i="6"/>
  <c r="DJ13" i="6"/>
  <c r="DN15" i="6"/>
  <c r="DR17" i="6"/>
  <c r="DV19" i="6"/>
  <c r="DZ21" i="6"/>
  <c r="ED23" i="6"/>
  <c r="DD26" i="6"/>
  <c r="DH28" i="6"/>
  <c r="DL30" i="6"/>
  <c r="EA9" i="6"/>
  <c r="EE11" i="6"/>
  <c r="DE14" i="6"/>
  <c r="DI16" i="6"/>
  <c r="DM18" i="6"/>
  <c r="DQ20" i="6"/>
  <c r="DU22" i="6"/>
  <c r="DY24" i="6"/>
  <c r="EC26" i="6"/>
  <c r="DC29" i="6"/>
  <c r="DG31" i="6"/>
  <c r="ED10" i="6"/>
  <c r="DD13" i="6"/>
  <c r="DH15" i="6"/>
  <c r="DL17" i="6"/>
  <c r="DP19" i="6"/>
  <c r="DT21" i="6"/>
  <c r="DX23" i="6"/>
  <c r="EB25" i="6"/>
  <c r="DB28" i="6"/>
  <c r="DF30" i="6"/>
  <c r="DU9" i="6"/>
  <c r="DY11" i="6"/>
  <c r="EC13" i="6"/>
  <c r="DC16" i="6"/>
  <c r="DG18" i="6"/>
  <c r="DK20" i="6"/>
  <c r="DO22" i="6"/>
  <c r="DS24" i="6"/>
  <c r="DW26" i="6"/>
  <c r="EA28" i="6"/>
  <c r="EE30" i="6"/>
  <c r="DB11" i="6"/>
  <c r="DF13" i="6"/>
  <c r="DJ15" i="6"/>
  <c r="DN17" i="6"/>
  <c r="DR19" i="6"/>
  <c r="DV21" i="6"/>
  <c r="DZ23" i="6"/>
  <c r="ED25" i="6"/>
  <c r="DD28" i="6"/>
  <c r="DH30" i="6"/>
  <c r="DW9" i="6"/>
  <c r="EA11" i="6"/>
  <c r="EE13" i="6"/>
  <c r="DE16" i="6"/>
  <c r="DI18" i="6"/>
  <c r="DM20" i="6"/>
  <c r="DQ22" i="6"/>
  <c r="DU24" i="6"/>
  <c r="DY26" i="6"/>
  <c r="EC28" i="6"/>
  <c r="DC31" i="6"/>
  <c r="DD11" i="6"/>
  <c r="DH13" i="6"/>
  <c r="DL15" i="6"/>
  <c r="DP17" i="6"/>
  <c r="DT19" i="6"/>
  <c r="DX21" i="6"/>
  <c r="EB23" i="6"/>
  <c r="DB26" i="6"/>
  <c r="DF28" i="6"/>
  <c r="DJ30" i="6"/>
  <c r="DK10" i="6"/>
  <c r="DO12" i="6"/>
  <c r="DS14" i="6"/>
  <c r="DW16" i="6"/>
  <c r="EA18" i="6"/>
  <c r="EE20" i="6"/>
  <c r="DE23" i="6"/>
  <c r="DI25" i="6"/>
  <c r="DM27" i="6"/>
  <c r="DQ29" i="6"/>
  <c r="DL32" i="6"/>
  <c r="DJ9" i="6"/>
  <c r="DN11" i="6"/>
  <c r="DR13" i="6"/>
  <c r="DV15" i="6"/>
  <c r="DZ17" i="6"/>
  <c r="ED19" i="6"/>
  <c r="DD22" i="6"/>
  <c r="DH24" i="6"/>
  <c r="DL26" i="6"/>
  <c r="DP28" i="6"/>
  <c r="DT30" i="6"/>
  <c r="DE10" i="6"/>
  <c r="DI12" i="6"/>
  <c r="DM14" i="6"/>
  <c r="DQ16" i="6"/>
  <c r="DU18" i="6"/>
  <c r="DY20" i="6"/>
  <c r="EC22" i="6"/>
  <c r="DC25" i="6"/>
  <c r="DG27" i="6"/>
  <c r="DK29" i="6"/>
  <c r="DD9" i="6"/>
  <c r="DH11" i="6"/>
  <c r="DL13" i="6"/>
  <c r="DP15" i="6"/>
  <c r="DT17" i="6"/>
  <c r="DX19" i="6"/>
  <c r="EB21" i="6"/>
  <c r="DB24" i="6"/>
  <c r="DF26" i="6"/>
  <c r="DJ28" i="6"/>
  <c r="DN30" i="6"/>
  <c r="EC9" i="6"/>
  <c r="DC12" i="6"/>
  <c r="DG14" i="6"/>
  <c r="DK16" i="6"/>
  <c r="DO18" i="6"/>
  <c r="DS20" i="6"/>
  <c r="DW22" i="6"/>
  <c r="EA24" i="6"/>
  <c r="EE26" i="6"/>
  <c r="DE29" i="6"/>
  <c r="DF9" i="6"/>
  <c r="DJ11" i="6"/>
  <c r="DN13" i="6"/>
  <c r="DR15" i="6"/>
  <c r="DV17" i="6"/>
  <c r="DZ19" i="6"/>
  <c r="ED21" i="6"/>
  <c r="DD24" i="6"/>
  <c r="DH26" i="6"/>
  <c r="DL28" i="6"/>
  <c r="DP30" i="6"/>
  <c r="EE9" i="6"/>
  <c r="DE12" i="6"/>
  <c r="DI14" i="6"/>
  <c r="DM16" i="6"/>
  <c r="DQ18" i="6"/>
  <c r="DU20" i="6"/>
  <c r="DY22" i="6"/>
  <c r="EC24" i="6"/>
  <c r="DC27" i="6"/>
  <c r="DG29" i="6"/>
  <c r="DH9" i="6"/>
  <c r="DL11" i="6"/>
  <c r="DP13" i="6"/>
  <c r="DT15" i="6"/>
  <c r="DX17" i="6"/>
  <c r="DR9" i="6"/>
  <c r="DV11" i="6"/>
  <c r="DZ13" i="6"/>
  <c r="ED15" i="6"/>
  <c r="DD18" i="6"/>
  <c r="DH20" i="6"/>
  <c r="DL22" i="6"/>
  <c r="DP24" i="6"/>
  <c r="DT26" i="6"/>
  <c r="DX28" i="6"/>
  <c r="EB30" i="6"/>
  <c r="DM10" i="6"/>
  <c r="DQ12" i="6"/>
  <c r="DU14" i="6"/>
  <c r="DY16" i="6"/>
  <c r="EC18" i="6"/>
  <c r="DC21" i="6"/>
  <c r="DG23" i="6"/>
  <c r="DK25" i="6"/>
  <c r="DO27" i="6"/>
  <c r="DS29" i="6"/>
  <c r="DL9" i="6"/>
  <c r="DP11" i="6"/>
  <c r="DT13" i="6"/>
  <c r="DX15" i="6"/>
  <c r="EB17" i="6"/>
  <c r="DB20" i="6"/>
  <c r="DF22" i="6"/>
  <c r="DJ24" i="6"/>
  <c r="DN26" i="6"/>
  <c r="DR28" i="6"/>
  <c r="DV30" i="6"/>
  <c r="DG10" i="6"/>
  <c r="DK12" i="6"/>
  <c r="DO14" i="6"/>
  <c r="DS16" i="6"/>
  <c r="DW18" i="6"/>
  <c r="EA20" i="6"/>
  <c r="EE22" i="6"/>
  <c r="DE25" i="6"/>
  <c r="DI27" i="6"/>
  <c r="DM29" i="6"/>
  <c r="DN9" i="6"/>
  <c r="DR11" i="6"/>
  <c r="DV13" i="6"/>
  <c r="DZ15" i="6"/>
  <c r="ED17" i="6"/>
  <c r="DD20" i="6"/>
  <c r="DH22" i="6"/>
  <c r="DL24" i="6"/>
  <c r="DP26" i="6"/>
  <c r="DT28" i="6"/>
  <c r="DX30" i="6"/>
  <c r="DI10" i="6"/>
  <c r="DM12" i="6"/>
  <c r="DQ14" i="6"/>
  <c r="DU16" i="6"/>
  <c r="DY18" i="6"/>
  <c r="EC20" i="6"/>
  <c r="DC23" i="6"/>
  <c r="DG25" i="6"/>
  <c r="DK27" i="6"/>
  <c r="DO29" i="6"/>
  <c r="DP9" i="6"/>
  <c r="DT11" i="6"/>
  <c r="DX13" i="6"/>
  <c r="EB15" i="6"/>
  <c r="DB18" i="6"/>
  <c r="DF20" i="6"/>
  <c r="DJ22" i="6"/>
  <c r="DN24" i="6"/>
  <c r="DR26" i="6"/>
  <c r="DV28" i="6"/>
  <c r="DZ30" i="6"/>
  <c r="EA10" i="6"/>
  <c r="EE12" i="6"/>
  <c r="DE15" i="6"/>
  <c r="DI17" i="6"/>
  <c r="DM19" i="6"/>
  <c r="DQ21" i="6"/>
  <c r="DU23" i="6"/>
  <c r="DY25" i="6"/>
  <c r="EC27" i="6"/>
  <c r="DC30" i="6"/>
  <c r="EB32" i="6"/>
  <c r="DZ9" i="6"/>
  <c r="ED11" i="6"/>
  <c r="DD14" i="6"/>
  <c r="DH16" i="6"/>
  <c r="DL18" i="6"/>
  <c r="DP20" i="6"/>
  <c r="DT22" i="6"/>
  <c r="DX24" i="6"/>
  <c r="EB26" i="6"/>
  <c r="DB29" i="6"/>
  <c r="DF31" i="6"/>
  <c r="DU10" i="6"/>
  <c r="DY12" i="6"/>
  <c r="EC14" i="6"/>
  <c r="DC17" i="6"/>
  <c r="DG19" i="6"/>
  <c r="DK21" i="6"/>
  <c r="DO23" i="6"/>
  <c r="DS25" i="6"/>
  <c r="DW27" i="6"/>
  <c r="EA29" i="6"/>
  <c r="DT9" i="6"/>
  <c r="DX11" i="6"/>
  <c r="EB13" i="6"/>
  <c r="DB16" i="6"/>
  <c r="DF18" i="6"/>
  <c r="DJ20" i="6"/>
  <c r="DN22" i="6"/>
  <c r="DR24" i="6"/>
  <c r="DV26" i="6"/>
  <c r="DZ28" i="6"/>
  <c r="ED30" i="6"/>
  <c r="DO10" i="6"/>
  <c r="DS12" i="6"/>
  <c r="DW14" i="6"/>
  <c r="EA16" i="6"/>
  <c r="EE18" i="6"/>
  <c r="DE21" i="6"/>
  <c r="DI23" i="6"/>
  <c r="DM25" i="6"/>
  <c r="DQ27" i="6"/>
  <c r="DU29" i="6"/>
  <c r="DV9" i="6"/>
  <c r="DZ11" i="6"/>
  <c r="ED13" i="6"/>
  <c r="DD16" i="6"/>
  <c r="DH18" i="6"/>
  <c r="DL20" i="6"/>
  <c r="DP22" i="6"/>
  <c r="DT24" i="6"/>
  <c r="DX26" i="6"/>
  <c r="EB28" i="6"/>
  <c r="DB31" i="6"/>
  <c r="DQ10" i="6"/>
  <c r="DU12" i="6"/>
  <c r="DY14" i="6"/>
  <c r="EC16" i="6"/>
  <c r="DC19" i="6"/>
  <c r="DG21" i="6"/>
  <c r="DK23" i="6"/>
  <c r="DO25" i="6"/>
  <c r="DS27" i="6"/>
  <c r="DW29" i="6"/>
  <c r="DX9" i="6"/>
  <c r="EB11" i="6"/>
  <c r="DB14" i="6"/>
  <c r="DF16" i="6"/>
  <c r="DJ18" i="6"/>
  <c r="DN20" i="6"/>
  <c r="DR22" i="6"/>
  <c r="DV24" i="6"/>
  <c r="DZ26" i="6"/>
  <c r="ED28" i="6"/>
  <c r="DD31" i="6"/>
  <c r="DE11" i="6"/>
  <c r="DI13" i="6"/>
  <c r="DM15" i="6"/>
  <c r="DD10" i="6"/>
  <c r="DH12" i="6"/>
  <c r="DL14" i="6"/>
  <c r="DP16" i="6"/>
  <c r="DT18" i="6"/>
  <c r="DX20" i="6"/>
  <c r="EB22" i="6"/>
  <c r="DB25" i="6"/>
  <c r="DF27" i="6"/>
  <c r="DJ29" i="6"/>
  <c r="DN31" i="6"/>
  <c r="EC10" i="6"/>
  <c r="DC13" i="6"/>
  <c r="DG15" i="6"/>
  <c r="DK17" i="6"/>
  <c r="DO19" i="6"/>
  <c r="DS21" i="6"/>
  <c r="DW23" i="6"/>
  <c r="EA25" i="6"/>
  <c r="EE27" i="6"/>
  <c r="DE30" i="6"/>
  <c r="EB9" i="6"/>
  <c r="DB12" i="6"/>
  <c r="DF14" i="6"/>
  <c r="DJ16" i="6"/>
  <c r="DN18" i="6"/>
  <c r="DR20" i="6"/>
  <c r="DV22" i="6"/>
  <c r="DZ24" i="6"/>
  <c r="ED26" i="6"/>
  <c r="DD29" i="6"/>
  <c r="DH31" i="6"/>
  <c r="DW10" i="6"/>
  <c r="EA12" i="6"/>
  <c r="EE14" i="6"/>
  <c r="DE17" i="6"/>
  <c r="DI19" i="6"/>
  <c r="DM21" i="6"/>
  <c r="DQ23" i="6"/>
  <c r="DU25" i="6"/>
  <c r="DY27" i="6"/>
  <c r="EC29" i="6"/>
  <c r="ED9" i="6"/>
  <c r="DD12" i="6"/>
  <c r="DH14" i="6"/>
  <c r="DL16" i="6"/>
  <c r="DP18" i="6"/>
  <c r="DT20" i="6"/>
  <c r="DX22" i="6"/>
  <c r="EB24" i="6"/>
  <c r="DB27" i="6"/>
  <c r="DF29" i="6"/>
  <c r="DJ31" i="6"/>
  <c r="DY10" i="6"/>
  <c r="EC12" i="6"/>
  <c r="DC15" i="6"/>
  <c r="DG17" i="6"/>
  <c r="DK19" i="6"/>
  <c r="DO21" i="6"/>
  <c r="DS23" i="6"/>
  <c r="DW25" i="6"/>
  <c r="EA27" i="6"/>
  <c r="EE29" i="6"/>
  <c r="DB10" i="6"/>
  <c r="DF12" i="6"/>
  <c r="DJ14" i="6"/>
  <c r="DN16" i="6"/>
  <c r="DR18" i="6"/>
  <c r="DV20" i="6"/>
  <c r="DZ22" i="6"/>
  <c r="ED24" i="6"/>
  <c r="DD27" i="6"/>
  <c r="DH29" i="6"/>
  <c r="DI9" i="6"/>
  <c r="DM11" i="6"/>
  <c r="DQ13" i="6"/>
  <c r="DU15" i="6"/>
  <c r="DY17" i="6"/>
  <c r="EC19" i="6"/>
  <c r="DC22" i="6"/>
  <c r="DG24" i="6"/>
  <c r="DK26" i="6"/>
  <c r="DO28" i="6"/>
  <c r="DS30" i="6"/>
  <c r="DN33" i="6"/>
  <c r="DL10" i="6"/>
  <c r="DP12" i="6"/>
  <c r="DT14" i="6"/>
  <c r="DX16" i="6"/>
  <c r="EB18" i="6"/>
  <c r="DB21" i="6"/>
  <c r="DF23" i="6"/>
  <c r="DJ25" i="6"/>
  <c r="DN27" i="6"/>
  <c r="DR29" i="6"/>
  <c r="DC9" i="6"/>
  <c r="DG11" i="6"/>
  <c r="DK13" i="6"/>
  <c r="DO15" i="6"/>
  <c r="DS17" i="6"/>
  <c r="DW19" i="6"/>
  <c r="EA21" i="6"/>
  <c r="EE23" i="6"/>
  <c r="DE26" i="6"/>
  <c r="DI28" i="6"/>
  <c r="DM30" i="6"/>
  <c r="DF10" i="6"/>
  <c r="DJ12" i="6"/>
  <c r="DN14" i="6"/>
  <c r="DR16" i="6"/>
  <c r="DV18" i="6"/>
  <c r="DZ20" i="6"/>
  <c r="ED22" i="6"/>
  <c r="DD25" i="6"/>
  <c r="DH27" i="6"/>
  <c r="DL29" i="6"/>
  <c r="DP31" i="6"/>
  <c r="EE10" i="6"/>
  <c r="DE13" i="6"/>
  <c r="DI15" i="6"/>
  <c r="DM17" i="6"/>
  <c r="DQ19" i="6"/>
  <c r="DU21" i="6"/>
  <c r="DY23" i="6"/>
  <c r="EC25" i="6"/>
  <c r="DC28" i="6"/>
  <c r="DG30" i="6"/>
  <c r="DH10" i="6"/>
  <c r="DL12" i="6"/>
  <c r="DP14" i="6"/>
  <c r="DT16" i="6"/>
  <c r="DX18" i="6"/>
  <c r="EB20" i="6"/>
  <c r="DB23" i="6"/>
  <c r="DF25" i="6"/>
  <c r="DJ27" i="6"/>
  <c r="DN29" i="6"/>
  <c r="DR31" i="6"/>
  <c r="DC11" i="6"/>
  <c r="DG13" i="6"/>
  <c r="DK15" i="6"/>
  <c r="DO17" i="6"/>
  <c r="DS19" i="6"/>
  <c r="DW21" i="6"/>
  <c r="EA23" i="6"/>
  <c r="EE25" i="6"/>
  <c r="DE28" i="6"/>
  <c r="DI30" i="6"/>
  <c r="DJ10" i="6"/>
  <c r="DN12" i="6"/>
  <c r="DT10" i="6"/>
  <c r="DX12" i="6"/>
  <c r="EB14" i="6"/>
  <c r="DB17" i="6"/>
  <c r="DF19" i="6"/>
  <c r="DJ21" i="6"/>
  <c r="DN23" i="6"/>
  <c r="DR25" i="6"/>
  <c r="DV27" i="6"/>
  <c r="DZ29" i="6"/>
  <c r="DK9" i="6"/>
  <c r="DO11" i="6"/>
  <c r="DS13" i="6"/>
  <c r="DW15" i="6"/>
  <c r="EA17" i="6"/>
  <c r="EE19" i="6"/>
  <c r="DE22" i="6"/>
  <c r="DI24" i="6"/>
  <c r="DM26" i="6"/>
  <c r="DQ28" i="6"/>
  <c r="DU30" i="6"/>
  <c r="DN10" i="6"/>
  <c r="DR12" i="6"/>
  <c r="DV14" i="6"/>
  <c r="DZ16" i="6"/>
  <c r="ED18" i="6"/>
  <c r="DD21" i="6"/>
  <c r="DH23" i="6"/>
  <c r="DL25" i="6"/>
  <c r="DP27" i="6"/>
  <c r="DT29" i="6"/>
  <c r="DE9" i="6"/>
  <c r="DI11" i="6"/>
  <c r="DM13" i="6"/>
  <c r="DQ15" i="6"/>
  <c r="DU17" i="6"/>
  <c r="DY19" i="6"/>
  <c r="EC21" i="6"/>
  <c r="DC24" i="6"/>
  <c r="DG26" i="6"/>
  <c r="DK28" i="6"/>
  <c r="DO30" i="6"/>
  <c r="DP10" i="6"/>
  <c r="DT12" i="6"/>
  <c r="DX14" i="6"/>
  <c r="EB16" i="6"/>
  <c r="DB19" i="6"/>
  <c r="DF21" i="6"/>
  <c r="DJ23" i="6"/>
  <c r="DN25" i="6"/>
  <c r="DR27" i="6"/>
  <c r="DV29" i="6"/>
  <c r="DG9" i="6"/>
  <c r="DK11" i="6"/>
  <c r="DO13" i="6"/>
  <c r="DS15" i="6"/>
  <c r="DW17" i="6"/>
  <c r="EA19" i="6"/>
  <c r="EE21" i="6"/>
  <c r="DE24" i="6"/>
  <c r="DI26" i="6"/>
  <c r="DM28" i="6"/>
  <c r="DQ30" i="6"/>
  <c r="DR10" i="6"/>
  <c r="DV12" i="6"/>
  <c r="DZ14" i="6"/>
  <c r="ED16" i="6"/>
  <c r="DD19" i="6"/>
  <c r="DH21" i="6"/>
  <c r="DL23" i="6"/>
  <c r="DP25" i="6"/>
  <c r="DT27" i="6"/>
  <c r="DX29" i="6"/>
  <c r="DY9" i="6"/>
  <c r="EC11" i="6"/>
  <c r="DC14" i="6"/>
  <c r="DG16" i="6"/>
  <c r="DK18" i="6"/>
  <c r="DO20" i="6"/>
  <c r="DS22" i="6"/>
  <c r="DW24" i="6"/>
  <c r="EA26" i="6"/>
  <c r="EE28" i="6"/>
  <c r="DZ31" i="6"/>
  <c r="ED33" i="6"/>
  <c r="EB10" i="6"/>
  <c r="ED27" i="6"/>
  <c r="DM22" i="6"/>
  <c r="DD17" i="6"/>
  <c r="DQ11" i="6"/>
  <c r="DS28" i="6"/>
  <c r="DR23" i="6"/>
  <c r="EE17" i="6"/>
  <c r="ED12" i="6"/>
  <c r="ED20" i="6"/>
  <c r="DJ26" i="6"/>
  <c r="DC10" i="6"/>
  <c r="EC15" i="6"/>
  <c r="DG20" i="6"/>
  <c r="DO24" i="6"/>
  <c r="DW28" i="6"/>
  <c r="DV33" i="6"/>
  <c r="DD36" i="6"/>
  <c r="DH38" i="6"/>
  <c r="DL40" i="6"/>
  <c r="DP42" i="6"/>
  <c r="EC8" i="6"/>
  <c r="CR14" i="6"/>
  <c r="CV20" i="6"/>
  <c r="CX27" i="6"/>
  <c r="CX35" i="6"/>
  <c r="EC32" i="6"/>
  <c r="DC35" i="6"/>
  <c r="DG37" i="6"/>
  <c r="DK39" i="6"/>
  <c r="DO41" i="6"/>
  <c r="DS43" i="6"/>
  <c r="DA10" i="6"/>
  <c r="CU17" i="6"/>
  <c r="CY23" i="6"/>
  <c r="CS30" i="6"/>
  <c r="ED32" i="6"/>
  <c r="DD35" i="6"/>
  <c r="DH37" i="6"/>
  <c r="DL39" i="6"/>
  <c r="DP41" i="6"/>
  <c r="DT43" i="6"/>
  <c r="CR11" i="6"/>
  <c r="CV17" i="6"/>
  <c r="CZ23" i="6"/>
  <c r="CZ31" i="6"/>
  <c r="DG32" i="6"/>
  <c r="DK34" i="6"/>
  <c r="DO36" i="6"/>
  <c r="DS38" i="6"/>
  <c r="DW40" i="6"/>
  <c r="EA42" i="6"/>
  <c r="DJ8" i="6"/>
  <c r="CS15" i="6"/>
  <c r="CW21" i="6"/>
  <c r="DA27" i="6"/>
  <c r="DH32" i="6"/>
  <c r="DL34" i="6"/>
  <c r="DP36" i="6"/>
  <c r="DT38" i="6"/>
  <c r="DX40" i="6"/>
  <c r="EB42" i="6"/>
  <c r="DK8" i="6"/>
  <c r="CT15" i="6"/>
  <c r="CX21" i="6"/>
  <c r="CZ28" i="6"/>
  <c r="CZ36" i="6"/>
  <c r="DC33" i="6"/>
  <c r="DG35" i="6"/>
  <c r="DK37" i="6"/>
  <c r="DO39" i="6"/>
  <c r="DS41" i="6"/>
  <c r="DW43" i="6"/>
  <c r="CS12" i="6"/>
  <c r="CW18" i="6"/>
  <c r="DA24" i="6"/>
  <c r="DM31" i="6"/>
  <c r="DT33" i="6"/>
  <c r="DX35" i="6"/>
  <c r="EB37" i="6"/>
  <c r="DB40" i="6"/>
  <c r="DF42" i="6"/>
  <c r="DS8" i="6"/>
  <c r="CR13" i="6"/>
  <c r="DB13" i="6"/>
  <c r="DD30" i="6"/>
  <c r="DQ24" i="6"/>
  <c r="DH19" i="6"/>
  <c r="DU13" i="6"/>
  <c r="DW30" i="6"/>
  <c r="DV25" i="6"/>
  <c r="DE20" i="6"/>
  <c r="DR14" i="6"/>
  <c r="DP21" i="6"/>
  <c r="DL27" i="6"/>
  <c r="DS10" i="6"/>
  <c r="DO16" i="6"/>
  <c r="DW20" i="6"/>
  <c r="EE24" i="6"/>
  <c r="DI29" i="6"/>
  <c r="DH34" i="6"/>
  <c r="DL36" i="6"/>
  <c r="DP38" i="6"/>
  <c r="DT40" i="6"/>
  <c r="DX42" i="6"/>
  <c r="DG8" i="6"/>
  <c r="CZ14" i="6"/>
  <c r="CT21" i="6"/>
  <c r="CV28" i="6"/>
  <c r="CV36" i="6"/>
  <c r="DG33" i="6"/>
  <c r="DK35" i="6"/>
  <c r="DO37" i="6"/>
  <c r="DS39" i="6"/>
  <c r="DW41" i="6"/>
  <c r="EA43" i="6"/>
  <c r="CY11" i="6"/>
  <c r="CS18" i="6"/>
  <c r="CW24" i="6"/>
  <c r="DA30" i="6"/>
  <c r="DH33" i="6"/>
  <c r="DL35" i="6"/>
  <c r="DP37" i="6"/>
  <c r="DT39" i="6"/>
  <c r="DX41" i="6"/>
  <c r="EB43" i="6"/>
  <c r="CZ11" i="6"/>
  <c r="CT18" i="6"/>
  <c r="CX24" i="6"/>
  <c r="CX32" i="6"/>
  <c r="DO32" i="6"/>
  <c r="DS34" i="6"/>
  <c r="DW36" i="6"/>
  <c r="EA38" i="6"/>
  <c r="EE40" i="6"/>
  <c r="DE43" i="6"/>
  <c r="CW9" i="6"/>
  <c r="DA15" i="6"/>
  <c r="CU22" i="6"/>
  <c r="CY28" i="6"/>
  <c r="DP32" i="6"/>
  <c r="DT34" i="6"/>
  <c r="DX36" i="6"/>
  <c r="EB38" i="6"/>
  <c r="DB41" i="6"/>
  <c r="DF43" i="6"/>
  <c r="CX9" i="6"/>
  <c r="CR16" i="6"/>
  <c r="CV22" i="6"/>
  <c r="CX29" i="6"/>
  <c r="CX37" i="6"/>
  <c r="DK33" i="6"/>
  <c r="DO35" i="6"/>
  <c r="DS37" i="6"/>
  <c r="DW39" i="6"/>
  <c r="EA41" i="6"/>
  <c r="EE43" i="6"/>
  <c r="DA12" i="6"/>
  <c r="CU19" i="6"/>
  <c r="CY25" i="6"/>
  <c r="DX31" i="6"/>
  <c r="EB33" i="6"/>
  <c r="DB36" i="6"/>
  <c r="DF38" i="6"/>
  <c r="DJ40" i="6"/>
  <c r="DN42" i="6"/>
  <c r="EA8" i="6"/>
  <c r="CZ13" i="6"/>
  <c r="CT20" i="6"/>
  <c r="DF15" i="6"/>
  <c r="DS9" i="6"/>
  <c r="DU26" i="6"/>
  <c r="DL21" i="6"/>
  <c r="DY15" i="6"/>
  <c r="DX10" i="6"/>
  <c r="DZ27" i="6"/>
  <c r="DI22" i="6"/>
  <c r="DD15" i="6"/>
  <c r="DB22" i="6"/>
  <c r="EB27" i="6"/>
  <c r="DU11" i="6"/>
  <c r="EE16" i="6"/>
  <c r="DI21" i="6"/>
  <c r="DQ25" i="6"/>
  <c r="DY29" i="6"/>
  <c r="DP34" i="6"/>
  <c r="DT36" i="6"/>
  <c r="DX38" i="6"/>
  <c r="EB40" i="6"/>
  <c r="DB43" i="6"/>
  <c r="CT9" i="6"/>
  <c r="CX15" i="6"/>
  <c r="CR22" i="6"/>
  <c r="CT29" i="6"/>
  <c r="EA30" i="6"/>
  <c r="DO33" i="6"/>
  <c r="DS35" i="6"/>
  <c r="DW37" i="6"/>
  <c r="EA39" i="6"/>
  <c r="EE41" i="6"/>
  <c r="DN8" i="6"/>
  <c r="CW12" i="6"/>
  <c r="DA18" i="6"/>
  <c r="CU25" i="6"/>
  <c r="DE31" i="6"/>
  <c r="DP33" i="6"/>
  <c r="DT35" i="6"/>
  <c r="DX37" i="6"/>
  <c r="EB39" i="6"/>
  <c r="DB42" i="6"/>
  <c r="DO8" i="6"/>
  <c r="CX12" i="6"/>
  <c r="CR19" i="6"/>
  <c r="CV25" i="6"/>
  <c r="CV33" i="6"/>
  <c r="DW32" i="6"/>
  <c r="EA34" i="6"/>
  <c r="EE36" i="6"/>
  <c r="DE39" i="6"/>
  <c r="DI41" i="6"/>
  <c r="DM43" i="6"/>
  <c r="CU10" i="6"/>
  <c r="CY16" i="6"/>
  <c r="CS23" i="6"/>
  <c r="CW29" i="6"/>
  <c r="DX32" i="6"/>
  <c r="EB34" i="6"/>
  <c r="DB37" i="6"/>
  <c r="DF39" i="6"/>
  <c r="DJ41" i="6"/>
  <c r="DN43" i="6"/>
  <c r="CV10" i="6"/>
  <c r="CZ16" i="6"/>
  <c r="CT23" i="6"/>
  <c r="CV30" i="6"/>
  <c r="DL31" i="6"/>
  <c r="DS33" i="6"/>
  <c r="DW35" i="6"/>
  <c r="EA37" i="6"/>
  <c r="EE39" i="6"/>
  <c r="DE42" i="6"/>
  <c r="DR8" i="6"/>
  <c r="CY13" i="6"/>
  <c r="CS20" i="6"/>
  <c r="CW26" i="6"/>
  <c r="DB32" i="6"/>
  <c r="DF34" i="6"/>
  <c r="DJ36" i="6"/>
  <c r="DN38" i="6"/>
  <c r="DR40" i="6"/>
  <c r="DV42" i="6"/>
  <c r="DB8" i="6"/>
  <c r="CX14" i="6"/>
  <c r="CR21" i="6"/>
  <c r="DJ17" i="6"/>
  <c r="DW11" i="6"/>
  <c r="DY28" i="6"/>
  <c r="DP23" i="6"/>
  <c r="EC17" i="6"/>
  <c r="EB12" i="6"/>
  <c r="ED29" i="6"/>
  <c r="DM24" i="6"/>
  <c r="DV16" i="6"/>
  <c r="DD23" i="6"/>
  <c r="DN28" i="6"/>
  <c r="DG12" i="6"/>
  <c r="DQ17" i="6"/>
  <c r="DY21" i="6"/>
  <c r="DC26" i="6"/>
  <c r="DK30" i="6"/>
  <c r="DX34" i="6"/>
  <c r="EB36" i="6"/>
  <c r="DB39" i="6"/>
  <c r="DF41" i="6"/>
  <c r="DJ43" i="6"/>
  <c r="CR10" i="6"/>
  <c r="CV16" i="6"/>
  <c r="CZ22" i="6"/>
  <c r="CZ30" i="6"/>
  <c r="DS31" i="6"/>
  <c r="DW33" i="6"/>
  <c r="EA35" i="6"/>
  <c r="EE37" i="6"/>
  <c r="DE40" i="6"/>
  <c r="DI42" i="6"/>
  <c r="DV8" i="6"/>
  <c r="CU13" i="6"/>
  <c r="CY19" i="6"/>
  <c r="CS26" i="6"/>
  <c r="DT31" i="6"/>
  <c r="DX33" i="6"/>
  <c r="EB35" i="6"/>
  <c r="DB38" i="6"/>
  <c r="DF40" i="6"/>
  <c r="DJ42" i="6"/>
  <c r="DW8" i="6"/>
  <c r="CV13" i="6"/>
  <c r="CZ19" i="6"/>
  <c r="CT26" i="6"/>
  <c r="CT34" i="6"/>
  <c r="EE32" i="6"/>
  <c r="DE35" i="6"/>
  <c r="DI37" i="6"/>
  <c r="DM39" i="6"/>
  <c r="DQ41" i="6"/>
  <c r="DU43" i="6"/>
  <c r="CS11" i="6"/>
  <c r="CW17" i="6"/>
  <c r="DA23" i="6"/>
  <c r="CU30" i="6"/>
  <c r="DB33" i="6"/>
  <c r="DF35" i="6"/>
  <c r="DJ37" i="6"/>
  <c r="DN39" i="6"/>
  <c r="DR41" i="6"/>
  <c r="DV43" i="6"/>
  <c r="CT11" i="6"/>
  <c r="CX17" i="6"/>
  <c r="CR24" i="6"/>
  <c r="CT31" i="6"/>
  <c r="DW31" i="6"/>
  <c r="EA33" i="6"/>
  <c r="EE35" i="6"/>
  <c r="DE38" i="6"/>
  <c r="DI40" i="6"/>
  <c r="DM42" i="6"/>
  <c r="DZ8" i="6"/>
  <c r="CW14" i="6"/>
  <c r="DA20" i="6"/>
  <c r="CU27" i="6"/>
  <c r="DJ32" i="6"/>
  <c r="DN34" i="6"/>
  <c r="DR36" i="6"/>
  <c r="DV38" i="6"/>
  <c r="DZ40" i="6"/>
  <c r="ED42" i="6"/>
  <c r="CR9" i="6"/>
  <c r="DN19" i="6"/>
  <c r="EA13" i="6"/>
  <c r="EC30" i="6"/>
  <c r="DT25" i="6"/>
  <c r="DC20" i="6"/>
  <c r="DB15" i="6"/>
  <c r="DO9" i="6"/>
  <c r="DQ26" i="6"/>
  <c r="DH17" i="6"/>
  <c r="DT23" i="6"/>
  <c r="DP29" i="6"/>
  <c r="DW12" i="6"/>
  <c r="DC18" i="6"/>
  <c r="DK22" i="6"/>
  <c r="DS26" i="6"/>
  <c r="DQ31" i="6"/>
  <c r="DB35" i="6"/>
  <c r="DF37" i="6"/>
  <c r="DJ39" i="6"/>
  <c r="DN41" i="6"/>
  <c r="DR43" i="6"/>
  <c r="CZ10" i="6"/>
  <c r="CT17" i="6"/>
  <c r="CX23" i="6"/>
  <c r="CX31" i="6"/>
  <c r="EA31" i="6"/>
  <c r="EE33" i="6"/>
  <c r="DE36" i="6"/>
  <c r="DI38" i="6"/>
  <c r="DM40" i="6"/>
  <c r="DQ42" i="6"/>
  <c r="ED8" i="6"/>
  <c r="CS14" i="6"/>
  <c r="CW20" i="6"/>
  <c r="DA26" i="6"/>
  <c r="EB31" i="6"/>
  <c r="DB34" i="6"/>
  <c r="DF36" i="6"/>
  <c r="DJ38" i="6"/>
  <c r="DN40" i="6"/>
  <c r="DR42" i="6"/>
  <c r="EE8" i="6"/>
  <c r="CT14" i="6"/>
  <c r="CX20" i="6"/>
  <c r="CZ27" i="6"/>
  <c r="CZ35" i="6"/>
  <c r="DI33" i="6"/>
  <c r="DM35" i="6"/>
  <c r="DQ37" i="6"/>
  <c r="DU39" i="6"/>
  <c r="DY41" i="6"/>
  <c r="EC43" i="6"/>
  <c r="DA11" i="6"/>
  <c r="CU18" i="6"/>
  <c r="CY24" i="6"/>
  <c r="CS31" i="6"/>
  <c r="DJ33" i="6"/>
  <c r="DN35" i="6"/>
  <c r="DR37" i="6"/>
  <c r="DV39" i="6"/>
  <c r="DZ41" i="6"/>
  <c r="ED43" i="6"/>
  <c r="CR12" i="6"/>
  <c r="CV18" i="6"/>
  <c r="CZ24" i="6"/>
  <c r="CZ32" i="6"/>
  <c r="EE31" i="6"/>
  <c r="DE34" i="6"/>
  <c r="DI36" i="6"/>
  <c r="DM38" i="6"/>
  <c r="DQ40" i="6"/>
  <c r="DU42" i="6"/>
  <c r="DC8" i="6"/>
  <c r="CU15" i="6"/>
  <c r="CY21" i="6"/>
  <c r="CS28" i="6"/>
  <c r="DR32" i="6"/>
  <c r="DV34" i="6"/>
  <c r="DZ36" i="6"/>
  <c r="ED38" i="6"/>
  <c r="DD41" i="6"/>
  <c r="DH43" i="6"/>
  <c r="DR21" i="6"/>
  <c r="EE15" i="6"/>
  <c r="DV10" i="6"/>
  <c r="DX27" i="6"/>
  <c r="DG22" i="6"/>
  <c r="DF17" i="6"/>
  <c r="DS11" i="6"/>
  <c r="DU28" i="6"/>
  <c r="DZ18" i="6"/>
  <c r="DF24" i="6"/>
  <c r="DB30" i="6"/>
  <c r="DY13" i="6"/>
  <c r="DS18" i="6"/>
  <c r="EA22" i="6"/>
  <c r="DE27" i="6"/>
  <c r="DD32" i="6"/>
  <c r="DJ35" i="6"/>
  <c r="DN37" i="6"/>
  <c r="DR39" i="6"/>
  <c r="DV41" i="6"/>
  <c r="DZ43" i="6"/>
  <c r="CX11" i="6"/>
  <c r="CR18" i="6"/>
  <c r="CV24" i="6"/>
  <c r="CV32" i="6"/>
  <c r="DE32" i="6"/>
  <c r="DI34" i="6"/>
  <c r="DM36" i="6"/>
  <c r="DQ38" i="6"/>
  <c r="DU40" i="6"/>
  <c r="DY42" i="6"/>
  <c r="DH8" i="6"/>
  <c r="DA14" i="6"/>
  <c r="CU21" i="6"/>
  <c r="CY27" i="6"/>
  <c r="DF32" i="6"/>
  <c r="DJ34" i="6"/>
  <c r="DN36" i="6"/>
  <c r="DR38" i="6"/>
  <c r="DV40" i="6"/>
  <c r="DZ42" i="6"/>
  <c r="DI8" i="6"/>
  <c r="CR15" i="6"/>
  <c r="CV21" i="6"/>
  <c r="CX28" i="6"/>
  <c r="DI31" i="6"/>
  <c r="DQ33" i="6"/>
  <c r="DU35" i="6"/>
  <c r="DY37" i="6"/>
  <c r="EC39" i="6"/>
  <c r="DC42" i="6"/>
  <c r="DP8" i="6"/>
  <c r="CY12" i="6"/>
  <c r="CS19" i="6"/>
  <c r="CW25" i="6"/>
  <c r="DK31" i="6"/>
  <c r="DR33" i="6"/>
  <c r="DV35" i="6"/>
  <c r="DZ37" i="6"/>
  <c r="ED39" i="6"/>
  <c r="DD42" i="6"/>
  <c r="DQ8" i="6"/>
  <c r="CZ12" i="6"/>
  <c r="CT19" i="6"/>
  <c r="CX25" i="6"/>
  <c r="CX33" i="6"/>
  <c r="DI32" i="6"/>
  <c r="DM34" i="6"/>
  <c r="DQ36" i="6"/>
  <c r="DU38" i="6"/>
  <c r="DY40" i="6"/>
  <c r="EC42" i="6"/>
  <c r="CY9" i="6"/>
  <c r="CS16" i="6"/>
  <c r="CW22" i="6"/>
  <c r="DA28" i="6"/>
  <c r="DZ32" i="6"/>
  <c r="ED34" i="6"/>
  <c r="DD37" i="6"/>
  <c r="DH39" i="6"/>
  <c r="DL41" i="6"/>
  <c r="DP43" i="6"/>
  <c r="CX10" i="6"/>
  <c r="CR17" i="6"/>
  <c r="CV23" i="6"/>
  <c r="DV23" i="6"/>
  <c r="DE18" i="6"/>
  <c r="DZ12" i="6"/>
  <c r="EB29" i="6"/>
  <c r="DK24" i="6"/>
  <c r="DJ19" i="6"/>
  <c r="DW13" i="6"/>
  <c r="DY30" i="6"/>
  <c r="DL19" i="6"/>
  <c r="DH25" i="6"/>
  <c r="DR30" i="6"/>
  <c r="DK14" i="6"/>
  <c r="DE19" i="6"/>
  <c r="DM23" i="6"/>
  <c r="DU27" i="6"/>
  <c r="DT32" i="6"/>
  <c r="DR35" i="6"/>
  <c r="DV37" i="6"/>
  <c r="DZ39" i="6"/>
  <c r="ED41" i="6"/>
  <c r="DM8" i="6"/>
  <c r="CV12" i="6"/>
  <c r="CZ18" i="6"/>
  <c r="CT25" i="6"/>
  <c r="CT33" i="6"/>
  <c r="DM32" i="6"/>
  <c r="DQ34" i="6"/>
  <c r="DU36" i="6"/>
  <c r="DY38" i="6"/>
  <c r="EC40" i="6"/>
  <c r="DC43" i="6"/>
  <c r="CU9" i="6"/>
  <c r="CY15" i="6"/>
  <c r="CS22" i="6"/>
  <c r="CW28" i="6"/>
  <c r="DN32" i="6"/>
  <c r="DR34" i="6"/>
  <c r="DV36" i="6"/>
  <c r="DZ38" i="6"/>
  <c r="ED40" i="6"/>
  <c r="DD43" i="6"/>
  <c r="CV9" i="6"/>
  <c r="CZ15" i="6"/>
  <c r="CT22" i="6"/>
  <c r="CV29" i="6"/>
  <c r="DU31" i="6"/>
  <c r="DY33" i="6"/>
  <c r="EC35" i="6"/>
  <c r="DC38" i="6"/>
  <c r="DG40" i="6"/>
  <c r="DK42" i="6"/>
  <c r="DX8" i="6"/>
  <c r="CW13" i="6"/>
  <c r="DA19" i="6"/>
  <c r="CU26" i="6"/>
  <c r="DV31" i="6"/>
  <c r="DZ33" i="6"/>
  <c r="ED35" i="6"/>
  <c r="DD38" i="6"/>
  <c r="DH40" i="6"/>
  <c r="DL42" i="6"/>
  <c r="DY8" i="6"/>
  <c r="CX13" i="6"/>
  <c r="CR20" i="6"/>
  <c r="CV26" i="6"/>
  <c r="CV34" i="6"/>
  <c r="DQ32" i="6"/>
  <c r="DU34" i="6"/>
  <c r="DY36" i="6"/>
  <c r="EC38" i="6"/>
  <c r="DC41" i="6"/>
  <c r="DG43" i="6"/>
  <c r="CW10" i="6"/>
  <c r="DA16" i="6"/>
  <c r="CU23" i="6"/>
  <c r="CY29" i="6"/>
  <c r="DD33" i="6"/>
  <c r="DH35" i="6"/>
  <c r="DL37" i="6"/>
  <c r="DP39" i="6"/>
  <c r="DT41" i="6"/>
  <c r="DX43" i="6"/>
  <c r="CV11" i="6"/>
  <c r="CZ17" i="6"/>
  <c r="CT24" i="6"/>
  <c r="DZ25" i="6"/>
  <c r="EB19" i="6"/>
  <c r="DZ35" i="6"/>
  <c r="CZ34" i="6"/>
  <c r="CW16" i="6"/>
  <c r="DL43" i="6"/>
  <c r="DK38" i="6"/>
  <c r="DD34" i="6"/>
  <c r="CT27" i="6"/>
  <c r="CU11" i="6"/>
  <c r="EB41" i="6"/>
  <c r="CZ21" i="6"/>
  <c r="CX30" i="6"/>
  <c r="DY31" i="6"/>
  <c r="EC33" i="6"/>
  <c r="DC36" i="6"/>
  <c r="DG38" i="6"/>
  <c r="DK40" i="6"/>
  <c r="DO42" i="6"/>
  <c r="EB8" i="6"/>
  <c r="DA13" i="6"/>
  <c r="CU20" i="6"/>
  <c r="CY26" i="6"/>
  <c r="CU34" i="6"/>
  <c r="CX42" i="6"/>
  <c r="CW34" i="6"/>
  <c r="CY42" i="6"/>
  <c r="CX39" i="6"/>
  <c r="DA40" i="6"/>
  <c r="CY39" i="6"/>
  <c r="CY33" i="6"/>
  <c r="CS43" i="6"/>
  <c r="CS35" i="6"/>
  <c r="CU42" i="6"/>
  <c r="CV38" i="6"/>
  <c r="CU31" i="6"/>
  <c r="CY32" i="6"/>
  <c r="DH41" i="6"/>
  <c r="DY35" i="6"/>
  <c r="CW19" i="6"/>
  <c r="CZ43" i="6"/>
  <c r="CR8" i="6"/>
  <c r="DI20" i="6"/>
  <c r="DX25" i="6"/>
  <c r="ED37" i="6"/>
  <c r="DU32" i="6"/>
  <c r="DA22" i="6"/>
  <c r="CT10" i="6"/>
  <c r="DO40" i="6"/>
  <c r="DH36" i="6"/>
  <c r="CT35" i="6"/>
  <c r="CY17" i="6"/>
  <c r="EF8" i="6"/>
  <c r="CX22" i="6"/>
  <c r="CV31" i="6"/>
  <c r="DC32" i="6"/>
  <c r="DG34" i="6"/>
  <c r="DK36" i="6"/>
  <c r="DO38" i="6"/>
  <c r="DS40" i="6"/>
  <c r="DW42" i="6"/>
  <c r="DF8" i="6"/>
  <c r="CY14" i="6"/>
  <c r="CS21" i="6"/>
  <c r="CW27" i="6"/>
  <c r="CY35" i="6"/>
  <c r="CW43" i="6"/>
  <c r="DA35" i="6"/>
  <c r="CX43" i="6"/>
  <c r="CV40" i="6"/>
  <c r="CS32" i="6"/>
  <c r="CW40" i="6"/>
  <c r="CU36" i="6"/>
  <c r="DA43" i="6"/>
  <c r="CW36" i="6"/>
  <c r="DA8" i="6"/>
  <c r="CT39" i="6"/>
  <c r="DA32" i="6"/>
  <c r="CS34" i="6"/>
  <c r="DA29" i="6"/>
  <c r="CW39" i="6"/>
  <c r="CS36" i="6"/>
  <c r="CS39" i="6"/>
  <c r="CZ26" i="6"/>
  <c r="DO43" i="6"/>
  <c r="DC40" i="6"/>
  <c r="CY31" i="6"/>
  <c r="CU32" i="6"/>
  <c r="ED14" i="6"/>
  <c r="DQ9" i="6"/>
  <c r="DD40" i="6"/>
  <c r="DY34" i="6"/>
  <c r="CU29" i="6"/>
  <c r="CX16" i="6"/>
  <c r="DS42" i="6"/>
  <c r="DL38" i="6"/>
  <c r="DY32" i="6"/>
  <c r="CS24" i="6"/>
  <c r="CZ9" i="6"/>
  <c r="CR25" i="6"/>
  <c r="CT32" i="6"/>
  <c r="DK32" i="6"/>
  <c r="DO34" i="6"/>
  <c r="DS36" i="6"/>
  <c r="DW38" i="6"/>
  <c r="EA40" i="6"/>
  <c r="EE42" i="6"/>
  <c r="CS9" i="6"/>
  <c r="CW15" i="6"/>
  <c r="DA21" i="6"/>
  <c r="CU28" i="6"/>
  <c r="DA36" i="6"/>
  <c r="CX8" i="6"/>
  <c r="DA37" i="6"/>
  <c r="CW8" i="6"/>
  <c r="CT41" i="6"/>
  <c r="CW33" i="6"/>
  <c r="CU41" i="6"/>
  <c r="CU37" i="6"/>
  <c r="CT8" i="6"/>
  <c r="CV37" i="6"/>
  <c r="CY36" i="6"/>
  <c r="CZ40" i="6"/>
  <c r="CX38" i="6"/>
  <c r="CU33" i="6"/>
  <c r="CZ39" i="6"/>
  <c r="CV42" i="6"/>
  <c r="DG36" i="6"/>
  <c r="CZ29" i="6"/>
  <c r="DG42" i="6"/>
  <c r="CS33" i="6"/>
  <c r="DA33" i="6"/>
  <c r="DM9" i="6"/>
  <c r="EA14" i="6"/>
  <c r="DH42" i="6"/>
  <c r="EC36" i="6"/>
  <c r="DV32" i="6"/>
  <c r="CR23" i="6"/>
  <c r="DE8" i="6"/>
  <c r="DP40" i="6"/>
  <c r="EC34" i="6"/>
  <c r="CW30" i="6"/>
  <c r="CT12" i="6"/>
  <c r="CZ25" i="6"/>
  <c r="CZ33" i="6"/>
  <c r="DS32" i="6"/>
  <c r="DW34" i="6"/>
  <c r="EA36" i="6"/>
  <c r="EE38" i="6"/>
  <c r="DE41" i="6"/>
  <c r="DI43" i="6"/>
  <c r="DA9" i="6"/>
  <c r="CU16" i="6"/>
  <c r="CY22" i="6"/>
  <c r="CS29" i="6"/>
  <c r="CZ37" i="6"/>
  <c r="CS8" i="6"/>
  <c r="CY38" i="6"/>
  <c r="CW38" i="6"/>
  <c r="CZ42" i="6"/>
  <c r="DA34" i="6"/>
  <c r="CS42" i="6"/>
  <c r="CT38" i="6"/>
  <c r="CT43" i="6"/>
  <c r="CU38" i="6"/>
  <c r="CW42" i="6"/>
  <c r="CX41" i="6"/>
  <c r="CS40" i="6"/>
  <c r="DQ43" i="6"/>
  <c r="CY10" i="6"/>
  <c r="CS17" i="6"/>
  <c r="CW23" i="6"/>
  <c r="CU39" i="6"/>
  <c r="CY43" i="6"/>
  <c r="CY37" i="6"/>
  <c r="CQ8" i="6"/>
  <c r="CS10" i="6"/>
  <c r="DO31" i="6"/>
  <c r="DA25" i="6"/>
  <c r="DA38" i="6"/>
  <c r="DO26" i="6"/>
  <c r="DU19" i="6"/>
  <c r="DU8" i="6"/>
  <c r="DC39" i="6"/>
  <c r="DZ34" i="6"/>
  <c r="CT30" i="6"/>
  <c r="CU14" i="6"/>
  <c r="DT42" i="6"/>
  <c r="DC37" i="6"/>
  <c r="DL33" i="6"/>
  <c r="CV15" i="6"/>
  <c r="CX26" i="6"/>
  <c r="CX34" i="6"/>
  <c r="EA32" i="6"/>
  <c r="EE34" i="6"/>
  <c r="DE37" i="6"/>
  <c r="DI39" i="6"/>
  <c r="DM41" i="6"/>
  <c r="CU8" i="6"/>
  <c r="ED31" i="6"/>
  <c r="DU33" i="6"/>
  <c r="CS13" i="6"/>
  <c r="CZ38" i="6"/>
  <c r="CW37" i="6"/>
  <c r="DN21" i="6"/>
  <c r="EC23" i="6"/>
  <c r="CT13" i="6"/>
  <c r="DG41" i="6"/>
  <c r="ED36" i="6"/>
  <c r="EC31" i="6"/>
  <c r="CY20" i="6"/>
  <c r="DD8" i="6"/>
  <c r="DG39" i="6"/>
  <c r="DP35" i="6"/>
  <c r="CT16" i="6"/>
  <c r="CV27" i="6"/>
  <c r="CV35" i="6"/>
  <c r="DE33" i="6"/>
  <c r="DI35" i="6"/>
  <c r="DM37" i="6"/>
  <c r="DQ39" i="6"/>
  <c r="DU41" i="6"/>
  <c r="DY43" i="6"/>
  <c r="CW11" i="6"/>
  <c r="DA17" i="6"/>
  <c r="CU24" i="6"/>
  <c r="CY30" i="6"/>
  <c r="CV39" i="6"/>
  <c r="CY41" i="6"/>
  <c r="CU40" i="6"/>
  <c r="CY34" i="6"/>
  <c r="CV8" i="6"/>
  <c r="CT37" i="6"/>
  <c r="CW35" i="6"/>
  <c r="CX40" i="6"/>
  <c r="CV43" i="6"/>
  <c r="DA39" i="6"/>
  <c r="CU35" i="6"/>
  <c r="CU43" i="6"/>
  <c r="AL8" i="6"/>
  <c r="CS37" i="6"/>
  <c r="CY8" i="6"/>
  <c r="CW32" i="6"/>
  <c r="CX36" i="6"/>
  <c r="EH8" i="6"/>
  <c r="DZ10" i="6"/>
  <c r="CZ20" i="6"/>
  <c r="DX39" i="6"/>
  <c r="EC37" i="6"/>
  <c r="CZ41" i="6"/>
  <c r="CT42" i="6"/>
  <c r="EA15" i="6"/>
  <c r="DG28" i="6"/>
  <c r="CX19" i="6"/>
  <c r="DK43" i="6"/>
  <c r="DD39" i="6"/>
  <c r="DC34" i="6"/>
  <c r="CS27" i="6"/>
  <c r="CV14" i="6"/>
  <c r="DK41" i="6"/>
  <c r="DT37" i="6"/>
  <c r="CX18" i="6"/>
  <c r="CT28" i="6"/>
  <c r="CT36" i="6"/>
  <c r="DM33" i="6"/>
  <c r="DQ35" i="6"/>
  <c r="DU37" i="6"/>
  <c r="DY39" i="6"/>
  <c r="EC41" i="6"/>
  <c r="DL8" i="6"/>
  <c r="CU12" i="6"/>
  <c r="CY18" i="6"/>
  <c r="CS25" i="6"/>
  <c r="CW31" i="6"/>
  <c r="CT40" i="6"/>
  <c r="DA31" i="6"/>
  <c r="CS41" i="6"/>
  <c r="DA42" i="6"/>
  <c r="CS38" i="6"/>
  <c r="CV41" i="6"/>
  <c r="CY40" i="6"/>
  <c r="CZ8" i="6"/>
  <c r="DF33" i="6"/>
  <c r="CV19" i="6"/>
  <c r="DT8" i="6"/>
  <c r="DA41" i="6"/>
  <c r="CW41" i="6"/>
  <c r="G42" i="6"/>
  <c r="G38" i="6"/>
  <c r="G34" i="6"/>
  <c r="G30" i="6"/>
  <c r="G26" i="6"/>
  <c r="G22" i="6"/>
  <c r="G18" i="6"/>
  <c r="G14" i="6"/>
  <c r="G10" i="6"/>
  <c r="G41" i="6"/>
  <c r="G37" i="6"/>
  <c r="G33" i="6"/>
  <c r="G29" i="6"/>
  <c r="G25" i="6"/>
  <c r="G21" i="6"/>
  <c r="G17" i="6"/>
  <c r="G13" i="6"/>
  <c r="G9" i="6"/>
  <c r="G40" i="6"/>
  <c r="G36" i="6"/>
  <c r="G32" i="6"/>
  <c r="G28" i="6"/>
  <c r="G24" i="6"/>
  <c r="G20" i="6"/>
  <c r="G16" i="6"/>
  <c r="G12" i="6"/>
  <c r="G8" i="6"/>
  <c r="G43" i="6"/>
  <c r="G39" i="6"/>
  <c r="G35" i="6"/>
  <c r="G31" i="6"/>
  <c r="G27" i="6"/>
  <c r="G23" i="6"/>
  <c r="G19" i="6"/>
  <c r="G15" i="6"/>
  <c r="G11" i="6"/>
  <c r="F8" i="6"/>
  <c r="EM43" i="6"/>
  <c r="EI43" i="6"/>
  <c r="CQ43" i="6"/>
  <c r="CM43" i="6"/>
  <c r="CI43" i="6"/>
  <c r="CE43" i="6"/>
  <c r="CA43" i="6"/>
  <c r="EO42" i="6"/>
  <c r="EK42" i="6"/>
  <c r="EG42" i="6"/>
  <c r="CO42" i="6"/>
  <c r="CK42" i="6"/>
  <c r="CG42" i="6"/>
  <c r="CC42" i="6"/>
  <c r="BY42" i="6"/>
  <c r="EM41" i="6"/>
  <c r="EI41" i="6"/>
  <c r="CQ41" i="6"/>
  <c r="CM41" i="6"/>
  <c r="CI41" i="6"/>
  <c r="CE41" i="6"/>
  <c r="CA41" i="6"/>
  <c r="EO40" i="6"/>
  <c r="EK40" i="6"/>
  <c r="EG40" i="6"/>
  <c r="CO40" i="6"/>
  <c r="CK40" i="6"/>
  <c r="CG40" i="6"/>
  <c r="CC40" i="6"/>
  <c r="BY40" i="6"/>
  <c r="EM39" i="6"/>
  <c r="EI39" i="6"/>
  <c r="CQ39" i="6"/>
  <c r="CM39" i="6"/>
  <c r="CI39" i="6"/>
  <c r="CE39" i="6"/>
  <c r="CA39" i="6"/>
  <c r="EO38" i="6"/>
  <c r="EK38" i="6"/>
  <c r="EG38" i="6"/>
  <c r="CO38" i="6"/>
  <c r="CK38" i="6"/>
  <c r="CG38" i="6"/>
  <c r="CC38" i="6"/>
  <c r="BY38" i="6"/>
  <c r="EM37" i="6"/>
  <c r="EI37" i="6"/>
  <c r="CQ37" i="6"/>
  <c r="CM37" i="6"/>
  <c r="CI37" i="6"/>
  <c r="CE37" i="6"/>
  <c r="CA37" i="6"/>
  <c r="EO36" i="6"/>
  <c r="EK36" i="6"/>
  <c r="EG36" i="6"/>
  <c r="CO36" i="6"/>
  <c r="CK36" i="6"/>
  <c r="CG36" i="6"/>
  <c r="CC36" i="6"/>
  <c r="BY36" i="6"/>
  <c r="EM35" i="6"/>
  <c r="EI35" i="6"/>
  <c r="EL43" i="6"/>
  <c r="EH43" i="6"/>
  <c r="CP43" i="6"/>
  <c r="CL43" i="6"/>
  <c r="CH43" i="6"/>
  <c r="CD43" i="6"/>
  <c r="BZ43" i="6"/>
  <c r="EN42" i="6"/>
  <c r="EJ42" i="6"/>
  <c r="EF42" i="6"/>
  <c r="CN42" i="6"/>
  <c r="CJ42" i="6"/>
  <c r="CF42" i="6"/>
  <c r="CB42" i="6"/>
  <c r="BX42" i="6"/>
  <c r="EL41" i="6"/>
  <c r="EH41" i="6"/>
  <c r="CP41" i="6"/>
  <c r="CL41" i="6"/>
  <c r="CH41" i="6"/>
  <c r="CD41" i="6"/>
  <c r="BZ41" i="6"/>
  <c r="EN40" i="6"/>
  <c r="EJ40" i="6"/>
  <c r="EF40" i="6"/>
  <c r="CN40" i="6"/>
  <c r="CJ40" i="6"/>
  <c r="CF40" i="6"/>
  <c r="CB40" i="6"/>
  <c r="BX40" i="6"/>
  <c r="EL39" i="6"/>
  <c r="EH39" i="6"/>
  <c r="CP39" i="6"/>
  <c r="CL39" i="6"/>
  <c r="CH39" i="6"/>
  <c r="CD39" i="6"/>
  <c r="BZ39" i="6"/>
  <c r="EN38" i="6"/>
  <c r="EJ38" i="6"/>
  <c r="EF38" i="6"/>
  <c r="CN38" i="6"/>
  <c r="CJ38" i="6"/>
  <c r="CF38" i="6"/>
  <c r="CB38" i="6"/>
  <c r="BX38" i="6"/>
  <c r="EL37" i="6"/>
  <c r="EH37" i="6"/>
  <c r="CP37" i="6"/>
  <c r="CL37" i="6"/>
  <c r="CH37" i="6"/>
  <c r="CD37" i="6"/>
  <c r="BZ37" i="6"/>
  <c r="EN36" i="6"/>
  <c r="EJ36" i="6"/>
  <c r="EF36" i="6"/>
  <c r="CN36" i="6"/>
  <c r="CJ36" i="6"/>
  <c r="CF36" i="6"/>
  <c r="CB36" i="6"/>
  <c r="EO43" i="6"/>
  <c r="EK43" i="6"/>
  <c r="EG43" i="6"/>
  <c r="CO43" i="6"/>
  <c r="CK43" i="6"/>
  <c r="CG43" i="6"/>
  <c r="CC43" i="6"/>
  <c r="BY43" i="6"/>
  <c r="EM42" i="6"/>
  <c r="EI42" i="6"/>
  <c r="CQ42" i="6"/>
  <c r="CM42" i="6"/>
  <c r="CI42" i="6"/>
  <c r="CE42" i="6"/>
  <c r="CA42" i="6"/>
  <c r="EO41" i="6"/>
  <c r="EK41" i="6"/>
  <c r="EG41" i="6"/>
  <c r="CO41" i="6"/>
  <c r="CK41" i="6"/>
  <c r="CG41" i="6"/>
  <c r="CC41" i="6"/>
  <c r="BY41" i="6"/>
  <c r="EM40" i="6"/>
  <c r="EI40" i="6"/>
  <c r="CQ40" i="6"/>
  <c r="CM40" i="6"/>
  <c r="CI40" i="6"/>
  <c r="CE40" i="6"/>
  <c r="CA40" i="6"/>
  <c r="EO39" i="6"/>
  <c r="EK39" i="6"/>
  <c r="EG39" i="6"/>
  <c r="CO39" i="6"/>
  <c r="CK39" i="6"/>
  <c r="CG39" i="6"/>
  <c r="CC39" i="6"/>
  <c r="BY39" i="6"/>
  <c r="EM38" i="6"/>
  <c r="EI38" i="6"/>
  <c r="CQ38" i="6"/>
  <c r="CM38" i="6"/>
  <c r="CI38" i="6"/>
  <c r="CE38" i="6"/>
  <c r="CA38" i="6"/>
  <c r="EO37" i="6"/>
  <c r="EK37" i="6"/>
  <c r="EG37" i="6"/>
  <c r="CO37" i="6"/>
  <c r="CK37" i="6"/>
  <c r="CG37" i="6"/>
  <c r="EF43" i="6"/>
  <c r="CB43" i="6"/>
  <c r="CP42" i="6"/>
  <c r="BZ42" i="6"/>
  <c r="CN41" i="6"/>
  <c r="BX41" i="6"/>
  <c r="CL40" i="6"/>
  <c r="EN39" i="6"/>
  <c r="CJ39" i="6"/>
  <c r="EL38" i="6"/>
  <c r="CH38" i="6"/>
  <c r="EJ37" i="6"/>
  <c r="CF37" i="6"/>
  <c r="BX37" i="6"/>
  <c r="EH36" i="6"/>
  <c r="CL36" i="6"/>
  <c r="CD36" i="6"/>
  <c r="EO35" i="6"/>
  <c r="EJ35" i="6"/>
  <c r="CQ35" i="6"/>
  <c r="CM35" i="6"/>
  <c r="CI35" i="6"/>
  <c r="CE35" i="6"/>
  <c r="CA35" i="6"/>
  <c r="EO34" i="6"/>
  <c r="EK34" i="6"/>
  <c r="EG34" i="6"/>
  <c r="CO34" i="6"/>
  <c r="CK34" i="6"/>
  <c r="CG34" i="6"/>
  <c r="CC34" i="6"/>
  <c r="BY34" i="6"/>
  <c r="EM33" i="6"/>
  <c r="EI33" i="6"/>
  <c r="CQ33" i="6"/>
  <c r="CM33" i="6"/>
  <c r="CI33" i="6"/>
  <c r="CE33" i="6"/>
  <c r="CA33" i="6"/>
  <c r="EO32" i="6"/>
  <c r="EK32" i="6"/>
  <c r="EG32" i="6"/>
  <c r="CO32" i="6"/>
  <c r="CK32" i="6"/>
  <c r="CG32" i="6"/>
  <c r="CC32" i="6"/>
  <c r="BY32" i="6"/>
  <c r="EM31" i="6"/>
  <c r="EI31" i="6"/>
  <c r="CQ31" i="6"/>
  <c r="CM31" i="6"/>
  <c r="CI31" i="6"/>
  <c r="CE31" i="6"/>
  <c r="CA31" i="6"/>
  <c r="EO30" i="6"/>
  <c r="EK30" i="6"/>
  <c r="EG30" i="6"/>
  <c r="CO30" i="6"/>
  <c r="CK30" i="6"/>
  <c r="CG30" i="6"/>
  <c r="CC30" i="6"/>
  <c r="BY30" i="6"/>
  <c r="EM29" i="6"/>
  <c r="EI29" i="6"/>
  <c r="CQ29" i="6"/>
  <c r="CM29" i="6"/>
  <c r="CI29" i="6"/>
  <c r="CE29" i="6"/>
  <c r="CA29" i="6"/>
  <c r="EO28" i="6"/>
  <c r="EK28" i="6"/>
  <c r="EG28" i="6"/>
  <c r="CO28" i="6"/>
  <c r="CK28" i="6"/>
  <c r="CG28" i="6"/>
  <c r="CC28" i="6"/>
  <c r="BY28" i="6"/>
  <c r="EM27" i="6"/>
  <c r="EI27" i="6"/>
  <c r="CQ27" i="6"/>
  <c r="CN43" i="6"/>
  <c r="BX43" i="6"/>
  <c r="CL42" i="6"/>
  <c r="EN41" i="6"/>
  <c r="CJ41" i="6"/>
  <c r="EL40" i="6"/>
  <c r="CH40" i="6"/>
  <c r="EJ39" i="6"/>
  <c r="CF39" i="6"/>
  <c r="EH38" i="6"/>
  <c r="CD38" i="6"/>
  <c r="EF37" i="6"/>
  <c r="CC37" i="6"/>
  <c r="EM36" i="6"/>
  <c r="CQ36" i="6"/>
  <c r="CI36" i="6"/>
  <c r="CA36" i="6"/>
  <c r="EN35" i="6"/>
  <c r="EH35" i="6"/>
  <c r="CP35" i="6"/>
  <c r="CL35" i="6"/>
  <c r="CH35" i="6"/>
  <c r="CD35" i="6"/>
  <c r="BZ35" i="6"/>
  <c r="EN34" i="6"/>
  <c r="EJ34" i="6"/>
  <c r="EF34" i="6"/>
  <c r="CN34" i="6"/>
  <c r="CJ34" i="6"/>
  <c r="CF34" i="6"/>
  <c r="CB34" i="6"/>
  <c r="BX34" i="6"/>
  <c r="EL33" i="6"/>
  <c r="EH33" i="6"/>
  <c r="CP33" i="6"/>
  <c r="CL33" i="6"/>
  <c r="CH33" i="6"/>
  <c r="CD33" i="6"/>
  <c r="BZ33" i="6"/>
  <c r="EN32" i="6"/>
  <c r="EJ32" i="6"/>
  <c r="EF32" i="6"/>
  <c r="CN32" i="6"/>
  <c r="CJ32" i="6"/>
  <c r="CF32" i="6"/>
  <c r="CB32" i="6"/>
  <c r="BX32" i="6"/>
  <c r="EL31" i="6"/>
  <c r="EH31" i="6"/>
  <c r="CP31" i="6"/>
  <c r="CL31" i="6"/>
  <c r="CH31" i="6"/>
  <c r="CD31" i="6"/>
  <c r="BZ31" i="6"/>
  <c r="EN30" i="6"/>
  <c r="EJ30" i="6"/>
  <c r="EF30" i="6"/>
  <c r="CN30" i="6"/>
  <c r="CJ30" i="6"/>
  <c r="CF30" i="6"/>
  <c r="CB30" i="6"/>
  <c r="BX30" i="6"/>
  <c r="EL29" i="6"/>
  <c r="EH29" i="6"/>
  <c r="CP29" i="6"/>
  <c r="CL29" i="6"/>
  <c r="CH29" i="6"/>
  <c r="CD29" i="6"/>
  <c r="BZ29" i="6"/>
  <c r="EN28" i="6"/>
  <c r="EJ28" i="6"/>
  <c r="EF28" i="6"/>
  <c r="CN28" i="6"/>
  <c r="CJ28" i="6"/>
  <c r="EN43" i="6"/>
  <c r="CJ43" i="6"/>
  <c r="EL42" i="6"/>
  <c r="CH42" i="6"/>
  <c r="EJ41" i="6"/>
  <c r="CF41" i="6"/>
  <c r="EH40" i="6"/>
  <c r="CD40" i="6"/>
  <c r="EF39" i="6"/>
  <c r="CB39" i="6"/>
  <c r="CP38" i="6"/>
  <c r="BZ38" i="6"/>
  <c r="CN37" i="6"/>
  <c r="CB37" i="6"/>
  <c r="EL36" i="6"/>
  <c r="CP36" i="6"/>
  <c r="CH36" i="6"/>
  <c r="BZ36" i="6"/>
  <c r="EL35" i="6"/>
  <c r="EG35" i="6"/>
  <c r="CO35" i="6"/>
  <c r="CK35" i="6"/>
  <c r="CG35" i="6"/>
  <c r="CC35" i="6"/>
  <c r="BY35" i="6"/>
  <c r="EM34" i="6"/>
  <c r="EI34" i="6"/>
  <c r="CQ34" i="6"/>
  <c r="CM34" i="6"/>
  <c r="CI34" i="6"/>
  <c r="CE34" i="6"/>
  <c r="CA34" i="6"/>
  <c r="EO33" i="6"/>
  <c r="EK33" i="6"/>
  <c r="EG33" i="6"/>
  <c r="CO33" i="6"/>
  <c r="CK33" i="6"/>
  <c r="CG33" i="6"/>
  <c r="CC33" i="6"/>
  <c r="BY33" i="6"/>
  <c r="EM32" i="6"/>
  <c r="EI32" i="6"/>
  <c r="CQ32" i="6"/>
  <c r="CM32" i="6"/>
  <c r="CI32" i="6"/>
  <c r="CE32" i="6"/>
  <c r="CA32" i="6"/>
  <c r="EO31" i="6"/>
  <c r="EK31" i="6"/>
  <c r="EG31" i="6"/>
  <c r="CO31" i="6"/>
  <c r="CK31" i="6"/>
  <c r="CG31" i="6"/>
  <c r="CC31" i="6"/>
  <c r="BY31" i="6"/>
  <c r="EM30" i="6"/>
  <c r="EI30" i="6"/>
  <c r="CQ30" i="6"/>
  <c r="CM30" i="6"/>
  <c r="CI30" i="6"/>
  <c r="CE30" i="6"/>
  <c r="CA30" i="6"/>
  <c r="EO29" i="6"/>
  <c r="EK29" i="6"/>
  <c r="EG29" i="6"/>
  <c r="CO29" i="6"/>
  <c r="CK29" i="6"/>
  <c r="CG29" i="6"/>
  <c r="CC29" i="6"/>
  <c r="BY29" i="6"/>
  <c r="EM28" i="6"/>
  <c r="EI28" i="6"/>
  <c r="CQ28" i="6"/>
  <c r="CM28" i="6"/>
  <c r="CI28" i="6"/>
  <c r="CE28" i="6"/>
  <c r="CA28" i="6"/>
  <c r="EO27" i="6"/>
  <c r="EK27" i="6"/>
  <c r="EG27" i="6"/>
  <c r="CD42" i="6"/>
  <c r="BZ40" i="6"/>
  <c r="EN37" i="6"/>
  <c r="CM36" i="6"/>
  <c r="EF35" i="6"/>
  <c r="CB35" i="6"/>
  <c r="CP34" i="6"/>
  <c r="BZ34" i="6"/>
  <c r="CN33" i="6"/>
  <c r="BX33" i="6"/>
  <c r="CL32" i="6"/>
  <c r="EN31" i="6"/>
  <c r="CJ31" i="6"/>
  <c r="EL30" i="6"/>
  <c r="CH30" i="6"/>
  <c r="EJ29" i="6"/>
  <c r="CF29" i="6"/>
  <c r="EH28" i="6"/>
  <c r="CF28" i="6"/>
  <c r="BX28" i="6"/>
  <c r="EH27" i="6"/>
  <c r="CN27" i="6"/>
  <c r="CJ27" i="6"/>
  <c r="CF27" i="6"/>
  <c r="CB27" i="6"/>
  <c r="BX27" i="6"/>
  <c r="EL26" i="6"/>
  <c r="EH26" i="6"/>
  <c r="CP26" i="6"/>
  <c r="CL26" i="6"/>
  <c r="CH26" i="6"/>
  <c r="CD26" i="6"/>
  <c r="BZ26" i="6"/>
  <c r="EN25" i="6"/>
  <c r="EJ25" i="6"/>
  <c r="EF25" i="6"/>
  <c r="CN25" i="6"/>
  <c r="CJ25" i="6"/>
  <c r="CF25" i="6"/>
  <c r="CB25" i="6"/>
  <c r="BX25" i="6"/>
  <c r="EL24" i="6"/>
  <c r="EH24" i="6"/>
  <c r="CP24" i="6"/>
  <c r="CL24" i="6"/>
  <c r="CH24" i="6"/>
  <c r="CD24" i="6"/>
  <c r="BZ24" i="6"/>
  <c r="EN23" i="6"/>
  <c r="EJ23" i="6"/>
  <c r="EF23" i="6"/>
  <c r="CN23" i="6"/>
  <c r="CJ23" i="6"/>
  <c r="CF23" i="6"/>
  <c r="CB23" i="6"/>
  <c r="BX23" i="6"/>
  <c r="EL22" i="6"/>
  <c r="EH22" i="6"/>
  <c r="CP22" i="6"/>
  <c r="CL22" i="6"/>
  <c r="CH22" i="6"/>
  <c r="CD22" i="6"/>
  <c r="BZ22" i="6"/>
  <c r="EN21" i="6"/>
  <c r="EJ21" i="6"/>
  <c r="EF21" i="6"/>
  <c r="CN21" i="6"/>
  <c r="CJ21" i="6"/>
  <c r="CF21" i="6"/>
  <c r="CB21" i="6"/>
  <c r="BX21" i="6"/>
  <c r="EL20" i="6"/>
  <c r="EH20" i="6"/>
  <c r="CP20" i="6"/>
  <c r="CL20" i="6"/>
  <c r="CH20" i="6"/>
  <c r="CD20" i="6"/>
  <c r="BZ20" i="6"/>
  <c r="EN19" i="6"/>
  <c r="EJ19" i="6"/>
  <c r="EF19" i="6"/>
  <c r="CN19" i="6"/>
  <c r="CJ19" i="6"/>
  <c r="CF19" i="6"/>
  <c r="CB19" i="6"/>
  <c r="BX19" i="6"/>
  <c r="EL18" i="6"/>
  <c r="EH18" i="6"/>
  <c r="CP18" i="6"/>
  <c r="EJ43" i="6"/>
  <c r="EF41" i="6"/>
  <c r="CN39" i="6"/>
  <c r="CJ37" i="6"/>
  <c r="CE36" i="6"/>
  <c r="CN35" i="6"/>
  <c r="BX35" i="6"/>
  <c r="CL34" i="6"/>
  <c r="EN33" i="6"/>
  <c r="CJ33" i="6"/>
  <c r="EL32" i="6"/>
  <c r="CH32" i="6"/>
  <c r="EJ31" i="6"/>
  <c r="CF31" i="6"/>
  <c r="EH30" i="6"/>
  <c r="CD30" i="6"/>
  <c r="EF29" i="6"/>
  <c r="CB29" i="6"/>
  <c r="CP28" i="6"/>
  <c r="CD28" i="6"/>
  <c r="EN27" i="6"/>
  <c r="EF27" i="6"/>
  <c r="CM27" i="6"/>
  <c r="CI27" i="6"/>
  <c r="CE27" i="6"/>
  <c r="CA27" i="6"/>
  <c r="EO26" i="6"/>
  <c r="EK26" i="6"/>
  <c r="EG26" i="6"/>
  <c r="CO26" i="6"/>
  <c r="CK26" i="6"/>
  <c r="CG26" i="6"/>
  <c r="CC26" i="6"/>
  <c r="BY26" i="6"/>
  <c r="EM25" i="6"/>
  <c r="EI25" i="6"/>
  <c r="CQ25" i="6"/>
  <c r="CM25" i="6"/>
  <c r="CI25" i="6"/>
  <c r="CE25" i="6"/>
  <c r="CA25" i="6"/>
  <c r="EO24" i="6"/>
  <c r="EK24" i="6"/>
  <c r="EG24" i="6"/>
  <c r="CO24" i="6"/>
  <c r="CK24" i="6"/>
  <c r="CG24" i="6"/>
  <c r="CC24" i="6"/>
  <c r="BY24" i="6"/>
  <c r="EM23" i="6"/>
  <c r="EI23" i="6"/>
  <c r="CQ23" i="6"/>
  <c r="CM23" i="6"/>
  <c r="CI23" i="6"/>
  <c r="CE23" i="6"/>
  <c r="CA23" i="6"/>
  <c r="EO22" i="6"/>
  <c r="EK22" i="6"/>
  <c r="EG22" i="6"/>
  <c r="CO22" i="6"/>
  <c r="CK22" i="6"/>
  <c r="CG22" i="6"/>
  <c r="CC22" i="6"/>
  <c r="BY22" i="6"/>
  <c r="EM21" i="6"/>
  <c r="EI21" i="6"/>
  <c r="CQ21" i="6"/>
  <c r="CM21" i="6"/>
  <c r="CI21" i="6"/>
  <c r="CE21" i="6"/>
  <c r="CA21" i="6"/>
  <c r="EO20" i="6"/>
  <c r="EK20" i="6"/>
  <c r="EG20" i="6"/>
  <c r="CO20" i="6"/>
  <c r="CK20" i="6"/>
  <c r="CG20" i="6"/>
  <c r="CC20" i="6"/>
  <c r="BY20" i="6"/>
  <c r="EM19" i="6"/>
  <c r="EI19" i="6"/>
  <c r="CQ19" i="6"/>
  <c r="CM19" i="6"/>
  <c r="CI19" i="6"/>
  <c r="CF43" i="6"/>
  <c r="CB41" i="6"/>
  <c r="BX39" i="6"/>
  <c r="BY37" i="6"/>
  <c r="BX36" i="6"/>
  <c r="CJ35" i="6"/>
  <c r="EL34" i="6"/>
  <c r="CH34" i="6"/>
  <c r="EJ33" i="6"/>
  <c r="CF33" i="6"/>
  <c r="EH32" i="6"/>
  <c r="CD32" i="6"/>
  <c r="EF31" i="6"/>
  <c r="CB31" i="6"/>
  <c r="CP30" i="6"/>
  <c r="BZ30" i="6"/>
  <c r="CN29" i="6"/>
  <c r="BX29" i="6"/>
  <c r="CL28" i="6"/>
  <c r="CB28" i="6"/>
  <c r="EL27" i="6"/>
  <c r="CP27" i="6"/>
  <c r="CL27" i="6"/>
  <c r="CH27" i="6"/>
  <c r="CD27" i="6"/>
  <c r="BZ27" i="6"/>
  <c r="EN26" i="6"/>
  <c r="EJ26" i="6"/>
  <c r="EF26" i="6"/>
  <c r="CN26" i="6"/>
  <c r="CJ26" i="6"/>
  <c r="CF26" i="6"/>
  <c r="CB26" i="6"/>
  <c r="BX26" i="6"/>
  <c r="EL25" i="6"/>
  <c r="EH25" i="6"/>
  <c r="CP25" i="6"/>
  <c r="CL25" i="6"/>
  <c r="CH25" i="6"/>
  <c r="CD25" i="6"/>
  <c r="BZ25" i="6"/>
  <c r="EN24" i="6"/>
  <c r="EJ24" i="6"/>
  <c r="EF24" i="6"/>
  <c r="CN24" i="6"/>
  <c r="CJ24" i="6"/>
  <c r="CF24" i="6"/>
  <c r="CB24" i="6"/>
  <c r="BX24" i="6"/>
  <c r="EL23" i="6"/>
  <c r="EH23" i="6"/>
  <c r="CP23" i="6"/>
  <c r="CL23" i="6"/>
  <c r="CH23" i="6"/>
  <c r="CD23" i="6"/>
  <c r="BZ23" i="6"/>
  <c r="EN22" i="6"/>
  <c r="EJ22" i="6"/>
  <c r="EF22" i="6"/>
  <c r="CN22" i="6"/>
  <c r="CJ22" i="6"/>
  <c r="CF22" i="6"/>
  <c r="CB22" i="6"/>
  <c r="BX22" i="6"/>
  <c r="EL21" i="6"/>
  <c r="EH21" i="6"/>
  <c r="CP21" i="6"/>
  <c r="CL21" i="6"/>
  <c r="CH21" i="6"/>
  <c r="CD21" i="6"/>
  <c r="BZ21" i="6"/>
  <c r="EN20" i="6"/>
  <c r="EJ20" i="6"/>
  <c r="EF20" i="6"/>
  <c r="CN20" i="6"/>
  <c r="CJ20" i="6"/>
  <c r="CF20" i="6"/>
  <c r="CB20" i="6"/>
  <c r="BX20" i="6"/>
  <c r="EL19" i="6"/>
  <c r="EH19" i="6"/>
  <c r="CP19" i="6"/>
  <c r="CL19" i="6"/>
  <c r="CH19" i="6"/>
  <c r="CD19" i="6"/>
  <c r="BZ19" i="6"/>
  <c r="EN18" i="6"/>
  <c r="EJ18" i="6"/>
  <c r="EF18" i="6"/>
  <c r="CN18" i="6"/>
  <c r="EI36" i="6"/>
  <c r="CD34" i="6"/>
  <c r="BZ32" i="6"/>
  <c r="EN29" i="6"/>
  <c r="BZ28" i="6"/>
  <c r="CG27" i="6"/>
  <c r="EI26" i="6"/>
  <c r="CE26" i="6"/>
  <c r="EG25" i="6"/>
  <c r="CC25" i="6"/>
  <c r="CQ24" i="6"/>
  <c r="CA24" i="6"/>
  <c r="CO23" i="6"/>
  <c r="BY23" i="6"/>
  <c r="CM22" i="6"/>
  <c r="EO21" i="6"/>
  <c r="CK21" i="6"/>
  <c r="EM20" i="6"/>
  <c r="CI20" i="6"/>
  <c r="EK19" i="6"/>
  <c r="CG19" i="6"/>
  <c r="BY19" i="6"/>
  <c r="EI18" i="6"/>
  <c r="CM18" i="6"/>
  <c r="CI18" i="6"/>
  <c r="CE18" i="6"/>
  <c r="CA18" i="6"/>
  <c r="EO17" i="6"/>
  <c r="EK17" i="6"/>
  <c r="EG17" i="6"/>
  <c r="CO17" i="6"/>
  <c r="CK17" i="6"/>
  <c r="CG17" i="6"/>
  <c r="CC17" i="6"/>
  <c r="BY17" i="6"/>
  <c r="EM16" i="6"/>
  <c r="EI16" i="6"/>
  <c r="CQ16" i="6"/>
  <c r="CM16" i="6"/>
  <c r="CI16" i="6"/>
  <c r="CE16" i="6"/>
  <c r="CA16" i="6"/>
  <c r="EO15" i="6"/>
  <c r="EK15" i="6"/>
  <c r="EG15" i="6"/>
  <c r="CO15" i="6"/>
  <c r="CK15" i="6"/>
  <c r="CG15" i="6"/>
  <c r="CC15" i="6"/>
  <c r="BY15" i="6"/>
  <c r="EM14" i="6"/>
  <c r="EI14" i="6"/>
  <c r="CQ14" i="6"/>
  <c r="CM14" i="6"/>
  <c r="CI14" i="6"/>
  <c r="CE14" i="6"/>
  <c r="CA14" i="6"/>
  <c r="EO13" i="6"/>
  <c r="EK13" i="6"/>
  <c r="EG13" i="6"/>
  <c r="CO13" i="6"/>
  <c r="CK13" i="6"/>
  <c r="CG13" i="6"/>
  <c r="CC13" i="6"/>
  <c r="BY13" i="6"/>
  <c r="EM12" i="6"/>
  <c r="EI12" i="6"/>
  <c r="CQ12" i="6"/>
  <c r="CM12" i="6"/>
  <c r="CI12" i="6"/>
  <c r="CE12" i="6"/>
  <c r="CA12" i="6"/>
  <c r="EO11" i="6"/>
  <c r="EK11" i="6"/>
  <c r="EG11" i="6"/>
  <c r="CO11" i="6"/>
  <c r="CK11" i="6"/>
  <c r="CG11" i="6"/>
  <c r="CC11" i="6"/>
  <c r="BY11" i="6"/>
  <c r="EM10" i="6"/>
  <c r="EI10" i="6"/>
  <c r="CQ10" i="6"/>
  <c r="CM10" i="6"/>
  <c r="CI10" i="6"/>
  <c r="CE10" i="6"/>
  <c r="CA10" i="6"/>
  <c r="EO9" i="6"/>
  <c r="EK9" i="6"/>
  <c r="EG9" i="6"/>
  <c r="CO9" i="6"/>
  <c r="CK9" i="6"/>
  <c r="CG9" i="6"/>
  <c r="CC9" i="6"/>
  <c r="BY9" i="6"/>
  <c r="EM8" i="6"/>
  <c r="EI8" i="6"/>
  <c r="CM8" i="6"/>
  <c r="CI8" i="6"/>
  <c r="CE8" i="6"/>
  <c r="CA8" i="6"/>
  <c r="BU43" i="6"/>
  <c r="BQ43" i="6"/>
  <c r="BM43" i="6"/>
  <c r="BI43" i="6"/>
  <c r="BE43" i="6"/>
  <c r="BA43" i="6"/>
  <c r="AW43" i="6"/>
  <c r="BW42" i="6"/>
  <c r="BS42" i="6"/>
  <c r="BO42" i="6"/>
  <c r="BK42" i="6"/>
  <c r="BG42" i="6"/>
  <c r="BC42" i="6"/>
  <c r="AY42" i="6"/>
  <c r="AU42" i="6"/>
  <c r="BU41" i="6"/>
  <c r="BQ41" i="6"/>
  <c r="BM41" i="6"/>
  <c r="BI41" i="6"/>
  <c r="BE41" i="6"/>
  <c r="BA41" i="6"/>
  <c r="AW41" i="6"/>
  <c r="BW40" i="6"/>
  <c r="BS40" i="6"/>
  <c r="BO40" i="6"/>
  <c r="BK40" i="6"/>
  <c r="BG40" i="6"/>
  <c r="BC40" i="6"/>
  <c r="AY40" i="6"/>
  <c r="AU40" i="6"/>
  <c r="BU39" i="6"/>
  <c r="BQ39" i="6"/>
  <c r="BM39" i="6"/>
  <c r="BI39" i="6"/>
  <c r="BE39" i="6"/>
  <c r="BA39" i="6"/>
  <c r="AW39" i="6"/>
  <c r="BW38" i="6"/>
  <c r="BS38" i="6"/>
  <c r="BO38" i="6"/>
  <c r="BK38" i="6"/>
  <c r="BG38" i="6"/>
  <c r="BC38" i="6"/>
  <c r="AY38" i="6"/>
  <c r="EH42" i="6"/>
  <c r="EK35" i="6"/>
  <c r="EF33" i="6"/>
  <c r="CN31" i="6"/>
  <c r="CJ29" i="6"/>
  <c r="EJ27" i="6"/>
  <c r="CC27" i="6"/>
  <c r="CQ26" i="6"/>
  <c r="CA26" i="6"/>
  <c r="CO25" i="6"/>
  <c r="BY25" i="6"/>
  <c r="CM24" i="6"/>
  <c r="EO23" i="6"/>
  <c r="CK23" i="6"/>
  <c r="EM22" i="6"/>
  <c r="CI22" i="6"/>
  <c r="EK21" i="6"/>
  <c r="CG21" i="6"/>
  <c r="EI20" i="6"/>
  <c r="CE20" i="6"/>
  <c r="EG19" i="6"/>
  <c r="CE19" i="6"/>
  <c r="EO18" i="6"/>
  <c r="EG18" i="6"/>
  <c r="CL18" i="6"/>
  <c r="CH18" i="6"/>
  <c r="CD18" i="6"/>
  <c r="BZ18" i="6"/>
  <c r="EN17" i="6"/>
  <c r="EJ17" i="6"/>
  <c r="EF17" i="6"/>
  <c r="CN17" i="6"/>
  <c r="CJ17" i="6"/>
  <c r="CF17" i="6"/>
  <c r="CB17" i="6"/>
  <c r="BX17" i="6"/>
  <c r="EL16" i="6"/>
  <c r="EH16" i="6"/>
  <c r="CP16" i="6"/>
  <c r="CL16" i="6"/>
  <c r="CH16" i="6"/>
  <c r="CD16" i="6"/>
  <c r="BZ16" i="6"/>
  <c r="EN15" i="6"/>
  <c r="EJ15" i="6"/>
  <c r="EF15" i="6"/>
  <c r="CN15" i="6"/>
  <c r="CJ15" i="6"/>
  <c r="CF15" i="6"/>
  <c r="CB15" i="6"/>
  <c r="BX15" i="6"/>
  <c r="EL14" i="6"/>
  <c r="EH14" i="6"/>
  <c r="CP14" i="6"/>
  <c r="CL14" i="6"/>
  <c r="CH14" i="6"/>
  <c r="CD14" i="6"/>
  <c r="BZ14" i="6"/>
  <c r="EN13" i="6"/>
  <c r="EJ13" i="6"/>
  <c r="EF13" i="6"/>
  <c r="CN13" i="6"/>
  <c r="CJ13" i="6"/>
  <c r="CF13" i="6"/>
  <c r="CB13" i="6"/>
  <c r="BX13" i="6"/>
  <c r="EL12" i="6"/>
  <c r="EH12" i="6"/>
  <c r="CP12" i="6"/>
  <c r="CL12" i="6"/>
  <c r="CH12" i="6"/>
  <c r="CD12" i="6"/>
  <c r="BZ12" i="6"/>
  <c r="EN11" i="6"/>
  <c r="EJ11" i="6"/>
  <c r="EF11" i="6"/>
  <c r="CN11" i="6"/>
  <c r="CJ11" i="6"/>
  <c r="CF11" i="6"/>
  <c r="CB11" i="6"/>
  <c r="BX11" i="6"/>
  <c r="EL10" i="6"/>
  <c r="EH10" i="6"/>
  <c r="CP10" i="6"/>
  <c r="CL10" i="6"/>
  <c r="CH10" i="6"/>
  <c r="CD10" i="6"/>
  <c r="BZ10" i="6"/>
  <c r="EN9" i="6"/>
  <c r="EJ9" i="6"/>
  <c r="EF9" i="6"/>
  <c r="CN9" i="6"/>
  <c r="CJ9" i="6"/>
  <c r="CF9" i="6"/>
  <c r="CB9" i="6"/>
  <c r="BX9" i="6"/>
  <c r="EL8" i="6"/>
  <c r="CP8" i="6"/>
  <c r="CL8" i="6"/>
  <c r="CH8" i="6"/>
  <c r="CD8" i="6"/>
  <c r="BZ8" i="6"/>
  <c r="BT43" i="6"/>
  <c r="BP43" i="6"/>
  <c r="BL43" i="6"/>
  <c r="BH43" i="6"/>
  <c r="BD43" i="6"/>
  <c r="AZ43" i="6"/>
  <c r="AV43" i="6"/>
  <c r="BV42" i="6"/>
  <c r="BR42" i="6"/>
  <c r="BN42" i="6"/>
  <c r="BJ42" i="6"/>
  <c r="BF42" i="6"/>
  <c r="BB42" i="6"/>
  <c r="AX42" i="6"/>
  <c r="AT42" i="6"/>
  <c r="BT41" i="6"/>
  <c r="BP41" i="6"/>
  <c r="BL41" i="6"/>
  <c r="BH41" i="6"/>
  <c r="BD41" i="6"/>
  <c r="AZ41" i="6"/>
  <c r="AV41" i="6"/>
  <c r="BV40" i="6"/>
  <c r="BR40" i="6"/>
  <c r="BN40" i="6"/>
  <c r="BJ40" i="6"/>
  <c r="BF40" i="6"/>
  <c r="BB40" i="6"/>
  <c r="AX40" i="6"/>
  <c r="AT40" i="6"/>
  <c r="BT39" i="6"/>
  <c r="CP40" i="6"/>
  <c r="CF35" i="6"/>
  <c r="CB33" i="6"/>
  <c r="BX31" i="6"/>
  <c r="EL28" i="6"/>
  <c r="CO27" i="6"/>
  <c r="BY27" i="6"/>
  <c r="CM26" i="6"/>
  <c r="EO25" i="6"/>
  <c r="CK25" i="6"/>
  <c r="EM24" i="6"/>
  <c r="CI24" i="6"/>
  <c r="EK23" i="6"/>
  <c r="CG23" i="6"/>
  <c r="EI22" i="6"/>
  <c r="CE22" i="6"/>
  <c r="EG21" i="6"/>
  <c r="CC21" i="6"/>
  <c r="CQ20" i="6"/>
  <c r="CA20" i="6"/>
  <c r="CO19" i="6"/>
  <c r="CC19" i="6"/>
  <c r="EM18" i="6"/>
  <c r="CQ18" i="6"/>
  <c r="CK18" i="6"/>
  <c r="CG18" i="6"/>
  <c r="CC18" i="6"/>
  <c r="BY18" i="6"/>
  <c r="EM17" i="6"/>
  <c r="EI17" i="6"/>
  <c r="CQ17" i="6"/>
  <c r="CM17" i="6"/>
  <c r="CI17" i="6"/>
  <c r="CE17" i="6"/>
  <c r="CA17" i="6"/>
  <c r="EO16" i="6"/>
  <c r="EK16" i="6"/>
  <c r="EG16" i="6"/>
  <c r="CO16" i="6"/>
  <c r="CK16" i="6"/>
  <c r="CG16" i="6"/>
  <c r="CC16" i="6"/>
  <c r="BY16" i="6"/>
  <c r="EM15" i="6"/>
  <c r="EI15" i="6"/>
  <c r="CQ15" i="6"/>
  <c r="CM15" i="6"/>
  <c r="CI15" i="6"/>
  <c r="CE15" i="6"/>
  <c r="CA15" i="6"/>
  <c r="EO14" i="6"/>
  <c r="EK14" i="6"/>
  <c r="EG14" i="6"/>
  <c r="CO14" i="6"/>
  <c r="CK14" i="6"/>
  <c r="CG14" i="6"/>
  <c r="CC14" i="6"/>
  <c r="BY14" i="6"/>
  <c r="EM13" i="6"/>
  <c r="EI13" i="6"/>
  <c r="CQ13" i="6"/>
  <c r="CM13" i="6"/>
  <c r="CI13" i="6"/>
  <c r="CE13" i="6"/>
  <c r="CA13" i="6"/>
  <c r="EO12" i="6"/>
  <c r="EK12" i="6"/>
  <c r="EG12" i="6"/>
  <c r="CO12" i="6"/>
  <c r="CK12" i="6"/>
  <c r="CG12" i="6"/>
  <c r="CC12" i="6"/>
  <c r="BY12" i="6"/>
  <c r="EM11" i="6"/>
  <c r="EI11" i="6"/>
  <c r="CQ11" i="6"/>
  <c r="CM11" i="6"/>
  <c r="CI11" i="6"/>
  <c r="CE11" i="6"/>
  <c r="CA11" i="6"/>
  <c r="EO10" i="6"/>
  <c r="EK10" i="6"/>
  <c r="EG10" i="6"/>
  <c r="CO10" i="6"/>
  <c r="CK10" i="6"/>
  <c r="CG10" i="6"/>
  <c r="CC10" i="6"/>
  <c r="BY10" i="6"/>
  <c r="EM9" i="6"/>
  <c r="EI9" i="6"/>
  <c r="CQ9" i="6"/>
  <c r="CM9" i="6"/>
  <c r="CI9" i="6"/>
  <c r="CE9" i="6"/>
  <c r="CA9" i="6"/>
  <c r="EO8" i="6"/>
  <c r="EK8" i="6"/>
  <c r="EG8" i="6"/>
  <c r="CO8" i="6"/>
  <c r="CK8" i="6"/>
  <c r="CG8" i="6"/>
  <c r="CC8" i="6"/>
  <c r="BY8" i="6"/>
  <c r="BW43" i="6"/>
  <c r="BS43" i="6"/>
  <c r="BO43" i="6"/>
  <c r="BK43" i="6"/>
  <c r="BG43" i="6"/>
  <c r="BC43" i="6"/>
  <c r="AY43" i="6"/>
  <c r="AU43" i="6"/>
  <c r="BU42" i="6"/>
  <c r="BQ42" i="6"/>
  <c r="BM42" i="6"/>
  <c r="BI42" i="6"/>
  <c r="BE42" i="6"/>
  <c r="BA42" i="6"/>
  <c r="AW42" i="6"/>
  <c r="BW41" i="6"/>
  <c r="BS41" i="6"/>
  <c r="BO41" i="6"/>
  <c r="BK41" i="6"/>
  <c r="BG41" i="6"/>
  <c r="BC41" i="6"/>
  <c r="AY41" i="6"/>
  <c r="AU41" i="6"/>
  <c r="BU40" i="6"/>
  <c r="BQ40" i="6"/>
  <c r="BM40" i="6"/>
  <c r="BI40" i="6"/>
  <c r="BE40" i="6"/>
  <c r="BA40" i="6"/>
  <c r="AW40" i="6"/>
  <c r="BW39" i="6"/>
  <c r="BS39" i="6"/>
  <c r="BO39" i="6"/>
  <c r="BK39" i="6"/>
  <c r="BG39" i="6"/>
  <c r="BC39" i="6"/>
  <c r="AY39" i="6"/>
  <c r="AU39" i="6"/>
  <c r="BU38" i="6"/>
  <c r="BQ38" i="6"/>
  <c r="BM38" i="6"/>
  <c r="BI38" i="6"/>
  <c r="BE38" i="6"/>
  <c r="BA38" i="6"/>
  <c r="CL38" i="6"/>
  <c r="EH34" i="6"/>
  <c r="CP32" i="6"/>
  <c r="CL30" i="6"/>
  <c r="CH28" i="6"/>
  <c r="CK27" i="6"/>
  <c r="EM26" i="6"/>
  <c r="CI26" i="6"/>
  <c r="EK25" i="6"/>
  <c r="CG25" i="6"/>
  <c r="EI24" i="6"/>
  <c r="CE24" i="6"/>
  <c r="EG23" i="6"/>
  <c r="CC23" i="6"/>
  <c r="CQ22" i="6"/>
  <c r="CA22" i="6"/>
  <c r="CO21" i="6"/>
  <c r="BY21" i="6"/>
  <c r="CM20" i="6"/>
  <c r="EO19" i="6"/>
  <c r="CK19" i="6"/>
  <c r="CA19" i="6"/>
  <c r="EK18" i="6"/>
  <c r="CO18" i="6"/>
  <c r="CJ18" i="6"/>
  <c r="CF18" i="6"/>
  <c r="CB18" i="6"/>
  <c r="BX18" i="6"/>
  <c r="EL17" i="6"/>
  <c r="CH17" i="6"/>
  <c r="EJ16" i="6"/>
  <c r="CF16" i="6"/>
  <c r="EH15" i="6"/>
  <c r="CD15" i="6"/>
  <c r="EF14" i="6"/>
  <c r="CB14" i="6"/>
  <c r="CP13" i="6"/>
  <c r="BZ13" i="6"/>
  <c r="CN12" i="6"/>
  <c r="BX12" i="6"/>
  <c r="CL11" i="6"/>
  <c r="EN10" i="6"/>
  <c r="CJ10" i="6"/>
  <c r="EL9" i="6"/>
  <c r="CH9" i="6"/>
  <c r="EJ8" i="6"/>
  <c r="CF8" i="6"/>
  <c r="BJ43" i="6"/>
  <c r="AT43" i="6"/>
  <c r="BH42" i="6"/>
  <c r="BV41" i="6"/>
  <c r="BF41" i="6"/>
  <c r="BT40" i="6"/>
  <c r="BD40" i="6"/>
  <c r="BR39" i="6"/>
  <c r="BJ39" i="6"/>
  <c r="BB39" i="6"/>
  <c r="AT39" i="6"/>
  <c r="BP38" i="6"/>
  <c r="BH38" i="6"/>
  <c r="AZ38" i="6"/>
  <c r="AU38" i="6"/>
  <c r="BU37" i="6"/>
  <c r="BQ37" i="6"/>
  <c r="BM37" i="6"/>
  <c r="BI37" i="6"/>
  <c r="BE37" i="6"/>
  <c r="BA37" i="6"/>
  <c r="AW37" i="6"/>
  <c r="BW36" i="6"/>
  <c r="BS36" i="6"/>
  <c r="BO36" i="6"/>
  <c r="BK36" i="6"/>
  <c r="BG36" i="6"/>
  <c r="BC36" i="6"/>
  <c r="AY36" i="6"/>
  <c r="AU36" i="6"/>
  <c r="BU35" i="6"/>
  <c r="BQ35" i="6"/>
  <c r="BM35" i="6"/>
  <c r="BI35" i="6"/>
  <c r="BE35" i="6"/>
  <c r="BA35" i="6"/>
  <c r="AW35" i="6"/>
  <c r="BW34" i="6"/>
  <c r="BS34" i="6"/>
  <c r="BO34" i="6"/>
  <c r="BK34" i="6"/>
  <c r="BG34" i="6"/>
  <c r="BC34" i="6"/>
  <c r="AY34" i="6"/>
  <c r="AU34" i="6"/>
  <c r="BU33" i="6"/>
  <c r="BQ33" i="6"/>
  <c r="BM33" i="6"/>
  <c r="BI33" i="6"/>
  <c r="BE33" i="6"/>
  <c r="BA33" i="6"/>
  <c r="AW33" i="6"/>
  <c r="BW32" i="6"/>
  <c r="BS32" i="6"/>
  <c r="BO32" i="6"/>
  <c r="BK32" i="6"/>
  <c r="BG32" i="6"/>
  <c r="BC32" i="6"/>
  <c r="AY32" i="6"/>
  <c r="AU32" i="6"/>
  <c r="BU31" i="6"/>
  <c r="EH17" i="6"/>
  <c r="CD17" i="6"/>
  <c r="EF16" i="6"/>
  <c r="CB16" i="6"/>
  <c r="CP15" i="6"/>
  <c r="BZ15" i="6"/>
  <c r="CN14" i="6"/>
  <c r="BX14" i="6"/>
  <c r="CL13" i="6"/>
  <c r="EN12" i="6"/>
  <c r="CJ12" i="6"/>
  <c r="EL11" i="6"/>
  <c r="CH11" i="6"/>
  <c r="EJ10" i="6"/>
  <c r="CF10" i="6"/>
  <c r="EH9" i="6"/>
  <c r="CD9" i="6"/>
  <c r="CB8" i="6"/>
  <c r="BV43" i="6"/>
  <c r="BF43" i="6"/>
  <c r="BT42" i="6"/>
  <c r="BD42" i="6"/>
  <c r="BR41" i="6"/>
  <c r="BB41" i="6"/>
  <c r="BP40" i="6"/>
  <c r="AZ40" i="6"/>
  <c r="BP39" i="6"/>
  <c r="BH39" i="6"/>
  <c r="AZ39" i="6"/>
  <c r="BV38" i="6"/>
  <c r="BN38" i="6"/>
  <c r="BF38" i="6"/>
  <c r="AX38" i="6"/>
  <c r="AT38" i="6"/>
  <c r="BT37" i="6"/>
  <c r="BP37" i="6"/>
  <c r="BL37" i="6"/>
  <c r="BH37" i="6"/>
  <c r="BD37" i="6"/>
  <c r="AZ37" i="6"/>
  <c r="AV37" i="6"/>
  <c r="BV36" i="6"/>
  <c r="BR36" i="6"/>
  <c r="BN36" i="6"/>
  <c r="BJ36" i="6"/>
  <c r="BF36" i="6"/>
  <c r="BB36" i="6"/>
  <c r="AX36" i="6"/>
  <c r="AT36" i="6"/>
  <c r="BT35" i="6"/>
  <c r="BP35" i="6"/>
  <c r="BL35" i="6"/>
  <c r="BH35" i="6"/>
  <c r="BD35" i="6"/>
  <c r="AZ35" i="6"/>
  <c r="AV35" i="6"/>
  <c r="BV34" i="6"/>
  <c r="BR34" i="6"/>
  <c r="BN34" i="6"/>
  <c r="BJ34" i="6"/>
  <c r="BF34" i="6"/>
  <c r="BB34" i="6"/>
  <c r="AX34" i="6"/>
  <c r="AT34" i="6"/>
  <c r="BT33" i="6"/>
  <c r="BP33" i="6"/>
  <c r="BL33" i="6"/>
  <c r="BH33" i="6"/>
  <c r="BD33" i="6"/>
  <c r="AZ33" i="6"/>
  <c r="AV33" i="6"/>
  <c r="BV32" i="6"/>
  <c r="BR32" i="6"/>
  <c r="BN32" i="6"/>
  <c r="BJ32" i="6"/>
  <c r="BF32" i="6"/>
  <c r="BB32" i="6"/>
  <c r="AX32" i="6"/>
  <c r="AT32" i="6"/>
  <c r="CP17" i="6"/>
  <c r="BZ17" i="6"/>
  <c r="CN16" i="6"/>
  <c r="BX16" i="6"/>
  <c r="CL15" i="6"/>
  <c r="EN14" i="6"/>
  <c r="CJ14" i="6"/>
  <c r="EL13" i="6"/>
  <c r="CH13" i="6"/>
  <c r="EJ12" i="6"/>
  <c r="CF12" i="6"/>
  <c r="EH11" i="6"/>
  <c r="CD11" i="6"/>
  <c r="EF10" i="6"/>
  <c r="CB10" i="6"/>
  <c r="CP9" i="6"/>
  <c r="BZ9" i="6"/>
  <c r="CN8" i="6"/>
  <c r="BX8" i="6"/>
  <c r="BR43" i="6"/>
  <c r="BB43" i="6"/>
  <c r="BP42" i="6"/>
  <c r="AZ42" i="6"/>
  <c r="BN41" i="6"/>
  <c r="AX41" i="6"/>
  <c r="BL40" i="6"/>
  <c r="AV40" i="6"/>
  <c r="BN39" i="6"/>
  <c r="BF39" i="6"/>
  <c r="AX39" i="6"/>
  <c r="BT38" i="6"/>
  <c r="BL38" i="6"/>
  <c r="BD38" i="6"/>
  <c r="AW38" i="6"/>
  <c r="BW37" i="6"/>
  <c r="BS37" i="6"/>
  <c r="BO37" i="6"/>
  <c r="BK37" i="6"/>
  <c r="BG37" i="6"/>
  <c r="BC37" i="6"/>
  <c r="AY37" i="6"/>
  <c r="AU37" i="6"/>
  <c r="BU36" i="6"/>
  <c r="BQ36" i="6"/>
  <c r="BM36" i="6"/>
  <c r="BI36" i="6"/>
  <c r="BE36" i="6"/>
  <c r="BA36" i="6"/>
  <c r="AW36" i="6"/>
  <c r="BW35" i="6"/>
  <c r="BS35" i="6"/>
  <c r="BO35" i="6"/>
  <c r="BK35" i="6"/>
  <c r="BG35" i="6"/>
  <c r="BC35" i="6"/>
  <c r="AY35" i="6"/>
  <c r="AU35" i="6"/>
  <c r="BU34" i="6"/>
  <c r="BQ34" i="6"/>
  <c r="BM34" i="6"/>
  <c r="BI34" i="6"/>
  <c r="BE34" i="6"/>
  <c r="BA34" i="6"/>
  <c r="AW34" i="6"/>
  <c r="BW33" i="6"/>
  <c r="BS33" i="6"/>
  <c r="BO33" i="6"/>
  <c r="BK33" i="6"/>
  <c r="BG33" i="6"/>
  <c r="BC33" i="6"/>
  <c r="AY33" i="6"/>
  <c r="AU33" i="6"/>
  <c r="BU32" i="6"/>
  <c r="BQ32" i="6"/>
  <c r="BM32" i="6"/>
  <c r="BI32" i="6"/>
  <c r="BE32" i="6"/>
  <c r="BA32" i="6"/>
  <c r="AW32" i="6"/>
  <c r="BW31" i="6"/>
  <c r="BS31" i="6"/>
  <c r="CL17" i="6"/>
  <c r="EN16" i="6"/>
  <c r="CJ16" i="6"/>
  <c r="EL15" i="6"/>
  <c r="CH15" i="6"/>
  <c r="EJ14" i="6"/>
  <c r="CF14" i="6"/>
  <c r="EH13" i="6"/>
  <c r="CD13" i="6"/>
  <c r="EF12" i="6"/>
  <c r="CB12" i="6"/>
  <c r="CP11" i="6"/>
  <c r="BZ11" i="6"/>
  <c r="CN10" i="6"/>
  <c r="BX10" i="6"/>
  <c r="CL9" i="6"/>
  <c r="EN8" i="6"/>
  <c r="CJ8" i="6"/>
  <c r="BN43" i="6"/>
  <c r="AX43" i="6"/>
  <c r="BL42" i="6"/>
  <c r="AV42" i="6"/>
  <c r="BJ41" i="6"/>
  <c r="AT41" i="6"/>
  <c r="BH40" i="6"/>
  <c r="BV39" i="6"/>
  <c r="BL39" i="6"/>
  <c r="BD39" i="6"/>
  <c r="AV39" i="6"/>
  <c r="BR38" i="6"/>
  <c r="BJ38" i="6"/>
  <c r="BB38" i="6"/>
  <c r="AV38" i="6"/>
  <c r="BV37" i="6"/>
  <c r="BR37" i="6"/>
  <c r="BN37" i="6"/>
  <c r="BJ37" i="6"/>
  <c r="BF37" i="6"/>
  <c r="BB37" i="6"/>
  <c r="AX37" i="6"/>
  <c r="AT37" i="6"/>
  <c r="BT36" i="6"/>
  <c r="BP36" i="6"/>
  <c r="BL36" i="6"/>
  <c r="BH36" i="6"/>
  <c r="BD36" i="6"/>
  <c r="AZ36" i="6"/>
  <c r="AV36" i="6"/>
  <c r="BV35" i="6"/>
  <c r="BR35" i="6"/>
  <c r="BN35" i="6"/>
  <c r="BJ35" i="6"/>
  <c r="BF35" i="6"/>
  <c r="BB35" i="6"/>
  <c r="AX35" i="6"/>
  <c r="AT35" i="6"/>
  <c r="BT34" i="6"/>
  <c r="BP34" i="6"/>
  <c r="BL34" i="6"/>
  <c r="BH34" i="6"/>
  <c r="BD34" i="6"/>
  <c r="AZ34" i="6"/>
  <c r="AV34" i="6"/>
  <c r="BV33" i="6"/>
  <c r="BR33" i="6"/>
  <c r="BN33" i="6"/>
  <c r="BJ33" i="6"/>
  <c r="BF33" i="6"/>
  <c r="BB33" i="6"/>
  <c r="AX33" i="6"/>
  <c r="AT33" i="6"/>
  <c r="BT32" i="6"/>
  <c r="BP32" i="6"/>
  <c r="BL32" i="6"/>
  <c r="BH32" i="6"/>
  <c r="BD32" i="6"/>
  <c r="AZ32" i="6"/>
  <c r="AV32" i="6"/>
  <c r="BV31" i="6"/>
  <c r="BT31" i="6"/>
  <c r="BO31" i="6"/>
  <c r="BK31" i="6"/>
  <c r="BG31" i="6"/>
  <c r="BC31" i="6"/>
  <c r="AY31" i="6"/>
  <c r="AU31" i="6"/>
  <c r="BU30" i="6"/>
  <c r="BQ30" i="6"/>
  <c r="BM30" i="6"/>
  <c r="BI30" i="6"/>
  <c r="BE30" i="6"/>
  <c r="BA30" i="6"/>
  <c r="AW30" i="6"/>
  <c r="BW29" i="6"/>
  <c r="BS29" i="6"/>
  <c r="BO29" i="6"/>
  <c r="BK29" i="6"/>
  <c r="BG29" i="6"/>
  <c r="BC29" i="6"/>
  <c r="AY29" i="6"/>
  <c r="AU29" i="6"/>
  <c r="BU28" i="6"/>
  <c r="BQ28" i="6"/>
  <c r="BM28" i="6"/>
  <c r="BI28" i="6"/>
  <c r="BE28" i="6"/>
  <c r="BA28" i="6"/>
  <c r="AW28" i="6"/>
  <c r="BW27" i="6"/>
  <c r="BS27" i="6"/>
  <c r="BO27" i="6"/>
  <c r="BK27" i="6"/>
  <c r="BG27" i="6"/>
  <c r="BC27" i="6"/>
  <c r="AY27" i="6"/>
  <c r="AU27" i="6"/>
  <c r="BU26" i="6"/>
  <c r="BQ26" i="6"/>
  <c r="BM26" i="6"/>
  <c r="BI26" i="6"/>
  <c r="BE26" i="6"/>
  <c r="BA26" i="6"/>
  <c r="AW26" i="6"/>
  <c r="BW25" i="6"/>
  <c r="BS25" i="6"/>
  <c r="BO25" i="6"/>
  <c r="BK25" i="6"/>
  <c r="BG25" i="6"/>
  <c r="BC25" i="6"/>
  <c r="AY25" i="6"/>
  <c r="AU25" i="6"/>
  <c r="BU24" i="6"/>
  <c r="BQ24" i="6"/>
  <c r="BM24" i="6"/>
  <c r="BI24" i="6"/>
  <c r="BE24" i="6"/>
  <c r="BA24" i="6"/>
  <c r="AW24" i="6"/>
  <c r="BW23" i="6"/>
  <c r="BS23" i="6"/>
  <c r="BO23" i="6"/>
  <c r="BK23" i="6"/>
  <c r="BG23" i="6"/>
  <c r="BC23" i="6"/>
  <c r="AY23" i="6"/>
  <c r="AU23" i="6"/>
  <c r="BU22" i="6"/>
  <c r="BQ22" i="6"/>
  <c r="BM22" i="6"/>
  <c r="BI22" i="6"/>
  <c r="BE22" i="6"/>
  <c r="BA22" i="6"/>
  <c r="AW22" i="6"/>
  <c r="BW21" i="6"/>
  <c r="BS21" i="6"/>
  <c r="BO21" i="6"/>
  <c r="BK21" i="6"/>
  <c r="BG21" i="6"/>
  <c r="BC21" i="6"/>
  <c r="AY21" i="6"/>
  <c r="AU21" i="6"/>
  <c r="BU20" i="6"/>
  <c r="BQ20" i="6"/>
  <c r="BM20" i="6"/>
  <c r="BI20" i="6"/>
  <c r="BE20" i="6"/>
  <c r="BA20" i="6"/>
  <c r="AW20" i="6"/>
  <c r="BW19" i="6"/>
  <c r="BS19" i="6"/>
  <c r="BO19" i="6"/>
  <c r="BK19" i="6"/>
  <c r="BG19" i="6"/>
  <c r="BC19" i="6"/>
  <c r="AY19" i="6"/>
  <c r="AU19" i="6"/>
  <c r="BU18" i="6"/>
  <c r="BQ18" i="6"/>
  <c r="BM18" i="6"/>
  <c r="BI18" i="6"/>
  <c r="BE18" i="6"/>
  <c r="BA18" i="6"/>
  <c r="AW18" i="6"/>
  <c r="BW17" i="6"/>
  <c r="BS17" i="6"/>
  <c r="BO17" i="6"/>
  <c r="BK17" i="6"/>
  <c r="BG17" i="6"/>
  <c r="BC17" i="6"/>
  <c r="AY17" i="6"/>
  <c r="AU17" i="6"/>
  <c r="BU16" i="6"/>
  <c r="BQ16" i="6"/>
  <c r="BM16" i="6"/>
  <c r="BI16" i="6"/>
  <c r="BE16" i="6"/>
  <c r="BA16" i="6"/>
  <c r="AW16" i="6"/>
  <c r="BW15" i="6"/>
  <c r="BS15" i="6"/>
  <c r="BO15" i="6"/>
  <c r="BK15" i="6"/>
  <c r="BG15" i="6"/>
  <c r="BC15" i="6"/>
  <c r="AY15" i="6"/>
  <c r="AU15" i="6"/>
  <c r="BU14" i="6"/>
  <c r="BQ14" i="6"/>
  <c r="BM14" i="6"/>
  <c r="BI14" i="6"/>
  <c r="BE14" i="6"/>
  <c r="BA14" i="6"/>
  <c r="AW14" i="6"/>
  <c r="BW13" i="6"/>
  <c r="BS13" i="6"/>
  <c r="BO13" i="6"/>
  <c r="BK13" i="6"/>
  <c r="BG13" i="6"/>
  <c r="BC13" i="6"/>
  <c r="AY13" i="6"/>
  <c r="AU13" i="6"/>
  <c r="BU12" i="6"/>
  <c r="BQ12" i="6"/>
  <c r="BM12" i="6"/>
  <c r="BI12" i="6"/>
  <c r="BE12" i="6"/>
  <c r="BA12" i="6"/>
  <c r="AW12" i="6"/>
  <c r="BW11" i="6"/>
  <c r="BS11" i="6"/>
  <c r="BO11" i="6"/>
  <c r="BK11" i="6"/>
  <c r="BG11" i="6"/>
  <c r="BC11" i="6"/>
  <c r="AY11" i="6"/>
  <c r="AU11" i="6"/>
  <c r="BU10" i="6"/>
  <c r="BQ10" i="6"/>
  <c r="BM10" i="6"/>
  <c r="BI10" i="6"/>
  <c r="BE10" i="6"/>
  <c r="BA10" i="6"/>
  <c r="AW10" i="6"/>
  <c r="BW9" i="6"/>
  <c r="BS9" i="6"/>
  <c r="BO9" i="6"/>
  <c r="BK9" i="6"/>
  <c r="BG9" i="6"/>
  <c r="BC9" i="6"/>
  <c r="AY9" i="6"/>
  <c r="BR31" i="6"/>
  <c r="BN31" i="6"/>
  <c r="BJ31" i="6"/>
  <c r="BF31" i="6"/>
  <c r="BB31" i="6"/>
  <c r="AX31" i="6"/>
  <c r="AT31" i="6"/>
  <c r="BT30" i="6"/>
  <c r="BP30" i="6"/>
  <c r="BL30" i="6"/>
  <c r="BH30" i="6"/>
  <c r="BD30" i="6"/>
  <c r="AZ30" i="6"/>
  <c r="AV30" i="6"/>
  <c r="BV29" i="6"/>
  <c r="BR29" i="6"/>
  <c r="BN29" i="6"/>
  <c r="BJ29" i="6"/>
  <c r="BF29" i="6"/>
  <c r="BB29" i="6"/>
  <c r="AX29" i="6"/>
  <c r="AT29" i="6"/>
  <c r="BT28" i="6"/>
  <c r="BP28" i="6"/>
  <c r="BL28" i="6"/>
  <c r="BH28" i="6"/>
  <c r="BD28" i="6"/>
  <c r="AZ28" i="6"/>
  <c r="AV28" i="6"/>
  <c r="BV27" i="6"/>
  <c r="BR27" i="6"/>
  <c r="BN27" i="6"/>
  <c r="BJ27" i="6"/>
  <c r="BF27" i="6"/>
  <c r="BB27" i="6"/>
  <c r="AX27" i="6"/>
  <c r="AT27" i="6"/>
  <c r="BT26" i="6"/>
  <c r="BP26" i="6"/>
  <c r="BL26" i="6"/>
  <c r="BH26" i="6"/>
  <c r="BD26" i="6"/>
  <c r="AZ26" i="6"/>
  <c r="AV26" i="6"/>
  <c r="BV25" i="6"/>
  <c r="BR25" i="6"/>
  <c r="BN25" i="6"/>
  <c r="BJ25" i="6"/>
  <c r="BF25" i="6"/>
  <c r="BB25" i="6"/>
  <c r="AX25" i="6"/>
  <c r="AT25" i="6"/>
  <c r="BT24" i="6"/>
  <c r="BP24" i="6"/>
  <c r="BL24" i="6"/>
  <c r="BH24" i="6"/>
  <c r="BD24" i="6"/>
  <c r="AZ24" i="6"/>
  <c r="AV24" i="6"/>
  <c r="BV23" i="6"/>
  <c r="BR23" i="6"/>
  <c r="BN23" i="6"/>
  <c r="BJ23" i="6"/>
  <c r="BF23" i="6"/>
  <c r="BB23" i="6"/>
  <c r="AX23" i="6"/>
  <c r="AT23" i="6"/>
  <c r="BT22" i="6"/>
  <c r="BP22" i="6"/>
  <c r="BL22" i="6"/>
  <c r="BH22" i="6"/>
  <c r="BD22" i="6"/>
  <c r="AZ22" i="6"/>
  <c r="AV22" i="6"/>
  <c r="BV21" i="6"/>
  <c r="BR21" i="6"/>
  <c r="BN21" i="6"/>
  <c r="BJ21" i="6"/>
  <c r="BF21" i="6"/>
  <c r="BB21" i="6"/>
  <c r="AX21" i="6"/>
  <c r="AT21" i="6"/>
  <c r="BT20" i="6"/>
  <c r="BP20" i="6"/>
  <c r="BL20" i="6"/>
  <c r="BH20" i="6"/>
  <c r="BD20" i="6"/>
  <c r="AZ20" i="6"/>
  <c r="AV20" i="6"/>
  <c r="BV19" i="6"/>
  <c r="BR19" i="6"/>
  <c r="BN19" i="6"/>
  <c r="BJ19" i="6"/>
  <c r="BF19" i="6"/>
  <c r="BB19" i="6"/>
  <c r="AX19" i="6"/>
  <c r="AT19" i="6"/>
  <c r="BT18" i="6"/>
  <c r="BP18" i="6"/>
  <c r="BL18" i="6"/>
  <c r="BH18" i="6"/>
  <c r="BD18" i="6"/>
  <c r="AZ18" i="6"/>
  <c r="AV18" i="6"/>
  <c r="BV17" i="6"/>
  <c r="BR17" i="6"/>
  <c r="BN17" i="6"/>
  <c r="BJ17" i="6"/>
  <c r="BF17" i="6"/>
  <c r="BB17" i="6"/>
  <c r="AX17" i="6"/>
  <c r="AT17" i="6"/>
  <c r="BT16" i="6"/>
  <c r="BP16" i="6"/>
  <c r="BL16" i="6"/>
  <c r="BH16" i="6"/>
  <c r="BD16" i="6"/>
  <c r="AZ16" i="6"/>
  <c r="AV16" i="6"/>
  <c r="BV15" i="6"/>
  <c r="BR15" i="6"/>
  <c r="BN15" i="6"/>
  <c r="BJ15" i="6"/>
  <c r="BF15" i="6"/>
  <c r="BB15" i="6"/>
  <c r="AX15" i="6"/>
  <c r="AT15" i="6"/>
  <c r="BT14" i="6"/>
  <c r="BP14" i="6"/>
  <c r="BL14" i="6"/>
  <c r="BH14" i="6"/>
  <c r="BD14" i="6"/>
  <c r="AZ14" i="6"/>
  <c r="AV14" i="6"/>
  <c r="BV13" i="6"/>
  <c r="BR13" i="6"/>
  <c r="BN13" i="6"/>
  <c r="BJ13" i="6"/>
  <c r="BF13" i="6"/>
  <c r="BB13" i="6"/>
  <c r="AX13" i="6"/>
  <c r="AT13" i="6"/>
  <c r="BT12" i="6"/>
  <c r="BP12" i="6"/>
  <c r="BL12" i="6"/>
  <c r="BH12" i="6"/>
  <c r="BD12" i="6"/>
  <c r="AZ12" i="6"/>
  <c r="AV12" i="6"/>
  <c r="BV11" i="6"/>
  <c r="BR11" i="6"/>
  <c r="BN11" i="6"/>
  <c r="BJ11" i="6"/>
  <c r="BF11" i="6"/>
  <c r="BB11" i="6"/>
  <c r="AX11" i="6"/>
  <c r="AT11" i="6"/>
  <c r="BT10" i="6"/>
  <c r="BP10" i="6"/>
  <c r="BL10" i="6"/>
  <c r="BH10" i="6"/>
  <c r="BD10" i="6"/>
  <c r="AZ10" i="6"/>
  <c r="AV10" i="6"/>
  <c r="BV9" i="6"/>
  <c r="BR9" i="6"/>
  <c r="BN9" i="6"/>
  <c r="BJ9" i="6"/>
  <c r="BF9" i="6"/>
  <c r="BB9" i="6"/>
  <c r="BQ31" i="6"/>
  <c r="BM31" i="6"/>
  <c r="BI31" i="6"/>
  <c r="BE31" i="6"/>
  <c r="BA31" i="6"/>
  <c r="AW31" i="6"/>
  <c r="BW30" i="6"/>
  <c r="BS30" i="6"/>
  <c r="BO30" i="6"/>
  <c r="BK30" i="6"/>
  <c r="BG30" i="6"/>
  <c r="BC30" i="6"/>
  <c r="AY30" i="6"/>
  <c r="AU30" i="6"/>
  <c r="BU29" i="6"/>
  <c r="BQ29" i="6"/>
  <c r="BM29" i="6"/>
  <c r="BI29" i="6"/>
  <c r="BE29" i="6"/>
  <c r="BA29" i="6"/>
  <c r="AW29" i="6"/>
  <c r="BW28" i="6"/>
  <c r="BS28" i="6"/>
  <c r="BO28" i="6"/>
  <c r="BK28" i="6"/>
  <c r="BG28" i="6"/>
  <c r="BC28" i="6"/>
  <c r="AY28" i="6"/>
  <c r="AU28" i="6"/>
  <c r="BU27" i="6"/>
  <c r="BQ27" i="6"/>
  <c r="BM27" i="6"/>
  <c r="BI27" i="6"/>
  <c r="BE27" i="6"/>
  <c r="BA27" i="6"/>
  <c r="AW27" i="6"/>
  <c r="BW26" i="6"/>
  <c r="BS26" i="6"/>
  <c r="BO26" i="6"/>
  <c r="BK26" i="6"/>
  <c r="BG26" i="6"/>
  <c r="BC26" i="6"/>
  <c r="AY26" i="6"/>
  <c r="AU26" i="6"/>
  <c r="BU25" i="6"/>
  <c r="BQ25" i="6"/>
  <c r="BM25" i="6"/>
  <c r="BI25" i="6"/>
  <c r="BE25" i="6"/>
  <c r="BA25" i="6"/>
  <c r="AW25" i="6"/>
  <c r="BW24" i="6"/>
  <c r="BS24" i="6"/>
  <c r="BO24" i="6"/>
  <c r="BK24" i="6"/>
  <c r="BG24" i="6"/>
  <c r="BC24" i="6"/>
  <c r="AY24" i="6"/>
  <c r="AU24" i="6"/>
  <c r="BU23" i="6"/>
  <c r="BQ23" i="6"/>
  <c r="BM23" i="6"/>
  <c r="BI23" i="6"/>
  <c r="BE23" i="6"/>
  <c r="BA23" i="6"/>
  <c r="AW23" i="6"/>
  <c r="BW22" i="6"/>
  <c r="BS22" i="6"/>
  <c r="BO22" i="6"/>
  <c r="BK22" i="6"/>
  <c r="BG22" i="6"/>
  <c r="BC22" i="6"/>
  <c r="AY22" i="6"/>
  <c r="AU22" i="6"/>
  <c r="BU21" i="6"/>
  <c r="BQ21" i="6"/>
  <c r="BM21" i="6"/>
  <c r="BI21" i="6"/>
  <c r="BE21" i="6"/>
  <c r="BA21" i="6"/>
  <c r="AW21" i="6"/>
  <c r="BW20" i="6"/>
  <c r="BS20" i="6"/>
  <c r="BO20" i="6"/>
  <c r="BK20" i="6"/>
  <c r="BG20" i="6"/>
  <c r="BC20" i="6"/>
  <c r="AY20" i="6"/>
  <c r="AU20" i="6"/>
  <c r="BU19" i="6"/>
  <c r="BQ19" i="6"/>
  <c r="BM19" i="6"/>
  <c r="BI19" i="6"/>
  <c r="BE19" i="6"/>
  <c r="BA19" i="6"/>
  <c r="AW19" i="6"/>
  <c r="BW18" i="6"/>
  <c r="BS18" i="6"/>
  <c r="BO18" i="6"/>
  <c r="BK18" i="6"/>
  <c r="BG18" i="6"/>
  <c r="BC18" i="6"/>
  <c r="AY18" i="6"/>
  <c r="AU18" i="6"/>
  <c r="BU17" i="6"/>
  <c r="BQ17" i="6"/>
  <c r="BM17" i="6"/>
  <c r="BI17" i="6"/>
  <c r="BE17" i="6"/>
  <c r="BA17" i="6"/>
  <c r="AW17" i="6"/>
  <c r="BW16" i="6"/>
  <c r="BS16" i="6"/>
  <c r="BO16" i="6"/>
  <c r="BK16" i="6"/>
  <c r="BG16" i="6"/>
  <c r="BC16" i="6"/>
  <c r="AY16" i="6"/>
  <c r="AU16" i="6"/>
  <c r="BU15" i="6"/>
  <c r="BQ15" i="6"/>
  <c r="BM15" i="6"/>
  <c r="BI15" i="6"/>
  <c r="BE15" i="6"/>
  <c r="BA15" i="6"/>
  <c r="AW15" i="6"/>
  <c r="BW14" i="6"/>
  <c r="BS14" i="6"/>
  <c r="BO14" i="6"/>
  <c r="BK14" i="6"/>
  <c r="BG14" i="6"/>
  <c r="BC14" i="6"/>
  <c r="AY14" i="6"/>
  <c r="AU14" i="6"/>
  <c r="BU13" i="6"/>
  <c r="BQ13" i="6"/>
  <c r="BM13" i="6"/>
  <c r="BI13" i="6"/>
  <c r="BE13" i="6"/>
  <c r="BA13" i="6"/>
  <c r="AW13" i="6"/>
  <c r="BW12" i="6"/>
  <c r="BS12" i="6"/>
  <c r="BO12" i="6"/>
  <c r="BK12" i="6"/>
  <c r="BG12" i="6"/>
  <c r="BC12" i="6"/>
  <c r="AY12" i="6"/>
  <c r="AU12" i="6"/>
  <c r="BU11" i="6"/>
  <c r="BQ11" i="6"/>
  <c r="BM11" i="6"/>
  <c r="BI11" i="6"/>
  <c r="BE11" i="6"/>
  <c r="BA11" i="6"/>
  <c r="AW11" i="6"/>
  <c r="BW10" i="6"/>
  <c r="BS10" i="6"/>
  <c r="BO10" i="6"/>
  <c r="BK10" i="6"/>
  <c r="BG10" i="6"/>
  <c r="BC10" i="6"/>
  <c r="AY10" i="6"/>
  <c r="AU10" i="6"/>
  <c r="BU9" i="6"/>
  <c r="BQ9" i="6"/>
  <c r="BM9" i="6"/>
  <c r="BI9" i="6"/>
  <c r="BE9" i="6"/>
  <c r="BA9" i="6"/>
  <c r="BP31" i="6"/>
  <c r="BL31" i="6"/>
  <c r="BH31" i="6"/>
  <c r="BD31" i="6"/>
  <c r="AZ31" i="6"/>
  <c r="AV31" i="6"/>
  <c r="BV30" i="6"/>
  <c r="BR30" i="6"/>
  <c r="BN30" i="6"/>
  <c r="BJ30" i="6"/>
  <c r="BF30" i="6"/>
  <c r="BB30" i="6"/>
  <c r="AX30" i="6"/>
  <c r="AT30" i="6"/>
  <c r="BT29" i="6"/>
  <c r="BP29" i="6"/>
  <c r="BL29" i="6"/>
  <c r="BH29" i="6"/>
  <c r="BD29" i="6"/>
  <c r="AZ29" i="6"/>
  <c r="AV29" i="6"/>
  <c r="BV28" i="6"/>
  <c r="BR28" i="6"/>
  <c r="BN28" i="6"/>
  <c r="BJ28" i="6"/>
  <c r="BF28" i="6"/>
  <c r="BB28" i="6"/>
  <c r="AX28" i="6"/>
  <c r="AT28" i="6"/>
  <c r="BT27" i="6"/>
  <c r="BP27" i="6"/>
  <c r="BL27" i="6"/>
  <c r="BH27" i="6"/>
  <c r="BD27" i="6"/>
  <c r="AZ27" i="6"/>
  <c r="AV27" i="6"/>
  <c r="BV26" i="6"/>
  <c r="BR26" i="6"/>
  <c r="BN26" i="6"/>
  <c r="BJ26" i="6"/>
  <c r="BF26" i="6"/>
  <c r="BB26" i="6"/>
  <c r="AX26" i="6"/>
  <c r="AT26" i="6"/>
  <c r="BT25" i="6"/>
  <c r="BP25" i="6"/>
  <c r="BL25" i="6"/>
  <c r="BH25" i="6"/>
  <c r="BD25" i="6"/>
  <c r="AZ25" i="6"/>
  <c r="AV25" i="6"/>
  <c r="BV24" i="6"/>
  <c r="BR24" i="6"/>
  <c r="BN24" i="6"/>
  <c r="BJ24" i="6"/>
  <c r="BF24" i="6"/>
  <c r="BB24" i="6"/>
  <c r="AX24" i="6"/>
  <c r="AT24" i="6"/>
  <c r="BT23" i="6"/>
  <c r="BP23" i="6"/>
  <c r="BL23" i="6"/>
  <c r="BH23" i="6"/>
  <c r="BD23" i="6"/>
  <c r="AZ23" i="6"/>
  <c r="AV23" i="6"/>
  <c r="BV22" i="6"/>
  <c r="BR22" i="6"/>
  <c r="BN22" i="6"/>
  <c r="BJ22" i="6"/>
  <c r="BF22" i="6"/>
  <c r="BB22" i="6"/>
  <c r="AX22" i="6"/>
  <c r="AT22" i="6"/>
  <c r="BT21" i="6"/>
  <c r="BP21" i="6"/>
  <c r="BL21" i="6"/>
  <c r="BH21" i="6"/>
  <c r="BD21" i="6"/>
  <c r="AZ21" i="6"/>
  <c r="AV21" i="6"/>
  <c r="BV20" i="6"/>
  <c r="BR20" i="6"/>
  <c r="BN20" i="6"/>
  <c r="BJ20" i="6"/>
  <c r="BF20" i="6"/>
  <c r="BB20" i="6"/>
  <c r="AX20" i="6"/>
  <c r="AT20" i="6"/>
  <c r="BT19" i="6"/>
  <c r="BP19" i="6"/>
  <c r="BL19" i="6"/>
  <c r="BH19" i="6"/>
  <c r="BD19" i="6"/>
  <c r="AZ19" i="6"/>
  <c r="AV19" i="6"/>
  <c r="BV18" i="6"/>
  <c r="BR18" i="6"/>
  <c r="BN18" i="6"/>
  <c r="BJ18" i="6"/>
  <c r="BF18" i="6"/>
  <c r="BB18" i="6"/>
  <c r="AX18" i="6"/>
  <c r="AT18" i="6"/>
  <c r="BT17" i="6"/>
  <c r="BP17" i="6"/>
  <c r="BL17" i="6"/>
  <c r="BH17" i="6"/>
  <c r="BD17" i="6"/>
  <c r="AZ17" i="6"/>
  <c r="AV17" i="6"/>
  <c r="BV16" i="6"/>
  <c r="BR16" i="6"/>
  <c r="BN16" i="6"/>
  <c r="BJ16" i="6"/>
  <c r="BF16" i="6"/>
  <c r="BB16" i="6"/>
  <c r="AX16" i="6"/>
  <c r="AT16" i="6"/>
  <c r="BT15" i="6"/>
  <c r="BP15" i="6"/>
  <c r="BL15" i="6"/>
  <c r="BH15" i="6"/>
  <c r="BD15" i="6"/>
  <c r="AZ15" i="6"/>
  <c r="AV15" i="6"/>
  <c r="BV14" i="6"/>
  <c r="BR14" i="6"/>
  <c r="BN14" i="6"/>
  <c r="BJ14" i="6"/>
  <c r="BF14" i="6"/>
  <c r="BB14" i="6"/>
  <c r="AX14" i="6"/>
  <c r="AT14" i="6"/>
  <c r="BT13" i="6"/>
  <c r="BP13" i="6"/>
  <c r="BL13" i="6"/>
  <c r="BH13" i="6"/>
  <c r="BD13" i="6"/>
  <c r="AZ13" i="6"/>
  <c r="AV13" i="6"/>
  <c r="BV12" i="6"/>
  <c r="BR12" i="6"/>
  <c r="BN12" i="6"/>
  <c r="BJ12" i="6"/>
  <c r="BF12" i="6"/>
  <c r="BB12" i="6"/>
  <c r="AX12" i="6"/>
  <c r="AT12" i="6"/>
  <c r="BT11" i="6"/>
  <c r="BP11" i="6"/>
  <c r="BL11" i="6"/>
  <c r="BH11" i="6"/>
  <c r="BD11" i="6"/>
  <c r="AZ11" i="6"/>
  <c r="AV11" i="6"/>
  <c r="BV10" i="6"/>
  <c r="BR10" i="6"/>
  <c r="BN10" i="6"/>
  <c r="BJ10" i="6"/>
  <c r="BF10" i="6"/>
  <c r="BB10" i="6"/>
  <c r="AX10" i="6"/>
  <c r="AT10" i="6"/>
  <c r="BT9" i="6"/>
  <c r="BP9" i="6"/>
  <c r="BL9" i="6"/>
  <c r="BH9" i="6"/>
  <c r="BD9" i="6"/>
  <c r="AZ9" i="6"/>
  <c r="AX9" i="6"/>
  <c r="AT9" i="6"/>
  <c r="BT8" i="6"/>
  <c r="BP8" i="6"/>
  <c r="BL8" i="6"/>
  <c r="BH8" i="6"/>
  <c r="BD8" i="6"/>
  <c r="AZ8" i="6"/>
  <c r="AV8" i="6"/>
  <c r="AR42" i="6"/>
  <c r="AN42" i="6"/>
  <c r="AJ42" i="6"/>
  <c r="AP41" i="6"/>
  <c r="AL41" i="6"/>
  <c r="AR40" i="6"/>
  <c r="AN40" i="6"/>
  <c r="AJ40" i="6"/>
  <c r="AP39" i="6"/>
  <c r="AL39" i="6"/>
  <c r="AR38" i="6"/>
  <c r="AN38" i="6"/>
  <c r="AJ38" i="6"/>
  <c r="AP37" i="6"/>
  <c r="AL37" i="6"/>
  <c r="AR36" i="6"/>
  <c r="AN36" i="6"/>
  <c r="AJ36" i="6"/>
  <c r="AP35" i="6"/>
  <c r="AL35" i="6"/>
  <c r="AR34" i="6"/>
  <c r="AN34" i="6"/>
  <c r="AJ34" i="6"/>
  <c r="AP33" i="6"/>
  <c r="AL33" i="6"/>
  <c r="AR32" i="6"/>
  <c r="AN32" i="6"/>
  <c r="AJ32" i="6"/>
  <c r="AP31" i="6"/>
  <c r="AL31" i="6"/>
  <c r="AR30" i="6"/>
  <c r="AN30" i="6"/>
  <c r="AJ30" i="6"/>
  <c r="AP29" i="6"/>
  <c r="AL29" i="6"/>
  <c r="AR28" i="6"/>
  <c r="AN28" i="6"/>
  <c r="AJ28" i="6"/>
  <c r="AP27" i="6"/>
  <c r="AL27" i="6"/>
  <c r="AR26" i="6"/>
  <c r="AN26" i="6"/>
  <c r="AJ26" i="6"/>
  <c r="AP25" i="6"/>
  <c r="AL25" i="6"/>
  <c r="AR24" i="6"/>
  <c r="AN24" i="6"/>
  <c r="AJ24" i="6"/>
  <c r="AP23" i="6"/>
  <c r="AL23" i="6"/>
  <c r="AR22" i="6"/>
  <c r="AN22" i="6"/>
  <c r="AJ22" i="6"/>
  <c r="AP21" i="6"/>
  <c r="AL21" i="6"/>
  <c r="AR20" i="6"/>
  <c r="AN20" i="6"/>
  <c r="AJ20" i="6"/>
  <c r="AP19" i="6"/>
  <c r="AL19" i="6"/>
  <c r="AR18" i="6"/>
  <c r="AN18" i="6"/>
  <c r="AJ18" i="6"/>
  <c r="AP17" i="6"/>
  <c r="AL17" i="6"/>
  <c r="AR16" i="6"/>
  <c r="AN16" i="6"/>
  <c r="AJ16" i="6"/>
  <c r="AP15" i="6"/>
  <c r="AL15" i="6"/>
  <c r="AR14" i="6"/>
  <c r="AN14" i="6"/>
  <c r="AJ14" i="6"/>
  <c r="AP13" i="6"/>
  <c r="AL13" i="6"/>
  <c r="AR12" i="6"/>
  <c r="AN12" i="6"/>
  <c r="AJ12" i="6"/>
  <c r="AP11" i="6"/>
  <c r="AL11" i="6"/>
  <c r="AR10" i="6"/>
  <c r="AN10" i="6"/>
  <c r="AJ10" i="6"/>
  <c r="AP9" i="6"/>
  <c r="AL9" i="6"/>
  <c r="AR8" i="6"/>
  <c r="AN8" i="6"/>
  <c r="AJ8" i="6"/>
  <c r="AF42" i="6"/>
  <c r="AB42" i="6"/>
  <c r="X42" i="6"/>
  <c r="T42" i="6"/>
  <c r="P42" i="6"/>
  <c r="AF41" i="6"/>
  <c r="AB41" i="6"/>
  <c r="X41" i="6"/>
  <c r="T41" i="6"/>
  <c r="P41" i="6"/>
  <c r="AF40" i="6"/>
  <c r="AB40" i="6"/>
  <c r="X40" i="6"/>
  <c r="T40" i="6"/>
  <c r="P40" i="6"/>
  <c r="AF39" i="6"/>
  <c r="AB39" i="6"/>
  <c r="X39" i="6"/>
  <c r="T39" i="6"/>
  <c r="P39" i="6"/>
  <c r="AF38" i="6"/>
  <c r="AB38" i="6"/>
  <c r="X38" i="6"/>
  <c r="T38" i="6"/>
  <c r="P38" i="6"/>
  <c r="AF37" i="6"/>
  <c r="AB37" i="6"/>
  <c r="X37" i="6"/>
  <c r="T37" i="6"/>
  <c r="P37" i="6"/>
  <c r="AF36" i="6"/>
  <c r="AB36" i="6"/>
  <c r="X36" i="6"/>
  <c r="T36" i="6"/>
  <c r="P36" i="6"/>
  <c r="AF35" i="6"/>
  <c r="AB35" i="6"/>
  <c r="X35" i="6"/>
  <c r="T35" i="6"/>
  <c r="P35" i="6"/>
  <c r="AF34" i="6"/>
  <c r="AB34" i="6"/>
  <c r="X34" i="6"/>
  <c r="T34" i="6"/>
  <c r="P34" i="6"/>
  <c r="AW9" i="6"/>
  <c r="BW8" i="6"/>
  <c r="BS8" i="6"/>
  <c r="BO8" i="6"/>
  <c r="BK8" i="6"/>
  <c r="BG8" i="6"/>
  <c r="BC8" i="6"/>
  <c r="AY8" i="6"/>
  <c r="AU8" i="6"/>
  <c r="AQ42" i="6"/>
  <c r="AM42" i="6"/>
  <c r="AS41" i="6"/>
  <c r="AO41" i="6"/>
  <c r="AK41" i="6"/>
  <c r="AQ40" i="6"/>
  <c r="AM40" i="6"/>
  <c r="AS39" i="6"/>
  <c r="AO39" i="6"/>
  <c r="AK39" i="6"/>
  <c r="AQ38" i="6"/>
  <c r="AM38" i="6"/>
  <c r="AS37" i="6"/>
  <c r="AO37" i="6"/>
  <c r="AK37" i="6"/>
  <c r="AQ36" i="6"/>
  <c r="AM36" i="6"/>
  <c r="AS35" i="6"/>
  <c r="AO35" i="6"/>
  <c r="AK35" i="6"/>
  <c r="AQ34" i="6"/>
  <c r="AM34" i="6"/>
  <c r="AS33" i="6"/>
  <c r="AO33" i="6"/>
  <c r="AK33" i="6"/>
  <c r="AQ32" i="6"/>
  <c r="AM32" i="6"/>
  <c r="AS31" i="6"/>
  <c r="AO31" i="6"/>
  <c r="AK31" i="6"/>
  <c r="AQ30" i="6"/>
  <c r="AM30" i="6"/>
  <c r="AS29" i="6"/>
  <c r="AO29" i="6"/>
  <c r="AK29" i="6"/>
  <c r="AQ28" i="6"/>
  <c r="AM28" i="6"/>
  <c r="AS27" i="6"/>
  <c r="AO27" i="6"/>
  <c r="AK27" i="6"/>
  <c r="AQ26" i="6"/>
  <c r="AM26" i="6"/>
  <c r="AS25" i="6"/>
  <c r="AO25" i="6"/>
  <c r="AK25" i="6"/>
  <c r="AQ24" i="6"/>
  <c r="AM24" i="6"/>
  <c r="AS23" i="6"/>
  <c r="AO23" i="6"/>
  <c r="AK23" i="6"/>
  <c r="AQ22" i="6"/>
  <c r="AM22" i="6"/>
  <c r="AS21" i="6"/>
  <c r="AO21" i="6"/>
  <c r="AK21" i="6"/>
  <c r="AQ20" i="6"/>
  <c r="AM20" i="6"/>
  <c r="AS19" i="6"/>
  <c r="AO19" i="6"/>
  <c r="AK19" i="6"/>
  <c r="AQ18" i="6"/>
  <c r="AM18" i="6"/>
  <c r="AS17" i="6"/>
  <c r="AO17" i="6"/>
  <c r="AK17" i="6"/>
  <c r="AQ16" i="6"/>
  <c r="AM16" i="6"/>
  <c r="AS15" i="6"/>
  <c r="AO15" i="6"/>
  <c r="AK15" i="6"/>
  <c r="AQ14" i="6"/>
  <c r="AM14" i="6"/>
  <c r="AS13" i="6"/>
  <c r="AO13" i="6"/>
  <c r="AK13" i="6"/>
  <c r="AQ12" i="6"/>
  <c r="AM12" i="6"/>
  <c r="AS11" i="6"/>
  <c r="AO11" i="6"/>
  <c r="AK11" i="6"/>
  <c r="AQ10" i="6"/>
  <c r="AM10" i="6"/>
  <c r="AS9" i="6"/>
  <c r="AO9" i="6"/>
  <c r="AK9" i="6"/>
  <c r="AQ8" i="6"/>
  <c r="AM8" i="6"/>
  <c r="AI42" i="6"/>
  <c r="AE42" i="6"/>
  <c r="AA42" i="6"/>
  <c r="W42" i="6"/>
  <c r="S42" i="6"/>
  <c r="AI41" i="6"/>
  <c r="AE41" i="6"/>
  <c r="AA41" i="6"/>
  <c r="W41" i="6"/>
  <c r="S41" i="6"/>
  <c r="AI40" i="6"/>
  <c r="AE40" i="6"/>
  <c r="AA40" i="6"/>
  <c r="W40" i="6"/>
  <c r="S40" i="6"/>
  <c r="AI39" i="6"/>
  <c r="AE39" i="6"/>
  <c r="AA39" i="6"/>
  <c r="W39" i="6"/>
  <c r="S39" i="6"/>
  <c r="AI38" i="6"/>
  <c r="AE38" i="6"/>
  <c r="AA38" i="6"/>
  <c r="W38" i="6"/>
  <c r="S38" i="6"/>
  <c r="AI37" i="6"/>
  <c r="AE37" i="6"/>
  <c r="AA37" i="6"/>
  <c r="W37" i="6"/>
  <c r="S37" i="6"/>
  <c r="AI36" i="6"/>
  <c r="AE36" i="6"/>
  <c r="AA36" i="6"/>
  <c r="W36" i="6"/>
  <c r="S36" i="6"/>
  <c r="AI35" i="6"/>
  <c r="AE35" i="6"/>
  <c r="AA35" i="6"/>
  <c r="W35" i="6"/>
  <c r="S35" i="6"/>
  <c r="AI34" i="6"/>
  <c r="AE34" i="6"/>
  <c r="AA34" i="6"/>
  <c r="W34" i="6"/>
  <c r="S34" i="6"/>
  <c r="AV9" i="6"/>
  <c r="BV8" i="6"/>
  <c r="BR8" i="6"/>
  <c r="BN8" i="6"/>
  <c r="BJ8" i="6"/>
  <c r="BF8" i="6"/>
  <c r="BB8" i="6"/>
  <c r="AX8" i="6"/>
  <c r="AT8" i="6"/>
  <c r="AP42" i="6"/>
  <c r="AL42" i="6"/>
  <c r="AR41" i="6"/>
  <c r="AN41" i="6"/>
  <c r="AJ41" i="6"/>
  <c r="AP40" i="6"/>
  <c r="AL40" i="6"/>
  <c r="AR39" i="6"/>
  <c r="AN39" i="6"/>
  <c r="AJ39" i="6"/>
  <c r="AP38" i="6"/>
  <c r="AL38" i="6"/>
  <c r="AR37" i="6"/>
  <c r="AN37" i="6"/>
  <c r="AJ37" i="6"/>
  <c r="AP36" i="6"/>
  <c r="AL36" i="6"/>
  <c r="AR35" i="6"/>
  <c r="AN35" i="6"/>
  <c r="AJ35" i="6"/>
  <c r="AP34" i="6"/>
  <c r="AL34" i="6"/>
  <c r="AR33" i="6"/>
  <c r="AN33" i="6"/>
  <c r="AJ33" i="6"/>
  <c r="AP32" i="6"/>
  <c r="AL32" i="6"/>
  <c r="AR31" i="6"/>
  <c r="AN31" i="6"/>
  <c r="AJ31" i="6"/>
  <c r="AP30" i="6"/>
  <c r="AL30" i="6"/>
  <c r="AR29" i="6"/>
  <c r="AN29" i="6"/>
  <c r="AJ29" i="6"/>
  <c r="AP28" i="6"/>
  <c r="AL28" i="6"/>
  <c r="AR27" i="6"/>
  <c r="AN27" i="6"/>
  <c r="AJ27" i="6"/>
  <c r="AP26" i="6"/>
  <c r="AL26" i="6"/>
  <c r="AR25" i="6"/>
  <c r="AN25" i="6"/>
  <c r="AJ25" i="6"/>
  <c r="AP24" i="6"/>
  <c r="AL24" i="6"/>
  <c r="AR23" i="6"/>
  <c r="AN23" i="6"/>
  <c r="AJ23" i="6"/>
  <c r="AP22" i="6"/>
  <c r="AL22" i="6"/>
  <c r="AR21" i="6"/>
  <c r="AN21" i="6"/>
  <c r="AJ21" i="6"/>
  <c r="AP20" i="6"/>
  <c r="AL20" i="6"/>
  <c r="AR19" i="6"/>
  <c r="AN19" i="6"/>
  <c r="AJ19" i="6"/>
  <c r="AP18" i="6"/>
  <c r="AL18" i="6"/>
  <c r="AR17" i="6"/>
  <c r="AN17" i="6"/>
  <c r="AJ17" i="6"/>
  <c r="AP16" i="6"/>
  <c r="AL16" i="6"/>
  <c r="AR15" i="6"/>
  <c r="AN15" i="6"/>
  <c r="AJ15" i="6"/>
  <c r="AP14" i="6"/>
  <c r="AL14" i="6"/>
  <c r="AR13" i="6"/>
  <c r="AN13" i="6"/>
  <c r="AJ13" i="6"/>
  <c r="AP12" i="6"/>
  <c r="AL12" i="6"/>
  <c r="AR11" i="6"/>
  <c r="AN11" i="6"/>
  <c r="AJ11" i="6"/>
  <c r="AP10" i="6"/>
  <c r="AL10" i="6"/>
  <c r="AR9" i="6"/>
  <c r="AN9" i="6"/>
  <c r="AJ9" i="6"/>
  <c r="AP8" i="6"/>
  <c r="AH42" i="6"/>
  <c r="AD42" i="6"/>
  <c r="Z42" i="6"/>
  <c r="V42" i="6"/>
  <c r="R42" i="6"/>
  <c r="AH41" i="6"/>
  <c r="AD41" i="6"/>
  <c r="Z41" i="6"/>
  <c r="V41" i="6"/>
  <c r="R41" i="6"/>
  <c r="AH40" i="6"/>
  <c r="AD40" i="6"/>
  <c r="Z40" i="6"/>
  <c r="V40" i="6"/>
  <c r="R40" i="6"/>
  <c r="AH39" i="6"/>
  <c r="AD39" i="6"/>
  <c r="Z39" i="6"/>
  <c r="V39" i="6"/>
  <c r="R39" i="6"/>
  <c r="AH38" i="6"/>
  <c r="AD38" i="6"/>
  <c r="Z38" i="6"/>
  <c r="V38" i="6"/>
  <c r="R38" i="6"/>
  <c r="AH37" i="6"/>
  <c r="AD37" i="6"/>
  <c r="Z37" i="6"/>
  <c r="V37" i="6"/>
  <c r="R37" i="6"/>
  <c r="AH36" i="6"/>
  <c r="AD36" i="6"/>
  <c r="Z36" i="6"/>
  <c r="V36" i="6"/>
  <c r="R36" i="6"/>
  <c r="AH35" i="6"/>
  <c r="AD35" i="6"/>
  <c r="Z35" i="6"/>
  <c r="V35" i="6"/>
  <c r="R35" i="6"/>
  <c r="AH34" i="6"/>
  <c r="AD34" i="6"/>
  <c r="Z34" i="6"/>
  <c r="V34" i="6"/>
  <c r="AU9" i="6"/>
  <c r="BU8" i="6"/>
  <c r="BQ8" i="6"/>
  <c r="BM8" i="6"/>
  <c r="BI8" i="6"/>
  <c r="BE8" i="6"/>
  <c r="BA8" i="6"/>
  <c r="AW8" i="6"/>
  <c r="AS42" i="6"/>
  <c r="AO42" i="6"/>
  <c r="AK42" i="6"/>
  <c r="AQ41" i="6"/>
  <c r="AM41" i="6"/>
  <c r="AS40" i="6"/>
  <c r="AO40" i="6"/>
  <c r="AK40" i="6"/>
  <c r="AQ39" i="6"/>
  <c r="AM39" i="6"/>
  <c r="AS38" i="6"/>
  <c r="AO38" i="6"/>
  <c r="AK38" i="6"/>
  <c r="AQ37" i="6"/>
  <c r="AM37" i="6"/>
  <c r="AS36" i="6"/>
  <c r="AO36" i="6"/>
  <c r="AK36" i="6"/>
  <c r="AQ35" i="6"/>
  <c r="AM35" i="6"/>
  <c r="AS34" i="6"/>
  <c r="AO34" i="6"/>
  <c r="AK34" i="6"/>
  <c r="AQ33" i="6"/>
  <c r="AM33" i="6"/>
  <c r="AS32" i="6"/>
  <c r="AO32" i="6"/>
  <c r="AK32" i="6"/>
  <c r="AQ31" i="6"/>
  <c r="AM31" i="6"/>
  <c r="AS30" i="6"/>
  <c r="AO30" i="6"/>
  <c r="AK30" i="6"/>
  <c r="AQ29" i="6"/>
  <c r="AM29" i="6"/>
  <c r="AS28" i="6"/>
  <c r="AO28" i="6"/>
  <c r="AK28" i="6"/>
  <c r="AQ27" i="6"/>
  <c r="AM27" i="6"/>
  <c r="AS26" i="6"/>
  <c r="AO26" i="6"/>
  <c r="AK26" i="6"/>
  <c r="AQ25" i="6"/>
  <c r="AM25" i="6"/>
  <c r="AS24" i="6"/>
  <c r="AO24" i="6"/>
  <c r="AK24" i="6"/>
  <c r="AQ23" i="6"/>
  <c r="AM23" i="6"/>
  <c r="AS22" i="6"/>
  <c r="AO22" i="6"/>
  <c r="AK22" i="6"/>
  <c r="AQ21" i="6"/>
  <c r="AM21" i="6"/>
  <c r="AS20" i="6"/>
  <c r="AO20" i="6"/>
  <c r="AK20" i="6"/>
  <c r="AQ19" i="6"/>
  <c r="AM19" i="6"/>
  <c r="AS18" i="6"/>
  <c r="AO18" i="6"/>
  <c r="AK18" i="6"/>
  <c r="AQ17" i="6"/>
  <c r="AM17" i="6"/>
  <c r="AS16" i="6"/>
  <c r="AO16" i="6"/>
  <c r="AK16" i="6"/>
  <c r="AQ15" i="6"/>
  <c r="AM15" i="6"/>
  <c r="AS14" i="6"/>
  <c r="AO14" i="6"/>
  <c r="AK14" i="6"/>
  <c r="AQ13" i="6"/>
  <c r="AM13" i="6"/>
  <c r="AS12" i="6"/>
  <c r="AO12" i="6"/>
  <c r="AK12" i="6"/>
  <c r="AQ11" i="6"/>
  <c r="AM11" i="6"/>
  <c r="AS10" i="6"/>
  <c r="AO10" i="6"/>
  <c r="AK10" i="6"/>
  <c r="AQ9" i="6"/>
  <c r="AM9" i="6"/>
  <c r="AS8" i="6"/>
  <c r="AO8" i="6"/>
  <c r="AK8" i="6"/>
  <c r="AG42" i="6"/>
  <c r="AC42" i="6"/>
  <c r="Y42" i="6"/>
  <c r="U42" i="6"/>
  <c r="Q42" i="6"/>
  <c r="AG41" i="6"/>
  <c r="AC41" i="6"/>
  <c r="Y41" i="6"/>
  <c r="U41" i="6"/>
  <c r="Q41" i="6"/>
  <c r="AG40" i="6"/>
  <c r="AC40" i="6"/>
  <c r="Y40" i="6"/>
  <c r="U40" i="6"/>
  <c r="Q40" i="6"/>
  <c r="AG39" i="6"/>
  <c r="AC39" i="6"/>
  <c r="Y39" i="6"/>
  <c r="U39" i="6"/>
  <c r="Q39" i="6"/>
  <c r="AG38" i="6"/>
  <c r="AC38" i="6"/>
  <c r="Y38" i="6"/>
  <c r="U38" i="6"/>
  <c r="Q38" i="6"/>
  <c r="AG37" i="6"/>
  <c r="AC37" i="6"/>
  <c r="Y37" i="6"/>
  <c r="U37" i="6"/>
  <c r="Q37" i="6"/>
  <c r="AG36" i="6"/>
  <c r="AC36" i="6"/>
  <c r="Y36" i="6"/>
  <c r="U36" i="6"/>
  <c r="Q36" i="6"/>
  <c r="AG35" i="6"/>
  <c r="AC35" i="6"/>
  <c r="Y35" i="6"/>
  <c r="U35" i="6"/>
  <c r="Q35" i="6"/>
  <c r="AG34" i="6"/>
  <c r="AC34" i="6"/>
  <c r="Y34" i="6"/>
  <c r="U34" i="6"/>
  <c r="R34" i="6"/>
  <c r="AG33" i="6"/>
  <c r="AC33" i="6"/>
  <c r="Y33" i="6"/>
  <c r="U33" i="6"/>
  <c r="Q33" i="6"/>
  <c r="AG32" i="6"/>
  <c r="AC32" i="6"/>
  <c r="Y32" i="6"/>
  <c r="U32" i="6"/>
  <c r="Q32" i="6"/>
  <c r="AG31" i="6"/>
  <c r="AC31" i="6"/>
  <c r="Y31" i="6"/>
  <c r="U31" i="6"/>
  <c r="Q31" i="6"/>
  <c r="AG30" i="6"/>
  <c r="AC30" i="6"/>
  <c r="Y30" i="6"/>
  <c r="U30" i="6"/>
  <c r="Q30" i="6"/>
  <c r="AG29" i="6"/>
  <c r="AC29" i="6"/>
  <c r="Y29" i="6"/>
  <c r="U29" i="6"/>
  <c r="Q29" i="6"/>
  <c r="AG28" i="6"/>
  <c r="AC28" i="6"/>
  <c r="Y28" i="6"/>
  <c r="U28" i="6"/>
  <c r="Q28" i="6"/>
  <c r="AG27" i="6"/>
  <c r="AC27" i="6"/>
  <c r="Y27" i="6"/>
  <c r="U27" i="6"/>
  <c r="Q27" i="6"/>
  <c r="AG26" i="6"/>
  <c r="AC26" i="6"/>
  <c r="Y26" i="6"/>
  <c r="U26" i="6"/>
  <c r="Q26" i="6"/>
  <c r="AG25" i="6"/>
  <c r="AC25" i="6"/>
  <c r="Y25" i="6"/>
  <c r="U25" i="6"/>
  <c r="Q25" i="6"/>
  <c r="AG24" i="6"/>
  <c r="AC24" i="6"/>
  <c r="Y24" i="6"/>
  <c r="U24" i="6"/>
  <c r="Q24" i="6"/>
  <c r="AG23" i="6"/>
  <c r="AC23" i="6"/>
  <c r="Y23" i="6"/>
  <c r="U23" i="6"/>
  <c r="Q23" i="6"/>
  <c r="AG22" i="6"/>
  <c r="AC22" i="6"/>
  <c r="Y22" i="6"/>
  <c r="U22" i="6"/>
  <c r="Q22" i="6"/>
  <c r="AG21" i="6"/>
  <c r="AC21" i="6"/>
  <c r="Y21" i="6"/>
  <c r="U21" i="6"/>
  <c r="Q21" i="6"/>
  <c r="AG20" i="6"/>
  <c r="AC20" i="6"/>
  <c r="Y20" i="6"/>
  <c r="U20" i="6"/>
  <c r="Q20" i="6"/>
  <c r="AG19" i="6"/>
  <c r="AC19" i="6"/>
  <c r="Y19" i="6"/>
  <c r="U19" i="6"/>
  <c r="Q19" i="6"/>
  <c r="AG18" i="6"/>
  <c r="AC18" i="6"/>
  <c r="Y18" i="6"/>
  <c r="U18" i="6"/>
  <c r="Q18" i="6"/>
  <c r="AG17" i="6"/>
  <c r="AC17" i="6"/>
  <c r="Y17" i="6"/>
  <c r="U17" i="6"/>
  <c r="Q17" i="6"/>
  <c r="AG16" i="6"/>
  <c r="AC16" i="6"/>
  <c r="Y16" i="6"/>
  <c r="U16" i="6"/>
  <c r="Q16" i="6"/>
  <c r="AG15" i="6"/>
  <c r="AC15" i="6"/>
  <c r="Y15" i="6"/>
  <c r="U15" i="6"/>
  <c r="Q15" i="6"/>
  <c r="AG14" i="6"/>
  <c r="AC14" i="6"/>
  <c r="Y14" i="6"/>
  <c r="U14" i="6"/>
  <c r="Q14" i="6"/>
  <c r="AG13" i="6"/>
  <c r="AC13" i="6"/>
  <c r="Y13" i="6"/>
  <c r="U13" i="6"/>
  <c r="Q13" i="6"/>
  <c r="AG12" i="6"/>
  <c r="AC12" i="6"/>
  <c r="Y12" i="6"/>
  <c r="U12" i="6"/>
  <c r="Q12" i="6"/>
  <c r="AG11" i="6"/>
  <c r="AC11" i="6"/>
  <c r="Y11" i="6"/>
  <c r="U11" i="6"/>
  <c r="Q11" i="6"/>
  <c r="AG10" i="6"/>
  <c r="AC10" i="6"/>
  <c r="Y10" i="6"/>
  <c r="U10" i="6"/>
  <c r="Q10" i="6"/>
  <c r="AG9" i="6"/>
  <c r="AC9" i="6"/>
  <c r="Y9" i="6"/>
  <c r="U9" i="6"/>
  <c r="Q9" i="6"/>
  <c r="AG8" i="6"/>
  <c r="AC8" i="6"/>
  <c r="Y8" i="6"/>
  <c r="U8" i="6"/>
  <c r="Q8" i="6"/>
  <c r="M42" i="6"/>
  <c r="I42" i="6"/>
  <c r="O41" i="6"/>
  <c r="K41" i="6"/>
  <c r="M40" i="6"/>
  <c r="I40" i="6"/>
  <c r="O39" i="6"/>
  <c r="K39" i="6"/>
  <c r="M38" i="6"/>
  <c r="I38" i="6"/>
  <c r="O37" i="6"/>
  <c r="K37" i="6"/>
  <c r="M36" i="6"/>
  <c r="I36" i="6"/>
  <c r="O35" i="6"/>
  <c r="K35" i="6"/>
  <c r="M34" i="6"/>
  <c r="I34" i="6"/>
  <c r="O33" i="6"/>
  <c r="K33" i="6"/>
  <c r="M32" i="6"/>
  <c r="I32" i="6"/>
  <c r="O31" i="6"/>
  <c r="K31" i="6"/>
  <c r="M30" i="6"/>
  <c r="I30" i="6"/>
  <c r="O29" i="6"/>
  <c r="K29" i="6"/>
  <c r="M28" i="6"/>
  <c r="I28" i="6"/>
  <c r="O27" i="6"/>
  <c r="K27" i="6"/>
  <c r="M26" i="6"/>
  <c r="I26" i="6"/>
  <c r="O25" i="6"/>
  <c r="K25" i="6"/>
  <c r="M24" i="6"/>
  <c r="I24" i="6"/>
  <c r="O23" i="6"/>
  <c r="K23" i="6"/>
  <c r="M22" i="6"/>
  <c r="I22" i="6"/>
  <c r="O21" i="6"/>
  <c r="K21" i="6"/>
  <c r="M20" i="6"/>
  <c r="I20" i="6"/>
  <c r="O19" i="6"/>
  <c r="K19" i="6"/>
  <c r="M18" i="6"/>
  <c r="I18" i="6"/>
  <c r="O17" i="6"/>
  <c r="K17" i="6"/>
  <c r="M16" i="6"/>
  <c r="I16" i="6"/>
  <c r="O15" i="6"/>
  <c r="K15" i="6"/>
  <c r="M14" i="6"/>
  <c r="I14" i="6"/>
  <c r="O13" i="6"/>
  <c r="K13" i="6"/>
  <c r="M12" i="6"/>
  <c r="I12" i="6"/>
  <c r="O11" i="6"/>
  <c r="K11" i="6"/>
  <c r="M10" i="6"/>
  <c r="I10" i="6"/>
  <c r="O9" i="6"/>
  <c r="K9" i="6"/>
  <c r="M8" i="6"/>
  <c r="I8" i="6"/>
  <c r="V11" i="6"/>
  <c r="R10" i="6"/>
  <c r="V9" i="6"/>
  <c r="Z8" i="6"/>
  <c r="F42" i="6"/>
  <c r="J40" i="6"/>
  <c r="N38" i="6"/>
  <c r="L37" i="6"/>
  <c r="F36" i="6"/>
  <c r="J34" i="6"/>
  <c r="N32" i="6"/>
  <c r="N30" i="6"/>
  <c r="L29" i="6"/>
  <c r="F28" i="6"/>
  <c r="F26" i="6"/>
  <c r="J24" i="6"/>
  <c r="N22" i="6"/>
  <c r="H21" i="6"/>
  <c r="L19" i="6"/>
  <c r="F18" i="6"/>
  <c r="J16" i="6"/>
  <c r="N14" i="6"/>
  <c r="H13" i="6"/>
  <c r="L11" i="6"/>
  <c r="F10" i="6"/>
  <c r="J8" i="6"/>
  <c r="Q34" i="6"/>
  <c r="AF33" i="6"/>
  <c r="AB33" i="6"/>
  <c r="X33" i="6"/>
  <c r="T33" i="6"/>
  <c r="P33" i="6"/>
  <c r="AF32" i="6"/>
  <c r="AB32" i="6"/>
  <c r="X32" i="6"/>
  <c r="T32" i="6"/>
  <c r="P32" i="6"/>
  <c r="AF31" i="6"/>
  <c r="AB31" i="6"/>
  <c r="X31" i="6"/>
  <c r="T31" i="6"/>
  <c r="P31" i="6"/>
  <c r="AF30" i="6"/>
  <c r="AB30" i="6"/>
  <c r="X30" i="6"/>
  <c r="T30" i="6"/>
  <c r="P30" i="6"/>
  <c r="AF29" i="6"/>
  <c r="AB29" i="6"/>
  <c r="X29" i="6"/>
  <c r="T29" i="6"/>
  <c r="P29" i="6"/>
  <c r="AF28" i="6"/>
  <c r="AB28" i="6"/>
  <c r="X28" i="6"/>
  <c r="T28" i="6"/>
  <c r="P28" i="6"/>
  <c r="AF27" i="6"/>
  <c r="AB27" i="6"/>
  <c r="X27" i="6"/>
  <c r="T27" i="6"/>
  <c r="P27" i="6"/>
  <c r="AF26" i="6"/>
  <c r="AB26" i="6"/>
  <c r="X26" i="6"/>
  <c r="T26" i="6"/>
  <c r="P26" i="6"/>
  <c r="AF25" i="6"/>
  <c r="AB25" i="6"/>
  <c r="X25" i="6"/>
  <c r="T25" i="6"/>
  <c r="P25" i="6"/>
  <c r="AF24" i="6"/>
  <c r="AB24" i="6"/>
  <c r="X24" i="6"/>
  <c r="T24" i="6"/>
  <c r="P24" i="6"/>
  <c r="AF23" i="6"/>
  <c r="AB23" i="6"/>
  <c r="X23" i="6"/>
  <c r="T23" i="6"/>
  <c r="P23" i="6"/>
  <c r="AF22" i="6"/>
  <c r="AB22" i="6"/>
  <c r="X22" i="6"/>
  <c r="T22" i="6"/>
  <c r="P22" i="6"/>
  <c r="AF21" i="6"/>
  <c r="AB21" i="6"/>
  <c r="X21" i="6"/>
  <c r="T21" i="6"/>
  <c r="P21" i="6"/>
  <c r="AF20" i="6"/>
  <c r="AB20" i="6"/>
  <c r="X20" i="6"/>
  <c r="T20" i="6"/>
  <c r="P20" i="6"/>
  <c r="AF19" i="6"/>
  <c r="AB19" i="6"/>
  <c r="X19" i="6"/>
  <c r="T19" i="6"/>
  <c r="P19" i="6"/>
  <c r="AF18" i="6"/>
  <c r="AB18" i="6"/>
  <c r="X18" i="6"/>
  <c r="T18" i="6"/>
  <c r="P18" i="6"/>
  <c r="AF17" i="6"/>
  <c r="AB17" i="6"/>
  <c r="X17" i="6"/>
  <c r="T17" i="6"/>
  <c r="P17" i="6"/>
  <c r="AF16" i="6"/>
  <c r="AB16" i="6"/>
  <c r="X16" i="6"/>
  <c r="T16" i="6"/>
  <c r="P16" i="6"/>
  <c r="AF15" i="6"/>
  <c r="AB15" i="6"/>
  <c r="X15" i="6"/>
  <c r="T15" i="6"/>
  <c r="P15" i="6"/>
  <c r="AF14" i="6"/>
  <c r="AB14" i="6"/>
  <c r="X14" i="6"/>
  <c r="T14" i="6"/>
  <c r="P14" i="6"/>
  <c r="AF13" i="6"/>
  <c r="AB13" i="6"/>
  <c r="X13" i="6"/>
  <c r="T13" i="6"/>
  <c r="P13" i="6"/>
  <c r="AF12" i="6"/>
  <c r="AB12" i="6"/>
  <c r="X12" i="6"/>
  <c r="T12" i="6"/>
  <c r="P12" i="6"/>
  <c r="AF11" i="6"/>
  <c r="AB11" i="6"/>
  <c r="X11" i="6"/>
  <c r="T11" i="6"/>
  <c r="P11" i="6"/>
  <c r="AF10" i="6"/>
  <c r="AB10" i="6"/>
  <c r="X10" i="6"/>
  <c r="T10" i="6"/>
  <c r="P10" i="6"/>
  <c r="AF9" i="6"/>
  <c r="AB9" i="6"/>
  <c r="X9" i="6"/>
  <c r="T9" i="6"/>
  <c r="P9" i="6"/>
  <c r="AF8" i="6"/>
  <c r="AB8" i="6"/>
  <c r="X8" i="6"/>
  <c r="T8" i="6"/>
  <c r="P8" i="6"/>
  <c r="L42" i="6"/>
  <c r="H42" i="6"/>
  <c r="N41" i="6"/>
  <c r="J41" i="6"/>
  <c r="F41" i="6"/>
  <c r="L40" i="6"/>
  <c r="H40" i="6"/>
  <c r="N39" i="6"/>
  <c r="J39" i="6"/>
  <c r="F39" i="6"/>
  <c r="L38" i="6"/>
  <c r="H38" i="6"/>
  <c r="N37" i="6"/>
  <c r="J37" i="6"/>
  <c r="F37" i="6"/>
  <c r="L36" i="6"/>
  <c r="H36" i="6"/>
  <c r="N35" i="6"/>
  <c r="J35" i="6"/>
  <c r="F35" i="6"/>
  <c r="L34" i="6"/>
  <c r="H34" i="6"/>
  <c r="N33" i="6"/>
  <c r="J33" i="6"/>
  <c r="F33" i="6"/>
  <c r="L32" i="6"/>
  <c r="H32" i="6"/>
  <c r="N31" i="6"/>
  <c r="J31" i="6"/>
  <c r="F31" i="6"/>
  <c r="L30" i="6"/>
  <c r="H30" i="6"/>
  <c r="N29" i="6"/>
  <c r="J29" i="6"/>
  <c r="F29" i="6"/>
  <c r="L28" i="6"/>
  <c r="H28" i="6"/>
  <c r="N27" i="6"/>
  <c r="J27" i="6"/>
  <c r="F27" i="6"/>
  <c r="L26" i="6"/>
  <c r="H26" i="6"/>
  <c r="N25" i="6"/>
  <c r="J25" i="6"/>
  <c r="F25" i="6"/>
  <c r="L24" i="6"/>
  <c r="H24" i="6"/>
  <c r="N23" i="6"/>
  <c r="J23" i="6"/>
  <c r="F23" i="6"/>
  <c r="L22" i="6"/>
  <c r="H22" i="6"/>
  <c r="N21" i="6"/>
  <c r="J21" i="6"/>
  <c r="F21" i="6"/>
  <c r="L20" i="6"/>
  <c r="H20" i="6"/>
  <c r="N19" i="6"/>
  <c r="J19" i="6"/>
  <c r="F19" i="6"/>
  <c r="L18" i="6"/>
  <c r="H18" i="6"/>
  <c r="N17" i="6"/>
  <c r="J17" i="6"/>
  <c r="F17" i="6"/>
  <c r="L16" i="6"/>
  <c r="H16" i="6"/>
  <c r="N15" i="6"/>
  <c r="J15" i="6"/>
  <c r="F15" i="6"/>
  <c r="L14" i="6"/>
  <c r="H14" i="6"/>
  <c r="N13" i="6"/>
  <c r="J13" i="6"/>
  <c r="F13" i="6"/>
  <c r="L12" i="6"/>
  <c r="H12" i="6"/>
  <c r="N11" i="6"/>
  <c r="J11" i="6"/>
  <c r="F11" i="6"/>
  <c r="L10" i="6"/>
  <c r="H10" i="6"/>
  <c r="N9" i="6"/>
  <c r="J9" i="6"/>
  <c r="F9" i="6"/>
  <c r="L8" i="6"/>
  <c r="H8" i="6"/>
  <c r="Z11" i="6"/>
  <c r="AH9" i="6"/>
  <c r="R9" i="6"/>
  <c r="V8" i="6"/>
  <c r="J42" i="6"/>
  <c r="N40" i="6"/>
  <c r="H39" i="6"/>
  <c r="H37" i="6"/>
  <c r="L35" i="6"/>
  <c r="F34" i="6"/>
  <c r="J32" i="6"/>
  <c r="H31" i="6"/>
  <c r="H29" i="6"/>
  <c r="L27" i="6"/>
  <c r="J26" i="6"/>
  <c r="N24" i="6"/>
  <c r="H23" i="6"/>
  <c r="L21" i="6"/>
  <c r="F20" i="6"/>
  <c r="J18" i="6"/>
  <c r="N16" i="6"/>
  <c r="H15" i="6"/>
  <c r="L13" i="6"/>
  <c r="F12" i="6"/>
  <c r="J10" i="6"/>
  <c r="N8" i="6"/>
  <c r="AI33" i="6"/>
  <c r="AE33" i="6"/>
  <c r="AA33" i="6"/>
  <c r="W33" i="6"/>
  <c r="S33" i="6"/>
  <c r="AI32" i="6"/>
  <c r="AE32" i="6"/>
  <c r="AA32" i="6"/>
  <c r="W32" i="6"/>
  <c r="S32" i="6"/>
  <c r="AI31" i="6"/>
  <c r="AE31" i="6"/>
  <c r="AA31" i="6"/>
  <c r="W31" i="6"/>
  <c r="S31" i="6"/>
  <c r="AI30" i="6"/>
  <c r="AE30" i="6"/>
  <c r="AA30" i="6"/>
  <c r="W30" i="6"/>
  <c r="S30" i="6"/>
  <c r="AI29" i="6"/>
  <c r="AE29" i="6"/>
  <c r="AA29" i="6"/>
  <c r="W29" i="6"/>
  <c r="S29" i="6"/>
  <c r="AI28" i="6"/>
  <c r="AE28" i="6"/>
  <c r="AA28" i="6"/>
  <c r="W28" i="6"/>
  <c r="S28" i="6"/>
  <c r="AI27" i="6"/>
  <c r="AE27" i="6"/>
  <c r="AA27" i="6"/>
  <c r="W27" i="6"/>
  <c r="S27" i="6"/>
  <c r="AI26" i="6"/>
  <c r="AE26" i="6"/>
  <c r="AA26" i="6"/>
  <c r="W26" i="6"/>
  <c r="S26" i="6"/>
  <c r="AI25" i="6"/>
  <c r="AE25" i="6"/>
  <c r="AA25" i="6"/>
  <c r="W25" i="6"/>
  <c r="S25" i="6"/>
  <c r="AI24" i="6"/>
  <c r="AE24" i="6"/>
  <c r="AA24" i="6"/>
  <c r="W24" i="6"/>
  <c r="S24" i="6"/>
  <c r="AI23" i="6"/>
  <c r="AE23" i="6"/>
  <c r="AA23" i="6"/>
  <c r="W23" i="6"/>
  <c r="S23" i="6"/>
  <c r="AI22" i="6"/>
  <c r="AE22" i="6"/>
  <c r="AA22" i="6"/>
  <c r="W22" i="6"/>
  <c r="S22" i="6"/>
  <c r="AI21" i="6"/>
  <c r="AE21" i="6"/>
  <c r="AA21" i="6"/>
  <c r="W21" i="6"/>
  <c r="S21" i="6"/>
  <c r="AI20" i="6"/>
  <c r="AE20" i="6"/>
  <c r="AA20" i="6"/>
  <c r="W20" i="6"/>
  <c r="S20" i="6"/>
  <c r="AI19" i="6"/>
  <c r="AE19" i="6"/>
  <c r="AA19" i="6"/>
  <c r="W19" i="6"/>
  <c r="S19" i="6"/>
  <c r="AI18" i="6"/>
  <c r="AE18" i="6"/>
  <c r="AA18" i="6"/>
  <c r="W18" i="6"/>
  <c r="S18" i="6"/>
  <c r="AI17" i="6"/>
  <c r="AE17" i="6"/>
  <c r="AA17" i="6"/>
  <c r="W17" i="6"/>
  <c r="S17" i="6"/>
  <c r="AI16" i="6"/>
  <c r="AE16" i="6"/>
  <c r="AA16" i="6"/>
  <c r="W16" i="6"/>
  <c r="S16" i="6"/>
  <c r="AI15" i="6"/>
  <c r="AE15" i="6"/>
  <c r="AA15" i="6"/>
  <c r="W15" i="6"/>
  <c r="S15" i="6"/>
  <c r="AI14" i="6"/>
  <c r="AE14" i="6"/>
  <c r="AA14" i="6"/>
  <c r="W14" i="6"/>
  <c r="S14" i="6"/>
  <c r="AI13" i="6"/>
  <c r="AE13" i="6"/>
  <c r="AA13" i="6"/>
  <c r="W13" i="6"/>
  <c r="S13" i="6"/>
  <c r="AI12" i="6"/>
  <c r="AE12" i="6"/>
  <c r="AA12" i="6"/>
  <c r="W12" i="6"/>
  <c r="S12" i="6"/>
  <c r="AI11" i="6"/>
  <c r="AE11" i="6"/>
  <c r="AA11" i="6"/>
  <c r="W11" i="6"/>
  <c r="S11" i="6"/>
  <c r="AI10" i="6"/>
  <c r="AE10" i="6"/>
  <c r="AA10" i="6"/>
  <c r="W10" i="6"/>
  <c r="S10" i="6"/>
  <c r="AI9" i="6"/>
  <c r="AE9" i="6"/>
  <c r="AA9" i="6"/>
  <c r="W9" i="6"/>
  <c r="S9" i="6"/>
  <c r="AI8" i="6"/>
  <c r="AE8" i="6"/>
  <c r="AA8" i="6"/>
  <c r="W8" i="6"/>
  <c r="S8" i="6"/>
  <c r="O42" i="6"/>
  <c r="K42" i="6"/>
  <c r="M41" i="6"/>
  <c r="I41" i="6"/>
  <c r="O40" i="6"/>
  <c r="K40" i="6"/>
  <c r="M39" i="6"/>
  <c r="I39" i="6"/>
  <c r="O38" i="6"/>
  <c r="K38" i="6"/>
  <c r="M37" i="6"/>
  <c r="I37" i="6"/>
  <c r="O36" i="6"/>
  <c r="K36" i="6"/>
  <c r="M35" i="6"/>
  <c r="I35" i="6"/>
  <c r="O34" i="6"/>
  <c r="K34" i="6"/>
  <c r="M33" i="6"/>
  <c r="I33" i="6"/>
  <c r="O32" i="6"/>
  <c r="K32" i="6"/>
  <c r="M31" i="6"/>
  <c r="I31" i="6"/>
  <c r="O30" i="6"/>
  <c r="K30" i="6"/>
  <c r="M29" i="6"/>
  <c r="I29" i="6"/>
  <c r="O28" i="6"/>
  <c r="K28" i="6"/>
  <c r="M27" i="6"/>
  <c r="I27" i="6"/>
  <c r="O26" i="6"/>
  <c r="K26" i="6"/>
  <c r="M25" i="6"/>
  <c r="I25" i="6"/>
  <c r="O24" i="6"/>
  <c r="K24" i="6"/>
  <c r="M23" i="6"/>
  <c r="I23" i="6"/>
  <c r="O22" i="6"/>
  <c r="K22" i="6"/>
  <c r="M21" i="6"/>
  <c r="I21" i="6"/>
  <c r="O20" i="6"/>
  <c r="K20" i="6"/>
  <c r="M19" i="6"/>
  <c r="I19" i="6"/>
  <c r="O18" i="6"/>
  <c r="K18" i="6"/>
  <c r="M17" i="6"/>
  <c r="I17" i="6"/>
  <c r="O16" i="6"/>
  <c r="K16" i="6"/>
  <c r="M15" i="6"/>
  <c r="I15" i="6"/>
  <c r="O14" i="6"/>
  <c r="K14" i="6"/>
  <c r="M13" i="6"/>
  <c r="I13" i="6"/>
  <c r="O12" i="6"/>
  <c r="K12" i="6"/>
  <c r="M11" i="6"/>
  <c r="I11" i="6"/>
  <c r="O10" i="6"/>
  <c r="K10" i="6"/>
  <c r="M9" i="6"/>
  <c r="I9" i="6"/>
  <c r="O8" i="6"/>
  <c r="K8" i="6"/>
  <c r="AD15" i="6"/>
  <c r="AH14" i="6"/>
  <c r="Z14" i="6"/>
  <c r="R14" i="6"/>
  <c r="AD13" i="6"/>
  <c r="V13" i="6"/>
  <c r="AH12" i="6"/>
  <c r="Z12" i="6"/>
  <c r="R12" i="6"/>
  <c r="AD11" i="6"/>
  <c r="AH10" i="6"/>
  <c r="Z10" i="6"/>
  <c r="AD9" i="6"/>
  <c r="AH8" i="6"/>
  <c r="R8" i="6"/>
  <c r="L41" i="6"/>
  <c r="F40" i="6"/>
  <c r="J38" i="6"/>
  <c r="N36" i="6"/>
  <c r="N34" i="6"/>
  <c r="L33" i="6"/>
  <c r="F32" i="6"/>
  <c r="F30" i="6"/>
  <c r="J28" i="6"/>
  <c r="N26" i="6"/>
  <c r="H25" i="6"/>
  <c r="F24" i="6"/>
  <c r="F22" i="6"/>
  <c r="N20" i="6"/>
  <c r="N18" i="6"/>
  <c r="H17" i="6"/>
  <c r="L15" i="6"/>
  <c r="F14" i="6"/>
  <c r="N12" i="6"/>
  <c r="H11" i="6"/>
  <c r="H9" i="6"/>
  <c r="AH33" i="6"/>
  <c r="AD33" i="6"/>
  <c r="Z33" i="6"/>
  <c r="V33" i="6"/>
  <c r="R33" i="6"/>
  <c r="AH32" i="6"/>
  <c r="AD32" i="6"/>
  <c r="Z32" i="6"/>
  <c r="V32" i="6"/>
  <c r="R32" i="6"/>
  <c r="AH31" i="6"/>
  <c r="AD31" i="6"/>
  <c r="Z31" i="6"/>
  <c r="V31" i="6"/>
  <c r="R31" i="6"/>
  <c r="AH30" i="6"/>
  <c r="AD30" i="6"/>
  <c r="Z30" i="6"/>
  <c r="V30" i="6"/>
  <c r="R30" i="6"/>
  <c r="AH29" i="6"/>
  <c r="AD29" i="6"/>
  <c r="Z29" i="6"/>
  <c r="V29" i="6"/>
  <c r="R29" i="6"/>
  <c r="AH28" i="6"/>
  <c r="AD28" i="6"/>
  <c r="Z28" i="6"/>
  <c r="V28" i="6"/>
  <c r="R28" i="6"/>
  <c r="AH27" i="6"/>
  <c r="AD27" i="6"/>
  <c r="Z27" i="6"/>
  <c r="V27" i="6"/>
  <c r="R27" i="6"/>
  <c r="AH26" i="6"/>
  <c r="AD26" i="6"/>
  <c r="Z26" i="6"/>
  <c r="V26" i="6"/>
  <c r="R26" i="6"/>
  <c r="AH25" i="6"/>
  <c r="AD25" i="6"/>
  <c r="Z25" i="6"/>
  <c r="V25" i="6"/>
  <c r="R25" i="6"/>
  <c r="AH24" i="6"/>
  <c r="AD24" i="6"/>
  <c r="Z24" i="6"/>
  <c r="V24" i="6"/>
  <c r="R24" i="6"/>
  <c r="AH23" i="6"/>
  <c r="AD23" i="6"/>
  <c r="Z23" i="6"/>
  <c r="V23" i="6"/>
  <c r="R23" i="6"/>
  <c r="AH22" i="6"/>
  <c r="AD22" i="6"/>
  <c r="Z22" i="6"/>
  <c r="V22" i="6"/>
  <c r="R22" i="6"/>
  <c r="AH21" i="6"/>
  <c r="AD21" i="6"/>
  <c r="Z21" i="6"/>
  <c r="V21" i="6"/>
  <c r="R21" i="6"/>
  <c r="AH20" i="6"/>
  <c r="AD20" i="6"/>
  <c r="Z20" i="6"/>
  <c r="V20" i="6"/>
  <c r="R20" i="6"/>
  <c r="AH19" i="6"/>
  <c r="AD19" i="6"/>
  <c r="Z19" i="6"/>
  <c r="V19" i="6"/>
  <c r="R19" i="6"/>
  <c r="AH18" i="6"/>
  <c r="AD18" i="6"/>
  <c r="Z18" i="6"/>
  <c r="V18" i="6"/>
  <c r="R18" i="6"/>
  <c r="AH17" i="6"/>
  <c r="AD17" i="6"/>
  <c r="Z17" i="6"/>
  <c r="V17" i="6"/>
  <c r="R17" i="6"/>
  <c r="AH16" i="6"/>
  <c r="AD16" i="6"/>
  <c r="Z16" i="6"/>
  <c r="V16" i="6"/>
  <c r="R16" i="6"/>
  <c r="AH15" i="6"/>
  <c r="Z15" i="6"/>
  <c r="V15" i="6"/>
  <c r="R15" i="6"/>
  <c r="AD14" i="6"/>
  <c r="V14" i="6"/>
  <c r="AH13" i="6"/>
  <c r="Z13" i="6"/>
  <c r="R13" i="6"/>
  <c r="AD12" i="6"/>
  <c r="V12" i="6"/>
  <c r="AH11" i="6"/>
  <c r="R11" i="6"/>
  <c r="AD10" i="6"/>
  <c r="V10" i="6"/>
  <c r="Z9" i="6"/>
  <c r="AD8" i="6"/>
  <c r="N42" i="6"/>
  <c r="H41" i="6"/>
  <c r="L39" i="6"/>
  <c r="F38" i="6"/>
  <c r="J36" i="6"/>
  <c r="H35" i="6"/>
  <c r="H33" i="6"/>
  <c r="L31" i="6"/>
  <c r="J30" i="6"/>
  <c r="N28" i="6"/>
  <c r="H27" i="6"/>
  <c r="L25" i="6"/>
  <c r="L23" i="6"/>
  <c r="J22" i="6"/>
  <c r="J20" i="6"/>
  <c r="H19" i="6"/>
  <c r="L17" i="6"/>
  <c r="F16" i="6"/>
  <c r="J14" i="6"/>
  <c r="J12" i="6"/>
  <c r="N10" i="6"/>
  <c r="L9" i="6"/>
  <c r="AS43" i="6"/>
  <c r="AE43" i="6"/>
  <c r="O43" i="6"/>
  <c r="L43" i="6"/>
  <c r="AH43" i="6"/>
  <c r="R43" i="6"/>
  <c r="AO43" i="6"/>
  <c r="AA43" i="6"/>
  <c r="K43" i="6"/>
  <c r="AR43" i="6"/>
  <c r="AD43" i="6"/>
  <c r="N43" i="6"/>
  <c r="AQ43" i="6"/>
  <c r="Y43" i="6"/>
  <c r="I43" i="6"/>
  <c r="AL43" i="6"/>
  <c r="S43" i="6"/>
  <c r="AJ43" i="6"/>
  <c r="V43" i="6"/>
  <c r="AG43" i="6"/>
  <c r="H43" i="6"/>
  <c r="AC43" i="6"/>
  <c r="AP43" i="6"/>
  <c r="AK43" i="6"/>
  <c r="W43" i="6"/>
  <c r="AN43" i="6"/>
  <c r="Z43" i="6"/>
  <c r="J43" i="6"/>
  <c r="AM43" i="6"/>
  <c r="U43" i="6"/>
  <c r="X43" i="6"/>
  <c r="AF43" i="6"/>
  <c r="AI43" i="6"/>
  <c r="P43" i="6"/>
  <c r="F43" i="6"/>
  <c r="Q43" i="6"/>
  <c r="AB43" i="6"/>
  <c r="T43" i="6"/>
  <c r="M43" i="6"/>
  <c r="L8" i="19" l="1"/>
  <c r="M9" i="16"/>
  <c r="L7" i="19"/>
  <c r="L12" i="19"/>
  <c r="M12" i="16"/>
  <c r="L17" i="19"/>
  <c r="DT44" i="6"/>
  <c r="DL44" i="6"/>
  <c r="DE44" i="6"/>
  <c r="CW44" i="6"/>
  <c r="DW44" i="6"/>
  <c r="CZ44" i="6"/>
  <c r="CY44" i="6"/>
  <c r="CR44" i="6"/>
  <c r="DP44" i="6"/>
  <c r="DZ44" i="6"/>
  <c r="EA44" i="6"/>
  <c r="DK44" i="6"/>
  <c r="CX44" i="6"/>
  <c r="DY44" i="6"/>
  <c r="DV44" i="6"/>
  <c r="EC44" i="6"/>
  <c r="CV44" i="6"/>
  <c r="CT44" i="6"/>
  <c r="DM44" i="6"/>
  <c r="DI44" i="6"/>
  <c r="DJ44" i="6"/>
  <c r="CU44" i="6"/>
  <c r="DU44" i="6"/>
  <c r="DX44" i="6"/>
  <c r="DB44" i="6"/>
  <c r="DF44" i="6"/>
  <c r="DH44" i="6"/>
  <c r="EE44" i="6"/>
  <c r="DO44" i="6"/>
  <c r="DS44" i="6"/>
  <c r="CS44" i="6"/>
  <c r="DC44" i="6"/>
  <c r="DR44" i="6"/>
  <c r="DG44" i="6"/>
  <c r="DD44" i="6"/>
  <c r="DA44" i="6"/>
  <c r="EB44" i="6"/>
  <c r="DQ44" i="6"/>
  <c r="ED44" i="6"/>
  <c r="DN44" i="6"/>
  <c r="EP11" i="6"/>
  <c r="EP8" i="6"/>
  <c r="EP9" i="6"/>
  <c r="EP10" i="6"/>
  <c r="CQ44" i="6"/>
  <c r="EL44" i="6"/>
  <c r="EG44" i="6"/>
  <c r="EM44" i="6"/>
  <c r="EO44" i="6"/>
  <c r="EN44" i="6"/>
  <c r="CN44" i="6"/>
  <c r="CO44" i="6"/>
  <c r="CM44" i="6"/>
  <c r="CE44" i="6"/>
  <c r="CF44" i="6"/>
  <c r="CG44" i="6"/>
  <c r="CP44" i="6"/>
  <c r="CD44" i="6"/>
  <c r="BV44" i="6"/>
  <c r="BU44" i="6"/>
  <c r="BT44" i="6"/>
  <c r="BA44" i="6"/>
  <c r="BK44" i="6"/>
  <c r="AZ44" i="6"/>
  <c r="BB44" i="6"/>
  <c r="AR44" i="6"/>
  <c r="AF44" i="6"/>
  <c r="AG44" i="6"/>
  <c r="AH44" i="6"/>
  <c r="EI44" i="6"/>
  <c r="EH44" i="6"/>
  <c r="EF44" i="6"/>
  <c r="EJ44" i="6"/>
  <c r="EK44" i="6"/>
  <c r="CL44" i="6"/>
  <c r="EP15" i="6"/>
  <c r="EP17" i="6"/>
  <c r="EP41" i="6"/>
  <c r="EP35" i="6"/>
  <c r="EP20" i="6"/>
  <c r="EP27" i="6"/>
  <c r="EP33" i="6"/>
  <c r="EP39" i="6"/>
  <c r="EP29" i="6"/>
  <c r="EP32" i="6"/>
  <c r="EP12" i="6"/>
  <c r="EP14" i="6"/>
  <c r="EP30" i="6"/>
  <c r="EP38" i="6"/>
  <c r="EP36" i="6"/>
  <c r="EP42" i="6"/>
  <c r="EP18" i="6"/>
  <c r="EP21" i="6"/>
  <c r="EP24" i="6"/>
  <c r="EP26" i="6"/>
  <c r="EP37" i="6"/>
  <c r="EP23" i="6"/>
  <c r="CK44" i="6"/>
  <c r="CJ44" i="6"/>
  <c r="CI44" i="6"/>
  <c r="CH44" i="6"/>
  <c r="CA44" i="6"/>
  <c r="CC44" i="6"/>
  <c r="BZ44" i="6"/>
  <c r="CB44" i="6"/>
  <c r="BX44" i="6"/>
  <c r="BY44" i="6"/>
  <c r="BL44" i="6"/>
  <c r="BJ44" i="6"/>
  <c r="BW44" i="6"/>
  <c r="BS44" i="6"/>
  <c r="BR44" i="6"/>
  <c r="BQ44" i="6"/>
  <c r="BP44" i="6"/>
  <c r="BO44" i="6"/>
  <c r="BN44" i="6"/>
  <c r="BI44" i="6"/>
  <c r="BD44" i="6"/>
  <c r="BE44" i="6"/>
  <c r="BF44" i="6"/>
  <c r="BH44" i="6"/>
  <c r="BM44" i="6"/>
  <c r="BG44" i="6"/>
  <c r="AP44" i="6"/>
  <c r="AQ44" i="6"/>
  <c r="AW44" i="6"/>
  <c r="AX44" i="6"/>
  <c r="AV44" i="6"/>
  <c r="BC44" i="6"/>
  <c r="AY44" i="6"/>
  <c r="AU44" i="6"/>
  <c r="AT44" i="6"/>
  <c r="AM44" i="6"/>
  <c r="AN44" i="6"/>
  <c r="AJ44" i="6"/>
  <c r="AO44" i="6"/>
  <c r="AL44" i="6"/>
  <c r="AS44" i="6"/>
  <c r="AK44" i="6"/>
  <c r="X44" i="6"/>
  <c r="W44" i="6"/>
  <c r="V44" i="6"/>
  <c r="AE44" i="6"/>
  <c r="Z44" i="6"/>
  <c r="AC44" i="6"/>
  <c r="AI44" i="6"/>
  <c r="AD44" i="6"/>
  <c r="AA44" i="6"/>
  <c r="AB44" i="6"/>
  <c r="N44" i="6"/>
  <c r="L44" i="6"/>
  <c r="M44" i="6"/>
  <c r="Y44" i="6"/>
  <c r="K44" i="6"/>
  <c r="U44" i="6"/>
  <c r="T44" i="6"/>
  <c r="S44" i="6"/>
  <c r="R44" i="6"/>
  <c r="Q44" i="6"/>
  <c r="P44" i="6"/>
  <c r="O44" i="6"/>
  <c r="J44" i="6"/>
  <c r="I44" i="6"/>
  <c r="H44" i="6"/>
  <c r="G44" i="6"/>
  <c r="F44" i="6"/>
  <c r="EP43" i="6"/>
  <c r="EP40" i="6"/>
  <c r="EP13" i="6"/>
  <c r="EP31" i="6"/>
  <c r="EP25" i="6"/>
  <c r="EP28" i="6"/>
  <c r="EP22" i="6"/>
  <c r="EP19" i="6"/>
  <c r="EP16" i="6"/>
  <c r="EP34" i="6"/>
  <c r="M7" i="16" l="1"/>
  <c r="H8" i="5"/>
  <c r="AB14" i="4"/>
  <c r="AB12" i="4"/>
  <c r="AB10" i="4"/>
  <c r="AB8" i="4"/>
  <c r="AB6" i="4"/>
  <c r="R14" i="4"/>
  <c r="R12" i="4" l="1"/>
  <c r="R10" i="4"/>
  <c r="R8" i="4"/>
  <c r="R6" i="4" l="1"/>
  <c r="P14" i="4"/>
  <c r="P12" i="4"/>
  <c r="P10" i="4"/>
  <c r="P8" i="4"/>
  <c r="P6" i="4"/>
  <c r="N14" i="4"/>
  <c r="N12" i="4"/>
  <c r="N10" i="4"/>
  <c r="N8" i="4"/>
  <c r="N6" i="4"/>
  <c r="L14" i="4"/>
  <c r="L12" i="4"/>
  <c r="L10" i="4"/>
  <c r="L8" i="4"/>
  <c r="L6" i="4"/>
  <c r="J14" i="4"/>
  <c r="J12" i="4"/>
  <c r="J10" i="4"/>
  <c r="J8" i="4"/>
  <c r="J6" i="4" l="1"/>
  <c r="H14" i="4"/>
  <c r="H12" i="4"/>
  <c r="H10" i="4" l="1"/>
  <c r="H8" i="4"/>
  <c r="H6" i="4"/>
  <c r="F12" i="4"/>
  <c r="F10" i="4"/>
  <c r="F8" i="4"/>
  <c r="F6" i="4"/>
  <c r="D14" i="4"/>
  <c r="D12" i="4"/>
  <c r="D10" i="4"/>
  <c r="D8" i="4"/>
  <c r="D6" i="4"/>
  <c r="B12" i="4"/>
  <c r="B10" i="4"/>
  <c r="B8" i="4"/>
  <c r="B6" i="4"/>
  <c r="K254" i="19" l="1"/>
  <c r="K249" i="19"/>
  <c r="K248" i="19"/>
  <c r="K247" i="19"/>
  <c r="K246" i="19"/>
  <c r="K245" i="19"/>
  <c r="K204" i="19"/>
  <c r="K199" i="19"/>
  <c r="K198" i="19"/>
  <c r="K197" i="19"/>
  <c r="K196" i="19"/>
  <c r="K195" i="19"/>
  <c r="K194" i="19"/>
  <c r="K188" i="19"/>
  <c r="K187" i="19"/>
  <c r="K186" i="19"/>
  <c r="K185" i="19"/>
  <c r="K184" i="19"/>
  <c r="K179" i="19"/>
  <c r="K178" i="19"/>
  <c r="K177" i="19"/>
  <c r="K176" i="19"/>
  <c r="K175" i="19"/>
  <c r="K174" i="19"/>
  <c r="K169" i="19"/>
  <c r="K168" i="19"/>
  <c r="K167" i="19"/>
  <c r="K166" i="19"/>
  <c r="K165" i="19"/>
  <c r="K159" i="19"/>
  <c r="K158" i="19"/>
  <c r="K157" i="19"/>
  <c r="H152" i="5"/>
  <c r="K189" i="19" l="1"/>
  <c r="H190" i="5"/>
  <c r="H200" i="5"/>
  <c r="H191" i="5"/>
  <c r="H171" i="5"/>
  <c r="H173" i="5"/>
  <c r="H192" i="5"/>
  <c r="H183" i="5"/>
  <c r="H181" i="5"/>
  <c r="H193" i="5"/>
  <c r="H172" i="5"/>
  <c r="H182" i="5"/>
  <c r="H241" i="5"/>
  <c r="H242" i="5"/>
  <c r="H243" i="5"/>
  <c r="H244" i="5"/>
  <c r="H245" i="5"/>
  <c r="H250" i="5"/>
  <c r="H194" i="5"/>
  <c r="H195" i="5"/>
  <c r="H184" i="5"/>
  <c r="H175" i="5"/>
  <c r="H174" i="5"/>
  <c r="H180" i="5"/>
  <c r="H153" i="5"/>
  <c r="H163" i="5"/>
  <c r="H155" i="5"/>
  <c r="H164" i="5"/>
  <c r="H161" i="5"/>
  <c r="H165" i="5"/>
  <c r="H154" i="5"/>
  <c r="H162" i="5"/>
  <c r="H170" i="5"/>
  <c r="Q43" i="11"/>
  <c r="H185" i="5"/>
  <c r="Q12" i="11"/>
  <c r="Q21" i="11"/>
  <c r="Q29" i="11"/>
  <c r="Q33" i="11"/>
  <c r="Q41" i="11"/>
  <c r="Q49" i="11"/>
  <c r="Q53" i="11"/>
  <c r="Q101" i="11"/>
  <c r="Q22" i="11"/>
  <c r="Q30" i="11"/>
  <c r="Q38" i="11"/>
  <c r="Q42" i="11"/>
  <c r="Q50" i="11"/>
  <c r="Q58" i="11"/>
  <c r="Q102" i="11"/>
  <c r="Q19" i="11"/>
  <c r="Q23" i="11"/>
  <c r="Q31" i="11"/>
  <c r="Q39" i="11"/>
  <c r="Q51" i="11"/>
  <c r="Q99" i="11"/>
  <c r="Q103" i="11"/>
  <c r="Q13" i="11"/>
  <c r="Q11" i="11"/>
  <c r="Q20" i="11"/>
  <c r="Q28" i="11"/>
  <c r="Q32" i="11"/>
  <c r="Q40" i="11"/>
  <c r="Q48" i="11"/>
  <c r="Q52" i="11"/>
  <c r="Q100" i="11"/>
  <c r="Q108" i="11"/>
  <c r="AO3" i="3"/>
  <c r="AT3" i="3" l="1"/>
  <c r="AR3" i="3"/>
  <c r="AQ3" i="3"/>
  <c r="AP3" i="3"/>
  <c r="AW3" i="3" s="1"/>
  <c r="AS3" i="3"/>
  <c r="L172" i="1"/>
  <c r="AQ16" i="3" s="1"/>
  <c r="M172" i="1"/>
  <c r="AR16" i="3" s="1"/>
  <c r="N172" i="1"/>
  <c r="AS16" i="3" s="1"/>
  <c r="O172" i="1"/>
  <c r="AT16" i="3" s="1"/>
  <c r="P171" i="1"/>
  <c r="P166" i="1"/>
  <c r="P165" i="1"/>
  <c r="P164" i="1"/>
  <c r="P163" i="1"/>
  <c r="P162" i="1"/>
  <c r="P116" i="1"/>
  <c r="L96" i="16" s="1"/>
  <c r="P111" i="1"/>
  <c r="L91" i="16" s="1"/>
  <c r="P110" i="1"/>
  <c r="L90" i="16" s="1"/>
  <c r="P109" i="1"/>
  <c r="L89" i="16" s="1"/>
  <c r="P108" i="1"/>
  <c r="L88" i="16" s="1"/>
  <c r="P107" i="1"/>
  <c r="L87" i="16" s="1"/>
  <c r="P105" i="1"/>
  <c r="L86" i="16" s="1"/>
  <c r="P100" i="1"/>
  <c r="P99" i="1"/>
  <c r="P98" i="1"/>
  <c r="P97" i="1"/>
  <c r="L78" i="16" s="1"/>
  <c r="P96" i="1"/>
  <c r="L77" i="16" s="1"/>
  <c r="AP11" i="3"/>
  <c r="AQ11" i="3"/>
  <c r="AR11" i="3"/>
  <c r="AS11" i="3"/>
  <c r="AT11" i="3"/>
  <c r="P94" i="1"/>
  <c r="P89" i="1"/>
  <c r="L71" i="16" s="1"/>
  <c r="P88" i="1"/>
  <c r="L70" i="16" s="1"/>
  <c r="P87" i="1"/>
  <c r="L69" i="16" s="1"/>
  <c r="P86" i="1"/>
  <c r="L68" i="16" s="1"/>
  <c r="P85" i="1"/>
  <c r="L67" i="16" s="1"/>
  <c r="AP10" i="3"/>
  <c r="AQ10" i="3"/>
  <c r="AR10" i="3"/>
  <c r="AS10" i="3"/>
  <c r="AT10" i="3"/>
  <c r="AQ9" i="3"/>
  <c r="AR9" i="3"/>
  <c r="AS9" i="3"/>
  <c r="AT9" i="3"/>
  <c r="AP8" i="3"/>
  <c r="AQ8" i="3"/>
  <c r="AR8" i="3"/>
  <c r="AS8" i="3"/>
  <c r="AT8" i="3"/>
  <c r="AO8" i="3"/>
  <c r="P83" i="1"/>
  <c r="P78" i="1"/>
  <c r="L61" i="16" s="1"/>
  <c r="P77" i="1"/>
  <c r="L60" i="16" s="1"/>
  <c r="P76" i="1"/>
  <c r="L59" i="16" s="1"/>
  <c r="P75" i="1"/>
  <c r="L58" i="16" s="1"/>
  <c r="P74" i="1"/>
  <c r="L57" i="16" s="1"/>
  <c r="AQ7" i="3"/>
  <c r="AR7" i="3"/>
  <c r="AS7" i="3"/>
  <c r="AT7" i="3"/>
  <c r="P72" i="1"/>
  <c r="P67" i="1"/>
  <c r="L51" i="16" s="1"/>
  <c r="P66" i="1"/>
  <c r="L50" i="16" s="1"/>
  <c r="P65" i="1"/>
  <c r="L49" i="16" s="1"/>
  <c r="P64" i="1"/>
  <c r="L48" i="16" s="1"/>
  <c r="P63" i="1"/>
  <c r="L47" i="16" s="1"/>
  <c r="K137" i="19" l="1"/>
  <c r="L137" i="16"/>
  <c r="K141" i="19"/>
  <c r="L141" i="16"/>
  <c r="K146" i="19"/>
  <c r="L146" i="16"/>
  <c r="K140" i="19"/>
  <c r="L140" i="16"/>
  <c r="K138" i="19"/>
  <c r="L138" i="16"/>
  <c r="K139" i="19"/>
  <c r="L139" i="16"/>
  <c r="K80" i="19"/>
  <c r="L80" i="16"/>
  <c r="K81" i="19"/>
  <c r="L81" i="16"/>
  <c r="K79" i="19"/>
  <c r="L79" i="16"/>
  <c r="K76" i="19"/>
  <c r="L76" i="16"/>
  <c r="K66" i="19"/>
  <c r="L66" i="16"/>
  <c r="K56" i="19"/>
  <c r="L56" i="16"/>
  <c r="K61" i="19"/>
  <c r="K47" i="19"/>
  <c r="K68" i="19"/>
  <c r="K87" i="19"/>
  <c r="K57" i="19"/>
  <c r="K60" i="19"/>
  <c r="K67" i="19"/>
  <c r="K48" i="19"/>
  <c r="K69" i="19"/>
  <c r="K88" i="19"/>
  <c r="K49" i="19"/>
  <c r="K77" i="19"/>
  <c r="K50" i="19"/>
  <c r="K58" i="19"/>
  <c r="K71" i="19"/>
  <c r="K78" i="19"/>
  <c r="K90" i="19"/>
  <c r="K70" i="19"/>
  <c r="K89" i="19"/>
  <c r="K51" i="19"/>
  <c r="K59" i="19"/>
  <c r="K91" i="19"/>
  <c r="K96" i="19"/>
  <c r="K86" i="19"/>
  <c r="H77" i="5"/>
  <c r="H67" i="5"/>
  <c r="H57" i="5"/>
  <c r="H142" i="5"/>
  <c r="H147" i="5"/>
  <c r="H138" i="5"/>
  <c r="H141" i="5"/>
  <c r="H139" i="5"/>
  <c r="H140" i="5"/>
  <c r="H82" i="5"/>
  <c r="H81" i="5"/>
  <c r="H80" i="5"/>
  <c r="P172" i="1"/>
  <c r="AU3" i="3"/>
  <c r="H62" i="5"/>
  <c r="AX3" i="3"/>
  <c r="AV3" i="3"/>
  <c r="AX7" i="3"/>
  <c r="AX16" i="3"/>
  <c r="Q163" i="1"/>
  <c r="Q164" i="1"/>
  <c r="Q171" i="1"/>
  <c r="Q165" i="1"/>
  <c r="Q162" i="1"/>
  <c r="Q166" i="1"/>
  <c r="AX11" i="3"/>
  <c r="H88" i="5"/>
  <c r="Q107" i="1"/>
  <c r="H92" i="5"/>
  <c r="Q111" i="1"/>
  <c r="AV11" i="3"/>
  <c r="H89" i="5"/>
  <c r="Q108" i="1"/>
  <c r="H97" i="5"/>
  <c r="Q116" i="1"/>
  <c r="H90" i="5"/>
  <c r="Q109" i="1"/>
  <c r="H91" i="5"/>
  <c r="Q110" i="1"/>
  <c r="AX10" i="3"/>
  <c r="AV10" i="3"/>
  <c r="H78" i="5"/>
  <c r="Q96" i="1"/>
  <c r="Q100" i="1"/>
  <c r="Q99" i="1"/>
  <c r="H79" i="5"/>
  <c r="Q97" i="1"/>
  <c r="H87" i="5"/>
  <c r="Q105" i="1"/>
  <c r="H71" i="5"/>
  <c r="Q88" i="1"/>
  <c r="H72" i="5"/>
  <c r="Q89" i="1"/>
  <c r="H69" i="5"/>
  <c r="Q86" i="1"/>
  <c r="Q94" i="1"/>
  <c r="H68" i="5"/>
  <c r="Q85" i="1"/>
  <c r="AX9" i="3"/>
  <c r="H70" i="5"/>
  <c r="Q87" i="1"/>
  <c r="H58" i="5"/>
  <c r="Q74" i="1"/>
  <c r="Q83" i="1"/>
  <c r="H60" i="5"/>
  <c r="Q76" i="1"/>
  <c r="AX8" i="3"/>
  <c r="Q78" i="1"/>
  <c r="H61" i="5"/>
  <c r="Q77" i="1"/>
  <c r="AV8" i="3"/>
  <c r="H51" i="5"/>
  <c r="Q66" i="1"/>
  <c r="H48" i="5"/>
  <c r="Q63" i="1"/>
  <c r="H52" i="5"/>
  <c r="Q67" i="1"/>
  <c r="Q72" i="1"/>
  <c r="H50" i="5"/>
  <c r="Q65" i="1"/>
  <c r="H49" i="5"/>
  <c r="Q64" i="1"/>
  <c r="AW8" i="3"/>
  <c r="AU8" i="3"/>
  <c r="H59" i="5"/>
  <c r="Q75" i="1"/>
  <c r="Q98" i="1"/>
  <c r="P117" i="1"/>
  <c r="P84" i="1"/>
  <c r="P106" i="1"/>
  <c r="P61" i="1" l="1"/>
  <c r="P56" i="1"/>
  <c r="P55" i="1"/>
  <c r="P54" i="1"/>
  <c r="P53" i="1"/>
  <c r="P52" i="1"/>
  <c r="AQ6" i="3"/>
  <c r="AR6" i="3"/>
  <c r="AS6" i="3"/>
  <c r="AT6" i="3"/>
  <c r="K37" i="19" l="1"/>
  <c r="L37" i="16"/>
  <c r="K38" i="19"/>
  <c r="L38" i="16"/>
  <c r="K39" i="19"/>
  <c r="L39" i="16"/>
  <c r="K40" i="19"/>
  <c r="L40" i="16"/>
  <c r="K41" i="19"/>
  <c r="L41" i="16"/>
  <c r="K46" i="19"/>
  <c r="L46" i="16"/>
  <c r="H47" i="5"/>
  <c r="H42" i="5"/>
  <c r="H38" i="5"/>
  <c r="H39" i="5"/>
  <c r="H40" i="5"/>
  <c r="H41" i="5"/>
  <c r="Q55" i="1"/>
  <c r="Q52" i="1"/>
  <c r="Q56" i="1"/>
  <c r="Q61" i="1"/>
  <c r="AX6" i="3"/>
  <c r="Q53" i="1"/>
  <c r="Q54" i="1"/>
  <c r="P62" i="1"/>
  <c r="AP5" i="3"/>
  <c r="AQ5" i="3"/>
  <c r="AR5" i="3"/>
  <c r="AS5" i="3"/>
  <c r="AT5" i="3"/>
  <c r="P50" i="1"/>
  <c r="P45" i="1"/>
  <c r="L31" i="16" s="1"/>
  <c r="P44" i="1"/>
  <c r="P43" i="1"/>
  <c r="P42" i="1"/>
  <c r="P41" i="1"/>
  <c r="L27" i="16" s="1"/>
  <c r="P39" i="1"/>
  <c r="P34" i="1"/>
  <c r="P33" i="1"/>
  <c r="P32" i="1"/>
  <c r="P31" i="1"/>
  <c r="L18" i="16" s="1"/>
  <c r="P30" i="1"/>
  <c r="L17" i="16" s="1"/>
  <c r="K30" i="19" l="1"/>
  <c r="L30" i="16"/>
  <c r="K28" i="19"/>
  <c r="L28" i="16"/>
  <c r="K29" i="19"/>
  <c r="L29" i="16"/>
  <c r="K36" i="19"/>
  <c r="L36" i="16"/>
  <c r="K19" i="19"/>
  <c r="L19" i="16"/>
  <c r="K21" i="19"/>
  <c r="L21" i="16"/>
  <c r="K20" i="19"/>
  <c r="L20" i="16"/>
  <c r="K26" i="19"/>
  <c r="L26" i="16"/>
  <c r="K27" i="19"/>
  <c r="K31" i="19"/>
  <c r="K17" i="19"/>
  <c r="K18" i="19"/>
  <c r="H27" i="5"/>
  <c r="H37" i="5"/>
  <c r="H29" i="5"/>
  <c r="H31" i="5"/>
  <c r="H30" i="5"/>
  <c r="H22" i="5"/>
  <c r="H20" i="5"/>
  <c r="H21" i="5"/>
  <c r="H12" i="1"/>
  <c r="L173" i="1"/>
  <c r="H13" i="1"/>
  <c r="M13" i="1" s="1"/>
  <c r="M173" i="1"/>
  <c r="AT4" i="3"/>
  <c r="O173" i="1"/>
  <c r="I13" i="1"/>
  <c r="N13" i="1" s="1"/>
  <c r="N173" i="1"/>
  <c r="I12" i="1"/>
  <c r="N12" i="1" s="1"/>
  <c r="M9" i="1"/>
  <c r="AR4" i="3"/>
  <c r="AP4" i="3"/>
  <c r="AQ4" i="3"/>
  <c r="H15" i="1" a="1"/>
  <c r="H15" i="1" s="1"/>
  <c r="H14" i="1" a="1"/>
  <c r="H14" i="1" s="1"/>
  <c r="I15" i="1" a="1"/>
  <c r="I15" i="1" s="1"/>
  <c r="I14" i="1" a="1"/>
  <c r="I14" i="1" s="1"/>
  <c r="H32" i="5"/>
  <c r="AS4" i="3"/>
  <c r="N9" i="1"/>
  <c r="Q43" i="1"/>
  <c r="AX5" i="3"/>
  <c r="Q44" i="1"/>
  <c r="AV5" i="3"/>
  <c r="H28" i="5"/>
  <c r="Q41" i="1"/>
  <c r="Q45" i="1"/>
  <c r="Q50" i="1"/>
  <c r="H18" i="5"/>
  <c r="Q30" i="1"/>
  <c r="Q34" i="1"/>
  <c r="Q39" i="1"/>
  <c r="Q32" i="1"/>
  <c r="Q33" i="1"/>
  <c r="H12" i="5"/>
  <c r="Q23" i="1"/>
  <c r="H9" i="5"/>
  <c r="Q20" i="1"/>
  <c r="Q42" i="1"/>
  <c r="H19" i="5"/>
  <c r="Q31" i="1"/>
  <c r="H11" i="5"/>
  <c r="Q22" i="1"/>
  <c r="H10" i="5"/>
  <c r="Q21" i="1"/>
  <c r="I11" i="1" a="1"/>
  <c r="I11" i="1" s="1"/>
  <c r="F8" i="1"/>
  <c r="P29" i="1"/>
  <c r="I10" i="1" a="1"/>
  <c r="I10" i="1" s="1"/>
  <c r="P51" i="1"/>
  <c r="P40" i="1"/>
  <c r="J14" i="1" l="1"/>
  <c r="M12" i="1"/>
  <c r="AV4" i="3"/>
  <c r="M11" i="1"/>
  <c r="AX4" i="3"/>
  <c r="AX17" i="3" s="1"/>
  <c r="H8" i="1"/>
  <c r="I8" i="1"/>
  <c r="K172" i="1"/>
  <c r="AP16" i="3" s="1"/>
  <c r="AV16" i="3" s="1"/>
  <c r="AO16" i="3"/>
  <c r="AU16" i="3" s="1"/>
  <c r="AO11" i="3"/>
  <c r="AO10" i="3"/>
  <c r="AU10" i="3" s="1"/>
  <c r="AP9" i="3"/>
  <c r="AV9" i="3" s="1"/>
  <c r="AO9" i="3"/>
  <c r="AP7" i="3"/>
  <c r="AV7" i="3" s="1"/>
  <c r="AO7" i="3"/>
  <c r="AO6" i="3"/>
  <c r="AO5" i="3"/>
  <c r="K173" i="1" l="1"/>
  <c r="G13" i="1"/>
  <c r="J13" i="1" s="1"/>
  <c r="G12" i="1"/>
  <c r="J12" i="1" s="1"/>
  <c r="G11" i="1" a="1"/>
  <c r="G11" i="1" s="1"/>
  <c r="J11" i="1" s="1"/>
  <c r="G10" i="1" a="1"/>
  <c r="G10" i="1" s="1"/>
  <c r="J10" i="1" s="1"/>
  <c r="O9" i="1"/>
  <c r="AP6" i="3"/>
  <c r="AV6" i="3" s="1"/>
  <c r="AV17" i="3" s="1"/>
  <c r="G15" i="1" a="1"/>
  <c r="G15" i="1" s="1"/>
  <c r="J15" i="1" s="1"/>
  <c r="L14" i="1"/>
  <c r="AO4" i="3"/>
  <c r="AU4" i="3" s="1"/>
  <c r="AW16" i="3"/>
  <c r="AW11" i="3"/>
  <c r="AU11" i="3"/>
  <c r="AW10" i="3"/>
  <c r="AW9" i="3"/>
  <c r="AU9" i="3"/>
  <c r="AW7" i="3"/>
  <c r="AU7" i="3"/>
  <c r="AU6" i="3"/>
  <c r="AW5" i="3"/>
  <c r="AU5" i="3"/>
  <c r="M10" i="1"/>
  <c r="M14" i="1"/>
  <c r="N10" i="1"/>
  <c r="N11" i="1"/>
  <c r="M15" i="1"/>
  <c r="AU17" i="3" l="1"/>
  <c r="F5" i="14" s="1"/>
  <c r="L15" i="1"/>
  <c r="AW6" i="3"/>
  <c r="AW4" i="3"/>
  <c r="L10" i="1"/>
  <c r="O10" i="1" s="1"/>
  <c r="L11" i="1"/>
  <c r="O11" i="1" s="1"/>
  <c r="G8" i="1"/>
  <c r="J8" i="1" s="1"/>
  <c r="N8" i="1"/>
  <c r="M8" i="1"/>
  <c r="L12" i="1"/>
  <c r="O12" i="1" s="1"/>
  <c r="F16" i="23" s="1"/>
  <c r="L13" i="1"/>
  <c r="O13" i="1" s="1"/>
  <c r="F17" i="23" s="1"/>
  <c r="H17" i="23" l="1"/>
  <c r="K12" i="1"/>
  <c r="K9" i="1"/>
  <c r="K14" i="1"/>
  <c r="K10" i="1"/>
  <c r="K15" i="1"/>
  <c r="K13" i="1"/>
  <c r="K11" i="1"/>
  <c r="AW17" i="3"/>
  <c r="M5" i="14"/>
  <c r="Q10" i="1"/>
  <c r="L8" i="1"/>
  <c r="O8" i="1" s="1"/>
  <c r="D16" i="7" s="1"/>
  <c r="Q9" i="1"/>
  <c r="F15" i="23" l="1"/>
  <c r="P9" i="1"/>
  <c r="K8" i="1"/>
  <c r="P12" i="1"/>
  <c r="P11" i="1"/>
  <c r="P13" i="1"/>
  <c r="P4" i="1" s="1"/>
  <c r="P10" i="1"/>
  <c r="P95" i="1"/>
  <c r="H15" i="23" l="1"/>
  <c r="J24" i="23" s="1"/>
  <c r="F18" i="23"/>
  <c r="H18" i="23" s="1"/>
  <c r="J17" i="23" s="1"/>
  <c r="H16" i="23"/>
  <c r="S4" i="6"/>
  <c r="F14" i="23"/>
  <c r="H14" i="23" s="1"/>
  <c r="P8" i="1"/>
  <c r="B17" i="14"/>
  <c r="A2" i="14" l="1"/>
  <c r="P73" i="1"/>
  <c r="P173" i="1" s="1"/>
  <c r="N14" i="1" l="1"/>
  <c r="O14" i="1" s="1"/>
  <c r="P14" i="1" s="1"/>
  <c r="N15" i="1"/>
  <c r="O15" i="1" s="1"/>
  <c r="P15"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<sst xmlns="http://schemas.openxmlformats.org/spreadsheetml/2006/main" count="4970" uniqueCount="1191">
  <si>
    <t>1. DATOS GENERALES DEL PROGRAMA</t>
  </si>
  <si>
    <t>UNIDAD:</t>
  </si>
  <si>
    <t>PREGRADO</t>
  </si>
  <si>
    <t>NOMBRE DEL PROGRAMA:</t>
  </si>
  <si>
    <t>EDUCACIÓN SECUNDARIA CON ESPECIALIDAD EN INGLÉS</t>
  </si>
  <si>
    <t>MODALIDAD DEL PROGRAMA:</t>
  </si>
  <si>
    <t>PRESENCIAL</t>
  </si>
  <si>
    <t>CÓDIGO SUNEDU:</t>
  </si>
  <si>
    <t>GRADO OTORGADO:</t>
  </si>
  <si>
    <t>TÍTULO OTORGADO:</t>
  </si>
  <si>
    <t>RÉGIMEN DE ESTUDIOS:</t>
  </si>
  <si>
    <t>SEMESTRAL</t>
  </si>
  <si>
    <t>DURACIÓN DEL PROGRAMA (EN MESES)</t>
  </si>
  <si>
    <t>CANTIDAD TOTAL DE CRÉDITOS:</t>
  </si>
  <si>
    <t>NÚMERO DE RESOLUCIÓN DE APROBACIÓN DEL PROGRAMA:</t>
  </si>
  <si>
    <t>FECHA DE APROBACIÓN:</t>
  </si>
  <si>
    <t xml:space="preserve">PERIODO DE APLICACIÓN </t>
  </si>
  <si>
    <t>2025-01</t>
  </si>
  <si>
    <t>2. FUNDAMENTOS TEÓRICOS Y METODOLÓGICOS DEL PROGRAMA (coherentes con el campo profesional)</t>
  </si>
  <si>
    <r>
      <t xml:space="preserve">Los fundamentos teóricos del programa tienen su origen en el modelo educativo institucional y bajo las siguientes perspectivas:
</t>
    </r>
    <r>
      <rPr>
        <b/>
        <sz val="11"/>
        <rFont val="Calibri"/>
        <family val="2"/>
        <scheme val="minor"/>
      </rPr>
      <t>Antropológica:</t>
    </r>
    <r>
      <rPr>
        <sz val="11"/>
        <rFont val="Calibri"/>
        <family val="2"/>
        <scheme val="minor"/>
      </rPr>
      <t xml:space="preserve"> sobre la base de una formación integral se promueve una educación humanística que esté alineada a la cultura profesional. Además, se considera un principio de transversalidad en disciplinas vinculadas a las humanidades y a las ciencias con el fin de lograr un perfil profesional capaz de actuar ambientes cada vez más globalizados. De allí, se presentan los siguientes pilares: 
1) investigación, 2) emprendimiento, 3) sostenibilidad y 4) globalización. Estos cuatro soportes representan las características distintivas del egresado de la USIL.
</t>
    </r>
    <r>
      <rPr>
        <b/>
        <sz val="11"/>
        <rFont val="Calibri"/>
        <family val="2"/>
        <scheme val="minor"/>
      </rPr>
      <t>Epistemológica:</t>
    </r>
    <r>
      <rPr>
        <sz val="11"/>
        <rFont val="Calibri"/>
        <family val="2"/>
        <scheme val="minor"/>
      </rPr>
      <t xml:space="preserve"> la pedagogía y las ciencias de la educación son usadas como soporte para desarrollar el complejo proceso formativo de la persona. Se asume el enfoque holístico de la educación en el marco del Pensamiento Complejo (Morín, 2015) y las tendencias actuales de la educación que se corresponden con la sociedad del conocimiento y del desarrollo de las Tecnologías de la Información y Comunicación. 
</t>
    </r>
    <r>
      <rPr>
        <b/>
        <sz val="11"/>
        <rFont val="Calibri"/>
        <family val="2"/>
        <scheme val="minor"/>
      </rPr>
      <t>Psicopedagógico:</t>
    </r>
    <r>
      <rPr>
        <sz val="11"/>
        <rFont val="Calibri"/>
        <family val="2"/>
        <scheme val="minor"/>
      </rPr>
      <t xml:space="preserve"> se centra en el enfoque socioformativo de valoración de competencias, el cual se enmarca en los retos y problemas del contexto que tiene que resolver el profesional en la sociedad. A su vez, también se considera el constructivismo desde la perspectiva del aprendizaje significativo y del conectivismo. Todo ello se conjuga para dar vida a un modelo educativo que asegura la formación humana integral de los estudiantes.
</t>
    </r>
    <r>
      <rPr>
        <b/>
        <sz val="11"/>
        <rFont val="Calibri"/>
        <family val="2"/>
        <scheme val="minor"/>
      </rPr>
      <t>Tecnológico:</t>
    </r>
    <r>
      <rPr>
        <sz val="11"/>
        <rFont val="Calibri"/>
        <family val="2"/>
        <scheme val="minor"/>
      </rPr>
      <t xml:space="preserve"> esta perspectiva tiene su base en la creación de un ecosistema de aprendizaje con una cultura digital en un mundo cada vez más interconectado. Para promover ello, se utiliza un entorno virtual de aprendizaje que permite brindar flexibilidad, adaptación y atención a través de materiales, actividades y canales de comunicación que hacen posible una interacción oportuna con el estudiante y que facilitan el procesamiento de información hasta convertirla en conocimiento útil.</t>
    </r>
  </si>
  <si>
    <r>
      <t xml:space="preserve">PARA SER COMPLETADO POR EL DIRECTOR O COMITÉ DE GESTIÓN CURRICULAR:
</t>
    </r>
    <r>
      <rPr>
        <i/>
        <sz val="14"/>
        <color rgb="FF0070C0"/>
        <rFont val="Calibri"/>
        <family val="2"/>
      </rPr>
      <t xml:space="preserve">Establecer, brevemente, la fundamentación teórica del programa. Por ejemplo, pueden establecer una visión o enfoque basados en un principio teórico del área disciplinar de la carrera. También, pueden establecer un paradigma según el área disciplinar.
</t>
    </r>
  </si>
  <si>
    <t>3. OBJETIVOS ACADÉMICOS:</t>
  </si>
  <si>
    <t>El Programa Académico de Educación Secundaria con especialidad en Inglés de la Universidad San Ignacio de Loyola responde al desafío de recuperar el lugar de la pedagogía para sentar las bases de propuestas innovadoras en la gestión; así como consolidar el uso de la tecnología educativa y de la investigación orientada a la especialidad de Inglés con el objetivo de mejorar los procesos de enseñanza aprendizaje y la calidad de las instituciones educativas. En ese sentido, tiene como objetivo académico formar profesionales con bases sólidas en los campos de las letras, humanidades, ciencia y tecnología educativa. Por lo tanto, el Licenciado en Educación Secundaria de la USIL, como docente, conoce con profundidad los propósitos, los contenidos y el enfoque de enseñanza de su especialidad.</t>
  </si>
  <si>
    <t>4. PERFIL DEL INGRESO:</t>
  </si>
  <si>
    <t>•	Se comunica en su lengua materna demostrando solvencia para comprender, producir y expresar textos de acuerdo al contexto académico requerido en los estudios universitarios u otras situaciones comunicativas.
•	Posee saberes matemáticos básicos que le permite comprender la realidad y resolver situaciones problemáticas de su entorno personal y académico-universitario, relacionados con la carrera profesional que estudia.
•	Asume un pensamiento computacional básico que le permite comprender y actuar en la cultura digital en el contexto de la sociedad del conocimiento, la hiperconectividad y los estudios universitarios.
•	Demuestra apertura y adaptabilidad a la vida universitaria teniendo en cuenta la diversidad cultural y los cambios generacionales, sus metas personales, profesionales, las exigencias y facilidades que le ofrece la universidad.</t>
  </si>
  <si>
    <t>5. PERFIL DE EGRESO:</t>
  </si>
  <si>
    <t xml:space="preserve">CP1 Comprende el rigor científico de la teoría, la historia y la psicología aplicadas al ámbito educativo para establecer las orientaciones fundamentales del sentido educativo en los docentes y los alumnos.
CP2 Establece relaciones entre las concepciones de administración, economía, marketing y aspectos legales como fundamentos básicos para el desarrollo de una buena gestión educativa para brindar un buen servicio educativo.
CP3 Desempeñarse de manera eficiente en el desarrollo la enseñanza y de su desarrollo en su identidad docente para el buen aprendizaje de los estudiantes.
CP4 Elabora el proyecto de investigación demostrando consistencia sobre todo en el marco teórico, diseño metodológico y validación de los instrumentos de investigación.
CP5 Explica crítica y holísticamente el idioma inglés como segunda lengua, según los aspectos fonético, léxico y semántico utilizando las TIC para sistematizarla didácticamente en el proceso de enseñanza aprendizaje."			</t>
  </si>
  <si>
    <t xml:space="preserve">6. OBJETIVOS EDUCACIONALES DEL PROGRAMA </t>
  </si>
  <si>
    <t>7. COMPETENCIAS Y NIVELES DE COMPETENCIAS</t>
  </si>
  <si>
    <t>La competencias son vistas como una integración de saberes (conocimientos, habilidades, actitudes y valores) que permiten a los estudiantes interactuar de manera eficiente y pertinente con su entorno. Las competencias son valoradas a través de un proceso de evaluación, centrado en alineaciones entre competencias, aprendizajes esperados y producto acreditable. Esto se ejecuta a través del mapeo de competencias visto como una estrategia para la sistematización y valoración del aprendizaje. Las competencias se clasifican en generales y de especialidad.</t>
  </si>
  <si>
    <t>Sigla</t>
  </si>
  <si>
    <t>Competencias (Nivel 3: Avanzado)</t>
  </si>
  <si>
    <t>Nivel 2: Intermedio</t>
  </si>
  <si>
    <t>Nivel 1:  Básico</t>
  </si>
  <si>
    <t>CG1: Comunicación Integral</t>
  </si>
  <si>
    <t>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t>
  </si>
  <si>
    <t>Elabora textos académicos escritos y comunicaciones orales con una estructura elaborada en el cual se reconoce la revisión de fuentes y documentación apropiada para comunicar sus ideas en un entorno académico y/o social.</t>
  </si>
  <si>
    <t>Elabora textos académicos escritos y comunicaciones orales con una estructura básica para exponer con eficiencia sus ideas en un entorno académico y/o social.</t>
  </si>
  <si>
    <t>CG2: Comunicación Bilingüe</t>
  </si>
  <si>
    <t>Se desenvuelve en inglés utilizando las cuatro habilidades lingüísticas -comprensión auditiva, comprensión lectora, producción oral y producción escrita- con destreza y fluidez para el desempeño personal, académico y profesional.</t>
  </si>
  <si>
    <t>Aplica las competencias correspondientes al nivel B1 según los estándares del Marco de Referencia de la Comunidad Europea (CEFR).</t>
  </si>
  <si>
    <t>Aplica las competencias correspondientes al nivel A2 según los estándares del Marco de Referencia de la Comunidad Europea (CEFR).</t>
  </si>
  <si>
    <t>CG3: Investigación</t>
  </si>
  <si>
    <t>Planifica, plantea y elabora un proyecto de investigación, haciendo uso de los pasos del método científico en forma ética para resolver un problema, según las líneas de investigación de la universidad y respondiendo a un problema del país.</t>
  </si>
  <si>
    <t>Define cual es la metodología para responder su pregunta de investigación con ética e integridad.</t>
  </si>
  <si>
    <t>Reconoce y plantea adecuadamente que es un problema de investigación y los objetivos de la misma.</t>
  </si>
  <si>
    <t>CG4: Gestión de Recursos</t>
  </si>
  <si>
    <t>Utiliza herramientas de gestión de recursos empresariales de manera adecuada para la toma de decisiones.</t>
  </si>
  <si>
    <t>Describe el mercado con el uso de herramientas de marketing y/o modelos económicos para definir objetivos empresariales.</t>
  </si>
  <si>
    <t>Reconoce la teoría de gestión y sus componentes de manera aplicada para comprender la lógica empresarial.</t>
  </si>
  <si>
    <t>CG5: Desarrollo Humano</t>
  </si>
  <si>
    <t>Demuestra sensibilidad y disposición social en las interacciones de su vida académica, con asertividad y empatía, para afrontar de manera satisfactoria las exigencias sociales y profesionales.</t>
  </si>
  <si>
    <t>Relaciona sus características personales, valores y capacidades a través del análisis de casos para interactuar de forma propositiva con su entorno social.</t>
  </si>
  <si>
    <t>Identifica sus capacidades y/o cualidades personales y académicas mediante ejercicios y base teórica conducente al fortalecimiento del autoconocimiento.</t>
  </si>
  <si>
    <t>CP1: Orientación educativa</t>
  </si>
  <si>
    <t>Comprende el rigor científico de la teoría, la historia y la psicología aplicadas al ámbito educativo para establecer las orientaciones fundamentales del sentido educativo en los docentes y los alumnos.</t>
  </si>
  <si>
    <t>Concibe la observación educativa a nivel de la teoría, historia y psicología  para establecer las orientaciones básicas que permitan el desarrollo evolutivo.</t>
  </si>
  <si>
    <t xml:space="preserve">Establece las orientaciones fundamentales del sentido educativo en los docentes y los alumnos. </t>
  </si>
  <si>
    <t>CP2: Desarrollo de gestión educativa</t>
  </si>
  <si>
    <t>Establece relaciones entre las concepciones de administración, economía, marketing y aspectos legales como fundamentos básicos para el desarrollo de una buena gestión educativa.</t>
  </si>
  <si>
    <t xml:space="preserve">Promueve la conformación de un conjunto de procesos organizados que permitan que las áreas de gestión educativa logren sus objetivos y metas. </t>
  </si>
  <si>
    <t>Desarrolla algunos principios básicos de la gestión educativa para brindar un adecuado servicio educativo.</t>
  </si>
  <si>
    <t>CP3: Desarrollo enseñanza y aprendizaje</t>
  </si>
  <si>
    <t>Desempeñarse de manera eficiente en el desarrollo la enseñanza y de su desarrollo en su identidad docente para el buen aprendizaje de los estudiantes.</t>
  </si>
  <si>
    <t>Efectúa, de manera eficaz, el mejoramiento de la enseñanza docente para elevar la calidad educativa.</t>
  </si>
  <si>
    <t>Promueve el desarrollo de la identidad del maestro para acrecentar el aprendizaje de los alumnos.</t>
  </si>
  <si>
    <t>CP4: Investigación Educativa</t>
  </si>
  <si>
    <t>Elabora el proyecto de investigación demostrando consistencia sobre todo en el marco teórico, diseño metodológico y validación de los instrumentos de investigación.</t>
  </si>
  <si>
    <t>Realiza proyectos de investigación reflejando sustento sobre el campo metodológico y teórico para sustentar los productos acreditables.</t>
  </si>
  <si>
    <t>Implementa el marco teórico del proyecto de investigación para la validación de los posibles instrumentos a aplicar.</t>
  </si>
  <si>
    <t>CP5: Comprensión y expresión del idioma inglés</t>
  </si>
  <si>
    <t>Explica, crítica de manera holística el idioma inglés como segunda lengua, según los aspectos fonético, léxico y semántico utilizando las TIC para sistematizarla didácticamente en el proceso de enseñanza aprendizaje.</t>
  </si>
  <si>
    <t xml:space="preserve">Comprende y desarrolla el pensamiento crítico de manera integral del idioma inglés como segunda lengua, perfeccionando ciertos aspectos fundamentales como el campo fonético y léxico. </t>
  </si>
  <si>
    <t>Emplea el uso de las TIC para el proceso de sistematización del proceso enseñanza aprendizaje.</t>
  </si>
  <si>
    <t>8. APRENDIZAJES ESPERADOS</t>
  </si>
  <si>
    <t>COMPETENCIAS</t>
  </si>
  <si>
    <t>NIVEL</t>
  </si>
  <si>
    <t>APRENDIZAJES ESPERADOS</t>
  </si>
  <si>
    <t>N1</t>
  </si>
  <si>
    <t>• Se comunica en forma oral y escrita comprendiendo los diversos mensajes en una variedad de situaciones y con propósitos distintos.</t>
  </si>
  <si>
    <t>• Interpreta y produce textos teniendo en cuenta la estructura interna y externa requerida.</t>
  </si>
  <si>
    <t>• Formula los argumentos propios, de forma hablada o escrita de manera convincente teniendo en cuenta otros puntos de vista.</t>
  </si>
  <si>
    <t>N2</t>
  </si>
  <si>
    <t>• Se comunica de manera oral, escrita y no lingüística, aplicando los saberes esenciales propios de su especialidad.</t>
  </si>
  <si>
    <t>N3</t>
  </si>
  <si>
    <t>• Entiende las ideas principales de textos complejos que traten de temas tanto concretos como abstractos, incluso si son de carácter técnico siempre que estén dentro de su campo de especialización.</t>
  </si>
  <si>
    <t xml:space="preserve">• Puede relacionarse con hablantes nativos con un grado suficiente de fluidez y naturalidad de modo que la comunicación se realice sin esfuerzo por parte de ninguno de los interlocutores. </t>
  </si>
  <si>
    <t>• Produce textos claros y detallados sobre temas diversos, y defiende un punto de vista sobre temas generales indicando los pros y los contras de las distintas opciones.</t>
  </si>
  <si>
    <t>• Analiza los principales componentes del proceso de investigación teniendo en cuenta que el estudio se fundamente en fuentes bibliográficas, bases de datos, conceptos y herramientas estadísticas.</t>
  </si>
  <si>
    <t>• Realiza trabajos básicos de investigación que contribuyan al desarrollo científico, aplicando los conocimientos, habilidades y metodologías diversas en el marco de la ética y las líneas de investigación de la Universidad.</t>
  </si>
  <si>
    <t>• Elabora proyectos de investigación siguiendo el proceso de investigación científica y los conocimientos de la carrera que estudia, asociado a una línea de investigación.</t>
  </si>
  <si>
    <t>• Comprende la importancia de la gestión empresarial para el éxito de las organizaciones, mediante el análisis de estudios de casos y ejemplos reales de la aplicación de la teoría de la gestión en la práctica empresarial.</t>
  </si>
  <si>
    <t>• Analiza los fundamentos y componentes de la gestión empresarial, teniendo en cuenta el proceso administrativo y su aplicación en la práctica empresarial.</t>
  </si>
  <si>
    <t>• Establece objetivos empresariales claves y medibles, basados en los resultados de la investigación del mercado y en el análisis económico.</t>
  </si>
  <si>
    <t>• Identifica y evalúa oportunidades y riesgos del mercado, teniendo en cuenta herramientas de gestión empresarial para tomar decisiones informadas y precisas.</t>
  </si>
  <si>
    <t>• Desarrolla y fortalece su autoconocimiento generando mejora en su bienestar emocional.</t>
  </si>
  <si>
    <t xml:space="preserve">• Analiza y evalúa sus habilidades para responder a las exigencias de su entorno social. </t>
  </si>
  <si>
    <t>• Reconoce las necesidades y sentimientos de otras personas para enfrentar de manera satisfactoria las exigencias de su entorno.</t>
  </si>
  <si>
    <t>• Utiliza la habilidades blandas para afrontar de manera satisfactoria las exigencias sociales y profesionales.</t>
  </si>
  <si>
    <t>• Comprende la orientación educativa vinculada a la respuesta formativa del centro educativo.</t>
  </si>
  <si>
    <t>•  Establece relaciones transdiciplinarias desde los contenidos generales de la pedagogía y la didáctica con las ciencias de la educación.</t>
  </si>
  <si>
    <t>• Interpreta los fundamentos teóricos para su aplicación en el diseño de las sesiones de aprendizaje.</t>
  </si>
  <si>
    <t>•Realiza un plan de gestión operativa y estratégico para una centro educativo-</t>
  </si>
  <si>
    <t>• Analiza un plan de negocio que tiene consistencia económica en el ámbito de una institución educativa.</t>
  </si>
  <si>
    <t>• Implementa un plan comercial sustentado enfocado en la gestión educativa.</t>
  </si>
  <si>
    <t>• Aplica habilidades colaborativas para consolidarse como gestor y líder del cambio educativo.</t>
  </si>
  <si>
    <t>•Realiza un plan de aprendizaje progresivo que sea sostenible y acorde al contexto educativo-</t>
  </si>
  <si>
    <t>• Emplea| herramientas didácticas que promuevan un aprendizaje interactivo y dinámico.</t>
  </si>
  <si>
    <t>• Implementa estrategias innovadoras y disruptivas para elaborar las sesiones de aprendizaje.</t>
  </si>
  <si>
    <t xml:space="preserve">• Desarrolla metodologías de aprendizaje empleando el uso de las herramientas tecnológicas. </t>
  </si>
  <si>
    <t>• Identifica un problema educativo a ser atendido desde la implementación de técnicas de análisis y trabajo de campo.</t>
  </si>
  <si>
    <t>• Diseña un proyecto de innovación pedagógica desde el enforque del marco lógico.</t>
  </si>
  <si>
    <t>• Desarrolla trabajos de indagación en las Ciencias de la Educación, sustentando las relaciones inter y transdiciplinarias en el proceso de enseñanza-aprendizaje.</t>
  </si>
  <si>
    <t>• Implementa la interpretación de textos para reforzar la comprensión de textos en el idioma inglés.</t>
  </si>
  <si>
    <t>• Desarrolla una secuencia metodológica de exposiciones y presentaciones para mejorar la expresión en el idioma inglés.</t>
  </si>
  <si>
    <t>• Aplica estrategias de lectura que permitan la mejora continua de la compresión del idioma inglés.</t>
  </si>
  <si>
    <t>• Participa en espacios de debates y diálogos en las sesiones de aprendizaje que permitan la mejora de la expresión en el idioma inglés.</t>
  </si>
  <si>
    <t>9. JUSTIFICACIÓN DE LA RUTA FORMATIVA</t>
  </si>
  <si>
    <t>La ruta formativa está representada por el esquema de las sesiones de aprendizaje. Esta se soporta en un aprendizaje activo basado en competencias y con un enfoque holístico, flexible y dialógico. Para ello se diseñan experiencias de aprendizaje que promueven actuaciones complejas que van más allá de una clase magistral de transmisión de conocimiento y de memorización teórica. Sobre esto se asume que una sesión de aprendizaje en la USIL se desarrolla considerando las siguientes acciones:
-Valoración de saberes previos y su conexión con los saberes que se esperan fortalecer.
-Exposición dialógica de las metas o resultados de aprendizaje
-Conformación de equipos de trabajo donde se fomente el aprendizaje colaborativo.
- Gestión y cocreación de conocimiento a través del diálogo reflexivo y de la confrontación con la teoría.
- Práctica guiada a través de la socialización de evidencias que permitan la ejecución teórica por parte de los equipos de trabajo en contextos problematizadores y retadores.
- Metacognición a través de la síntesis y evaluación reflexiva sobre lo que se aprende en concordancia con los resultados de aprendizaje planificados.
Esta ruta formativa se plantea como flexible y adaptativa a la naturaleza de las asignaturas y a las características de los estudiantes.</t>
  </si>
  <si>
    <t>10. METODOLOGÍAS DE APRENDIZAJE</t>
  </si>
  <si>
    <t>El programa organizará sus metodologías de aprendizaje bajo el soporte del aprendizaje autónomo y personalizado. Estos son considerados como enfoques o perspectivas para planificar y ejecutar la práctica docente y, por lo tanto, facilitar el aprendizaje. Es así que ambos serán aplicados de manera transversal. A continuación, se detalla:
El aprendizaje autónomo resalta el rol activo del estudiante, requiere que asuman la responsabilidad principal de su propio proceso de adquisición y aprendizaje de conocimientos, guiados por la autorregulación, la toma de decisiones informadas y la búsqueda activa de recursos y herramientas para alcanzar sus objetivos de aprendizaje. En todo ello destaca el rol orientador del docente, mediante la gestión de los temas y de la creación de oportunidades para el autoestudio y la metacognición. La integración del aprendizaje autónomo como metodología en nuestra institución universitaria se fundamenta en la creación de un entorno educativo que promueva el pensamiento crítico y la independencia entre nuestros estudiantes. Al adoptarla, estaremos capacitando a nuestros alumnos para que asuman un rol activo en su proceso de aprendizaje, fomentando la responsabilidad y el desarrollo de habilidades de autodirección que son esenciales en el mundo académico y profesional actual. El aprendizaje autónomo no solo impulsará un compromiso más profundo con el contenido curricular, sino que también preparará a nuestros estudiantes para enfrentar desafíos de un mundo cada vez más versátil, caótico y retador, cultivando su capacidad de aprendizaje continuo y adaptabilidad a lo largo de sus vidas.
Para llevar a cabo esta forma de promover el aprendizaje, se aprovecharán los recursos de plataformas educativas en línea que ofrecen acceso a materiales didácticos variados, como lecturas, videos, tutoriales y simulaciones interactivas. Estos recursos permitirán a los estudiantes acceder al contenido de manera flexible y autogestionada, adaptando el estudio a sus ritmos y preferencias. Se establecerán metas de aprendizaje claros y se emplearán instrumentos de autoevaluación y coevaluación para que los estudiantes puedan monitorear y transformar su progreso y desempeño. Además, se fomentará la interacción a través de foros virtuales donde se debaten ideas, colaboran en proyectos y resuelven dudas en conjunto. Los docentes desempeñarán un papel orientador, brindando sesiones de asesoría en línea y retroalimentación personalizada para apoyar el crecimiento académico independiente de cada estudiante. En cuanto al aprendizaje personalizado, este se llevará a cabo a través del uso de diversas estrategias que se adaptarán a las necesidades y características individuales de los estudiantes, mediante la recopilación de información sobre los estilos de aprendizaje, preferencias y objetivos de cada estudiante al comienzo del curso, lo que permitirá a los educadores diseñar planes de aprendizaje individualizados. Se proporcionarán múltiples vías para acceder al contenido, como videos, lecturas, actividades prácticas y proyectos, para que los estudiantes puedan elegir el formato que mejor se ajuste a su forma de aprender. Los docentes actuarían como guías, proporcionando orientación, resolviendo dudas y adaptando su enfoque de enseñanza, según las necesidades de cada estudiante. La aplicación del aprendizaje personalizado se basaría en la recopilación de datos, la adaptación del contenido y la evaluación, la incorporación de la tecnología y la promoción de una comunicación constante y cercana entre docentes y estudiantes, todo con el objetivo de enriquecer la experiencia educativa y lograr un aprendizaje más significativo y efectivo.
Desde la perspectiva del aprendizaje personalizado, la evaluación es más flexible y orientada hacia la retroalimentación formativa. Los estudiantes tendrán la oportunidad de demostrar la comprensión de los temas con la ayuda de diversos medios, como exámenes, ensayos, presentaciones y proyectos creativos. Esto permitirá adaptar la evaluación a cada estilo y a las fortalezas de cada estudiante.</t>
  </si>
  <si>
    <r>
      <t>Bajo el contexto descrito, el programa organiza sus estrategias de aprendizaje a través de las siguientes metodologías activas</t>
    </r>
    <r>
      <rPr>
        <b/>
        <sz val="11"/>
        <color rgb="FF0070C0"/>
        <rFont val="Calibri"/>
        <family val="2"/>
        <scheme val="minor"/>
      </rPr>
      <t xml:space="preserve"> </t>
    </r>
    <r>
      <rPr>
        <sz val="11"/>
        <color rgb="FF0070C0"/>
        <rFont val="Calibri"/>
        <family val="2"/>
        <scheme val="minor"/>
      </rPr>
      <t>(Seleccionar en el desplegable - celda B, las metodologías activas que utilizará el programa, de acuerdo a las opciones que se listan en el recuadro celeste):</t>
    </r>
  </si>
  <si>
    <t>Metodología</t>
  </si>
  <si>
    <t>Definición</t>
  </si>
  <si>
    <t xml:space="preserve">Justificación
Fundamente la selección de la metodología considerando: la modalidad del programa, las características de los estudiante, la formación por competencias, el aprendizaje autónomo y personalizado </t>
  </si>
  <si>
    <r>
      <t xml:space="preserve">Puede adicionar alguna otra metodología que considere conveniente. </t>
    </r>
    <r>
      <rPr>
        <sz val="9"/>
        <color rgb="FFFF0000"/>
        <rFont val="Calibri"/>
        <family val="2"/>
        <scheme val="minor"/>
      </rPr>
      <t>ACÁ SOLO INDIQUE EL NOMBRE DE LA METODOLOGÍA</t>
    </r>
  </si>
  <si>
    <t>Explique cómo la metodología promueve el aprendizaje</t>
  </si>
  <si>
    <t xml:space="preserve">11. ESTRATEGIAS DE INVESTIGACIÓN </t>
  </si>
  <si>
    <t>El programa asume la investigación como una competencia esencial que se debe fortalecer dentro de las actividades formativas, puesto que esta se considera de gran relevancia para el desarrollo profesional, dado su impacto en la difusión y creación de conocimiento. Para ello, se considera la investigación formativa como una forma de entrenamiento continuo dentro de las asignaturas, lo cual permitirá que el estudiante desarrolle habilidades para la indagación, redacción académica e investigación científica. 
Para el desarrollo de la investigación formativa se desarrollan las siguientes acciones:
-La realización de actividades de aprendizaje asociadas a los intereses de los estudiantes y según su nivel de conocimiento sobre la investigación.
-Desarrollo de proyectos, monografías, artículos y/o ensayos como producto final de cada asignatura, relacionados con las líneas de investigación institucional.
-La incorporación de talleres, cursos y charlas orientados a la metodología de la investigación a lo largo de la carrera.
-La supervisión de estándares de calidad en los trabajos de tesis.
Las actividades propuestas van en coherencia con los 3 niveles de la competencia de investigación, la cual es vista de forma transversal durante toda la carrera.</t>
  </si>
  <si>
    <r>
      <t xml:space="preserve">De forma particular, este programa implementa las siguientes actividades estratégicas para el fomento de la investigación: </t>
    </r>
    <r>
      <rPr>
        <i/>
        <sz val="11"/>
        <color rgb="FF0070C0"/>
        <rFont val="Calibri"/>
        <family val="2"/>
        <scheme val="minor"/>
      </rPr>
      <t>elegir las opciones que considere conveniente y que se listan en el recuadro azul. También, puede formular otras estrategias a partir de la fila 153</t>
    </r>
  </si>
  <si>
    <t>De ser necesario, formule sus propias estrategias de investigación en las siguientes filas</t>
  </si>
  <si>
    <r>
      <t>Todo lo mencionado se enmarca dentro de la línea de investigación que a continuación se describe:</t>
    </r>
    <r>
      <rPr>
        <b/>
        <i/>
        <sz val="11"/>
        <color rgb="FF0070C0"/>
        <rFont val="Calibri"/>
        <family val="2"/>
        <scheme val="minor"/>
      </rPr>
      <t xml:space="preserve"> (Debe seleccionar en la lista desplegable la línea de investigación )</t>
    </r>
  </si>
  <si>
    <t>Línea 2. Turismo, hospitalidad, gastronomía y aspectos relacionados </t>
  </si>
  <si>
    <t xml:space="preserve">Describa, brevemente, cómo se ejecutará la línea de investigación en el programa.
</t>
  </si>
  <si>
    <r>
      <t xml:space="preserve">La línea de investigación se ejecutará a través de los siguientes </t>
    </r>
    <r>
      <rPr>
        <b/>
        <sz val="11"/>
        <color theme="1"/>
        <rFont val="Calibri"/>
        <family val="2"/>
        <scheme val="minor"/>
      </rPr>
      <t>cursos que tributan a la competencia de investigación:</t>
    </r>
    <r>
      <rPr>
        <sz val="11"/>
        <color theme="1"/>
        <rFont val="Calibri"/>
        <family val="2"/>
        <scheme val="minor"/>
      </rPr>
      <t xml:space="preserve">
</t>
    </r>
    <r>
      <rPr>
        <i/>
        <sz val="11"/>
        <color rgb="FF0070C0"/>
        <rFont val="Calibri"/>
        <family val="2"/>
        <scheme val="minor"/>
      </rPr>
      <t>El programa debe incluir los cursos vinculados a la competencia de investigación:</t>
    </r>
  </si>
  <si>
    <t>12. ESTRATEGIAS DE EVALUACIÓN DEL PROGRAMA</t>
  </si>
  <si>
    <r>
      <t xml:space="preserve">La evaluación es vista como un proceso sistemático que permite documentar el logro de las competencias y a su vez valora el aprendizaje de los estudiantes. Es por ello que el programa utiliza el mapeo de competencias como una estrategia para organizar la relación entre las asignaturas y las competencias a las que tributan, brindando una sistematización lógica para la evaluación de las mismas.  
Las competencias son valoradas a través de un proceso de evaluación, centrado en alineaciones entre competencias, aprendizajes esperados y producto acreditable, este último visto como la evidencia tangible que demuestra el resultado de una competencia. 
</t>
    </r>
    <r>
      <rPr>
        <u/>
        <sz val="11"/>
        <color rgb="FF000000"/>
        <rFont val="Calibri"/>
        <family val="2"/>
      </rPr>
      <t xml:space="preserve">Las competencias para Pregrado y CPEL se organizan de la siguiente forma:
</t>
    </r>
    <r>
      <rPr>
        <sz val="11"/>
        <color rgb="FF000000"/>
        <rFont val="Calibri"/>
        <family val="2"/>
      </rPr>
      <t xml:space="preserve">•	</t>
    </r>
    <r>
      <rPr>
        <b/>
        <sz val="11"/>
        <color rgb="FF000000"/>
        <rFont val="Calibri"/>
        <family val="2"/>
      </rPr>
      <t>Competencias genéricas:</t>
    </r>
    <r>
      <rPr>
        <sz val="11"/>
        <color rgb="FF000000"/>
        <rFont val="Calibri"/>
        <family val="2"/>
      </rPr>
      <t xml:space="preserve"> están alineadas a los cuatro pilares del modelo educativo: Emprendimiento, Investigación y Desarrollo, Globalización y Sostenibilidad.
•	</t>
    </r>
    <r>
      <rPr>
        <b/>
        <sz val="11"/>
        <color rgb="FF000000"/>
        <rFont val="Calibri"/>
        <family val="2"/>
      </rPr>
      <t xml:space="preserve">Competencias Profesionales o de especialidad: </t>
    </r>
    <r>
      <rPr>
        <sz val="11"/>
        <color rgb="FF000000"/>
        <rFont val="Calibri"/>
        <family val="2"/>
      </rPr>
      <t xml:space="preserve">son los desempeños especializados vinculados al campo laboral.
Las competencias de los programas de Pregrado y CPEL son valoradas a través de rangos de calificación, según niveles de dominio que a continuación se detallan:
-Nivel avanzado o autónomo: entre 18 a 20 ptos.
-Nivel Intermedio o resolutivo: entre 13 a 17 ptos.
-Nivel Básico o Receptivo: entre 11 a 12 ptos.
</t>
    </r>
    <r>
      <rPr>
        <u/>
        <sz val="11"/>
        <rFont val="Calibri"/>
        <family val="2"/>
      </rPr>
      <t xml:space="preserve">Las competencias para la Escuela de Posgrado se organizan de acuerdo a lo siguiente:
</t>
    </r>
    <r>
      <rPr>
        <sz val="11"/>
        <rFont val="Calibri"/>
        <family val="2"/>
      </rPr>
      <t xml:space="preserve">•	</t>
    </r>
    <r>
      <rPr>
        <b/>
        <sz val="11"/>
        <rFont val="Calibri"/>
        <family val="2"/>
      </rPr>
      <t xml:space="preserve">Competencias genéricas: </t>
    </r>
    <r>
      <rPr>
        <sz val="11"/>
        <rFont val="Calibri"/>
        <family val="2"/>
      </rPr>
      <t xml:space="preserve">se considera la competencia de investigación como eje central de la formación profesional especializada.
•	</t>
    </r>
    <r>
      <rPr>
        <b/>
        <sz val="11"/>
        <rFont val="Calibri"/>
        <family val="2"/>
      </rPr>
      <t>Competencias Profesionales o de especialidad:</t>
    </r>
    <r>
      <rPr>
        <sz val="11"/>
        <rFont val="Calibri"/>
        <family val="2"/>
      </rPr>
      <t xml:space="preserve"> son los desempeños vinculados al área de especialización disciplinar.
</t>
    </r>
    <r>
      <rPr>
        <sz val="11"/>
        <color rgb="FF000000"/>
        <rFont val="Calibri"/>
        <family val="2"/>
      </rPr>
      <t xml:space="preserve">
Para llevar a cabo la evaluación de competencias de todos los programas y niveles se determinan los productos acreditables por asignatura, los cuales serán la muestra tangible del logro de la competencia general o profesional que se ha determinado para esa asignatura. Para valorar ese producto se diseñan estrategias de evaluación como: portafolios digitales, sustentaciones orales, pruebas prácticas, análisis de casos, observación directa, entre otros. A partir de allí, se diseñan los instrumentos de evaluación de acuerdo a las características de cada producto. Para ello se construyen rúbricas, las cuales establecen los criterios, niveles de logro y descriptores que valoran el desempeño en términos de progresividad y arrojan resultados cuantitativos y cualitativos, los cuales se analizan y sistematizan para desarrollar estrategias de mejora continua.</t>
    </r>
  </si>
  <si>
    <r>
      <t xml:space="preserve">13. ESTRATEGIAS PEDAGÓGICAS ADAPTADAS A LAS CARACTERÍSTICAS DEL PÚBLICO OBJETIVO (con experiencia laboral - </t>
    </r>
    <r>
      <rPr>
        <b/>
        <sz val="10"/>
        <color rgb="FFFF0000"/>
        <rFont val="Calibri "/>
      </rPr>
      <t>SÓLO APLICA PARA CPEL</t>
    </r>
    <r>
      <rPr>
        <b/>
        <sz val="10"/>
        <color rgb="FFFFFFFF"/>
        <rFont val="Calibri "/>
      </rPr>
      <t>)</t>
    </r>
  </si>
  <si>
    <r>
      <t>Las estrategias que se consideran para un público con experiencia laboral se soportan en la andragogía, vista como un enfoque que toma en cuenta las características y necesidades  particulares de la población adulta el términos de su diferencial didáctico. Es por ello que se toma en consideración las cinco características del estudiante adulto propuesto por Knowles (2006) y que se desarrollan bajo el principio de horizontalidad y participación:
-</t>
    </r>
    <r>
      <rPr>
        <b/>
        <sz val="11"/>
        <color rgb="FF000000"/>
        <rFont val="Calibri"/>
        <family val="2"/>
      </rPr>
      <t xml:space="preserve">Autoconcepto: </t>
    </r>
    <r>
      <rPr>
        <sz val="11"/>
        <color rgb="FF000000"/>
        <rFont val="Calibri"/>
        <family val="2"/>
      </rPr>
      <t>se refiere al grado de madurez para</t>
    </r>
    <r>
      <rPr>
        <b/>
        <sz val="11"/>
        <color rgb="FF000000"/>
        <rFont val="Calibri"/>
        <family val="2"/>
      </rPr>
      <t xml:space="preserve"> </t>
    </r>
    <r>
      <rPr>
        <sz val="11"/>
        <color rgb="FF000000"/>
        <rFont val="Calibri"/>
        <family val="2"/>
      </rPr>
      <t>reconocer las propias capacidades y limitaciones que determinan la autonomía y el autoaprendizaje del estudiante adulto. Ello permitirá que el estudiante pueda reajustar las acciones hacia el autoestudio.
-</t>
    </r>
    <r>
      <rPr>
        <b/>
        <sz val="11"/>
        <color rgb="FF000000"/>
        <rFont val="Calibri"/>
        <family val="2"/>
      </rPr>
      <t xml:space="preserve">Experiencia: </t>
    </r>
    <r>
      <rPr>
        <sz val="11"/>
        <color rgb="FF000000"/>
        <rFont val="Calibri"/>
        <family val="2"/>
      </rPr>
      <t>implica la necesidad de confrontar al adulto con el nuevo conocimiento disciplinar y lo modelos mentales que ya posee, los cuales han sido adquiridos sobre la base de sus propias experiencias.
-</t>
    </r>
    <r>
      <rPr>
        <b/>
        <sz val="11"/>
        <color rgb="FF000000"/>
        <rFont val="Calibri"/>
        <family val="2"/>
      </rPr>
      <t>Disposición para Aprender:</t>
    </r>
    <r>
      <rPr>
        <sz val="11"/>
        <color rgb="FF000000"/>
        <rFont val="Calibri"/>
        <family val="2"/>
      </rPr>
      <t xml:space="preserve"> ello implica una educación adaptada a las necesidades y motivaciones del estudiante, que sea relevante de acuerdo a sus necesidades y a sus propias experiencias.
-</t>
    </r>
    <r>
      <rPr>
        <b/>
        <sz val="11"/>
        <color rgb="FF000000"/>
        <rFont val="Calibri"/>
        <family val="2"/>
      </rPr>
      <t>La orientación hacia el aprendizaje:</t>
    </r>
    <r>
      <rPr>
        <sz val="11"/>
        <color rgb="FF000000"/>
        <rFont val="Calibri"/>
        <family val="2"/>
      </rPr>
      <t xml:space="preserve"> se refiere a la aplicación práctica de los temas, que sean útiles para la vida. Ello incidirá en la motivación hacia el aprendizaje.
Sobre la base de estas características se considera la metodología de aprendizaje experiencial propuesta por Kolb (2001), el cual</t>
    </r>
    <r>
      <rPr>
        <sz val="11"/>
        <color rgb="FFFF0000"/>
        <rFont val="Calibri"/>
        <family val="2"/>
      </rPr>
      <t xml:space="preserve"> </t>
    </r>
    <r>
      <rPr>
        <sz val="11"/>
        <color rgb="FF000000"/>
        <rFont val="Calibri"/>
        <family val="2"/>
      </rPr>
      <t xml:space="preserve">plantea un proceso cíclico de aprendizaje, fomentando el autoaprenzaje y considerando los múltiples estilos de aprendizaje que se consolidan con la interacción entre estudiante-experiencia-docente. A continuación, se detallan las fases del modelo aprendizaje propuesto por este autor y que </t>
    </r>
    <r>
      <rPr>
        <b/>
        <i/>
        <sz val="11"/>
        <color rgb="FF000000"/>
        <rFont val="Calibri"/>
        <family val="2"/>
      </rPr>
      <t>brindan soporte a las estrategias pedagógicas para un público adulto y que se centran en problemas, casos, proyectos, entre otros :</t>
    </r>
    <r>
      <rPr>
        <sz val="11"/>
        <color rgb="FF000000"/>
        <rFont val="Calibri"/>
        <family val="2"/>
      </rPr>
      <t xml:space="preserve">
</t>
    </r>
    <r>
      <rPr>
        <b/>
        <i/>
        <sz val="11"/>
        <color rgb="FF000000"/>
        <rFont val="Calibri"/>
        <family val="2"/>
      </rPr>
      <t>-Experiencia concreta:</t>
    </r>
    <r>
      <rPr>
        <b/>
        <sz val="11"/>
        <color rgb="FF000000"/>
        <rFont val="Calibri"/>
        <family val="2"/>
      </rPr>
      <t xml:space="preserve"> </t>
    </r>
    <r>
      <rPr>
        <sz val="11"/>
        <color rgb="FF000000"/>
        <rFont val="Calibri"/>
        <family val="2"/>
      </rPr>
      <t xml:space="preserve">se parte de lo que estudiante conoce y cómo le da sentido a lo que conoce de acuerdo a sus vivencias.
</t>
    </r>
    <r>
      <rPr>
        <b/>
        <i/>
        <sz val="11"/>
        <color rgb="FF000000"/>
        <rFont val="Calibri"/>
        <family val="2"/>
      </rPr>
      <t xml:space="preserve">-Observación reflexiva: </t>
    </r>
    <r>
      <rPr>
        <sz val="11"/>
        <color rgb="FF000000"/>
        <rFont val="Calibri"/>
        <family val="2"/>
      </rPr>
      <t xml:space="preserve">se reflexiona sobre la experiencia, el estudiante considera las distintas perspectivas y le da sentido en coherencia con la teoría, es decir, se conecta la experiencia con los resultados obtenidos.
</t>
    </r>
    <r>
      <rPr>
        <b/>
        <i/>
        <sz val="11"/>
        <color rgb="FF000000"/>
        <rFont val="Calibri"/>
        <family val="2"/>
      </rPr>
      <t>-Conceptualización abstracta:</t>
    </r>
    <r>
      <rPr>
        <sz val="11"/>
        <color rgb="FF000000"/>
        <rFont val="Calibri"/>
        <family val="2"/>
      </rPr>
      <t xml:space="preserve"> a partir de las reflexiones, el estudiante forma nuevas ideas o modifica las existentes. Es el espacio en el que el estudiante crea sus propias teorías, ideas o conceptos que explican lo que observan o lo que la información disciplinar plantea.
</t>
    </r>
    <r>
      <rPr>
        <b/>
        <i/>
        <sz val="11"/>
        <color rgb="FF000000"/>
        <rFont val="Calibri"/>
        <family val="2"/>
      </rPr>
      <t>-Experimentación activa:</t>
    </r>
    <r>
      <rPr>
        <sz val="11"/>
        <color rgb="FF000000"/>
        <rFont val="Calibri"/>
        <family val="2"/>
      </rPr>
      <t xml:space="preserve"> es la etapa en la que el estudiante aplica sus ideas, teorías o conceptos a nuevas situaciones.  A partir de esta ejecución práctica el estudiante genera una nueva experiencia que a su vez impulsa un nuevo ciclo de aprendizaje experiencial.
El modelo de aprendizaje experiencial de Kolb se utiliza como un modelo estratégico para facilitar el aprendizaje activo y significativo en estudiantes adultos. Además, al centrarse en la resolución de problemas permite el logro de competencias, a su vez brinda autodirección al aprendizaje, haciéndolo más personalizado y adaptativo, brindando un sentido de relevancia y garantizando un aprendizaje continuo. Al centrarse en la experiencia, la reflexión, la conceptualización y la experimentación, ayuda a los estudiantes a aprender de manera más efectiva y a aplicar lo que han aprendido en diversas situaciones.</t>
    </r>
  </si>
  <si>
    <t>Otros aspectos metodológicos de aprendizaje que el programa considere conveniente indicar:</t>
  </si>
  <si>
    <t>14. MENCIONES DEL PROGRAMA DE ESTUDIOS</t>
  </si>
  <si>
    <t>14.1 NOMBRE DE LA MENCIÓN:</t>
  </si>
  <si>
    <t>DESARROLLO DE LAS ÁREAS DE LA TUTORÍA</t>
  </si>
  <si>
    <t>14.2 NOMBRE DE LA MENCIÓN:</t>
  </si>
  <si>
    <t>DISEÑO DE INSTRUMENTOS DE EVALUACIÓN</t>
  </si>
  <si>
    <t>CÓDIGO OFICIAL DEL CURSO</t>
  </si>
  <si>
    <t>CÓDIGO CURSO</t>
  </si>
  <si>
    <t>CICLO</t>
  </si>
  <si>
    <t>NOMBRE DEL CURSO</t>
  </si>
  <si>
    <t>CONDICIÓN</t>
  </si>
  <si>
    <t>SDE51002</t>
  </si>
  <si>
    <t>Electivo</t>
  </si>
  <si>
    <t>EDG51007</t>
  </si>
  <si>
    <t>EIC51007</t>
  </si>
  <si>
    <t>EIC51008</t>
  </si>
  <si>
    <t>SDE51003</t>
  </si>
  <si>
    <t>EIC61003</t>
  </si>
  <si>
    <t>SDE51004</t>
  </si>
  <si>
    <t>EIC61004</t>
  </si>
  <si>
    <t>14.3 NOMBRE DE LA MENCIÓN:</t>
  </si>
  <si>
    <t>EMPRENDIMIENTO</t>
  </si>
  <si>
    <t>14.4 NOMBRE DE LA MENCIÓN:</t>
  </si>
  <si>
    <t>GESTIÓN INTEGRAL DE LA SOSTENIBILIDAD</t>
  </si>
  <si>
    <t>GES61009</t>
  </si>
  <si>
    <t>C. M.: OPORTUNIDADES DE NEGOCIOS</t>
  </si>
  <si>
    <t>RSO61013</t>
  </si>
  <si>
    <t>BASES PARA LA GESTIÓN ESTRATÉGICA DE LA SOSTENIBILIDAD</t>
  </si>
  <si>
    <t>GES61010</t>
  </si>
  <si>
    <t>C. M.: PLAN DE NEGOCIOS</t>
  </si>
  <si>
    <t>RSO61015</t>
  </si>
  <si>
    <t>GESTIÓN EMPRESARIAL SOSTENIBLE</t>
  </si>
  <si>
    <t>GES61007</t>
  </si>
  <si>
    <t>C. M.: INCUBACIÓN I</t>
  </si>
  <si>
    <t>RSO61014</t>
  </si>
  <si>
    <t>GESTIÓN DE EMPRENDIMIENTOS SOCIOAMBIENTALES</t>
  </si>
  <si>
    <t>GES61008</t>
  </si>
  <si>
    <t>C. M.: INCUBACIÓN II</t>
  </si>
  <si>
    <t>RSO61016</t>
  </si>
  <si>
    <t>GESTIÓN DEL SECTOR PÚBLICO Y SOCIEDAD CIVIL PARA EL DESARROLLO SOSTENIBLE</t>
  </si>
  <si>
    <t>14.5 NOMBRE DE LA MENCIÓN:</t>
  </si>
  <si>
    <t>DIGITAL TRANSFORMATION FOR BUSINESS</t>
  </si>
  <si>
    <t>14.6 NOMBRE DE LA MENCIÓN:</t>
  </si>
  <si>
    <t>DATA ANALYTICS &amp; ARTIFICIAL INTELLIGENCE</t>
  </si>
  <si>
    <t>DRH65005</t>
  </si>
  <si>
    <t>CULTURAL TRANSFORMATION FOR DIGITAL TRANSFORMATION</t>
  </si>
  <si>
    <t>UOR61002</t>
  </si>
  <si>
    <t>TECNOLOGÍAS EMERGENTES</t>
  </si>
  <si>
    <t>GES52024</t>
  </si>
  <si>
    <t>CLOUD BUSINESS</t>
  </si>
  <si>
    <t>UOR61004</t>
  </si>
  <si>
    <t>INTELIGENCIA ARTIFICIAL GENERATIVA</t>
  </si>
  <si>
    <t>GSI61015</t>
  </si>
  <si>
    <t>BUSINESS AND INTERNET OF THINGS</t>
  </si>
  <si>
    <t>MSI64005</t>
  </si>
  <si>
    <t>PENSAMIENTO COMPUTACIONAL Y ANALÍTICA DE DATOS</t>
  </si>
  <si>
    <t>GSI61017</t>
  </si>
  <si>
    <t>ARTIFICIAL INTELLIGENCE FOR BUSINESS</t>
  </si>
  <si>
    <t>MSI64007</t>
  </si>
  <si>
    <t>ANÁLISIS Y VISUALIZACIÓN DE DATOS</t>
  </si>
  <si>
    <t>14.7 NOMBRE DE LA MENCIÓN:</t>
  </si>
  <si>
    <t>14.8 NOMBRE DE LA MENCIÓN:</t>
  </si>
  <si>
    <t>15. CERTIFICACIONES DEL PROGRAMA DE ESTUDIOS</t>
  </si>
  <si>
    <t>15.1 NOMBRE DEL CERTIFICADO LABORAL:</t>
  </si>
  <si>
    <t>Descripción de la Competencia Laboral:</t>
  </si>
  <si>
    <r>
      <t xml:space="preserve">Asignatura que ejecutará el proyecto que certifica la competencia profesional </t>
    </r>
    <r>
      <rPr>
        <b/>
        <i/>
        <sz val="10"/>
        <color rgb="FF0070C0"/>
        <rFont val="Calibri"/>
        <family val="2"/>
        <scheme val="minor"/>
      </rPr>
      <t>(Marcar con un "X")</t>
    </r>
  </si>
  <si>
    <r>
      <t xml:space="preserve">Producto que certifica la competencia Laboral </t>
    </r>
    <r>
      <rPr>
        <b/>
        <i/>
        <sz val="10"/>
        <color rgb="FF0070C0"/>
        <rFont val="Calibri"/>
        <family val="2"/>
        <scheme val="minor"/>
      </rPr>
      <t>(Colocarlo en el curso que certifica la competencia)</t>
    </r>
  </si>
  <si>
    <t>X</t>
  </si>
  <si>
    <t>15.2 NOMBRE DEL CERTIFICADO LABORAL:</t>
  </si>
  <si>
    <t>15.3 NOMBRE DEL CERTIFICADO LABORAL:</t>
  </si>
  <si>
    <t>PLAN CURRICULAR: EDUCACIÓN SECUNDARIA CON ESPECIALIDAD EN INGLÉS</t>
  </si>
  <si>
    <t>1. NOMBRE DEL PROGRAMA:</t>
  </si>
  <si>
    <t>5. CÓDIGO SUNEDU:</t>
  </si>
  <si>
    <t>2. MODALIDAD:</t>
  </si>
  <si>
    <t>6. RÉGIMEN DE ESTUDIOS:</t>
  </si>
  <si>
    <t>3. GRADO OTORGADO:</t>
  </si>
  <si>
    <t>P25</t>
  </si>
  <si>
    <t>7. DURACIÓN DEL PROGRAMA (EN MESES):</t>
  </si>
  <si>
    <t>4. TÍTULO OTORGADO:</t>
  </si>
  <si>
    <t xml:space="preserve">BACHILLER EN EDUCACIÓN </t>
  </si>
  <si>
    <t>8. SIGLA DEL PLAN DE ESTUDIOS (SCURRICULA)</t>
  </si>
  <si>
    <t>FC: EDU. SECUNDARIA 2024-02 - INGLÉS</t>
  </si>
  <si>
    <t>TEORIA</t>
  </si>
  <si>
    <t>PRÁCTICA</t>
  </si>
  <si>
    <t>LABORATORIO</t>
  </si>
  <si>
    <t>Ciclo</t>
  </si>
  <si>
    <r>
      <t xml:space="preserve">Indicar con (X) si el curso ha sido </t>
    </r>
    <r>
      <rPr>
        <b/>
        <sz val="8"/>
        <color rgb="FFFF0000"/>
        <rFont val="Calibri"/>
        <family val="2"/>
      </rPr>
      <t>eliminado</t>
    </r>
  </si>
  <si>
    <t>Código Oficial</t>
  </si>
  <si>
    <t>Nombre del curso</t>
  </si>
  <si>
    <t>Tipo de estudios</t>
  </si>
  <si>
    <t>Condición</t>
  </si>
  <si>
    <t>Modalidad del Curso</t>
  </si>
  <si>
    <t>Pres.</t>
  </si>
  <si>
    <t>AD</t>
  </si>
  <si>
    <t>Créditos</t>
  </si>
  <si>
    <t>Prerrequisito 1</t>
  </si>
  <si>
    <t>Prerrequisito 2</t>
  </si>
  <si>
    <t>Prerrequisito 3</t>
  </si>
  <si>
    <t>Prerrequisito 4</t>
  </si>
  <si>
    <t>Prerrequisito 5</t>
  </si>
  <si>
    <t>GES51001</t>
  </si>
  <si>
    <t>ADMINISTRACIÓN PARA LOS NEGOCIOS</t>
  </si>
  <si>
    <t>Específico</t>
  </si>
  <si>
    <t>Obligatorio</t>
  </si>
  <si>
    <t>Presencial</t>
  </si>
  <si>
    <t/>
  </si>
  <si>
    <t>PSI53001</t>
  </si>
  <si>
    <t>DESARROLLO HUMANO</t>
  </si>
  <si>
    <t>General</t>
  </si>
  <si>
    <t>ENG42003</t>
  </si>
  <si>
    <t>ENGLISH I</t>
  </si>
  <si>
    <t>COM42008</t>
  </si>
  <si>
    <t>LENGUAJE I</t>
  </si>
  <si>
    <t>MAT41003</t>
  </si>
  <si>
    <t>MATEMÁTICA</t>
  </si>
  <si>
    <t>EDG52030</t>
  </si>
  <si>
    <t>CULTURA POLÍTICA Y REALIDAD DE LA EDUCACIÓN PERUANA</t>
  </si>
  <si>
    <t>De especialidad</t>
  </si>
  <si>
    <t>ENG42005</t>
  </si>
  <si>
    <t>ENGLISH II</t>
  </si>
  <si>
    <t>EDG51016</t>
  </si>
  <si>
    <t>HISTORIA Y FILOSOFÍA DE LA EDUCACIÓN</t>
  </si>
  <si>
    <t>COM42009</t>
  </si>
  <si>
    <t>LENGUAJE II</t>
  </si>
  <si>
    <t>MAR52008</t>
  </si>
  <si>
    <t>MARKETING</t>
  </si>
  <si>
    <t>PSI51020</t>
  </si>
  <si>
    <t>PSICOLOGÍA GENERAL</t>
  </si>
  <si>
    <t>ENG42007</t>
  </si>
  <si>
    <t>ENGLISH III</t>
  </si>
  <si>
    <t>EST41001</t>
  </si>
  <si>
    <t>ESTADÍSTICA GENERAL</t>
  </si>
  <si>
    <t>API51001</t>
  </si>
  <si>
    <t>INFORMÁTICA APLICADA A LA EDUCACIÓN</t>
  </si>
  <si>
    <t>COM43009</t>
  </si>
  <si>
    <t>INTERPRETACIÓN DE TEXTOS</t>
  </si>
  <si>
    <t>GLB41002</t>
  </si>
  <si>
    <t>REALIDAD NACIONAL Y GLOBALIZACIÓN</t>
  </si>
  <si>
    <t>EDG51002</t>
  </si>
  <si>
    <t>TEORÍA DE LA EDUCACIÓN</t>
  </si>
  <si>
    <t>EDG51015</t>
  </si>
  <si>
    <t>DISEÑO Y PROGRAMACIÓN CURRICULAR</t>
  </si>
  <si>
    <t>ENG42009</t>
  </si>
  <si>
    <t>ENGLISH IV</t>
  </si>
  <si>
    <t>ENG53009</t>
  </si>
  <si>
    <t>ENGLISH VOCABULARY</t>
  </si>
  <si>
    <t>INV51002</t>
  </si>
  <si>
    <t>METODOLOGÍA DE LA INVESTIGACIÓN</t>
  </si>
  <si>
    <t>ECO51012</t>
  </si>
  <si>
    <t>PRINCIPIOS DE ECONOMÍA</t>
  </si>
  <si>
    <t>ENG42012</t>
  </si>
  <si>
    <t>ENGLISH V</t>
  </si>
  <si>
    <t>EDG62026</t>
  </si>
  <si>
    <t>ESTRATEGIAS DE ENSEÑANZA APRENDIZAJE</t>
  </si>
  <si>
    <t>ETM41007</t>
  </si>
  <si>
    <t>ÉTICA Y CIUDADANÍA</t>
  </si>
  <si>
    <t>ESE61015</t>
  </si>
  <si>
    <t>FOUNDATIONS OF GENERAL LINGUISTICS</t>
  </si>
  <si>
    <t>FIN42006</t>
  </si>
  <si>
    <t>FUNDAMENTOS DE LAS FINANZAS</t>
  </si>
  <si>
    <t>PSI52006</t>
  </si>
  <si>
    <t>PSICOLOGÍA EVOLUTIVA PARA EDUCACIÓN</t>
  </si>
  <si>
    <t>ENG53008</t>
  </si>
  <si>
    <t>ENGLISH LANGUAGE PHONETICS</t>
  </si>
  <si>
    <t>ENG42032</t>
  </si>
  <si>
    <t>ENGLISH VI: RREL</t>
  </si>
  <si>
    <t>GES66021</t>
  </si>
  <si>
    <t>GERENCIA DE INSTITUCIONES EDUCATIVAS</t>
  </si>
  <si>
    <t>ENG41003</t>
  </si>
  <si>
    <t>PUBLIC SPEAKING</t>
  </si>
  <si>
    <t>ESE61020</t>
  </si>
  <si>
    <t>SOFTWARE EDUCATIVO</t>
  </si>
  <si>
    <t>ESE61021</t>
  </si>
  <si>
    <t>TEACHING ENGLISH AS SECOND LANGUAGE: METHODS &amp; S. I</t>
  </si>
  <si>
    <t>ENC51001</t>
  </si>
  <si>
    <t>ENGLISH COMPOSITION</t>
  </si>
  <si>
    <t>INV41052</t>
  </si>
  <si>
    <t>INVESTIGACIÓN EDUCACIONAL</t>
  </si>
  <si>
    <t>GES67063</t>
  </si>
  <si>
    <t>PROYECTO INTEGRADOR</t>
  </si>
  <si>
    <t>ESE61022</t>
  </si>
  <si>
    <t>TEACHING ENGLISH AS SECOND LANGUAGE: METHODS &amp; S. II</t>
  </si>
  <si>
    <t>ELECTIVO 1</t>
  </si>
  <si>
    <t>ESE61009</t>
  </si>
  <si>
    <t>ESL: LEARNER STRATEGIES</t>
  </si>
  <si>
    <t>ENG52001</t>
  </si>
  <si>
    <t>LISTENING COMPREHENSION</t>
  </si>
  <si>
    <t>INV51047</t>
  </si>
  <si>
    <t>ORGANIZACIÓN DE LA INFORMACIÓN</t>
  </si>
  <si>
    <t>EIC61040</t>
  </si>
  <si>
    <t>PRÁCTICA PRE-PROFESIONAL INICIAL</t>
  </si>
  <si>
    <t>ELECTIVO 2</t>
  </si>
  <si>
    <t>EDG62029</t>
  </si>
  <si>
    <t>MICROCOMPUTERS &amp; MEDIA IN THE ESL CLASSROOM</t>
  </si>
  <si>
    <t>EIC61039</t>
  </si>
  <si>
    <t>PLANIFICACIÓN DE CLASES Y ACTIVIDADES</t>
  </si>
  <si>
    <t>EIC61053</t>
  </si>
  <si>
    <t>PRÁCTICA PRE-PROFESIONAL INTERMEDIA</t>
  </si>
  <si>
    <t>EDG51019</t>
  </si>
  <si>
    <t xml:space="preserve">PROJECTS IN THE CLASSROOM </t>
  </si>
  <si>
    <t>ESE61017</t>
  </si>
  <si>
    <t>SISTEMATIZACIÓN DE LA INFORMACIÓN</t>
  </si>
  <si>
    <t>ELECTIVO 3</t>
  </si>
  <si>
    <t>DRH63011</t>
  </si>
  <si>
    <t>COACHING EDUCATIVO</t>
  </si>
  <si>
    <t>INV61054</t>
  </si>
  <si>
    <t>INFORME Y SUSTENTACIÓN DEL PROYECTO DE INVESTIGACIÓN</t>
  </si>
  <si>
    <t>DER54032</t>
  </si>
  <si>
    <t>LEGISLACIÓN EDUCATIVA</t>
  </si>
  <si>
    <t>EIC61041</t>
  </si>
  <si>
    <t>PRÁCTICA PRE-PROFESIONAL INTENSIVA</t>
  </si>
  <si>
    <t>ELECTIVO 4</t>
  </si>
  <si>
    <t>1 CRÉDITO EN HR. DE TEORÍA POR PERIODO ACADÉMICO</t>
  </si>
  <si>
    <t>1 CRÉDITO EN HR. DE PRÁCTICA POR PERIODO ACADÉMICO</t>
  </si>
  <si>
    <t>MODALIDAD</t>
  </si>
  <si>
    <t>Nº HORAS LECTIVAS</t>
  </si>
  <si>
    <t>Nº  CRÉDITOS ACADÉMICOS</t>
  </si>
  <si>
    <t># Cursos</t>
  </si>
  <si>
    <t>Teoría</t>
  </si>
  <si>
    <t>Práctica</t>
  </si>
  <si>
    <t>Laboratorio</t>
  </si>
  <si>
    <t>Total</t>
  </si>
  <si>
    <t>% Total</t>
  </si>
  <si>
    <t xml:space="preserve"> % Total</t>
  </si>
  <si>
    <t>TOTAL</t>
  </si>
  <si>
    <t>TIPO DE ESTUDIOS</t>
  </si>
  <si>
    <t>Virtual</t>
  </si>
  <si>
    <t>Horas Lectivas de Teoría</t>
  </si>
  <si>
    <t>Horas Lectivas de Práctica</t>
  </si>
  <si>
    <t>Horas Lectivas de laboratorio</t>
  </si>
  <si>
    <r>
      <t>Seleccionar Competencias (</t>
    </r>
    <r>
      <rPr>
        <b/>
        <sz val="10"/>
        <color rgb="FF0070C0"/>
        <rFont val="Calibri"/>
        <family val="2"/>
        <scheme val="minor"/>
      </rPr>
      <t xml:space="preserve">Se debe definir previamente las competencias y sus niveles en </t>
    </r>
    <r>
      <rPr>
        <b/>
        <u/>
        <sz val="10"/>
        <color rgb="FF0070C0"/>
        <rFont val="Calibri"/>
        <family val="2"/>
        <scheme val="minor"/>
      </rPr>
      <t>datos generales</t>
    </r>
    <r>
      <rPr>
        <b/>
        <sz val="10"/>
        <color theme="1"/>
        <rFont val="Calibri"/>
        <family val="2"/>
        <scheme val="minor"/>
      </rPr>
      <t>)</t>
    </r>
  </si>
  <si>
    <t>Código Curso</t>
  </si>
  <si>
    <t>Nombre de Curso</t>
  </si>
  <si>
    <t>Carrera de coordinación</t>
  </si>
  <si>
    <t>Modalidad del curso</t>
  </si>
  <si>
    <t>Horas Autónomas</t>
  </si>
  <si>
    <t>Prerequisito</t>
  </si>
  <si>
    <t>Cr. Mín.</t>
  </si>
  <si>
    <t>Mención</t>
  </si>
  <si>
    <t>Competencia 1</t>
  </si>
  <si>
    <t>Competencia 2</t>
  </si>
  <si>
    <t>Competencia 3</t>
  </si>
  <si>
    <t>Competencia 4</t>
  </si>
  <si>
    <t>Competencia 5</t>
  </si>
  <si>
    <t>ADMINISTRACION</t>
  </si>
  <si>
    <t>CG4: Gestión de Recursos:N1 Reconoce la teoría de gestión y sus componentes de manera aplicada para comprender la lógica empresarial.</t>
  </si>
  <si>
    <t>FAC-HUMANIDADES</t>
  </si>
  <si>
    <t>CG5: Desarrollo Humano:N1 Identifica sus capacidades y/o cualidades personales y académicas mediante ejercicios y base teórica conducente al fortalecimiento del autoconocimiento.</t>
  </si>
  <si>
    <t>IDIOMAS</t>
  </si>
  <si>
    <t>NIVELACIÓN EN INGLÉS</t>
  </si>
  <si>
    <t>CG2: Comunicación Bilingüe:N1 Aplica las competencias correspondientes al nivel A2 según los estándares del Marco de Referencia de la Comunidad Europea (CEFR).</t>
  </si>
  <si>
    <t>COMUNICACIONES</t>
  </si>
  <si>
    <t>NIVELACIÓN EN LENGUAJE</t>
  </si>
  <si>
    <t>CG1: Comunicación Integral:N1 Elabora textos académicos escritos y comunicaciones orales con una estructura básica para exponer con eficiencia sus ideas en un entorno académico y/o social.</t>
  </si>
  <si>
    <t xml:space="preserve"> </t>
  </si>
  <si>
    <t>NIVELACIÓN EN MATEMÁTICA B</t>
  </si>
  <si>
    <t>CP3: Desarrollo enseñanza y aprendizaje:N1 Promueve el desarrollo de la identidad del maestro para acrecentar el aprendizaje de los alumnos.</t>
  </si>
  <si>
    <t xml:space="preserve">CP1: Orientación educativa:N1 Establece las orientaciones fundamentales del sentido educativo en los docentes y los alumnos. </t>
  </si>
  <si>
    <t>ENG42087</t>
  </si>
  <si>
    <t>EST41016</t>
  </si>
  <si>
    <t>CG3: Investigación:N1 Reconoce y plantea adecuadamente que es un problema de investigación y los objetivos de la misma.</t>
  </si>
  <si>
    <t>CP2: Desarrollo de gestión educativa:N1 Desarrolla algunos principios básicos de la gestión educativa para brindar un adecuado servicio educativo.</t>
  </si>
  <si>
    <t>CP5: Comprensión y expresión del idioma inglés:N1 Emplea el uso de las TIC para el proceso de sistematización del proceso enseñanza aprendizaje.</t>
  </si>
  <si>
    <t>ENG42089</t>
  </si>
  <si>
    <t>CG2: Comunicación Bilingüe:N2 Aplica las competencias correspondientes al nivel B1 según los estándares del Marco de Referencia de la Comunidad Europea (CEFR).</t>
  </si>
  <si>
    <t>CP4: Investigación Educativa:N1 Implementa el marco teórico del proyecto de investigación para la validación de los posibles instrumentos a aplicar.</t>
  </si>
  <si>
    <t>ENG42091</t>
  </si>
  <si>
    <t>CP3: Desarrollo enseñanza y aprendizaje:N2 Efectúa, de manera eficaz, el mejoramiento de la enseñanza docente para elevar la calidad educativa.</t>
  </si>
  <si>
    <t>FAC-DERECHO</t>
  </si>
  <si>
    <t>CG5: Desarrollo Humano:N3 Demuestra sensibilidad y disposición social en las interacciones de su vida académica, con asertividad y empatía, para afrontar de manera satisfactoria las exigencias sociales y profesionales.</t>
  </si>
  <si>
    <t xml:space="preserve">CP5: Comprensión y expresión del idioma inglés:N2 Comprende y desarrolla el pensamiento crítico de manera integral del idioma inglés como segunda lengua, perfeccionando ciertos aspectos fundamentales como el campo fonético y léxico. </t>
  </si>
  <si>
    <t>CG4: Gestión de Recursos:N2 Describe el mercado con el uso de herramientas de marketing y/o modelos económicos para definir objetivos empresariales.</t>
  </si>
  <si>
    <t>CP1: Orientación educativa:N2 Concibe la observación educativa a nivel de la teoría, historia y psicología  para establecer las orientaciones básicas que permitan el desarrollo evolutivo.</t>
  </si>
  <si>
    <t>CG5: Desarrollo Humano:N2 Relaciona sus características personales, valores y capacidades a través del análisis de casos para interactuar de forma propositiva con su entorno social.</t>
  </si>
  <si>
    <t>ENG42093</t>
  </si>
  <si>
    <t>CG2: Comunicación Bilingüe:N3 Se desenvuelve en inglés utilizando las cuatro habilidades lingüísticas -comprensión auditiva, comprensión lectora, producción oral y producción escrita- con destreza y fluidez para el desempeño personal, académico y profesional.</t>
  </si>
  <si>
    <t xml:space="preserve">CP2: Desarrollo de gestión educativa:N2 Promueve la conformación de un conjunto de procesos organizados que permitan que las áreas de gestión educativa logren sus objetivos y metas. </t>
  </si>
  <si>
    <t>CG1: Comunicación Integral:N2 Elabora textos académicos escritos y comunicaciones orales con una estructura elaborada en el cual se reconoce la revisión de fuentes y documentación apropiada para comunicar sus ideas en un entorno académico y/o social.</t>
  </si>
  <si>
    <t>CP4: Investigación Educativa:N2 Realiza proyectos de investigación reflejando sustento sobre el campo metodológico y teórico para sustentar los productos acreditables.</t>
  </si>
  <si>
    <t>CG3: Investigación:N2 Define cual es la metodología para responder su pregunta de investigación con ética e integridad.</t>
  </si>
  <si>
    <t>CP5: Comprensión y expresión del idioma inglés:N3 Explica, crítica de manera holística el idioma inglés como segunda lengua, según los aspectos fonético, léxico y semántico utilizando las TIC para sistematizarla didácticamente en el proceso de enseñanza aprendizaje.</t>
  </si>
  <si>
    <t>CP4: Investigación Educativa:N3 Elabora el proyecto de investigación demostrando consistencia sobre todo en el marco teórico, diseño metodológico y validación de los instrumentos de investigación.</t>
  </si>
  <si>
    <t>CP3: Desarrollo enseñanza y aprendizaje:N3 Desempeñarse de manera eficiente en el desarrollo la enseñanza y de su desarrollo en su identidad docente para el buen aprendizaje de los estudiantes.</t>
  </si>
  <si>
    <t>CG4: Gestión de Recursos:N3 Utiliza herramientas de gestión de recursos empresariales de manera adecuada para la toma de decisiones.</t>
  </si>
  <si>
    <t>CP2: Desarrollo de gestión educativa:N3 Establece relaciones entre las concepciones de administración, economía, marketing y aspectos legales como fundamentos básicos para el desarrollo de una buena gestión educativa.</t>
  </si>
  <si>
    <t>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t>
  </si>
  <si>
    <t>CG3: Investigación:N3 Planifica, plantea y elabora un proyecto de investigación, haciendo uso de los pasos del método científico en forma ética para resolver un problema, según las líneas de investigación de la universidad y respondiendo a un problema del país.</t>
  </si>
  <si>
    <t>CP1: Orientación educativa:N3 Comprende el rigor científico de la teoría, la historia y la psicología aplicadas al ámbito educativo para establecer las orientaciones fundamentales del sentido educativo en los docentes y los alumnos.</t>
  </si>
  <si>
    <t>ENG41007</t>
  </si>
  <si>
    <t>COM42010</t>
  </si>
  <si>
    <t>MAT42014</t>
  </si>
  <si>
    <t xml:space="preserve">	FAC-CC.EMPRESARIALES</t>
  </si>
  <si>
    <t>FUNDAMENTOS DE LA TUTORÍA</t>
  </si>
  <si>
    <t>LA EVALUACIÓN DE LOS APRENDIZAJES EN EL PERÚ</t>
  </si>
  <si>
    <t>DERECHO</t>
  </si>
  <si>
    <t>DESARROLLO Y DINÁMICA DE LOS GRUPOS HUMANOS</t>
  </si>
  <si>
    <t>ESTRATEGIAS DE EVALUACIÓN DE LOS APRENDIZAJES</t>
  </si>
  <si>
    <t>EMPRENDIMIENTOS GLOBALES</t>
  </si>
  <si>
    <t>DESARROLLO DE LAS ÁREAS DE TUTORÍA</t>
  </si>
  <si>
    <t>CTRO. EMPRENDIM</t>
  </si>
  <si>
    <t>ACTIVIDADES DE EVALUACIÓN DE LOS APRENDIZAJES</t>
  </si>
  <si>
    <t>PLAN DE TUTORÍA Y CONVIVENCIA ESCOLAR</t>
  </si>
  <si>
    <t>CÓDIGO DEL PROGRAMA (SUNEDU):</t>
  </si>
  <si>
    <t>PRIMER CICLO</t>
  </si>
  <si>
    <t>SEGUNDO CICLO</t>
  </si>
  <si>
    <t>TERCER CICLO</t>
  </si>
  <si>
    <t>CUARTO CICLO</t>
  </si>
  <si>
    <t>QUNTO CICLO</t>
  </si>
  <si>
    <t>SEXTO CICLO</t>
  </si>
  <si>
    <t>SÉPTIMO CICLO</t>
  </si>
  <si>
    <t>OCTAVO CICLO</t>
  </si>
  <si>
    <t>NOVENO CICLO</t>
  </si>
  <si>
    <t>DÉCIMO CICLO</t>
  </si>
  <si>
    <t>UNDÉCIMO CICLO</t>
  </si>
  <si>
    <t>DUODÉCIMO CICLO</t>
  </si>
  <si>
    <t>DECIMOTERCER PISO</t>
  </si>
  <si>
    <t>DECIMOCUARTO CICLO</t>
  </si>
  <si>
    <t>Competencias</t>
  </si>
  <si>
    <t># DE CURSOS</t>
  </si>
  <si>
    <t>Total Competencias</t>
  </si>
  <si>
    <r>
      <rPr>
        <b/>
        <sz val="11"/>
        <color theme="1"/>
        <rFont val="Calibri"/>
        <family val="2"/>
        <scheme val="minor"/>
      </rPr>
      <t>CG:</t>
    </r>
    <r>
      <rPr>
        <sz val="11"/>
        <color theme="1"/>
        <rFont val="Calibri"/>
        <family val="2"/>
        <scheme val="minor"/>
      </rPr>
      <t xml:space="preserve"> Competencias Generales</t>
    </r>
  </si>
  <si>
    <r>
      <rPr>
        <b/>
        <sz val="11"/>
        <color theme="1"/>
        <rFont val="Calibri"/>
        <family val="2"/>
        <scheme val="minor"/>
      </rPr>
      <t xml:space="preserve">CP: </t>
    </r>
    <r>
      <rPr>
        <sz val="11"/>
        <color theme="1"/>
        <rFont val="Calibri"/>
        <family val="2"/>
        <scheme val="minor"/>
      </rPr>
      <t>Competencias Profesionales</t>
    </r>
  </si>
  <si>
    <t>TERCERO CICLO</t>
  </si>
  <si>
    <t>QUINTO CICLO</t>
  </si>
  <si>
    <t>DECIMOTERCER CICLO</t>
  </si>
  <si>
    <t xml:space="preserve">            Cursos Generales</t>
  </si>
  <si>
    <t xml:space="preserve">            Cursos Específicos</t>
  </si>
  <si>
    <t xml:space="preserve">            Cursos de Especialidad</t>
  </si>
  <si>
    <t>PERIODO</t>
  </si>
  <si>
    <t>PLUS</t>
  </si>
  <si>
    <t>CARRERAS DE COORDINACIÓN</t>
  </si>
  <si>
    <t>UNIDAD</t>
  </si>
  <si>
    <t>DENOMINACIÓN DEL PROGRAMA (ESPAÑOL)</t>
  </si>
  <si>
    <t>CONCATENADO</t>
  </si>
  <si>
    <t>CODIGO SUNEDU</t>
  </si>
  <si>
    <t>GRADO OTORGADO</t>
  </si>
  <si>
    <t>TÍTULO OTORGADO</t>
  </si>
  <si>
    <t>REGIMEN</t>
  </si>
  <si>
    <t>DURACIÓN</t>
  </si>
  <si>
    <t xml:space="preserve">MODALIDAD </t>
  </si>
  <si>
    <t>CONCATENAR</t>
  </si>
  <si>
    <t>Curso</t>
  </si>
  <si>
    <t>Competencia</t>
  </si>
  <si>
    <t>Concatena</t>
  </si>
  <si>
    <t>Visto</t>
  </si>
  <si>
    <t>2024-02</t>
  </si>
  <si>
    <t>SI</t>
  </si>
  <si>
    <t>ADM. DE SALUD</t>
  </si>
  <si>
    <t>CPEL</t>
  </si>
  <si>
    <t>ADMINISTRACIÓN DE EMPRESAS</t>
  </si>
  <si>
    <t>P02</t>
  </si>
  <si>
    <t>BACHILLER EN ADMINISTRACIÓN DE EMPRESAS</t>
  </si>
  <si>
    <t>LICENCIADO EN ADMINISTRACIÓN DE EMPRESAS</t>
  </si>
  <si>
    <t>ADMINISTRACIÓN</t>
  </si>
  <si>
    <t>P01</t>
  </si>
  <si>
    <t>A DISTANCIA</t>
  </si>
  <si>
    <t>NO</t>
  </si>
  <si>
    <t>ADM. HOTELERA</t>
  </si>
  <si>
    <t>P123</t>
  </si>
  <si>
    <t>SEMIPRESENCIAL</t>
  </si>
  <si>
    <t>P117</t>
  </si>
  <si>
    <t>2025-02</t>
  </si>
  <si>
    <t>ADM. TURISMO</t>
  </si>
  <si>
    <t>P128</t>
  </si>
  <si>
    <t>2026-01</t>
  </si>
  <si>
    <t>ADM. Y EMPREND.</t>
  </si>
  <si>
    <t>ADMINISTRACIÓN Y FINANZAS</t>
  </si>
  <si>
    <t>P93</t>
  </si>
  <si>
    <t>BACHILLER EN ADMINISTRACIÓN Y FINANZAS</t>
  </si>
  <si>
    <t>LICENCIADO EN ADMINISTRACIÓN Y FINANZAS</t>
  </si>
  <si>
    <t>2026-02</t>
  </si>
  <si>
    <t>P131</t>
  </si>
  <si>
    <t>ADMINISTRACIÓN DE LA SALUD</t>
  </si>
  <si>
    <t>P03</t>
  </si>
  <si>
    <t>2027-01</t>
  </si>
  <si>
    <t>ARQUITECTURA</t>
  </si>
  <si>
    <t>COMUNICACIÓN Y PUBLICIDAD</t>
  </si>
  <si>
    <t>P96</t>
  </si>
  <si>
    <t>BACHILLER EN COMUNICACIÓN Y PUBLICIDAD</t>
  </si>
  <si>
    <t>LICENCIADO EN COMUNICACIÓN Y PUBLICIDAD</t>
  </si>
  <si>
    <t>ADMINISTRACIÓN EN TURISMO</t>
  </si>
  <si>
    <t>P04</t>
  </si>
  <si>
    <t>ARTE CULINARIO</t>
  </si>
  <si>
    <t>P132</t>
  </si>
  <si>
    <t xml:space="preserve">ADMINISTRACIÓN EN TURISMO </t>
  </si>
  <si>
    <t>P118</t>
  </si>
  <si>
    <t>ARTE Y DISEÑO</t>
  </si>
  <si>
    <t>CONTABILIDAD</t>
  </si>
  <si>
    <t>P11</t>
  </si>
  <si>
    <t>BACHILLER EN CONTABILIDAD</t>
  </si>
  <si>
    <t>CONTADOR PÚBLICO</t>
  </si>
  <si>
    <t>ADMINISTRACIÓN HOTELERA</t>
  </si>
  <si>
    <t>P05</t>
  </si>
  <si>
    <t>BILINGUAL PROG.</t>
  </si>
  <si>
    <t>P129</t>
  </si>
  <si>
    <t>ADMINISTRACIÓN Y EMPRENDIMIENTO</t>
  </si>
  <si>
    <t>P06</t>
  </si>
  <si>
    <t>CAE-BC</t>
  </si>
  <si>
    <t>P203</t>
  </si>
  <si>
    <t>BACHILLER EN DERECHO</t>
  </si>
  <si>
    <t>ABOGADO</t>
  </si>
  <si>
    <t>MENCIÓN</t>
  </si>
  <si>
    <t>CC ACT FIS DEP</t>
  </si>
  <si>
    <t>P204</t>
  </si>
  <si>
    <t>ADMINISTRACIÓN Y FINANZAS CORPORATIVAS</t>
  </si>
  <si>
    <t>P94</t>
  </si>
  <si>
    <t>CGE:BRW</t>
  </si>
  <si>
    <t>INGENIERÍA CIVIL</t>
  </si>
  <si>
    <t>P205</t>
  </si>
  <si>
    <t>BACHILLER EN INGENIERÍA CIVIL</t>
  </si>
  <si>
    <t>INGENIERO CIVIL</t>
  </si>
  <si>
    <t>ADMINISTRACIÓN Y GESTIÓN AMBIENTAL</t>
  </si>
  <si>
    <t>P29</t>
  </si>
  <si>
    <t>P206</t>
  </si>
  <si>
    <t>ARQUITECTURA, URBANISMO Y TERRITORIO</t>
  </si>
  <si>
    <t>P07</t>
  </si>
  <si>
    <t>INGENIERÍA EMPRESARIAL Y DE SISTEMAS</t>
  </si>
  <si>
    <t>P34</t>
  </si>
  <si>
    <t>BACHILLER EN INGENIERÍA EMPRESARIAL Y DE SISTEMAS</t>
  </si>
  <si>
    <t>INGENIERO EMPRESARIAL Y DE SISTEMAS</t>
  </si>
  <si>
    <t>P08</t>
  </si>
  <si>
    <t>CURSOS LIBRES</t>
  </si>
  <si>
    <t>P130</t>
  </si>
  <si>
    <t>ARTE Y DISEÑO EMPRESARIAL</t>
  </si>
  <si>
    <t>P09</t>
  </si>
  <si>
    <t>DECAN-ING</t>
  </si>
  <si>
    <t>INGENIERÍA INDUSTRIAL</t>
  </si>
  <si>
    <t>P36</t>
  </si>
  <si>
    <t>BACHILLER EN INGENIERÍA INDUSTRIAL</t>
  </si>
  <si>
    <t>INGENIERO INDUSTRIAL</t>
  </si>
  <si>
    <t>CIENCIAS DE LA ACTIVIDAD FÍSICA Y DEL DEPORTE</t>
  </si>
  <si>
    <t>P95</t>
  </si>
  <si>
    <t>P125</t>
  </si>
  <si>
    <t>DESARROLLO HUMANO-CG1: Comunicación Integral:N1 Nivel 1 de</t>
  </si>
  <si>
    <t>ECONOMIA</t>
  </si>
  <si>
    <t>MARKETING Y GESTIÓN COMERCIAL</t>
  </si>
  <si>
    <t>P44</t>
  </si>
  <si>
    <t>BACHILLER EN MARKETING Y GESTIÓN COMERCIAL</t>
  </si>
  <si>
    <t>LICENCIADO EN MARKETING Y GESTIÓN COMERCIAL</t>
  </si>
  <si>
    <t>P10</t>
  </si>
  <si>
    <t>EDUC. INICIAL</t>
  </si>
  <si>
    <t>P126</t>
  </si>
  <si>
    <t>P119</t>
  </si>
  <si>
    <t>EDUC. SECUND.</t>
  </si>
  <si>
    <t>NEGOCIOS INTERNACIONALES</t>
  </si>
  <si>
    <t>P46</t>
  </si>
  <si>
    <t>BACHILLER EN NEGOCIOS INTERNACIONALES</t>
  </si>
  <si>
    <t>LICENCIADO EN NEGOCIOS INTERNACIONALES</t>
  </si>
  <si>
    <t>BACHILLER</t>
  </si>
  <si>
    <t>EDUCACION</t>
  </si>
  <si>
    <t>P127</t>
  </si>
  <si>
    <t xml:space="preserve">DERECHO </t>
  </si>
  <si>
    <t>P12</t>
  </si>
  <si>
    <t>MAESTRO</t>
  </si>
  <si>
    <t>EST-GRALES</t>
  </si>
  <si>
    <t>NUTRICIÓN Y DIETÉTICA</t>
  </si>
  <si>
    <t>P210</t>
  </si>
  <si>
    <t>BACHILLER EN NUTRICIÓN Y DIETÉTICA</t>
  </si>
  <si>
    <t>LICENCIADO EN NUTRICIÓN Y DIETÉTICA</t>
  </si>
  <si>
    <t>P120</t>
  </si>
  <si>
    <t>DOCTOR</t>
  </si>
  <si>
    <t>TRIMESTRAL</t>
  </si>
  <si>
    <t>FAC-CC.EMPRESARIALES</t>
  </si>
  <si>
    <t>P211</t>
  </si>
  <si>
    <t>DISEÑO Y GESTIÓN DE MARCA</t>
  </si>
  <si>
    <t>P13</t>
  </si>
  <si>
    <t>CUATRIMESTRAL</t>
  </si>
  <si>
    <t>P212</t>
  </si>
  <si>
    <t>ECONOMÍA</t>
  </si>
  <si>
    <t>P14</t>
  </si>
  <si>
    <t>PSICOLOGÍA</t>
  </si>
  <si>
    <t>P207</t>
  </si>
  <si>
    <t>BACHILLER EN PSICOLOGÍA</t>
  </si>
  <si>
    <t>LICENCIADO EN PSICOLOGÍA</t>
  </si>
  <si>
    <t>ECONOMÍA Y FINANZAS</t>
  </si>
  <si>
    <t>P15</t>
  </si>
  <si>
    <t>ANUAL</t>
  </si>
  <si>
    <t>FAC-ING</t>
  </si>
  <si>
    <t>P208</t>
  </si>
  <si>
    <t>ECONOMÍA Y NEGOCIOS INTERNACIONALES</t>
  </si>
  <si>
    <t>P16</t>
  </si>
  <si>
    <t>OTRA</t>
  </si>
  <si>
    <t>GASTRONOMIA</t>
  </si>
  <si>
    <t>P209</t>
  </si>
  <si>
    <t xml:space="preserve">EDUCACIÓN </t>
  </si>
  <si>
    <t>P17</t>
  </si>
  <si>
    <t>GENERALES</t>
  </si>
  <si>
    <t>BACHILLER EN ADMINISTRACIÓN</t>
  </si>
  <si>
    <t>LICENCIADO EN ADMINISTRACIÓN</t>
  </si>
  <si>
    <t>Semestral</t>
  </si>
  <si>
    <t>EDUCACIÓN CON ESPECIALIDAD EN CIENCIA Y TECNOLOGÍA</t>
  </si>
  <si>
    <t>P90</t>
  </si>
  <si>
    <t>GEST. AMBIENTAL</t>
  </si>
  <si>
    <t>EDUCACIÓN CON ESPECIALIDAD EN LETRAS Y HUMANIDADES</t>
  </si>
  <si>
    <t>P91</t>
  </si>
  <si>
    <t>P178</t>
  </si>
  <si>
    <t>EDUCACIÓN INICIAL</t>
  </si>
  <si>
    <t>P18</t>
  </si>
  <si>
    <t>ING MECATRONICA</t>
  </si>
  <si>
    <t>BACHILLER EN ADMINISTRACIÓN DE LA SALUD</t>
  </si>
  <si>
    <t>LICENCIADO EN ADMINISTRACIÓN DE LA SALUD</t>
  </si>
  <si>
    <t xml:space="preserve">EDUCACIÓN INICIAL INTERCULTURAL BILINGÜE </t>
  </si>
  <si>
    <t>P19</t>
  </si>
  <si>
    <t>ING. AGROINDUST</t>
  </si>
  <si>
    <t>ADMINISTRACIÓN DE NEGOCIOS DIGITALES</t>
  </si>
  <si>
    <t>P197</t>
  </si>
  <si>
    <t xml:space="preserve"> BACHILLER EN ADMINISTRACIÓN 
DE NEGOCIOS DIGITALES</t>
  </si>
  <si>
    <t>LICENCIADO EN ADMINISTRACIÓN DE NEGOCIOS DIGITALES</t>
  </si>
  <si>
    <t>EDUCACIÓN PRIMARIA</t>
  </si>
  <si>
    <t>P20</t>
  </si>
  <si>
    <t>ING. AMBIENTAL</t>
  </si>
  <si>
    <t>P198</t>
  </si>
  <si>
    <t xml:space="preserve">EDUCACIÓN PRIMARIA INTERCULTURAL BILINGÜE </t>
  </si>
  <si>
    <t>P21</t>
  </si>
  <si>
    <t>ING. CIVIL</t>
  </si>
  <si>
    <t>P199</t>
  </si>
  <si>
    <t>EDUCACIÓN SECUNDARIA CON ESPECIALIDAD EN BIOLOGÍA Y QUÍMICA</t>
  </si>
  <si>
    <t>P22</t>
  </si>
  <si>
    <t>ING. EMPRESARIA</t>
  </si>
  <si>
    <t>BACHILLER EN ADMINISTRACIÓN EN TURISMO</t>
  </si>
  <si>
    <t>LICENCIADO EN ADMINISTRACIÓN EN TURISMO</t>
  </si>
  <si>
    <t>EDUCACIÓN SECUNDARIA CON ESPECIALIDAD EN CIENCIAS SOCIALES</t>
  </si>
  <si>
    <t>P23</t>
  </si>
  <si>
    <t>ING. IND ALIMEN</t>
  </si>
  <si>
    <t>EDUCACIÓN SECUNDARIA CON ESPECIALIDAD EN INFORMÁTICA</t>
  </si>
  <si>
    <t>P24</t>
  </si>
  <si>
    <t>ING. IND. Y COM</t>
  </si>
  <si>
    <t>P179</t>
  </si>
  <si>
    <t>ING. INFORMATIC</t>
  </si>
  <si>
    <t>BACHILLER EN ADMINISTRACIÓN HOTELERA</t>
  </si>
  <si>
    <t>LICENCIADO EN ADMINISTRACIÓN HOTELERA</t>
  </si>
  <si>
    <t>EDUCACIÓN SECUNDARIA CON ESPECIALIDAD EN LENGUAJE Y LITERATURA</t>
  </si>
  <si>
    <t>P26</t>
  </si>
  <si>
    <t>ING. LOG.TRANSP</t>
  </si>
  <si>
    <t>P124</t>
  </si>
  <si>
    <t>EDUCACIÓN SECUNDARIA CON ESPECIALIDAD EN MATEMÁTICA Y FÍSICA</t>
  </si>
  <si>
    <t>P27</t>
  </si>
  <si>
    <t>ING. MECANICA</t>
  </si>
  <si>
    <t>P156</t>
  </si>
  <si>
    <t>GESTIÓN E INNOVACIÓN EN GASTRONOMÍA</t>
  </si>
  <si>
    <t>P28</t>
  </si>
  <si>
    <t>ING. SOFTWARE</t>
  </si>
  <si>
    <t>BACHILLER EN ADMINISTRACIÓN Y EMPRENDIMIENTO</t>
  </si>
  <si>
    <t>LICENCIADO EN ADMINISTRACIÓN Y EMPRENDIMIENTO</t>
  </si>
  <si>
    <t xml:space="preserve">INGENIERÍA AGROINDUSTRIAL </t>
  </si>
  <si>
    <t>P30</t>
  </si>
  <si>
    <t>INTER. BUSINESS</t>
  </si>
  <si>
    <t>P134</t>
  </si>
  <si>
    <t>INGENIERÍA AMBIENTAL</t>
  </si>
  <si>
    <t>P31</t>
  </si>
  <si>
    <t>P157</t>
  </si>
  <si>
    <t>P32</t>
  </si>
  <si>
    <t>MEDICINA HUMANA</t>
  </si>
  <si>
    <t>BACHILLER EN ADMINISTRACIÓN Y FINANZAS CORPORATIVAS</t>
  </si>
  <si>
    <t>LICENCIADO EN ADMINISTRACIÓN Y FINANZAS CORPORATIVAS</t>
  </si>
  <si>
    <t>INGENIERÍA DE CONSTRUCCIÓN</t>
  </si>
  <si>
    <t>P86</t>
  </si>
  <si>
    <t>MUSICA</t>
  </si>
  <si>
    <t>P153</t>
  </si>
  <si>
    <t>INGENIERÍA DE SISTEMAS DE INFORMACIÓN</t>
  </si>
  <si>
    <t>P38</t>
  </si>
  <si>
    <t>NUTRIC.-DIETET.</t>
  </si>
  <si>
    <t>P158</t>
  </si>
  <si>
    <t>INGENIERÍA DE SOFTWARE</t>
  </si>
  <si>
    <t>P97</t>
  </si>
  <si>
    <t>PSICOLOGIA</t>
  </si>
  <si>
    <t>BACHILLER EN ADMINISTRACIÓN Y GESTIÓN AMBIENTAL</t>
  </si>
  <si>
    <t>LICENCIADO EN ADMINISTRACIÓN Y GESTIÓN AMBIENTAL</t>
  </si>
  <si>
    <t>INGENIERÍA DEL AGUA</t>
  </si>
  <si>
    <t>P87</t>
  </si>
  <si>
    <t>RELAC. INTERNAC</t>
  </si>
  <si>
    <t>BACHILLER EN ARQUITECTURA, URBANISMO Y TERRITORIO</t>
  </si>
  <si>
    <t>ARQUITECTO</t>
  </si>
  <si>
    <t>INGENIERÍA EMPRESARIAL</t>
  </si>
  <si>
    <t>P33</t>
  </si>
  <si>
    <t>SOSTENIBILIDAD</t>
  </si>
  <si>
    <t>P135</t>
  </si>
  <si>
    <t>P159</t>
  </si>
  <si>
    <t>INGENIERÍA EN INDUSTRIAS ALIMENTARIAS</t>
  </si>
  <si>
    <t>P35</t>
  </si>
  <si>
    <t>BACHILLER EN ARTE CULINARIO</t>
  </si>
  <si>
    <t>LICENCIADO EN ARTE CULINARIO</t>
  </si>
  <si>
    <t>P136</t>
  </si>
  <si>
    <t>INGENIERÍA INDUSTRIAL Y COMERCIAL</t>
  </si>
  <si>
    <t>P37</t>
  </si>
  <si>
    <t>P160</t>
  </si>
  <si>
    <t>INGENIERÍA LOGÍSTICA Y DE TRANSPORTE</t>
  </si>
  <si>
    <t>P39</t>
  </si>
  <si>
    <t>BACHILLER EN ARTE Y DISEÑO EMPRESARIAL</t>
  </si>
  <si>
    <t>LICENCIADO EN ARTE Y DISEÑO EMPRESARIAL</t>
  </si>
  <si>
    <t>INGENIERÍA MECÁNICA</t>
  </si>
  <si>
    <t>P40</t>
  </si>
  <si>
    <t>P137</t>
  </si>
  <si>
    <t>INGENIERÍA MECATRÓNICA</t>
  </si>
  <si>
    <t>P98</t>
  </si>
  <si>
    <t>P161</t>
  </si>
  <si>
    <t>INGENIERÍA QUÍMICA</t>
  </si>
  <si>
    <t>P41</t>
  </si>
  <si>
    <t>CIENCIA DE DATOS</t>
  </si>
  <si>
    <t>P133</t>
  </si>
  <si>
    <t>BACHILLER EN CIENCIA DE DATOS</t>
  </si>
  <si>
    <t>LICENCIADO EN CIENCIA DE DATOS</t>
  </si>
  <si>
    <t>INTERNATIONAL BUSINESS</t>
  </si>
  <si>
    <t>P42</t>
  </si>
  <si>
    <t>P184</t>
  </si>
  <si>
    <t>P121</t>
  </si>
  <si>
    <t>BACHILLER EN CIENCIAS DE LA ACTIVIDAD FÍSICA Y DEL DEPORTE</t>
  </si>
  <si>
    <t>LICENCIADO EN CIENCIAS DE LA ACTIVIDAD FÍSICA Y DEL DEPORTE</t>
  </si>
  <si>
    <t>P43</t>
  </si>
  <si>
    <t>BACHILLER EN COMUNICACIONES</t>
  </si>
  <si>
    <t>LICENCIADO EN COMUNICACIONES</t>
  </si>
  <si>
    <t>P122</t>
  </si>
  <si>
    <t>P180</t>
  </si>
  <si>
    <t>P92</t>
  </si>
  <si>
    <t>MULTIMEDIA Y FOTOGRAFÍA PUBLICITARIA</t>
  </si>
  <si>
    <t>P45</t>
  </si>
  <si>
    <t>MÚSICA</t>
  </si>
  <si>
    <t>P88</t>
  </si>
  <si>
    <t>P181</t>
  </si>
  <si>
    <t>BACHILLER EN DISEÑO Y GESTIÓN DE MARCA</t>
  </si>
  <si>
    <t>LICENCIADO EN DISEÑO Y GESTIÓN DE MARCA</t>
  </si>
  <si>
    <t>P47</t>
  </si>
  <si>
    <t xml:space="preserve">BACHILLER EN ECONOMÍA </t>
  </si>
  <si>
    <t>LICENCIADO EN ECONOMÍA</t>
  </si>
  <si>
    <t>P48</t>
  </si>
  <si>
    <t>P138</t>
  </si>
  <si>
    <t>RELACIONES INTERNACIONALES</t>
  </si>
  <si>
    <t>P49</t>
  </si>
  <si>
    <t>P162</t>
  </si>
  <si>
    <t>BACHILLER EN ECONOMÍA Y FINANZAS</t>
  </si>
  <si>
    <t>LICENCIADO EN ECONOMÍA Y FINANZAS</t>
  </si>
  <si>
    <t>P139</t>
  </si>
  <si>
    <t>P163</t>
  </si>
  <si>
    <t>BACHILLER EN ECONOMÍA Y NEGOCIOS INTERNACIONALES</t>
  </si>
  <si>
    <t>LICENCIADO EN ECONOMÍA Y NEGOCIOS INTERNACIONALES</t>
  </si>
  <si>
    <t>P140</t>
  </si>
  <si>
    <t>P164</t>
  </si>
  <si>
    <t>EDUCACIÓN</t>
  </si>
  <si>
    <t>BACHILLER EN EDUCACIÓN</t>
  </si>
  <si>
    <t>LICENCIADO EN EDUCACIÓN</t>
  </si>
  <si>
    <t>LICENCIADO EN EDUCACIÓN CON ESPECIALIDAD EN CIENCIA Y TECNOLOGÍA</t>
  </si>
  <si>
    <t>LICENCIADO EN EDUCACIÓN CON ESPECIALIDAD EN LETRAS Y HUMANIDADES</t>
  </si>
  <si>
    <t>LICENCIADO EN EDUCACIÓN INICIAL</t>
  </si>
  <si>
    <t>EDUCACIÓN INICIAL INTERCULTURAL BILINGÜE</t>
  </si>
  <si>
    <t>LICENCIADO EN EDUCACIÓN INICIAL INTERCULTURAL BILINGÜE</t>
  </si>
  <si>
    <t>LICENCIADO EN EDUCACIÓN PRIMARIA</t>
  </si>
  <si>
    <t>EDUCACIÓN PRIMARIA INTERCULTURAL BILINGÜE</t>
  </si>
  <si>
    <t>LICENCIADO EN EDUCACIÓN PRIMARIA INTERCULTURAL BILINGÜE</t>
  </si>
  <si>
    <t>LICENCIADO EN EDUCACIÓN SECUNDARIA CON  ESPECIALIDAD EN BIOLOGÍA Y QUÍMICA</t>
  </si>
  <si>
    <t>LICENCIADO EN EDUCACIÓN SECUNDARIA CON  ESPECIALIDAD EN CIENCIAS SOCIALES</t>
  </si>
  <si>
    <t>LICENCIADO EN EDUCACIÓN SECUNDARIA CON  ESPECIALIDAD EN INFORMÁTICA</t>
  </si>
  <si>
    <t>LICENCIADO EN EDUCACIÓN SECUNDARIA CON  ESPECIALIDAD EN INGLÉS</t>
  </si>
  <si>
    <t>LICENCIADO EN EDUCACIÓN SECUNDARIA CON  ESPECIALIDAD EN LENGUAJE Y LITERATURA</t>
  </si>
  <si>
    <t>LICENCIADO EN EDUCACIÓN SECUNDARIA CON  ESPECIALIDAD EN MATEMÁTICA Y FÍSICA</t>
  </si>
  <si>
    <t>ENFERMERÍA</t>
  </si>
  <si>
    <t>P213</t>
  </si>
  <si>
    <t>BACHILLER EN ENFERMERÍA</t>
  </si>
  <si>
    <t>LICENCIADO EN ENFERMERÍA</t>
  </si>
  <si>
    <t>P214</t>
  </si>
  <si>
    <t>BACHILLER EN GESTIÓN E INNOVACIÓN EN GASTRONOMÍA</t>
  </si>
  <si>
    <t>LICENCIADO EN GESTIÓN E INNOVACIÓN EN GASTRONOMÍA</t>
  </si>
  <si>
    <t>P141</t>
  </si>
  <si>
    <t>P165</t>
  </si>
  <si>
    <t>INGENIERÍA AGROINDUSTRIAL</t>
  </si>
  <si>
    <t xml:space="preserve">BACHILLER EN INGENIERÍA AGROINDUSTRIAL </t>
  </si>
  <si>
    <t xml:space="preserve">INGENIERO AGROINDUSTRIAL </t>
  </si>
  <si>
    <t>P142</t>
  </si>
  <si>
    <t>P166</t>
  </si>
  <si>
    <t>BACHILLER EN INGENIERÍA AMBIENTAL</t>
  </si>
  <si>
    <t>INGENIERO AMBIENTAL</t>
  </si>
  <si>
    <t>P143</t>
  </si>
  <si>
    <t>P167</t>
  </si>
  <si>
    <t>INGENIERÍA BIOTECNOLÓGICA</t>
  </si>
  <si>
    <t>P200</t>
  </si>
  <si>
    <t>BACHILLER EN INGENIERÍA BIOTECNOLÓGICA</t>
  </si>
  <si>
    <t xml:space="preserve">
INGENIERO BIOTECNÓLOGO</t>
  </si>
  <si>
    <t>P201</t>
  </si>
  <si>
    <t>P202</t>
  </si>
  <si>
    <t>P144</t>
  </si>
  <si>
    <t>P168</t>
  </si>
  <si>
    <t>BACHILLER EN INGENIERÍA DE CONSTRUCCIÓN</t>
  </si>
  <si>
    <t>INGENIERO DE CONSTRUCCIÓN</t>
  </si>
  <si>
    <t>BACHILLER EN INGENIERÍA DE SISTEMAS DE INFORMACIÓN</t>
  </si>
  <si>
    <t>INGENIERO DE SISTEMAS DE INFORMACIÓN</t>
  </si>
  <si>
    <t>P148</t>
  </si>
  <si>
    <t>P169</t>
  </si>
  <si>
    <t>BACHILLER EN INGENIERÍA DE SOFTWARE</t>
  </si>
  <si>
    <t>INGENIERO DE SOFTWARE</t>
  </si>
  <si>
    <t>P154</t>
  </si>
  <si>
    <t>P170</t>
  </si>
  <si>
    <t>BACHILLER EN INGENIERÍA DEL AGUA</t>
  </si>
  <si>
    <t>INGENIERO DEL AGUA</t>
  </si>
  <si>
    <t>BACHILLER EN INGENIERÍA EMPRESARIAL</t>
  </si>
  <si>
    <t>INGENIERO EMPRESARIAL</t>
  </si>
  <si>
    <t>P145</t>
  </si>
  <si>
    <t>P171</t>
  </si>
  <si>
    <t>BACHILLER EN INGENIERÍA EN INDUSTRIAS ALIMENTARIAS</t>
  </si>
  <si>
    <t>INGENIERO EN INDUSTRIAS ALIMENTARIAS</t>
  </si>
  <si>
    <t>P146</t>
  </si>
  <si>
    <t>P172</t>
  </si>
  <si>
    <t>BACHILLER EN INGENIERÍA INDUSTRIAL Y COMERCIAL</t>
  </si>
  <si>
    <t>INGENIERO INDUSTRIAL Y COMERCIAL</t>
  </si>
  <si>
    <t>P147</t>
  </si>
  <si>
    <t>P173</t>
  </si>
  <si>
    <t>BACHILLER EN INGENIERÍA LOGÍSTICA Y DE TRANSPORTE</t>
  </si>
  <si>
    <t>INGENIERO EN LOGÍSTICA Y TRANSPORTE</t>
  </si>
  <si>
    <t>BACHILLER EN INGENIERÍA MECÁNICA</t>
  </si>
  <si>
    <t>INGENIERO MECÁNICO</t>
  </si>
  <si>
    <t>BACHILLER EN INGENIERÍA MECATRÓNICA</t>
  </si>
  <si>
    <t>INGENIERO MECATRÓNICO</t>
  </si>
  <si>
    <t>P155</t>
  </si>
  <si>
    <t>P174</t>
  </si>
  <si>
    <t>BACHILLER EN INGENIERÍA QUÍMICA</t>
  </si>
  <si>
    <t>INGENIERO QUÍMICO</t>
  </si>
  <si>
    <t>BACHILLER EN INTERNATIONAL BUSINESS</t>
  </si>
  <si>
    <t>LICENCIADO EN INTERNATIONAL BUSINESS</t>
  </si>
  <si>
    <t>P182</t>
  </si>
  <si>
    <t>BACHILLER EN MARKETING</t>
  </si>
  <si>
    <t>LICENCIADO EN MARKETING</t>
  </si>
  <si>
    <t>P183</t>
  </si>
  <si>
    <t>BACHILLER EN MEDICINA HUMANA</t>
  </si>
  <si>
    <t>MÉDICO CIRUJANO</t>
  </si>
  <si>
    <t>CURSO</t>
  </si>
  <si>
    <t>SUMILLA</t>
  </si>
  <si>
    <t>MEDICINA VETERINARIA</t>
  </si>
  <si>
    <t>P217</t>
  </si>
  <si>
    <t>BACHILLER EN MEDICINA VETERINARIA</t>
  </si>
  <si>
    <t>MÉDICO VETERINARIO</t>
  </si>
  <si>
    <t>METODOLOGÍA DE LA INVESTIGACIÓN_CPEL</t>
  </si>
  <si>
    <t>Metodología de la Investigación es una asignatura de estudios generales, tiene carácter teórico-práctico, contribuye al desarrollo de la competencia de investigación.  Comprende el estudio y aplicación de los principales componentes del proceso de investigación como: planteamiento y formulación del problema, antecedentes, objetivos, hipótesis, variables, marco teórico y metodológico. El estudio se fundamenta en el uso adecuado de buscadores de información, fuentes bibliográficas, bases de datos y otras estrategias para el desarrollo del trabajo de investigación. El producto acreditable de la asignatura es una matriz de consistencia que luego se convertirá en Proyecto de investigación.</t>
  </si>
  <si>
    <t>BACHILLER EN MULTIMEDIA Y   FOTOGRAFÍA PUBLICITARIA</t>
  </si>
  <si>
    <t>LICENCIADO EN MULTIMEDIA Y FOTOGRAFÍA PUBLICITARIA</t>
  </si>
  <si>
    <t>ESTADÍSTICA DESCRIPTIVA E INFERENCIAL</t>
  </si>
  <si>
    <t>ESTADÍSTICA DESCRIPTIVA E INFERENCIAL_CPEL</t>
  </si>
  <si>
    <t>Estadística Descriptiva e Inferencial, es una asignatura que pertenece al área formativa de estudios generales, es de carácter teórico-práctico y contribuye al desarrollo de la competencia general de Investigación, mediante el análisis de situaciones reales. Tiene como propósito que el estudiante pueda organizar, analizar e interpretar los datos de las investigaciones y emprendimientos que realice en el área de su formación profesional, mediante la aplicación de técnicas de estadística descriptiva e inferencial, con el apoyo de software especializado. Comprende el desarrollo de los siguientes tópicos: Estadística descriptiva, muestreo, probabilidad, pruebas de hipótesis, análisis de correlación y regresión. El producto del curso consiste en un análisis estadístico de una situación o caso vinculado con el contexto profesional del estudiante.</t>
  </si>
  <si>
    <t>P152</t>
  </si>
  <si>
    <t>BACHILLER EN MÚSICA</t>
  </si>
  <si>
    <t>LICENCIADO EN MÚSICA</t>
  </si>
  <si>
    <t>COMUNICACIÓN ORAL Y ESCRITA</t>
  </si>
  <si>
    <t>COMUNICACIÓN ORAL Y ESCRITA_CPEL</t>
  </si>
  <si>
    <t>La asignatura de Comunicación Oral y Escrita pertenece al área formativa de estudios generales y es de naturaleza teórico-práctico. Brinda las bases para el logro de la competencia de Comunicación Integral, fomentando el uso de una producción académica oral y escrita con el fin de comunicar ideas con coherencia, cohesión y adecuación.  Se centra en las estrategias de redacción expositiva, argumentativa y en las técnicas de expresión oral para el desempeño investigativo y profesional. El producto acreditable de la asignatura será una redacción argumentativa y su presentación oral.</t>
  </si>
  <si>
    <t>MATEMÁTICA BÁSICA</t>
  </si>
  <si>
    <t>MATEMÁTICA BÁSICA_CPEL</t>
  </si>
  <si>
    <t>El curso de Matemática Básica pertenece al área formativa de estudios generales y es de carácter teórico-práctico. Tiene como propósito que el estudiante desarrolle la competencia digital, el pensamiento matemático y resuelva problemas contextualizados con base en el razonamiento lógico, la comunicación matemática, la matematización, representación, aplicación de estrategias, desarrollo de cálculos y el uso pertinente de software especializado. Comprende el abordaje de los siguientes tópicos: porcentaje, proporcionalidad, ecuaciones e inecuaciones, plano cartesiano, programación lineal, funciones reales de variable real e introducción al cálculo. El producto acreditable del curso consiste en la elaboración de un e-portafolio con problemas contextualizados resueltos.</t>
  </si>
  <si>
    <t>TÓPICOS GENERALES DE LA CIENCIA DE LA COMPUTACIÓN</t>
  </si>
  <si>
    <t>TÓPICOS GENERALES DE LA CIENCIA DE LA COMPUTACIÓN_CPEL</t>
  </si>
  <si>
    <t>El curso de Tópicos Generales de la ciencia de la Computación es de naturaleza teórico-práctico el cual corresponde al área de formación de estudios generales y contribuye a la competencia digital. El curso desarrolla los ejes temáticos señalados por la Computing Curricula IEEE-CS/ACM 2013, en el cual se indica que la programación es uno de los pilares de la Ciencia de la Computación e introduce al estudiante en los conceptos fundamentales del pensamiento computacional. Los tópicos que se incluyen son: historia, sistemas de tipos básicos, conceptos fundamentales de programación, análisis básico, algoritmos y estructuras de datos fundamentales, algoritmos y diseño y, métodos de desarrollo. El producto acreditable del curso es el trabajo final que consiste en la aplicación de un algoritmo de búsqueda de un site personal desarrollado por cada estudiante.</t>
  </si>
  <si>
    <t>P149</t>
  </si>
  <si>
    <t>REALIDAD NACIONAL</t>
  </si>
  <si>
    <t>REALIDAD NACIONAL_CPEL</t>
  </si>
  <si>
    <t>Realidad Nacional, perteneciente a estudios generales, es un curso teórico-práctico y contribuye al desarrollo de la competencia de desarrollo humano y sostenible. El curso tiene como propósito el desarrollo de las habilidades de investigación, interpretación y análisis crítico de temas relevantes de la realidad nacional. Siendo los ejes temáticos la globalización, biodiversidad, igualdad, diversidad cultural y, situación económica y política del Perú. Como producto acreditable que evidencie los aprendizajes esperados de las competencias a las que tributa, el estudiante presentará y sustentará un informe que vincule los conocimientos aprendidos con la coyuntura actual del Perú.</t>
  </si>
  <si>
    <t>P175</t>
  </si>
  <si>
    <t>FILOSOFÍA Y ÉTICA</t>
  </si>
  <si>
    <t>FILOSOFÍA Y ÉTICA_CPEL</t>
  </si>
  <si>
    <t>Filosofía y ética es un curso teórico-práctico, correspondiente a estudios generales y tributa a la competencia de Desarrollo Humano y Sostenible, cuyo propósito es que los estudiantes desarrollen capacidades analíticas e interpretativas orientadas a la dilucidación de principios éticos y criterios de acción responsable en diversos ámbitos de la sociedad. La asignatura comprende los conceptos de filosofía y ética para una aplicación práctica en el desarrollo individual y social, la protección del medio ambiente, el crecimiento económico inclusivo. Los ejes temáticos son: filosofía y pensamiento crítico; ética y ciudadanía; sociedad y tendencias. El producto acreditable del curso es un informe con análisis de caso.</t>
  </si>
  <si>
    <t>LIDERAZGO Y SOSTENIBILIDAD</t>
  </si>
  <si>
    <t>LIDERAZGO Y SOSTENIBILIDAD_CPEL</t>
  </si>
  <si>
    <t>Liderazgo y Sostenibilidad, es un curso teórico que pertenece al área de estudios generales. Tiene por finalidad contribuir al desarrollo de la competencia de desarrollo humano y sostenible. Comprende aspectos como el rol personal y de liderazgo frente a los problemas del calentamiento global, corrupción, pobreza e inequidad, así como el vínculo de estos con el modelo económico y de desarrollo actual en el Perú y el mundo, en el marco de los Objetivos de Desarrollo Sostenible de la Agenda 2030 de la ONU. Como producto acreditable que evidencie los aprendizajes esperados de las competencias a las que tributa, el estudiante presentará y sustentará un informe final sobre el proceso de transformación personal hacia una visión sostenible del desarrollo humano.</t>
  </si>
  <si>
    <t>P150</t>
  </si>
  <si>
    <t>ENGLISH I_CPEL</t>
  </si>
  <si>
    <t xml:space="preserve">El curso de English I, es de formación específica, de naturaleza teórico-práctico, contribuye al desarrollo de la competencia: comunicación bilingüe. Busca desarrollar el nivel A1 (Beginner)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</si>
  <si>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P176</t>
  </si>
  <si>
    <t>ENGLISH II_CPEL</t>
  </si>
  <si>
    <t xml:space="preserve">El curso de English II, es de formación específica, de naturaleza teórico-práctico, contribuye al desarrollo de la competencia: comunicación bilingüe. Busca desarrollar el nivel A2 (Elementary)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</si>
  <si>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BACHILLER EN RELACIONES INTERNACIONALES</t>
  </si>
  <si>
    <t>LICENCIADO EN RELACIONES INTERNACIONALES</t>
  </si>
  <si>
    <t>ENGLISH III_CPEL</t>
  </si>
  <si>
    <t xml:space="preserve">El curso de English III, es de formación específica, de naturaleza teórico-práctico, contribuye al desarrollo de la competencia: comunicación bilingüe. Busca desarrollar el nivel B1 (Intermediate)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</si>
  <si>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P151</t>
  </si>
  <si>
    <t>ENGLISH IV_CPEL</t>
  </si>
  <si>
    <t>El curso de English IV, es de formación específica, de naturaleza teórico-práctico, contribuye al desarrollo de la competencia: comunicación bilingüe. Busca desarrollar el nivel B2 (Upper Intermediate)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</si>
  <si>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P177</t>
  </si>
  <si>
    <t>HABILIDADES GERENCIALES</t>
  </si>
  <si>
    <t>HABILIDADES GERENCIALES_CPEL</t>
  </si>
  <si>
    <t>Falta texto</t>
  </si>
  <si>
    <t>TECNOLOGÍA MÉDICA EN TERAPIA FÍSICA Y REHABILITACIÓN</t>
  </si>
  <si>
    <t>P215</t>
  </si>
  <si>
    <t>BACHILLER EN TECNOLOGÍA MÉDICA EN EL ÁREA DE TERAPIA 
FÍSICA Y REHABILITACIÓN</t>
  </si>
  <si>
    <t>LICENCIADO EN TECNOLOGÍA
MÉDICA EN EL ÁREA DE TERAPIA 
FÍSICA Y REHABILITACIÓN</t>
  </si>
  <si>
    <t>CONTABILIDAD GENERAL</t>
  </si>
  <si>
    <t>CONTABILIDAD GENERAL_CPEL</t>
  </si>
  <si>
    <t>P216</t>
  </si>
  <si>
    <t>INTRODUCCIÓN EMPRESARIAL</t>
  </si>
  <si>
    <t>INTRODUCCIÓN EMPRESARIAL_CPEL</t>
  </si>
  <si>
    <t>El curso de Introducción Empresarial es de carácter teórico-práctico, de estudios específicos y contribuye al desarrollo de la competencia de emprendimiento. Tiene por objeto brindar a los estudiantes las herramientas y conocimientos empresariales utilizados en el entorno actual, para poder desarrollarse en un mundo globalizado. Comprende el desarrollo de los siguientes ejes temáticos: Generación de negocios, Modelos de procesos organizacionales, Introducción a los modelos financieros y Globalización, proporcionando el conocimiento introductorio a los negocios y su rol en la economía de hoy en día. El producto acreditable de la asignatura es la presentación de un informe general que comprende el avance paulatino de los contenidos del curso a través de casos reales.</t>
  </si>
  <si>
    <t>ECONOMÍA BÁSICA</t>
  </si>
  <si>
    <t>ECONOMÍA BÁSICA_CPEL</t>
  </si>
  <si>
    <t>El curso de Economía Básica corresponde al área de estudios específicos, tiene carácter teórico-práctico y contribuye al desarrollo de la competencia general de Emprendimiento como herramienta para una eficiente toma de decisiones. Tiene como objetivo comprender de manera general cómo funciona la economía y el entorno económico en el que se desenvuelven las empresas. Comprende los siguientes temas: conceptos generales de la microeconomía, leyes que rigen el funcionamiento del mercado (oferta y demanda), función de producción, análisis de los costos de producción, estructuras del mercado, competencia perfecta e imperfecta así como también aspectos generales de la macroeconomía: modelo de oferta y demanda agregada, PBI y sus características, el componente monetario, demanda y oferta de dinero, el BCRP, el sector público, presupuesto público, el sector externo, balanza de pagos y política económica.  El producto acreditable del curso es la presentación de un informe general que comprende el avance paulatino de los contenidos del curso a través de casos reales.</t>
  </si>
  <si>
    <t>INTRODUCCIÓN AL MARKETING</t>
  </si>
  <si>
    <t>INTRODUCCIÓN AL MARKETING_CPEL</t>
  </si>
  <si>
    <t>El curso de Introducción al Marketing es de naturaleza teórico-práctico, de estudios específicos y contribuye al desarrollo de la competencia de Emprendimiento. Tiene por objeto brindar a los estudiantes las herramientas y conocimientos que permitan interpretar y desarrollar estrategias que contribuyan al crecimiento de las empresas. Comprende el desarrollo de los siguientes ejes temáticos: evolución del marketing (entorno local y global), comportamiento del consumidor, segmentación e investigación de mercados, estrategias de posicionamiento y el análisis del mix comercial en sectores de productos de consumo y servicios. El producto acreditable es un proyecto relacionado a la aplicación de las 4 ps en un negocio.</t>
  </si>
  <si>
    <t>PROYECTO INTEGRADOR_CPEL</t>
  </si>
  <si>
    <t>FUNDAMENTOS DEL LIDERAZGO SOSTENIBLE</t>
  </si>
  <si>
    <t>FUNDAMENTOS DEL LIDERAZGO SOSTENIBLE_PREGRADO</t>
  </si>
  <si>
    <t>Fundamentos del liderazgo sostenible, es un curso que pertenece al área formativa de estudios generales, tiene carácter teórico-práctico, que contribuye al desarrollo de la competencia de desarrollo humano sostenible.  El curso busca generar, en el alumno, la toma de conciencia sobre su rol personal y de liderazgo, frente a los problemas del calentamiento global, la corrupción, la pobreza e inequidad, y la vinculación de estos con el modelo económico y de desarrollo actual del Perú y del mundo, en el marco de los Objetivos de Desarrollo Sostenible de la Agenda 2030 de la ONU. El producto acreditable es un trabajo y exposición final sobre el proceso de transformación personal hacia una visión sostenible del desarrollo humano.</t>
  </si>
  <si>
    <t>OPORTUNIDADES DE NEGOCIOS</t>
  </si>
  <si>
    <t>OPORTUNIDADES DE NEGOCIOS_PREGRADO</t>
  </si>
  <si>
    <t>Oportunidades de negocios, es un curso que pertenece al área formativa de estudios generales, tiene carácter teórico, contribuye al desarrollo de la competencia de emprendimiento mediante la aplicación de sus conocimientos en el desarrollo de soluciones a situaciones problemáticas, ampliando la visión de los participantes con el fin de detectar y desarrollar capacidades emprendedoras que les permitan ser competentes en identificar y validar oportunidades de negocio innovadoras en su entorno, buscando que el estudiante fortalezca sus habilidades blandas de Dirección, Sociales y Personales para mejorar su perfil y condiciones actitudinales hacia el emprendimiento empresarial.  Comprende el desarrollo de los siguientes ejes temáticos: marco conceptual de emprendimiento, aplicación de metodologías ágiles y validación del modelo de negocio propuesto. El producto acreditable de la asignatura exige la presentación de un informe que sustente la validación de un modelo de negocio innovador, rentable y escalable.</t>
  </si>
  <si>
    <t>METODOLOGÍA DE LA INVESTIGACIÓN CIENTÍFICA</t>
  </si>
  <si>
    <t>METODOLOGÍA DE LA INVESTIGACIÓN CIENTÍFICA_PREGRADO</t>
  </si>
  <si>
    <t>Metodología de la investigación científica, es un curso que pertenece al área formativa de estudios generales, tiene carácter teórico, contribuye al desarrollo de la competencia de investigación mediante la aplicación de sus conocimientos en el desarrollo de soluciones a situaciones problemáticas de la especialidad, incidiendo en las habilidades científicas básicas que le permitan elaborar un proyecto de investigación aplicando el método científico como fuente generadora de nuevos conocimientos. El contenido temático comprende desde las habilidades para la búsqueda de información y redacción académica, hasta la construcción del proyecto: problematización, argumentación del enfoque teórico-conceptual, formulación de objetivos e hipótesis e identificación de las estrategias metodológicas.  El producto acreditable de la asignatura es una matriz de consistencia que luego se convertirá en un proyecto de investigación.</t>
  </si>
  <si>
    <t>ESTADÍSTICA DESCRIPTIVA E INFERENCIA ESTADÍSTICA</t>
  </si>
  <si>
    <t>ESTADÍSTICA DESCRIPTIVA E INFERENCIA ESTADÍSTICA_PREGRADO</t>
  </si>
  <si>
    <t>Estadística descriptiva e inferencia estadística, es un curso que pertenece al área formativa de estudios generales, tiene carácter teórico-práctico, contribuye al desarrollo de la competencia de investigación teniendo como propósito que el estudiante pueda organizar, analizar e interpretar los datos en las investigaciones y emprendimientos que realice en el área de su formación profesional, mediante la aplicación de técnicas de estadística descriptiva e inferencia estadística y con el apoyo de software especializado. El curso comprende el desarrollo de los siguientes ejes temáticos: Estadística descriptiva, probabilidad, intervalos de confianza, pruebas de hipótesis, muestreo, análisis de correlación y regresión. El producto acreditable del curso consiste en un análisis estadístico de una situación o caso vinculado con el contexto profesional del estudiante.</t>
  </si>
  <si>
    <t>LENGUAJE Y COMUNICACIÓN I</t>
  </si>
  <si>
    <t>LENGUAJE Y COMUNICACIÓN I_PREGRADO</t>
  </si>
  <si>
    <t>Lenguaje y comunicación I, es un curso que pertenece al área formativa de estudios generales, tiene carácter teórico-práctico, contribuye al desarrollo de la competencia comunicación integral potenciando habilidades como el análisis, redacción y presentación de un texto académico con una actitud crítica frente a la sociedad y su entorno. El curso comprende el desarrollo de los siguientes ejes temáticos: análisis de texto, texto argumentativo y expresión oral. El producto acreditable de la asignatura es un proyecto final y su sustentación.</t>
  </si>
  <si>
    <t>LENGUAJE Y COMUNICACIÓN II</t>
  </si>
  <si>
    <t>LENGUAJE Y COMUNICACIÓN II_PREGRADO</t>
  </si>
  <si>
    <t>Lenguaje y comunicación II, es un curso que pertenece al área formativa de estudios generales, tiene carácter teórico-práctico, contribuye al desarrollo de la competencia comunicación integral a través de la comprensión y producción de textos escritos y orales acerca de temas polémicos de actualidad y producción cultural con una actitud crítica frente a la sociedad y su entorno. El curso comprende el desarrollo de los siguientes ejes temáticos: organización de la información, la argumentación, análisis de la producción cultural y la expresión oral. El producto acreditable de la asignatura es un proyecto final y su sustentación.</t>
  </si>
  <si>
    <t>REALIDAD NACIONAL Y GLOBALIZACIÓN_PREGRADO</t>
  </si>
  <si>
    <t>Realidad Nacional y Globalización, es un curso que pertenece al área formativa de estudios generales, tiene carácter teórico-práctico, contribuye al desarrollo de la competencia desarrollo humano y sostenible mediante la elaboración de informes, analizando las potencialidades de nuestro país y las principales tendencias del mundo actual, con el marco teórico de las ciencias sociales, las nuevas tecnologías de la información y la comunicación, investigando información actualizada que le permita interpretar críticamente nuestro país megadiverso, plurilingüe y multicultural en el entorno mundial posmoderno. El curso comprende el desarrollo de los siguientes ejes temáticos: la ecología, economía y cultura del Perú, y el impacto de la globalización en estos tres campos. El producto acreditable del curso es la elaboración de un proyecto final y su sustentación.</t>
  </si>
  <si>
    <t>MATEMÁTICA_PREGRADO</t>
  </si>
  <si>
    <t>Matemática, es un curso que pertenece al área formativa de estudios generales, tiene carácter teórico-práctico, contribuye al desarrollo de la competencia digital mediante la aplicación del pensamiento matemático para resolver problemas contextualizados con base en el razonamiento lógico, la comunicación matemática, la matematización, representación, aplicación de estrategias, desarrollo de cálculos y el uso pertinente de software especializado. El curso comprende el desarrollo de los siguientes ejes temáticos: lógica, ecuaciones e inecuaciones, matrices, funciones reales de variable real, límites y derivadas. El producto acreditable del curso consiste en la elaboración de un e-portafolio con problemas contextualizados resueltos.</t>
  </si>
  <si>
    <t>INTRODUCCIÓN A LA CIENCIA DE LA COMPUTACIÓN</t>
  </si>
  <si>
    <t>INTRODUCCIÓN A LA CIENCIA DE LA COMPUTACIÓN_PREGRADO</t>
  </si>
  <si>
    <t>Introducción a la ciencia de la computación es un curso que pertenece al área formativa de estudios generales, tiene carácter teórico-práctico, contribuye al desarrollo de la competencia digital mediante la integración de las tecnologías de información y comunicación en el desarrollo de sus actividades preparándolo para desenvolverse en una sociedad digital, valorando el impacto de su uso en el aspecto personal y académico de su especialidad. Comprende de forma transversal los fundamentos de la computación y las TIC con el fin de gestionar información y su alfabetización digital, comunicarse y colaborar usando medios digitales, creando contenidos multimedia, preparándose para hacer uso de las redes con seguridad y solucionando problemas de su especialidad. El producto acreditable del curso es la generación de soluciones en su especialidad aplicando habilidades digitales desarrolladas en el curso.</t>
  </si>
  <si>
    <t>ÉTICA Y CIUDADANÍA_PREGRADO</t>
  </si>
  <si>
    <t>Ética y ciudadanía, es un curso que pertenece al área formativa de estudios generales, tiene carácter teórico, contribuye al desarrollo de la competencia desarrollo humano y sostenible mediante el desarrollo de capacidades para reflexionar e intervenir, a través de juicios críticos y argumentativos, en los espacios públicos y privados pertinentes. La asignatura comprende investigaciones de la ética y la ciudadanía desde una perspectiva filosófica objetiva, así como sus aplicaciones en la persona, la sociedad y la vida profesional. El curso está organizado en cuatro áreas temáticas: Filosofía y ética; ética y persona; ética para la ciudadanía; ética y profesión. El producto acreditable del curso es la investigación y exposición del código de ética profesional de la carrera a la que pertenece cada estudiante.</t>
  </si>
  <si>
    <t>ENGLISH I_PREGRADO</t>
  </si>
  <si>
    <t xml:space="preserve">English I, es un curso que pertenece al área formativa de estudios específicos, tiene carácter teórico-práctico, contribuye al desarrollo de la competencia comunicación bilingüe mediante el desarrollo del nivel A1 (Beginner)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</si>
  <si>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ENGLISH II_PREGRADO</t>
  </si>
  <si>
    <t xml:space="preserve">English II, es un curso que pertenece al área formativa de estudios específicos, tiene carácter teórico-práctico, contribuye al desarrollo de la competencia comunicación bilingüe mediante el desarrollo del nivel A2 (Elementary)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</si>
  <si>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ENGLISH III_PREGRADO</t>
  </si>
  <si>
    <t xml:space="preserve">English III, es un curso que pertenece al área formativa de estudios específicos, tiene carácter teórico-práctico, contribuye al desarrollo de la competencia comunicación bilingüe mediante el desarrollo del nivel B1 (Intermediate)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</si>
  <si>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ENGLISH IV_PREGRADO</t>
  </si>
  <si>
    <t>English IV, es un curso que pertenece al área formativa de estudios específicos, tiene carácter teórico-práctico, contribuye al desarrollo de la competencia comunicación bilingüe mediante el desarrollo del nivel B2 (Upper Intermediate)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</si>
  <si>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ADMINISTRACIÓN PARA LOS NEGOCIOS_PREGRADO</t>
  </si>
  <si>
    <t>Administración para los negocios, es un curso que pertenece al área formativa de estudios específicos, tiene carácter teórico-práctico, contribuye al desarrollo de la competencia de emprendimiento brindando herramientas modernas de gestión que permita a los estudiantes implementar sus iniciativas empresariales.  El curso comprende el desarrollo de los siguientes ejes temáticos: Conceptos fundamentales de los negocios, cómo funcionan, de qué manera se organizan, quienes administran dichos negocios y sus implicancias con el entorno, como se dirigen y controlan, se detallan las tendencias globales en negocios, se analiza el entorno competitivo consultando el laboratorio de finanzas corporativas Bloomberg. Asimismo, se pone énfasis en la herramienta del Plan de Negocios para evaluar una idea u oportunidad de negocio, esta herramienta se constituye en el producto acreditable del curso.</t>
  </si>
  <si>
    <t>FUNDAMENTOS CONTABLES Y FINANCIEROS</t>
  </si>
  <si>
    <t>FUNDAMENTOS CONTABLES Y FINANCIEROS_PREGRADO</t>
  </si>
  <si>
    <t>Fundamentos contables y financieros, es un curso que pertenece al área formativa de estudios específicos, tiene carácter teórico-práctico, contribuye al desarrollo de la competencia de emprendimiento. El curso comprende el desarrollo de los siguientes ejes temáticos: elementos de la contabilidad; formulación de los estados financieros básicos: el estado de situación financiera y el estado de resultados; ajustes contables, efectos de los principales tributos y las regulaciones, normas contables y procedimientos para la formulación de la información contable, valor del dinero en el tiempo, capital de trabajo e indicadores para evaluar proyectos de inversión. El producto acreditable del curso es la elaboración de una solución a un caso integral.</t>
  </si>
  <si>
    <t>PRINCIPIOS DE ECONOMÍA_PREGRADO</t>
  </si>
  <si>
    <t>Principios de economía, es un curso que pertenece al área formativa de estudios específicos, tiene carácter teórico-práctico, contribuye al desarrollo de la competencia de emprendimiento proporcionando los conceptos y criterios prácticos de la teoría económica para la comprensión de los procesos de decisiones económicas del consumidor, del productor y el gobierno, con aplicaciones a la gestión empresarial y emprendimiento.  El curso comprende el desarrollo de los siguientes ejes temáticos: microeconomía y macroeconomía con economía abierta, mediante el análisis de casos enfocados en el emprendimiento. En microeconomía, comprende temas como el funcionamiento de los mercados, la demanda y oferta, introduciendo a los alumnos al estudio de los mercados perfectamente competitivos para culminar con el análisis de situaciones de mercado no competitivo. En macroeconomía, se aborda el análisis de aquellas variables que afectan las decisiones empresariales, de acuerdo a los ciclos económicos, así como la influencia de las políticas económicas. El producto acreditable del curso es el desarrollo de un estudio de mercado para la sustentación de un emprendimiento.</t>
  </si>
  <si>
    <t>MARKETING_PREGRADO</t>
  </si>
  <si>
    <t>Marketing, es un curso que pertenece al área formativa de estudios específicos, tiene carácter teórico, contribuye al desarrollo de la competencia de emprendimiento logrando que el estudiante identifique y reconozca los conceptos, estrategias y herramientas básicas que le permitan entender el desarrollo de esta área funcional y su relevancia para toda la organización. A lo largo del curso se aborda la evolución del marketing a través del tiempo, tanto en el entorno local como global, el comportamiento del consumidor, la segmentación e investigación de mercados, estrategias de posicionamiento, y el análisis del mix comercial en sectores de productos de consumo y servicios, los cuales en su conjunto permitirán interpretar situaciones diarias en el ejercicio de esta disciplina. El producto acreditable del curso es la presentación de un proyecto aplicando los conceptos desarrollados en el mismo.</t>
  </si>
  <si>
    <t>Aprendizaje Basado en la Investigación: se promueve el aprendizaje a través del diseño de tareas y estrategias que involucren la investigación científica,se promueve la indagación, el análisis de problemas, la formulación de hipótesis e inferencias lógicas, la experimentación, la búsqueda y procesamiento de datos. Esto permite la exploración sistemática  y la comprensión profunda de problemas y fenómenos complejos.</t>
  </si>
  <si>
    <t>LÍNEAS DE INVESTIGACIÓN</t>
  </si>
  <si>
    <t>INVESTIGACIÓN</t>
  </si>
  <si>
    <t>Línea 1. Ciencias Humanas, Arte y Educación </t>
  </si>
  <si>
    <t>Análisis de Problemas</t>
  </si>
  <si>
    <t>Se orienta al estudiante hacia la observación crítica para el reconocimiento de problemas de su entorno, analizando sus causas y consecuencias.</t>
  </si>
  <si>
    <t>Carácter Científico</t>
  </si>
  <si>
    <t>Se promueve la ejecución del método científico a través de asignaturas vinculadas a la competencia de investigación en las que el estudiante podrá ejecutar la estructura formal del método científico: observación, problema, hipótesis, experimentación, resultados, conclusiones.</t>
  </si>
  <si>
    <t>Línea 3. Salud, nutrición, alimentos y aspectos relacionados </t>
  </si>
  <si>
    <t>Ética investigativa</t>
  </si>
  <si>
    <t>Se promueve la probidad desde el respeto a la propiedad intelectual a través del uso eficiente de las normas de citado y referenciación.</t>
  </si>
  <si>
    <t>Línea 4. Ciencias económicas, empresariales y gestión de recursos </t>
  </si>
  <si>
    <t>Indagación</t>
  </si>
  <si>
    <t>Se promueve la búsqueda de información confiable a través del uso de la biblioteca virtual y de gestores de información.</t>
  </si>
  <si>
    <t>Línea 5. Derecho, relaciones internacionales, ciencias políticas y gestión pública </t>
  </si>
  <si>
    <t>Redacción Académica</t>
  </si>
  <si>
    <t>Se desarrollan actividades prácticas que dan origen a géneros textuales en los que el estudiante pueda ejercitar su escritura, considerando las características de la redacción en el contexto académico: objetividad, confiabilidad, validez. Estos productos conforman acreditables de la competencia como: ensayos, informes, monografías, artículos.</t>
  </si>
  <si>
    <t>Línea 6. Tecnología de la información </t>
  </si>
  <si>
    <t>Reforzamiento a la Investigación</t>
  </si>
  <si>
    <t>Se propone, a lo largo del ciclo, talleres formativos y charlas que promueven habilidades básicas de investigación, de acuerdo a las necesidades que se detecten.</t>
  </si>
  <si>
    <t>Línea 7. Ingeniería, Tecnología, Biotecnología y aspectos relacionados </t>
  </si>
  <si>
    <t> </t>
  </si>
  <si>
    <t>METODOLOGÍAS</t>
  </si>
  <si>
    <t>Aprendizaje Basado en la Investigación</t>
  </si>
  <si>
    <t>Se promueve el aprendizaje a través del diseño de tareas y estrategias que involucren la investigación científica,se promueve la indagación, el análisis de problemas, la formulación de hipótesis e inferencias lógicas, la experimentación, la búsqueda y procesamiento de datos. Esto permite la exploración sistemática  y la comprensión profunda de problemas y fenómenos complejos.</t>
  </si>
  <si>
    <t>Aprendizaje Basado en Problemas</t>
  </si>
  <si>
    <t>Se promueve el aprendizaje activo a través de la promoción del razonamiento y la capacidad de análisis. El docente diseña un problema, regularmente hipotético, los estudiantes en grupos tratan de resolverlo, aplicando el conocimiento disciplinar. De esta manera se enfatiza en el desarrollo del pensamiento analítico y creativo.</t>
  </si>
  <si>
    <t>Aprendizaje Basado en Proyectos</t>
  </si>
  <si>
    <t>Se promueve el aprendizaje activo a través de la planificación de tareas o fases que permitirán resolver problemas complejos en un contexto real de interés para el estudiante y en coherencia con los temas del curso. El estudiante aplica lo que aprende en situaciones reales y significativas de su futuro entorno laboral.</t>
  </si>
  <si>
    <t>Aprendizaje Servicio</t>
  </si>
  <si>
    <t>Se promueve el aprendizaje a través de  actividades que abordan necesidades reales de la comunidad, en paralelo, los estudiantes aplican los conceptos y habilidades que están aprendiendo en el aula. A través de la reflexión sobre sus experiencias, los estudiantes, pueden entender más profundamente los conceptos académicos, desarrollar habilidades sociales y cívicas, y darse cuenta del impacto que pueden tener en su comunidad.</t>
  </si>
  <si>
    <t>Aula Invertida</t>
  </si>
  <si>
    <t>Se promueve el aprendizaje resaltando el rol activo del estudiante, fomentando su autonomía y el autoestudio. Para ello se brindan espacios asíncronos en los que el aprendiz se confronta con el contenido teórico, mediado por un ambiente virtual de aprendizaje. Es una transformación de la clase tradicional, en la que el estudiante va conectando de forma independiente lo que sabe con la nueva información. Luego, en el encuentro con el docente, se dialoga, ejecuta y debate sobre el desarrollo y aplicación del contenido.</t>
  </si>
  <si>
    <t>Desing Thinking</t>
  </si>
  <si>
    <t>Se promueve aprendizaje a través de la creación de soluciones innovadoras considerando las necesidades de los usuarios, empatizando con la situación y diseñando propuestas basadas en esa información. Se trabaja con el estudiante un proceso por fases o etapas.</t>
  </si>
  <si>
    <t>Estudios de Caso</t>
  </si>
  <si>
    <t>Se promueve el aprendizaje a través de situaciones problemáticas contextualizadas en las que se realiza análisis, debates, evaluación, soluciones y se contrasta con la teoría.</t>
  </si>
  <si>
    <t>Gamificación</t>
  </si>
  <si>
    <t>Se promueve el aprendizaje a través de actividades retadoras que trasladan la mecánica del juego al contexto educativo y que potencian la motivación en el estudiante. Para ello se diseñan experiencias, bajo la lógica de una narración inmersiva en las que se utiliza la motivación al logro a través de desafíos, recompensas y niveles de dificultad</t>
  </si>
  <si>
    <t>Pensamiento Computacional</t>
  </si>
  <si>
    <t>Se promueve el aprendizaje a través del desarrollo de habilidades de ordenamiento y sistematización que permiten comprender y proponer soluciones a problemas complejos. Se desarrolla un proyecto que sigue la siguiente estructura: descomposición, reconocimiento de patrones, abstracción-categorización, desarrollo de algoritmos, depuración o evaluación.</t>
  </si>
  <si>
    <t>especializada</t>
  </si>
  <si>
    <t>general</t>
  </si>
  <si>
    <t>específica</t>
  </si>
  <si>
    <t>Ejemplo de Redacción de sumilla</t>
  </si>
  <si>
    <t>Seminario de investigación I, es una asignatura de formación especializada, tiene carácter teórico – práctico, contribuye al desarrollo de la competencia de investigación mediante la elaboración del proyecto con fines de tesis. Comprende el desarrollo de los siguientes ejes temáticos: líneas de investigación, planteamiento del problema, objetivos, justificación del estudio, antecedentes, base teórica y marco metodológico. El producto acreditable de la asignatura es el proyecto de investigación aprobado con fines de tesis de grado.</t>
  </si>
  <si>
    <t>20.1 SUMILL AS DE CURSOS OBLIGATORIOS</t>
  </si>
  <si>
    <t>Ejes Temáticos</t>
  </si>
  <si>
    <t>Producto Acreditable</t>
  </si>
  <si>
    <t>Sumilla</t>
  </si>
  <si>
    <t>Administración para los Negocios es un curso específico, es de naturaleza teórico, contribuye al desarrollo de la competencia general de gestión de recursos mediante la elaboración de un plan de negocios. Comprende el desarrollo de los siguientes ejes temáticos: Conceptos fundamentales de negocio, el proceso administrativo, la estructuración de un plan de negocio y su vinculación con las diferentes áreas de una organización. El producto acreditable de la asignatura es el plan de negocio.</t>
  </si>
  <si>
    <t>Desarrollo Humano, perteneciente a Estudios Generales, es teórico. Tributa a la competencia de desarrollo humano y tiene como propósito desarrollar en el estudiante estrategias de carácter cognitivo, afectivo y social que le permitirán hacer frente a las demandas académicas y de desarrollo personal que supone el ingreso a la vida universitaria. La estructura temática de este curso se divide en dos unidades: Estrategias para la adaptación a la vida universitaria en el ámbito personal, que comprende: desarrollo personal, desarrollo interpersonal y compromiso social; y Estrategias para la adaptación a la vida universitaria en el ámbito académico relacionado con la búsqueda de información, integración, elaboración y su aplicación en diversos productos académicos. El producto acreditable de la asignatura es el trabajo de un portafolio digital.</t>
  </si>
  <si>
    <t>English I, es un curso que pertenece al área formativa de estudios específicos, tiene carácter teórico-práctico, y tributa a la competencia de comunicación bilingüe. Contribuye al desarrollo de la competencia comunicativa, nivel A1-A2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t>
  </si>
  <si>
    <t>Lenguaje I pertenece al área de estudios generales. La asignatura es de naturaleza teórico y tiene como propósito brindar las bases fundamentales para el logro de la Competencia General de Comunicación Integral. Sus ejes temáticos son los siguientes: análisis de diversos textos, gramática textual, redacción de textos argumentativos, la expresión oral a través de presentaciones académicas, haciendo uso eficiente de las TIC. Las estrategias didácticas aplicadas son los estudios de caso, entre otras. El producto acreditable es un proyecto que consiste en la redacción y sustentación de un texto académico argumentativo con una actitud ética frente a la sociedad y entorno.</t>
  </si>
  <si>
    <t>Matemática es teórico, pertenece al área de estudios generales y tiene como propósito el logro de la competencia de comunicación integral, a través de la aplicación del lenguaje matemático, la matematización y el cálculo, haciendo uso eficiente de las TIC, con una actitud ética frente a una sociedad globalizada. El contenido incluye temas relacionados con los números reales, las funciones, las derivadas y sus aplicaciones. El producto del curso consiste en la elaboración de un e-portafolio con problemas contextualizados resueltos.</t>
  </si>
  <si>
    <t>Cultura Política y Realidad de la Educación Peruana, es una asignatura de formación especializada de naturaleza teórica. Tributa a la competencia Desarrollo enseñanza y aprendizaje.  Comprende el desarrollo de los siguientes ejes temáticos: La educación como parte de la identidad de un pueblo y los cambios políticos y la obligatoriedad de la educación. El producto acreditable consiste en un informe del análisis sobre la importancia de la Educación Humanística en el desarrollo del ejercicio de la docencia en el Perú.</t>
  </si>
  <si>
    <t>English II, es un curso que pertenece al área formativa de estudios específicos, tiene carácter teórico-práctico, y tributa a la competencia de comunicación bilingüe. Contribuye al desarrollo de la competencia comunicativa, nivel A2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t>
  </si>
  <si>
    <t>Historia y Filosofía de la Educación pertenece al área de formación especializada, es de naturaleza teórico; esta asignatura tributa a la competencia de Orientación Educativa. Asimismo, el nivel por alcanzar será de elaboración de textos académicos escritos y comunicaciones orales con una estructura básica para exponer con eficiencia sus ideas en un entorno académico y/o social y establecer las orientaciones fundamentales del sentido educativo en los docentes y los alumnos. . Comprende los siguientes ejes temáticos:  Marco teórico y filosófico de la educación, las dimensiones constitutivas del hombre, el problema de las valoraciones humanas y la dimensión deontológica como factor de desarrollo profesional. Su producto acreditable consiste en la elaboración de un informe crítico referido a las posturas filosóficas orientadas a la educación y su impacto en el quehacer educativo de nuestra nación.</t>
  </si>
  <si>
    <t>Lenguaje II pertenece a los cursos de estudios generales. La asignatura es de naturaleza teórico y tiene como propósito optimizar las habilidades lingüísticas para el logro de la competencia de comunicación integral a través de la comprensión y producción de textos escritos y orales donde se desarrolla la actitud crítica frente a la sociedad y su entorno. La estructura temática de esta materia está constituida por dos ejes importantes: la producción de textos argumentativos y el análisis de textos poéticos. El producto acreditable es un proyecto de redacción y sustentación oral de un escrito académico donde se enfatizan los tópicos de composición textual argumentativa.</t>
  </si>
  <si>
    <t>Marketing es una asignatura específica, de naturaleza teórico, contribuye al desarrollo de la competencia general de gestión de recursos, mediante la elaboración de un documento de un proyecto de estrategias de marketing. Comprende el desarrollo de los siguientes ejes temáticos: conceptos fundamentales de marketing, la segmentación e investigación de mercados, tópicos de posicionamiento y comportamiento del consumidor; así como el análisis del mix de marketing: producto, precio, plaza y promoción. El producto acreditable de la asignatura es un informe de un proyecto de estrategias de marketing.</t>
  </si>
  <si>
    <t>Psicología General es una asignatura de formación especializada de carácter teórico-práctico que contribuye al desarrollo de la competencia de orientación educativa. El nivel por alcanzar se logrará estableciendo las orientaciones fundamentales del sentido educativo en los docentes y los alumnos.  Comprende el desarrollo de los siguientes ejes temáticos: bases filosóficas, evolución histórica, teorías y representantes puestas al servicio de la educación. El producto acreditable de la asignatura es la entrega de un informe de trabajo de investigación que se encuentre orientado al análisis y fundamentación del contenido teórico de la psicología y su aplicación en el campo pedagógico.</t>
  </si>
  <si>
    <t>English III, es un curso que pertenece al área formativa de estudios específicos, tiene carácter teórico-práctico, y tributa a la competencia de comunicación bilingüe. Contribuye al desarrollo de la competencia comunicativa y aplica las competencias correspondientes al nivel A2 según los estándares del Marco de Referencia de la Comunidad Europea (CEFR). Sus ejes temáticos son: producción de textos escritos, expresión de textos orales, comprensión de textos escritos y comprensión de textos orales. El producto acreditable de la asignatura es el examen final.</t>
  </si>
  <si>
    <t>Estadística General pertenece a la área de estudios generales, de naturaleza teórico-práctico. Tributa a la competencia de investigación a través del análisis e interpretación de datos de las investigaciones que realice en el área de su formación profesional, mediante técnicas estadísticas y con el apoyo de software especializado.. Se estudiarán los siguientes tópicos: Estadística Descriptiva, Probabilidades e Inferencia Estadística. Se obtendrá como producto del curso un reporte estadístico elaborado en base a los típicos de estadística descriptiva e inferencial adquiridos en el curso, utilizando una base de datos relacionada con su especialidad.</t>
  </si>
  <si>
    <t>Informática Aplicada a la Educación, es una asignatura de formación especializada de naturaleza teórico - práctico. Tributa a las competencias de desarrollo de gestión educativa y gestión de recursos. Los niveles por alcanzar serán: Desarrollar algunos principios básicos de la gestión educativa para brindar un adecuado servicio educativo y reconocer la teoría de gestión y sus componentes de manera aplicada para comprender la lógica empresarial. Comprende el desarrollo de los siguientes ejes temáticos: Beneficios de la informática y de las tecnologías en el quehacer educativo; la búsqueda y organización de la información en espacios de aprendizaje social, y la evaluación de software educativo como recurso de aprendizaje y sus aplicaciones. El producto acreditable es un informe de una propuesta de innovación educativa.</t>
  </si>
  <si>
    <t>Comprensión e Interpretación de Textos, es una asignatura de formación especializada y de naturaleza teórico –práctico. Tributa a la competencia de comprensión y expresión del idioma inglés. Comprende el desarrollo de los siguientes ejes temáticos: Interpretación, características de un buen intérprete, las relaciones entre forma y contenido. El producto acreditable es un informe de investigación bibliográfica acerca de alguna obra destacada una autoridad en su especialidad.</t>
  </si>
  <si>
    <t xml:space="preserve">Realidad Nacional y Globalización, es un curso que pertenece al área formativa de estudios generales, es de naturaleza teórica. Contribuye al desarrollo de las competencias de Orientación Educativa y Desarrollo Humano. Comprende el desarrollo de los siguientes ejes temáticos: la ecología, la economía y la cultura del Perú, y el impacto de la globalización en estos tres campos. Su producto acreditable es un informe que analiza las potencialidades de nuestro país y las principales tendencias del mundo actual con el marco teórico de las ciencias sociales y las nuevas tecnologías de la información y la comunicación. </t>
  </si>
  <si>
    <t>Teoría de la Educación, es un asignatura de formación especializada y naturaleza teórica. Tributa a la competencia de desarrollo, enseñanza y aprendizaje. Comprende el desarrollo de los siguientes ejes temáticos: Bases Teóricas de la educación; teorías del aprendizaje y educación en la actualidad. El producto acreditable es un informe de investigación orientado al análisis y fundamentación de la teoría de la educación.</t>
  </si>
  <si>
    <t xml:space="preserve">Diseño y Programación Curricular, es una asignatura de formación especializada y es de naturaleza teórico-práctico. Tributa a las competencias de desarrollo de enseñanza y aprendizaje; desarrollo gestión educativa. Promueve el desarrollo de la identidad del maestro para acrecentar el aprendizaje de los alumnos. Comprende el desarrollo de los siguientes ejes temáticos: fundamentos del currículo nacional de la educación básica y la programación curricular en la educación básica regular. El producto acreditable de la asignatura es el informe de una propuesta de sesión de aprendizaje considerando fundamentos teóricos y tendencias actuales curriculares. </t>
  </si>
  <si>
    <t xml:space="preserve">English IV, es un curso que pertenece al área formativa de estudios específicos, tiene carácter teórico-práctico, y tributa a la competencia de comunicación bilingüe. Contribuye al desarrollo de la competencia comunicativa, nivel B1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 </t>
  </si>
  <si>
    <t>The English Vocabulary course is of a theoretical-practical nature, its purpose is to broaden the lexical, semantic and morphological linguistic knowledge of future English teachers. The course pays tribute to the competence: Comprehension and expression of the English language. The level of the course employs the use of ICT for the systematization process of the teaching-learning process. In addition, teachers will be able to analyze, reflect and make the right decisions when implementing ICT in current teaching scenarios. The accreditable product will be that the students make a visual organizer to demonstrate the learning of the subject.</t>
  </si>
  <si>
    <t>Metodología de la investigación, es un curso que pertenece al área formativa de estudios generales, tiene carácter teórico. Contribuye al desarrollo de la competencia de investigación educativa y a la competencia general de investigación. Es estudiante tendrá la oportunidad de implementar el marco teórico del proyecto de investigación para la validación de los posibles instrumentos a aplicar. El contenido temático comprende desde las habilidades para la búsqueda de información y redacción académica, hasta la construcción del proyecto: problematización, argumentación del enfoque teórico-conceptual, formulación de objetivos e hipótesis e identificación de las estrategias metodológicas.  El producto acreditable de la asignatura es una matriz de consistencia que luego se convertirá en un proyecto de investigación.</t>
  </si>
  <si>
    <t>Principios de Economía es una asignatura de formación específica,  de naturaleza teórico. Contribuye al desarrollo de competencia de gestión de recursos. Tiene como propósito proporcionar a los estudiantes elementos conceptuales de la teoría económica para la comprensión del debate económico nacional, sin requerir complejidad matemática alguna. El curso cubre temas de la microeconomía y la macroeconomía. En microeconomía, se estudia el funcionamiento de los mercados y sus componentes principales, la demanda y oferta, introduciendo a los alumnos al estudio de los mercados perfectamente competitivos para culminar con el análisis de las situaciones de mercado no competitivo. En macroeconomía, se abordan los grandes objetivos macroeconómicos, la estabilización de los ciclos económicos, la estabilidad de precios y el crecimiento a largo plazo, así como la influencia de las políticas económicas. Se estudia adicionalmente el fundamento teórico de la importancia del comercio internacional. El producto acreditable de la asignatura es el trabajo final relacionado al aspecto macroeconómico y microeconómico referentes a la teoría económica.</t>
  </si>
  <si>
    <t xml:space="preserve">English V, es un curso que pertenece al área formativa de estudios específicos, tiene carácter teórico-práctico, y tributa a la competencia de comunicación bilingüe. Contribuye al desarrollo de la competencia comunicativa, nivel B1-B2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 </t>
  </si>
  <si>
    <t>Estrategias de Enseñanza Aprendizaje, es un asignatura de formación especializada y naturaleza teórico-práctico. Este curso tributa a la competencia: Desarrollo de Enseñanza y aprendizaje y que el estudiante alcance el nivel de manera eficaz y el mejoramiento de la enseñanza docente para elevar la calidad educativa.Comprende los siguientes ejes temáticos: Neuro-educación, los aportes de la neurociencia a la educación; estrategias de enseñanza aprendizaje y la didáctica de enseñanza aprendizaje. El producto acreditable de la asignatura es el informe de una propuesta de sesión de aprendizaje utilizando el ABP.</t>
  </si>
  <si>
    <t>Ética y Ciudadanía, perteneciente a estudios generales, es un curso teórico-práctico, tributa a la competencia de desarrollo humano, a través de la aplicación a casos de la realidad actual, en el que los estudiantes desarrollan capacidades para reflexionar e intervenir, a través de juicios críticos y argumentativos, en los espacios públicos y privados pertinentes. La asignatura comprende las investigaciones filosóficas de la ética y la ciudadanía, así como sus aplicaciones en la persona, la sociedad y la vida profesional. El curso está organizado en cuatro áreas temáticas: ética; ética y persona; ética para la ciudadanía; ética y profesión. El producto acreditable es un ensayo sobre los temas del curso.</t>
  </si>
  <si>
    <t>The Fundamentals of General Linguistics course is of a theoretical-practical nature, its purpose is to privilege the use of the English language and introduce students to the problems of the various currents of linguistics, so that they can respond to the demands of their future students. . This subject attributes to the competence: Comprehension and expression of the English language. Understands and develops critical thinking in an integral way of the English language as a second language, perfecting certain fundamental aspects such as the phonetic and lexical field. The accreditable product is the production of an argumentative and expository text.</t>
  </si>
  <si>
    <t>Fundamentos de las Finanzas, es un curso teórico, pertenece al área específica y contribuye a la competencia general de gestión de recursos. Brinda los conocimientos fundamentales sobre las finanzas de corto, mediano y largo plazo para la toma de decisiones en la empresa. Sus ejes temáticos incluyen nociones generales de valor de dinero en el tiempo, la contabilidad como herramienta de gestión, conceptos básicos de finanzas de corto plazo y evaluación de inversiones. El producto acreditable consiste en la entrega de un trabajo final grupal y sustentación de un tema seleccionado que tiene referencia con el curso.</t>
  </si>
  <si>
    <t>El curso Psicología evolutiva para la educación, es de naturaleza teórico, atributa a las competencias: Orientación Educativa y Desarrollo Humano. Asimismo, concibe la observación educativa a nivel de la teoría, historia y psicología  para establecer las orientaciones básicas que permitan el desarrollo evolutivo. Así como las alteraciones conductuales que influyen en su evolución, con el fin de evitar desajustes en el desarrollo personal y mental del ser humano. El producto acreditable de la asignatura pretende desarrollar y poner en contacto al futuro educador, con conocimientos y criterios que fundamentarán su labor de formación y adecuada estimulación de los niños y niñas en edad escolar.</t>
  </si>
  <si>
    <t>The English Language Phonetics course is theoretical-practical in nature. Competence attributes: Comprehension and expression of the English language. Likewise, it should be noted that it is an active and interactive subject to improve the pronunciation and speaking of students in English by learning the phonology of the English language and the work of simple phonetic transcription. The creditable product is a lesson plan design.</t>
  </si>
  <si>
    <t xml:space="preserve">English VI: RREL, es un curso que pertenece al área formativa de estudios específicos, tiene carácter práctico, y tributa a la competencia de comunicación bilingüe. Contribuye al desarrollo de la competencia comunicativa, nivel B2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 </t>
  </si>
  <si>
    <t>Gerencia de Instituciones Educativas pertenece al área de formación especializada, es de naturaleza teórico; el curso busca analizar las propuestas de diseño de planes y proyectos educativos considerando las normas que favorecen la buena gestión y la calidad educativa. Esta asignatura tributa a la competencia: Desarrollo de gestión educativa que promueve la conformación de un conjunto de procesos organizados que permitan que las áreas de gestión educativa logren sus objetivos y metas.  los siguientes ejes temáticos: Las instituciones educativas y el proceso administrativo y la dirección de instituciones educativas. Su producto acreditable es: Elabora una propuesta de un modelo de PEI integrando el diagnóstico, políticas y objetivos estratégicos y las actividades estratégicas.</t>
  </si>
  <si>
    <t>Publik Speaking es un curso del área de especialidad, de naturaleza teórica. Tributa a la competencia: Comprensión y expresión del idioma inglés. Esa asignatura comprende y desarrolla el pensamiento crítico de manera integral del idioma inglés como segunda lengua, perfeccionando ciertos aspectos fundamentales como el campo fonético y léxico. Adicionalmente, examinará los elementos básicos de investigación, construcción y entrega de la presentación pública original. Al comprender qué componentes se incluyen en un buen discurso, una persona se verá más segura en su presentación. El producto acreditable de este curso es realizar asignaciones de oratoria para que los estudiantes puedan enfrentar según la casuística los diferentes escenarios en el campo educativo.</t>
  </si>
  <si>
    <t>Software Educativo, es  una asignatura de formación especializada y de naturaleza teórico - práctico. Tributa a las competencias de gestión de recursos y desarrollo de la gestión educativa. Promueve la conformación de un conjunto de procesos organizados que permitan que las áreas de gestión educativa logren sus objetivos y metas. Comprende el desarrollo de los siguientes ejes temáticos: La función educativa y teorías del aprendizaje, entornos virtuales: ambientes de enseñanza aprendizaje y el uso ético e innovador de las Tics. El producto acreditable de la asignatura es un portafolio digital con presentación y exposición de las herramientas digitales trabajadas del contenido teórico del Software educativo y su aplicación en el campo pedagógico.</t>
  </si>
  <si>
    <t>The Teaching English as Second Language: Methods &amp; S.I course is theoretical-practical in nature and attributes to the competence: Comprehension and expression of the English language. Educators become active participants in the decision-making process. A general knowledge of the different methodological approaches that have led to the development of the techniques and procedures used in the teaching of the English language will allow teachers to improve their practices in the classroom. The accreditable product is a presentation of an infographic on teaching methodologies.</t>
  </si>
  <si>
    <t>The English Composition course has an analytical-practical nature. The skills to which it is intended are: Comprehension and expression of the English language and Bilingual Communication. Understands and develops critical thinking in an integral way of the English language as a second language, perfecting certain fundamental aspects such as the phonetic and lexical field. The main objective of the course is to inform the participant about the fundamentals of testing and assessment in the field of English language teaching (ELT), as well as the theory and practice behind testing language, receptive and productive skills. The creditable product is written work that develops English language composition and evidence of continuous improvement.</t>
  </si>
  <si>
    <t>Investigación Educacional, es  una asignatura de formación especializada y de naturaleza teórico - práctico. Este curso tributa a las competencias de investigación e investigación educativa. Realiza proyectos de investigación reflejando sustento sobre el campo metológico y teórico para sustentar los productos acreditables. Comprende el desarrollo de los siguientes ejes temáticos: El proceso de construcción de la práctica pedagógica desde la metodología de investigación acción y la reconstrucción de la práctica pedagógica para la mejora continua. Con el fin de desarrollar el pensamiento crítico reflexivo frente a la identificación de problemas educativos y el planteamiento de soluciones relacionados a la realidad del aula y la escuela. El producto acreditable es una propuesta de intervención para la mejora de una problema encontrada en el ámbito educacional.</t>
  </si>
  <si>
    <t>Proyecto Integrador, es una asignatura de formación especializada, es de naturaleza teórico. Tributa a las competencias de investigación educativa y comunicación integral. En este curso el estudiante realiza proyectos de investigación reflejando sustento sobre el campo metológico y teórico para sustentar los productos acreditables. Comprende el desarrollo de los siguientes ejes temáticos: Línea de base del proyecto de innovación, diseño del proyecto de innovación ;y monitoreo y evaluación del proyecto de innovación. El producto acreditable es un proyecto de innovación pedagógica.</t>
  </si>
  <si>
    <t>The Teaching English as Second Languages: Methods &amp; Strategies II subject is of a theoretical-practical nature and is attributed to the development of teaching and learning competence. It carries out, effectively, the improvement of teacher training to raise the quality of education. Likewise, the thematic axes focus on active teaching practices where the participants make methodological decisions and develop techniques and procedures to improve their sessions. The accreditable product is the realization of a class session where the methodologies and strategies presented throughout the course are used.</t>
  </si>
  <si>
    <t>The ESL subject: Learner Strategies is of a theoretical-practical nature and the subject attributes to the competence: Comprehension and expression of the English language. Explains, holistically criticizes the English language as a language, according to the phonetic, lexical and semantic aspects using ICT to systematize it didactically in the teaching-learning process. The second strategies developed are largely appropriate for all students. ESL and classroom teachers will collaborate to deliver the curriculum in the regular classroom. The accreditable product will be a work on the design of a personal development plan and a reflection on the experience.</t>
  </si>
  <si>
    <t>The Listening Comprehension course is a theoretical-practical course that attributes to the competence: Comprehension and expression of the English language. Explains, holistically criticizes the English language as a second language, according to the phonetic, lexical and semantic aspects using ICT to systematize it didactically in the teaching-learning process. And this matter is intended for the subject to obtain a listening comprehension that is able to understand in social interaction and also in recorded form listening to general, technical and academic English at a high level. The creditable product is to produce C2 work that promotes dialogue and English language comprehension ability.</t>
  </si>
  <si>
    <t>Organización de la Información, es una asignatura de formación especializada y de naturaleza teórico-práctico. Tributa a la competencia de investigación educativa. Elabora el proyecto de investigación demostrando consistencia sobre todo en el marco teórico, diseño metodológico y validación de los instrumentos de investigación. Comprende el desarrollo de los siguientes ejes temáticos: Proceso de investigación científica aplicado a la educación y el marco metodológico del proyecto de investigación, instrumentos: elaboración, aplicación y sistematización de la información. El producto acreditable es un informe de investigación basado en alguna temática del contexto educacional.</t>
  </si>
  <si>
    <t>Práctica Pre-profesional Inicial, es una asignatura de formación especializada y de naturaleza teórico-práctico. Tributa a las competencias de investigación educativa y desarrollo de enseñanza y aprendizaje. Comprende el desarrollo de los siguientes ejes temáticos: El reconocimiento y análisis de diversas metodologías y estrategias para facilitar el aprendizaje; y el análisis de gestión institucional en centros educativos de Lima. El producto acreditable es un portafolio con la planificación y observación de sesiones de aprendizajes de sus centros de prácticas.</t>
  </si>
  <si>
    <t>The Microcomputers and Media in the ESL Classroom subject is of a theoretical-practical nature and this subject is attributed to the Teaching and Learning Development and Resource Management competence. Efficiently performs the development of teaching and its development in its teaching identity for the good learning of students. It is based on the proposal to use existing multimedia technology and software in relation to teaching and learning. The creditable product of the course is that students will develop learning sessions and also prepare case reports.</t>
  </si>
  <si>
    <t>Planificación de Clases y Actividades, es una asignatura de formación especializada y de carácter teórico. Esta asignatura tributa a las competencias de desarrollo de gestión educativa y comunicación integral. Establece relaciones entre las concepciones de administración, economía, marketing y aspectos legales como fundamentos básicos para el desarrollo de una buena gestión educativa. Comprende el desarrollo de los siguientes ejes temáticos: el programa curricular de educación, el diseño y planificación de sesiones de aprendizaje. El producto acreditable es la propuesta de una sesión de aprendizaje, que refleje la planificación y ejecución del proceso enseñanza-aprendizaje.</t>
  </si>
  <si>
    <t>Práctica Preprofesional Intermedia, es una asignatura de formación especializada y de naturaleza teórico-práctico. Tributa a la competencia de Desarrollo Enseñanza y Aprendizaje. ESte curso tiene como propósito lograr un desempeño eficiente en la enseñanza y en el desarrollo de su identidad docente para el buen aprendizaje de los estudiantes. Comprende el desarrollo de los siguientes ejes temáticos: la metodología y estrategias para el aprendizaje de las diferentes áreas curriculares, la exposición de situaciones reales y elaboración de sesiones de clase de acuerdo con el contexto educativo. El producto acreditable es un portafolio con la planificación y observación de sesiones de aprendizajes de sus centros de prácticas.</t>
  </si>
  <si>
    <t>The Tasks and Projects subject is of a practical nature and attributes the teaching and learning development competence. With the purpose that, in the English classroom, students are given a clear concept of work in a task and project, designing them and incorporating them in the classroom. In order for students to develop and write their opinions about teaching. The accreditable product is that an activity is carried out through a forum and a conceptual map on the teaching of writing is presented.</t>
  </si>
  <si>
    <t>Sistematización de la Información, es una asignatura de formación especializada y de naturaleza teórico-práctico. Tiene como finalidad que el estudiante desarrolle las competencias de Investigación Educativa y las competencias generales de Investigación y Comunicación Integral. Elabora el proyecto de investigación demostrando consistencia sobre todo en el marco teórico, diseño metodológico y validación de los instrumentos de investigación. Comprende el desarrollo de los siguientes ejes temáticos: Diagnóstico educativo y proyecto de investigación ;e instrumentos de investigación (elaboración, aplicación y sistematización de la información). El producto acreditable es la presentación de un informe de investigación en base a una problemática encontrada en el contexto educacional.</t>
  </si>
  <si>
    <t>Coaching Educativo, es una asignatura de formación especializada y de naturaleza teórica-práctica, tiene como finalidad que el estudiante desarrolle las competencias de Orientación educativa y de Desarrollo Humano. Comprende el rigor científico de la teoría, la historia y la psicología aplicadas al ámbito educativo para establecer las orientaciones fundamentales del sentido educativo en los docentes y los alumnos. Demuestra sensibilidad y disposición social en las interacciones de su vida académica, con asertividad y empatía, para afrontar de manera satisfactoria las exigencias sociales y profesionales.  El producto acreditable es el informe estudio de un caso bajo el contexto educacional.</t>
  </si>
  <si>
    <t xml:space="preserve">Informe y Sustentación del Proyecto de Investigación, es una asignatura de formación especializada y de naturaleza teórico-práctico. Desarrolla las competencias de investigación educativa y la competencia general de investigcación. Comprende el desarrollo de los siguientes ejes temáticos: análisis de la información de campo, el marco teórico y la elaboración del informe final de la investigación. Su producto acreditable es la presentación del informe de trabajo de investigación. </t>
  </si>
  <si>
    <t>Legislación Educativa es de área de especialidad, de naturaleza teórica. Tributa a la competencia Orientación Educativa. Comprende el rigor científico de la teoría, la historia y la psicología aplicadas al ámbito educativo para establecer las orientaciones fundamentales del sentido educativo en los docentes y los alumnos. Esta asignatura  tiene como finalidad que el futuro docente obtenga los conocimientos, procedimientos y actitudes necesarias para el dominio del proceso administrativo, en el Sector Educación con miras al logro de la excelencia en la gestión educacional. Los ejes temáticos del curso son: el desarrollo de la legislación educativa peruana y las estrategias de gerencia educativa, mediante análisis y aplicación de las Leyes vigentes, reglamentos, normas generales y otros dispositivos legales. El producto acreditable es una propuesta de apertura enfocado en un centro educativo.</t>
  </si>
  <si>
    <t>Práctica Preprofesional Intensiva, es una asignatura de formación especializada y de naturaleza teórico-práctico. Tributa a la competencia de Desarrollo de Educativa. Establece relaciones entre las concepciones de administración, economía, marketing y aspectos legales como fundamentos básicos para el desarrollo de una buena gestión educativa. Comprende el desarrollo de los siguientes ejes temáticos: la metodología y estrategias para el aprendizaje de las diferentes áreas curriculares,  la exposición de situaciones reales y elaboración de sesiones de clase, de acuerdo con el contexto educativo. El producto acreditable es un portafolio con la planificación y observación de sesiones de aprendizajes de sus centros de prácticas.</t>
  </si>
  <si>
    <t>20.2 SUMILLAS DE CURSOS ELECTIVOS</t>
  </si>
  <si>
    <t>El curso Fundamentos de la Tutoría, es de naturaleza teórica y atributa a la competencia de Orientación Educativa. Asimismo. Brinda al estudiante oportunidades para desarrollar sus habilidades cognoscitivas e interpersonales al diseñar, ejecutar y evaluar propuestas alternativas en el trabajo tutorial con la finalidad de ser aplicados en el nivel de educación secundario. Los ejes temáticos son: la bases teóricas de la Educación y la Tutoría. El producto acreditable de la asignatura es que los alumnos desarrollarán y diseñarán un mapa mental, infografía, exposición dialogada y elaborarán un resumen.</t>
  </si>
  <si>
    <t>Evaluación de los aprendizajes en el Perú, es del área especializada, de naturaleza teórica. Tributa  a la competencia del Desarrollo de gestión educativa. Asimismo, tiene como finalidad desarrollar la comprensión sobre el la evaluación de los aprendizajes en el sistema educativo peruano desde la segunda mitad del siglo XX a la actualidad. Los ejes temáticos en los cuales se centra el curso son: Los procesos evaluativos y metodología del aprendizaje. Pretende establecer un comparativo entre la evaluación por objetivos, capacidades y competencias, así como sus implicancias y beneficios a nivel del aprendizaje y la enseñanza. El producto acreditable es un trabajo sobre la evaluación del sistema educativo peruano.</t>
  </si>
  <si>
    <t>Bases para la gestión estratégica de la sostenibilidad, es una asignatura de formación especializada, tiene carácter teórico y contribuye al desarrollo de la competencia de Desarrollo de gestión educativa. Tiene como propósito que el estudiante asuma una visión socialmente responsable y el enfoque de desarrollo sostenible para contribuir al bienestar de la sociedad. Comprende y relaciona temas como la ecología básica, el cambio climático, la gestión ambiental y sus impactos, las nuevas economías, el valor compartido y el marco legal general. El producto acreditable de la asignatura es un trabajo final que abordará los principales conceptos y como se interrelacionan entre ellos.</t>
  </si>
  <si>
    <t>Oportunidades de Negocio, es un asignatura de especialidad, tiene carácter teórico, contribuye al desarrollo de la competencia profesional Desarrollo de gestión educativa, mediante la elaboración de un modelo de negocio. Los ejes temáticos son: marco conceptual de emprendimiento y design thinking, herramientas blandas de emprendimiento para obtener el Producto Mínimo Viable, validación del área de Mercado del modelo de negocio Canvas y validación del área de Producción del modelo de negocio Canvas. Aplica conocimientos en el desarrollo de soluciones a situaciones problemáticas ampliando la visión de los participantes con el fin de detectar y desarrollar capacidades emprendedoras que les permitan ser competentes en identificar y validar oportunidades de negocio innovadoras en su entorno mediante la utilización de metodologías ágiles, buscando que el estudiante fortalezca sus habilidades blandas de Dirección, Sociales y Personales para mejorar su perfil y condiciones actitudinales hacia el emprendimiento empresarial. El producto acreditable es la presentación de un modelo de negocio Canvas aplicando el método Lean Startup.</t>
  </si>
  <si>
    <t>Cultural Transformation for Digital Transformation es una asignatura que corresponde al área de estudios de especialidad. Es de naturaleza teórica. Tributa a la competencia profesional de Desarrollo de gestión educativa cuyo propósito es analizar y proponer procesos dentro de una organización o área funcional para iniciar una transformación cultural que logre transformar digitalmente a una empresa y le brinde al alumno herramientas de gestión que le permita implementar sus iniciativas empresariales en el futuro. El contenido del curso incluye cuatro ejes temáticos: Liderazgo y gestión del cambio, cultura organizacional y valores corporativos, capacitación y desarrollo de habilidades digitales y cambio de mentalidad y cultura de innovación. El producto acreditable de la asignatura es un "Plan de acción para la transformación digital de una empresa"</t>
  </si>
  <si>
    <t>Tecnologías emergentes, es una asignatura de formación especializada, tiene carácter teórico práctico y contribuye al desarrollo de la competencia Investigación Educativa, para ser capaz de desenvolverse en esta nueva cultura de innovación continua en una sociedad digital, considerando su impacto en el contexto de una industria específica, escenario empresarial o de toda la sociedad. El curso comprende el desarrollo de los siguientes ejes temáticos: madurez tecnológica empresarial, vigilancia tecnológica, ciclo de vida de las tecnologías emergentes, megatendencias en negocios digitales. El producto acreditable es un Infome donde los estudiantes describan  la aplicación de las tendencias de tecnologías emergentes.</t>
  </si>
  <si>
    <t>Desarrollo y Dinámicas de los grupos humanos es un curso del área de especialidad,  de naturaleza teórico- práctica. Tributa a la competencia de Orientación Educativa con el fin de demostrar sensibilidad y disposición social en las interacciones de su vida académica, con asertividad y empatía, para afrontar de manera satisfactoria las exigencias sociales y profesionales.  Los ejes temáticos del curso son: Desarrollo de la Persona humana y gestión de los recursos humanos. Asimismo, cuenta con la finalidad de brindar al estudiante oportunidades para conocer las teorías, investigaciones y los conceptos básicos sobre el comportamiento de los individuos dentro de la dinámica de grupos a la luz de la psicología social. El producto acreditable, será la presentación de un trabajo que evidencia las estrategias de intervención en las dinámicas de un grupo humano.</t>
  </si>
  <si>
    <t>El curso Estrategias de Evaluación de los Aprendizajes, es de formación especializada y de naturaleza teórico – práctico. Esta asignatura atributa a la competencia de Desarrollo Enseñanza y Aprendizaje. Comprende el desarrollo de los siguientes ejes temáticos: la evaluación como procesos de aprendizaje, las estrategias de evaluación dentro del currículo por competencias, la comunicación del proceso de evaluación y la evaluación del proceso implementado. El producto acreditable es una propuesta disruptiva que cumpla con lo que requerido en el currículo nacional.</t>
  </si>
  <si>
    <t>Gestión empresarial sostenible, es una asignatura de formación especializada, tiene carácter teórico y contribuye al desarrollo de la competencia profesional de Desarrollo de Gestión Educativa. Tiene como propósito que el estudiante asuma una visión socialmente responsable y el enfoque de desarrollo sostenible para contribuir al bienestar de la sociedad. Comprende el desarrollo de los siguientes ejes temáticos: procesos y herramientas básicas que ayudan a las empresas privadas a alcanzar una sostenibilidad en el marco de los criterios ambientales, sociales y de gobernanza, con énfasis en el uso de herramientas de finanzas verdes como bonos de carbono y compensación de emisiones, así como también, instrumentos de reporte como el estándar GRI, ISO 26000 y certificaciones como Empresa B.  El producto acreditable de la asignatura es un trabajo final donde se aplicará los conceptos y herramientas presentadas.</t>
  </si>
  <si>
    <t>C.M.: Plan de Negocios es un asignatura de especialidad, de naturaleza teórico, contribuye a la competencia profesional de Desarrollo de Gestión Educativa, mediante la formulación de un Plan de Negocio como base para tomar la decisión de realizarlo, el cual se realizará a nivel de Estudio de Perfil. El contenido a desarrollar son los conceptos y aplicaciones, a nivel de perfil: estudio de mercado, estudio técnico, estudio legal, estudio organizacional, estudio ambiental, estudio de inversiones, costos e ingresos, estudio económico, y evaluación. El producto acreditable es la elaboración y sustentación de un plan de negocio a nivel de estudio de perfil.</t>
  </si>
  <si>
    <t>Cloud Business, es una asignatura que corresponde al área de estudios de especialidad, es de naturaleza teórica. Tributa a la competencia Desarrollo de Gestión Educativa cuyo propósito es utilizar eficientemente los recursos necesarios para el logro de las metas u objetivos fomentando los negocios en la nube y sus diferentes implicancias, brindando al estudiante conocimiento básico necesario para la implementación de iniciativas empresariales en el futuro.  El contenido del curso incluye cuatro ejes temáticos: Infraestructura de la nube (almacenamiento y red), gestión y optimización de recursos en la nube, seguridad y cumplimiento en la nube y gestión de servicios en la nube.  El producto acreditable de la asignatura es "Plan de migración a la nube de una organización".</t>
  </si>
  <si>
    <t>Inteligencia Artificial Generativa, es una asignatura de formación especializada, tiene carácter teórico práctico, contribuye al desarrollo de la competencia Investigación Educativa permitiendo el desarrollo de habilidades en el uso de la IA generativa para resolver problemas prácticos, automatizar tareas rutinarias, analizar datos, crear contenido creativo de alta calidad, etc. comprendiendo que la IA generativa es una tecnología revolucionaria que está transformando el ámbito empresarial y su innovación. El curso comprende el desarrollo de los siguientes ejes temáticos: Introducción y fundamentos a la inteligencia artificial generativa, aspectos éticos en la sociedad, aplicaciones prácticas con herramientas para la creación de texto generativo, imágenes, música generativa, videos. El producto acreditable es la propuesta de solución a un problema de su entorno, aplicando las herramientas de IA generativa.</t>
  </si>
  <si>
    <t>Desarrollo de las áreas de tutoría, es de formación especializada de naturaleza teórica. Tributa a la competencia de  Orientación Educativa. Relaciona sus características personales, valores y capacidades a través del análisis de casos para interactuar de forma propositiva con su entorno social y comprende el rigor científico de la teoría, la historia y la psicología aplicadas al ámbito educativo con la finalidad de establecer las orientaciones fundamentales del sentido educativo. Los ejes temáticos de este curso son: Conocimiento del marco legal de la orientación y tutoría y las características del desarrollo integral del educando frente a la problemática de inclusión y de actividades de comportamiento. El producto acreditable de la asignatura es la elaboración de un mapa mental del desarrollo de la tutoría en base al contexto educativo.</t>
  </si>
  <si>
    <t>El curso de Diseño de Instrumentos de Evaluación es una asignatura de formación especializada, de naturaleza teórico. Contribuye al desarrollo de la competencia de Desarrollo de la Gestión Educativa. Su propósito es desarrollar la comprensión sobre la evaluación de los aprendizajes en el sistema educativo peruano desde la segunda mitad del siglo XX a la actualidad con la finalidad de establecer un comparativo entre la evaluación por objetivos, capacidades y competencias, así como sus implicancias y beneficios a nivel del aprendizaje y la enseñanza. El curso se desarrolla en 2 unidades: Caracterización de modelos evaluativos en el sistema educativo peruano, Análisis de modelo evaluativo vigente en  Educación Secundaria: reflexión y propuestas. El producto acreditable es un informe sobre la elaboración y presentación  de  instrumentos de evaluación pertinentes a una sesión y/o actividades de aprendizaje.</t>
  </si>
  <si>
    <t>Gestión de emprendimientos socio ambientales, es una asignatura de formación especializada, tiene carácter teórico y contribuye al desarrollo de la competencia profesional de Desarrollo de gestión educativa. Tiene como propósito que el estudiante asuma una visión socialmente responsable y el enfoque de desarrollo sostenible para contribuir al bienestar de la sociedad.  Comprende los siguientes ejes temáticos: marco legal peruano de las sociedades BIC (beneficio e interés colectivo) y el alcance de las empresas socio ambientales y el ecosistema de emprendimientos; uso de herramientas como design thinking, business model canvas y el balance scorecard. El producto acreditable de la asignatura es un trabajo final que abordará los principales conceptos y herramientas revisadas.</t>
  </si>
  <si>
    <t>C. M.: Incubación I es una asignatura de especialidad, es de naturaleza teórica, contribuye al desarrollo de la competencia de Desarrollo de gestión educativa, mediante la elaboración de un informe final del flujo de caja financiero del proyecto. Comprende el desarrollo de los siguientes ejes temáticos: Financiamiento No Tradicional y Constitución de Empresas; Financiamiento bancario a corto, mediano y largo plazo; y Evaluación Económica. El producto acreditable de la asignatura es el informe final del flujo de caja financiero del proyecto.</t>
  </si>
  <si>
    <t>Business and Internet of Things, es una asignatura que corresponde al área de estudios de especialidad. Es de naturaleza teórica. Tributa a la competencia Desarrollo de gestión educativa, cuyo propósito es liderar acciones que mejoren la cultura organizacional y decanten en una mejor toma de decisiones en la empresa brindando el conocimiento básico necesario para gestionar empresas “data-driven”.  El contenido del curso incluye cuatro ejes temáticos: Introducción a la Internet de las cosas (IoT) en el mundo empresarial, protocolos de comunicación y estándares de la IoT aplicados en los negocios, Análisis de datos y toma de decisiones en las empresas y la inteligencia en los negocios.  El producto acreditable de la asignatura es "Proyecto de implementación de IoT en un escenario empresarial".</t>
  </si>
  <si>
    <t>Pensamiento computacional y Analítica de Datos, es una asignatura de formación especializada, tiene carácter teórico práctico, contribuye al desarrollo de la competencia de Investigación Educativa. El curso tiene por finalidad introducir al estudiante en al ámbito del pensamiento computacional y el estudio de modelos matemáticos que permitan la extracción y uso del conocimiento disponibles en repositorios de datos, se exponen los conceptos, las técnicas y las herramientas para el análisis de datos y el descubrimiento de conocimiento. El curso comprende el desarrollo de los siguientes ejes temáticos:  Fundamentos del pensamiento computacional, aplicaciones prácticas del pensamiento computacional, así mismo se verán los fundamentos de la analítica de datos y los modelos descriptivos. El producto acreditable es un informe que describa y fundamente la solución a un problema de analítica de datos a partir de una necesidad de su comunidad.</t>
  </si>
  <si>
    <t>Actividades de evaluación de los aprendizajes, es una asignatura de formación especializada, de naturaleza teórico. Contribuye al desarrollo de la competencia de Desarrollo de enseñanza y aprendizaje. Tiene como finalidad formar a los estudiantes en la elaboración de criterios e indicadores de evaluación para que elaboren con pertinencia los instrumentos de evaluación de una sesión y/o actividades de aprendizaje. Comprende el desarrollo de los siguientes ejes temáticos: Criterios e indicadores de evaluación, técnicas e instrumentos de evaluación. El producto acreditable es un informe sobre la elaboración de instrumentos de evaluación articulados a sesiones y/o actividades de aprendizaje.</t>
  </si>
  <si>
    <t>Plan de Tutoría y Convivencia escolar, es una asignatura de formación especializada, de naturaleza teórico. Contribuye al desarrollo de la competencia de Orientación Educativa, que busca fortalecer la formación del docente en las estrategias que promuevan y fortalezcan la convivencia escolar. Comprende el desarrollo de los siguientes ejes temáticos: Convivencia escolar y salud emocional, aproximación a la diversidad, estrategias para el desarrollo de una buena convivencia escolar. El producto acreditable es una propuesta de un programa tutoría que integre la convivencia escolar.</t>
  </si>
  <si>
    <t>Gestión del sector público y sociedad civil para el desarrollo sostenible, es una asignatura de formación especializada, tiene carácter teórico y contribuye al desarrollo de la competencia profesional de Desarrollo enseñanza y aprendizaje. Tiene como propósito que el estudiante asuma una visión socialmente responsable y el enfoque de desarrollo sostenible para contribuir al bienestar de la sociedad. Comprende el desarrollo de los siguientes ejes temáticos: marco de las políticas públicas de los diferentes sectores en el Estado; el sistema de cooperación internacional; las inversiones públicas, la recaudación de fondos y la movilización de recursos, uso de herramientas como el presupuesto participativo y obras por impuestos; y metodologías como el árbol de problemas y marco lógico. El producto acreditable de la asignatura es un trabajo final que abordará los principales conceptos y como se interrelacionan entre ellos.</t>
  </si>
  <si>
    <t>C. M.: Incubación II es una asignatura de especialidad, es de naturaleza teórica, contribuye al desarrollo de la competencia de Desarrollo de Gestión Educativa, mediante la elaboración de un informe final del flujo de caja y diagrama de Gantt. Comprende el desarrollo de los siguientes ejes temáticos: Desarrollo de marca, Publicidad y promoción, Evaluación económica y diagrama de Gantt. El producto acreditable de la asignatura es el informe final del flujo de caja y diagrama de Gantt de las actividades de inicio del proyecto.</t>
  </si>
  <si>
    <t>Artificial Intelligence for Business, es una asignatura que corresponde al área de estudios de especialidad. Es de naturaleza teórica. Tributa a la competencia Desarrollo de Gestión Educativa, cuyo propósito es comparar el desempeño real con el desempeño esperado de las organizaciones, en base al plan definido, brindando el conocimiento básico necesario para gestionar empresas aprovechando el avance rápido de la Inteligencia Artificial.  El contenido del curso incluye cuatro ejes temáticos: Introducción a la inteligencia Artifical (IA) en el ámbito empresarial,  tecnologías y herramientas de IA para negocios, ética y gobernanza de la IA empresarial e Implementación y gestión de proyectos de IA en empresas.  El producto acreditable de la asignatura es "Elaboración de un Plan Estratégico de Implementación de Inteligencia Artificial para una empresa ficticia o real"</t>
  </si>
  <si>
    <t>Análisis y visualización de datos, es una asignatura de formación especializada, tiene carácter teórico práctico, contribuye al desarrollo de la competencia Investigación Educativa. El curso tiene por finalidad permitir al estudiante identificar patrones, tendencias y relaciones en conjuntos de datos, así como comunicar de manera efectiva los hallazgos a través de visualizaciones claras y significativas. El curso comprende el desarrollo de los siguientes ejes temáticos:  modelamiento predictivo, fundamentos de la visualización de datos, herramientas de visualización de datos, aplicaciones prácticas de análisis y visualización de datos. El producto acreditable es un informe de la solución a un problema de analítica y visualización de datos de un problema de su comunidad.</t>
  </si>
  <si>
    <t xml:space="preserve">Desarrollo Humano, perteneciente a Estudios Generales, es teórico. Tributa a la competencia de desarrollo humano y tiene como propósito desarrollar en el estudiante estrategias de carácter cognitivo, afectivo y social que le permitirán hacer frente a las demandas académicas y de desarrollo personal que supone el ingreso a la vida universitaria. La estructura temática de este curso se divide en dos unidades: Estrategias para la adaptación a la vida universitaria en el ámbito personal, que comprende: desarrollo personal, desarrollo interpersonal y compromiso social; y Estrategias para la adaptación a la vida universitaria en el ámbito académico relacionado con la búsqueda de información, integración, elaboración y su aplicación en diversos productos académicos. El producto acreditable de la asignatura es el trabajo de un portafolio digital.
</t>
  </si>
  <si>
    <t>Por favor, incorporar las sumillas de los electivos</t>
  </si>
  <si>
    <t>Evaluación de los aprendizajes en el Perú, es del área especializada, de naturaleza teórica. Tributa  a la competencia del Desarrollo de la gestión educativa. Asimismo, tiene como finalidad desarrollar la comprensión sobre el la evaluación de los aprendizajes en el sistema educativo peruano desde la segunda mitad del siglo XX a la actualidad. Los ejes temáticos en los cuales se centra el curso son: Los procesos evaluativos y metodología del aprendizaje. Pretende establecer un comparativo entre la evaluación por objetivos, capacidades y competencias, así como sus implicancias y beneficios a nivel del aprendizaje y la enseñanza. El producto acreditable es un trabajo sobre la evaluación del sistema educativo peruano.</t>
  </si>
  <si>
    <t>DESARROLLO Y DINÁMICAS DE LOS GRUPOS HUMANOS</t>
  </si>
  <si>
    <t xml:space="preserve">Desarrollo de las áreas de tutoría, es de formación especializada de naturaleza teórica. Tributa a la competencia de  Orientación Educativa. Relaciona sus características personales, valores y capacidades a través del análisis de casos para interactuar de forma propositiva con su entorno social y comprende el rigor científico de la teoría, la historia y la psicología aplicadas al ámbito educativo con la finalidad de establecer las orientaciones fundamentales del sentido educativo. Los ejes temáticos de este curso son: Conocimiento del marco legal de la orientación y tutoría y las características del desarrollo integral del educando frente a la problemática de inclusión y de actividades de comportamiento. El producto acreditable de la asignatura es la elaboración de un mapa mental del desarrollo de la tutoría en base al contexto educativo.
</t>
  </si>
  <si>
    <t>21.1 CURSOS OBLIGATORIOS</t>
  </si>
  <si>
    <t>Código del curso</t>
  </si>
  <si>
    <t>Modalidad de curso 
(Virtual o presencial)</t>
  </si>
  <si>
    <t>Horas Lectivas de Laboratorio</t>
  </si>
  <si>
    <t>Justificación de la naturaleza 
teórica y/o práctica de la asignatura</t>
  </si>
  <si>
    <t>Elementos necesarios para desarrollar el curso (recursos necesarios: equipamiento, softwares, ambientes, otros).</t>
  </si>
  <si>
    <t>Resultados de aprendizajes esperados del curso</t>
  </si>
  <si>
    <t>Pertinencia de la modalidad del curso</t>
  </si>
  <si>
    <t>Metodología de enseñanza-aprendizaje</t>
  </si>
  <si>
    <t>Idoneidad de la modalidad semipresencial o a distancia del componente práctico 
***(solo para cursos con componente práctico no presencial)***</t>
  </si>
  <si>
    <t>P</t>
  </si>
  <si>
    <t>V</t>
  </si>
  <si>
    <t>21.2 CURSOS ELECTIVOS</t>
  </si>
  <si>
    <t>Resultados de aprendizaje esperados</t>
  </si>
  <si>
    <t>Nueva denominación del programa:</t>
  </si>
  <si>
    <t>CÓDIGO SUNEDU</t>
  </si>
  <si>
    <t>Unidad</t>
  </si>
  <si>
    <t>PREGRADO REGULAR</t>
  </si>
  <si>
    <t>Antigua denominación del programa :</t>
  </si>
  <si>
    <t>Plan de estudios donde se aplicará el cambio:</t>
  </si>
  <si>
    <t>FC: EDU. SECUNDARIA 2025-01 - INGLÉS</t>
  </si>
  <si>
    <t>22.1 Cambios realizados al plan de estudios</t>
  </si>
  <si>
    <t>Resumen:</t>
  </si>
  <si>
    <t>Variación</t>
  </si>
  <si>
    <t>Cuadro de cambios:</t>
  </si>
  <si>
    <t>Duración del programa (meses)</t>
  </si>
  <si>
    <t>En el nombre del programa de estudio</t>
  </si>
  <si>
    <t>Régimen</t>
  </si>
  <si>
    <t>En el nombre del título profesional</t>
  </si>
  <si>
    <t>Modalidad actual</t>
  </si>
  <si>
    <t>En el nombre del grado académico</t>
  </si>
  <si>
    <t>Número de créditos totales</t>
  </si>
  <si>
    <t>En duración del programa</t>
  </si>
  <si>
    <t>Cantidad de créditos presenciales</t>
  </si>
  <si>
    <t>En cambios en el régimen</t>
  </si>
  <si>
    <t>Cantidad de créditos virtuales</t>
  </si>
  <si>
    <t>En Variación en % de créditos virtuales</t>
  </si>
  <si>
    <t>% Créditos virtuales</t>
  </si>
  <si>
    <t>Nuevos cursos obligatorios</t>
  </si>
  <si>
    <t>Cantidad de cursos electivos</t>
  </si>
  <si>
    <t>Nuevos cursos electivos</t>
  </si>
  <si>
    <t>Cantidad de cursos obligatorios</t>
  </si>
  <si>
    <t>Retiro de cursos</t>
  </si>
  <si>
    <t># cursos eliminados</t>
  </si>
  <si>
    <t>Nuevos prerrequisitos</t>
  </si>
  <si>
    <t># cursos nuevos obligatorios</t>
  </si>
  <si>
    <t>En la condición de electivos/obligatorios</t>
  </si>
  <si>
    <t># cursos nuevos lectivos</t>
  </si>
  <si>
    <t>En el ciclo de los cursos</t>
  </si>
  <si>
    <t>Cursos prerrequisitos en el plan</t>
  </si>
  <si>
    <t>En cantidad de créditos</t>
  </si>
  <si>
    <t>Cursos eliminados malla anterior</t>
  </si>
  <si>
    <t>Cursos nuevos malla vigente</t>
  </si>
  <si>
    <t>Variaciones en cursos</t>
  </si>
  <si>
    <t>Nuevo requisito o movimiento</t>
  </si>
  <si>
    <t>3</t>
  </si>
  <si>
    <t>4</t>
  </si>
  <si>
    <t>5</t>
  </si>
  <si>
    <t>6</t>
  </si>
  <si>
    <t>22.2) Cuadro de equivalencias de las asignaturas</t>
  </si>
  <si>
    <t>NO APLICA</t>
  </si>
  <si>
    <t>Plan de estudios anterior</t>
  </si>
  <si>
    <t>Plan de estudios último</t>
  </si>
  <si>
    <t>Código Asignatura</t>
  </si>
  <si>
    <t>Nombre de la asignatura</t>
  </si>
  <si>
    <t>22.3) Justificación de la actualización de los planes de estudio</t>
  </si>
  <si>
    <t>22.4)  Periodo de transitoriedad de las mallas</t>
  </si>
  <si>
    <t>La actualización de la malla curricular aplica a los estudiantes antiguos y nuevos a partir del 2025-01.</t>
  </si>
  <si>
    <t>Elaborado por: Victoria Jiménez C.</t>
  </si>
  <si>
    <t>Revisado por: Victoria Jiménez C.</t>
  </si>
  <si>
    <t>Revisado por:</t>
  </si>
  <si>
    <t>Validado por:</t>
  </si>
  <si>
    <t>Aprobado por:</t>
  </si>
  <si>
    <t xml:space="preserve">Director o responsable del programa </t>
  </si>
  <si>
    <t>Decano de Facultad</t>
  </si>
  <si>
    <t>Subdirección de Gestión Curricular</t>
  </si>
  <si>
    <t>Dirección Académica</t>
  </si>
  <si>
    <t>Vicerrector Académico</t>
  </si>
  <si>
    <t>Fecha:</t>
  </si>
  <si>
    <t>% de virtualidad del programa (en créditos)</t>
  </si>
  <si>
    <t>Distribución de créditos por ciclo según modalidad</t>
  </si>
  <si>
    <t>Distribución de créditos por ciclo según tipo de hora</t>
  </si>
  <si>
    <t>CANTIDAD DE CURSOS SEGÚN NIVEL DE COMPETENCIAS</t>
  </si>
  <si>
    <t>CURSOS OBLIGATORIOS</t>
  </si>
  <si>
    <t>CURSOS ELECTIVOS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</si>
</sst>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
  </numFmts>
  <fonts count="96">
    <font>
      <sz val="11"/>
      <color theme="1"/>
      <name val="Calibri"/>
      <family val="2"/>
      <scheme val="minor"/>
    </font>
    <font>
      <b/>
      <i/>
      <sz val="9"/>
      <color theme="1"/>
      <name val="Avenir Next LT Pro"/>
      <family val="2"/>
    </font>
    <font>
      <b/>
      <sz val="9"/>
      <color theme="1"/>
      <name val="Calibri"/>
      <family val="2"/>
      <scheme val="minor"/>
    </font>
    <font>
      <sz val="9"/>
      <color theme="1"/>
      <name val="Calibri"/>
      <family val="2"/>
      <scheme val="minor"/>
    </font>
    <font>
      <sz val="11"/>
      <color theme="0"/>
      <name val="Calibri"/>
      <family val="2"/>
      <scheme val="minor"/>
    </font>
    <font>
      <b/>
      <sz val="12"/>
      <color theme="1"/>
      <name val="Century Gothic"/>
      <family val="2"/>
    </font>
    <font>
      <b/>
      <u/>
      <sz val="11"/>
      <color theme="1"/>
      <name val="Calibri"/>
      <family val="2"/>
      <scheme val="minor"/>
    </font>
    <font>
      <b/>
      <sz val="12"/>
      <color theme="0"/>
      <name val="Century Gothic"/>
      <family val="2"/>
    </font>
    <font>
      <sz val="9"/>
      <color theme="0"/>
      <name val="Calibri"/>
      <family val="2"/>
      <scheme val="minor"/>
    </font>
    <font>
      <sz val="12"/>
      <color theme="1"/>
      <name val="Calibri"/>
      <family val="2"/>
      <scheme val="minor"/>
    </font>
    <font>
      <b/>
      <u/>
      <sz val="16"/>
      <color theme="1"/>
      <name val="Calibri"/>
      <family val="2"/>
      <scheme val="minor"/>
    </font>
    <font>
      <sz val="9"/>
      <name val="Calibri"/>
      <family val="2"/>
      <scheme val="minor"/>
    </font>
    <font>
      <b/>
      <sz val="9"/>
      <color rgb="FF000000"/>
      <name val="Calibri"/>
      <family val="2"/>
      <scheme val="minor"/>
    </font>
    <font>
      <b/>
      <u/>
      <sz val="12"/>
      <color theme="1"/>
      <name val="Calibri "/>
    </font>
    <font>
      <b/>
      <sz val="12"/>
      <color theme="1"/>
      <name val="Calibri "/>
    </font>
    <font>
      <sz val="10"/>
      <color theme="1"/>
      <name val="Calibri"/>
      <family val="2"/>
      <scheme val="minor"/>
    </font>
    <font>
      <b/>
      <u/>
      <sz val="12"/>
      <color theme="1"/>
      <name val="Calibri"/>
      <family val="2"/>
      <scheme val="minor"/>
    </font>
    <font>
      <b/>
      <sz val="11"/>
      <color theme="1"/>
      <name val="Calibri "/>
    </font>
    <font>
      <b/>
      <sz val="10"/>
      <color theme="1"/>
      <name val="Calibri "/>
    </font>
    <font>
      <sz val="10"/>
      <color theme="1"/>
      <name val="Calibri "/>
    </font>
    <font>
      <b/>
      <u/>
      <sz val="10"/>
      <color theme="1"/>
      <name val="Calibri "/>
    </font>
    <font>
      <sz val="11"/>
      <color theme="1"/>
      <name val="Calibri"/>
      <family val="2"/>
      <scheme val="minor"/>
    </font>
    <font>
      <sz val="11"/>
      <name val="Calibri"/>
      <family val="2"/>
      <scheme val="minor"/>
    </font>
    <font>
      <b/>
      <sz val="10"/>
      <color theme="1"/>
      <name val="Calibri"/>
      <family val="2"/>
      <scheme val="minor"/>
    </font>
    <font>
      <sz val="8"/>
      <name val="Calibri"/>
      <family val="2"/>
      <scheme val="minor"/>
    </font>
    <font>
      <b/>
      <sz val="11"/>
      <color theme="1"/>
      <name val="Calibri"/>
      <family val="2"/>
      <scheme val="minor"/>
    </font>
    <font>
      <sz val="7"/>
      <color rgb="FF000000"/>
      <name val="Calibri"/>
      <family val="2"/>
      <scheme val="minor"/>
    </font>
    <font>
      <b/>
      <sz val="11"/>
      <color theme="0"/>
      <name val="Calibri"/>
      <family val="2"/>
      <scheme val="minor"/>
    </font>
    <font>
      <b/>
      <sz val="7"/>
      <name val="Calibri"/>
      <family val="2"/>
      <scheme val="minor"/>
    </font>
    <font>
      <b/>
      <sz val="10"/>
      <color rgb="FFFF0000"/>
      <name val="Calibri"/>
      <family val="2"/>
      <scheme val="minor"/>
    </font>
    <font>
      <b/>
      <sz val="20"/>
      <color rgb="FFFF0000"/>
      <name val="Calibri"/>
      <family val="2"/>
      <scheme val="minor"/>
    </font>
    <font>
      <b/>
      <sz val="15"/>
      <color theme="0"/>
      <name val="Calibri"/>
      <family val="2"/>
      <scheme val="minor"/>
    </font>
    <font>
      <sz val="11"/>
      <color theme="1"/>
      <name val="Webdings"/>
      <family val="1"/>
      <charset val="2"/>
    </font>
    <font>
      <i/>
      <sz val="10"/>
      <name val="Marlett"/>
      <charset val="2"/>
    </font>
    <font>
      <b/>
      <sz val="9"/>
      <name val="Calibri"/>
      <family val="2"/>
      <scheme val="minor"/>
    </font>
    <font>
      <b/>
      <sz val="12"/>
      <color theme="0" tint="-4.9989318521683403E-2"/>
      <name val="Calibri"/>
      <family val="2"/>
      <scheme val="minor"/>
    </font>
    <font>
      <b/>
      <u/>
      <sz val="12"/>
      <color theme="0"/>
      <name val="Calibri"/>
      <family val="2"/>
      <scheme val="minor"/>
    </font>
    <font>
      <sz val="8"/>
      <color theme="0"/>
      <name val="Calibri"/>
      <family val="2"/>
      <scheme val="minor"/>
    </font>
    <font>
      <sz val="12"/>
      <color theme="0"/>
      <name val="Calibri"/>
      <family val="2"/>
      <scheme val="minor"/>
    </font>
    <font>
      <b/>
      <sz val="10"/>
      <color rgb="FF0070C0"/>
      <name val="Calibri"/>
      <family val="2"/>
      <scheme val="minor"/>
    </font>
    <font>
      <b/>
      <u/>
      <sz val="10"/>
      <color rgb="FF0070C0"/>
      <name val="Calibri"/>
      <family val="2"/>
      <scheme val="minor"/>
    </font>
    <font>
      <b/>
      <sz val="11"/>
      <name val="Calibri"/>
      <family val="2"/>
      <scheme val="minor"/>
    </font>
    <font>
      <sz val="11"/>
      <color rgb="FFFF0000"/>
      <name val="Calibri"/>
      <family val="2"/>
      <scheme val="minor"/>
    </font>
    <font>
      <b/>
      <sz val="9"/>
      <color rgb="FFFFFFFF"/>
      <name val="Arial"/>
      <family val="2"/>
    </font>
    <font>
      <b/>
      <sz val="9"/>
      <color theme="0"/>
      <name val="Arial"/>
      <family val="2"/>
    </font>
    <font>
      <sz val="9"/>
      <name val="Arial"/>
      <family val="2"/>
    </font>
    <font>
      <sz val="9"/>
      <color theme="1"/>
      <name val="Arial"/>
      <family val="2"/>
    </font>
    <font>
      <sz val="11"/>
      <color rgb="FF000000"/>
      <name val="Calibri"/>
      <family val="2"/>
    </font>
    <font>
      <b/>
      <u/>
      <sz val="28"/>
      <color theme="1"/>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b/>
      <u val="double"/>
      <sz val="14"/>
      <color rgb="FF000000"/>
      <name val="Calibri"/>
      <family val="2"/>
      <scheme val="minor"/>
    </font>
    <font>
      <b/>
      <u val="double"/>
      <sz val="14"/>
      <color rgb="FFFF0000"/>
      <name val="Calibri"/>
      <family val="2"/>
    </font>
    <font>
      <b/>
      <sz val="9"/>
      <color rgb="FFFF0000"/>
      <name val="Arial"/>
      <family val="2"/>
    </font>
    <font>
      <u/>
      <sz val="11"/>
      <color rgb="FF000000"/>
      <name val="Calibri"/>
      <family val="2"/>
    </font>
    <font>
      <sz val="11"/>
      <name val="Calibri"/>
      <family val="2"/>
    </font>
    <font>
      <i/>
      <sz val="11"/>
      <color rgb="FF0070C0"/>
      <name val="Calibri"/>
      <family val="2"/>
    </font>
    <font>
      <i/>
      <sz val="11"/>
      <color rgb="FF0070C0"/>
      <name val="Calibri"/>
      <family val="2"/>
      <scheme val="minor"/>
    </font>
    <font>
      <i/>
      <sz val="11"/>
      <color rgb="FF000000"/>
      <name val="Calibri"/>
      <family val="2"/>
      <scheme val="minor"/>
    </font>
    <font>
      <b/>
      <i/>
      <sz val="11"/>
      <color rgb="FF000000"/>
      <name val="Calibri"/>
      <family val="2"/>
    </font>
    <font>
      <sz val="11"/>
      <color rgb="FFFF0000"/>
      <name val="Calibri"/>
      <family val="2"/>
    </font>
    <font>
      <i/>
      <sz val="14"/>
      <color rgb="FF0070C0"/>
      <name val="Calibri"/>
      <family val="2"/>
    </font>
    <font>
      <b/>
      <sz val="10"/>
      <color rgb="FFFFFFFF"/>
      <name val="Calibri "/>
    </font>
    <font>
      <b/>
      <sz val="11"/>
      <color rgb="FF0070C0"/>
      <name val="Calibri"/>
      <family val="2"/>
      <scheme val="minor"/>
    </font>
    <font>
      <sz val="11"/>
      <color rgb="FF0070C0"/>
      <name val="Calibri"/>
      <family val="2"/>
      <scheme val="minor"/>
    </font>
    <font>
      <sz val="9"/>
      <color rgb="FF0070C0"/>
      <name val="Calibri"/>
      <family val="2"/>
      <scheme val="minor"/>
    </font>
    <font>
      <i/>
      <sz val="9"/>
      <color rgb="FF0070C0"/>
      <name val="Calibri"/>
      <family val="2"/>
      <scheme val="minor"/>
    </font>
    <font>
      <sz val="9"/>
      <color rgb="FFFF0000"/>
      <name val="Calibri"/>
      <family val="2"/>
      <scheme val="minor"/>
    </font>
    <font>
      <b/>
      <sz val="11"/>
      <name val="Calibri"/>
      <family val="2"/>
    </font>
    <font>
      <b/>
      <i/>
      <sz val="11"/>
      <color rgb="FF0070C0"/>
      <name val="Calibri"/>
      <family val="2"/>
      <scheme val="minor"/>
    </font>
    <font>
      <u/>
      <sz val="11"/>
      <name val="Calibri"/>
      <family val="2"/>
    </font>
    <font>
      <b/>
      <sz val="10"/>
      <color rgb="FFFF0000"/>
      <name val="Calibri "/>
    </font>
    <font>
      <b/>
      <i/>
      <sz val="10"/>
      <color rgb="FF0070C0"/>
      <name val="Calibri"/>
      <family val="2"/>
      <scheme val="minor"/>
    </font>
    <font>
      <b/>
      <sz val="9"/>
      <color theme="0"/>
      <name val="Calibri"/>
      <family val="2"/>
      <scheme val="minor"/>
    </font>
    <font>
      <sz val="8"/>
      <color theme="1"/>
      <name val="Calibri"/>
      <family val="2"/>
      <scheme val="minor"/>
    </font>
    <font>
      <b/>
      <sz val="8"/>
      <color rgb="FF000000"/>
      <name val="Calibri"/>
      <family val="2"/>
    </font>
    <font>
      <b/>
      <sz val="8"/>
      <color rgb="FFFF0000"/>
      <name val="Calibri"/>
      <family val="2"/>
    </font>
    <font>
      <b/>
      <sz val="8"/>
      <color theme="1"/>
      <name val="Calibri"/>
      <family val="2"/>
      <scheme val="minor"/>
    </font>
    <font>
      <b/>
      <sz val="11"/>
      <color rgb="FFFF0000"/>
      <name val="Calibri"/>
      <family val="2"/>
      <scheme val="minor"/>
    </font>
    <font>
      <sz val="8"/>
      <color rgb="FF000000"/>
      <name val="Calibri"/>
      <family val="2"/>
    </font>
    <font>
      <sz val="8"/>
      <name val="Calibri"/>
      <family val="2"/>
    </font>
    <font>
      <b/>
      <sz val="8"/>
      <name val="Calibri"/>
      <family val="2"/>
    </font>
    <font>
      <b/>
      <sz val="10"/>
      <color rgb="FFFFFFFF"/>
      <name val="Calibri"/>
      <family val="2"/>
      <scheme val="minor"/>
    </font>
    <font>
      <b/>
      <sz val="9"/>
      <color rgb="FFFFFFFF"/>
      <name val="Calibri"/>
      <family val="2"/>
      <scheme val="minor"/>
    </font>
    <font>
      <b/>
      <sz val="11"/>
      <color rgb="FFFFFFFF"/>
      <name val="Calibri"/>
      <family val="2"/>
      <scheme val="minor"/>
    </font>
    <font>
      <b/>
      <u/>
      <sz val="11"/>
      <color rgb="FF000000"/>
      <name val="Calibri"/>
      <family val="2"/>
      <scheme val="minor"/>
    </font>
    <font>
      <b/>
      <sz val="11"/>
      <color theme="4" tint="-0.499984740745262"/>
      <name val="Calibri"/>
      <family val="2"/>
      <scheme val="minor"/>
    </font>
    <font>
      <b/>
      <sz val="11"/>
      <color theme="5" tint="-0.249977111117893"/>
      <name val="Calibri"/>
      <family val="2"/>
      <scheme val="minor"/>
    </font>
    <font>
      <b/>
      <u/>
      <sz val="11"/>
      <name val="Calibri"/>
      <family val="2"/>
      <scheme val="minor"/>
    </font>
    <font>
      <b/>
      <u/>
      <sz val="11"/>
      <color rgb="FFD9D9D9"/>
      <name val="Calibri"/>
      <family val="2"/>
      <scheme val="minor"/>
    </font>
    <font>
      <sz val="11"/>
      <color rgb="FF757171"/>
      <name val="Calibri"/>
      <family val="2"/>
      <scheme val="minor"/>
    </font>
    <font>
      <b/>
      <sz val="11"/>
      <color theme="3"/>
      <name val="Calibri"/>
      <family val="2"/>
      <scheme val="minor"/>
    </font>
    <font>
      <b/>
      <sz val="11"/>
      <color rgb="FFC00000"/>
      <name val="Calibri"/>
      <family val="2"/>
      <scheme val="minor"/>
    </font>
    <font>
      <sz val="10"/>
      <color rgb="FF0070C0"/>
      <name val="Calibri"/>
      <family val="2"/>
      <scheme val="minor"/>
    </font>
    <font>
      <sz val="9"/>
      <color rgb="FF000000"/>
      <name val="Calibri"/>
      <family val="2"/>
      <scheme val="minor"/>
    </font>
  </fonts>
  <fills count="33">
    <fill>
      <patternFill patternType="none"/>
    </fill>
    <fill>
      <patternFill patternType="gray125"/>
    </fill>
    <fill>
      <patternFill patternType="solid">
        <fgColor theme="0"/>
        <bgColor indexed="64"/>
      </patternFill>
    </fill>
    <fill>
      <patternFill patternType="solid">
        <fgColor rgb="FFCCECFF"/>
        <bgColor indexed="64"/>
      </patternFill>
    </fill>
    <fill>
      <patternFill patternType="solid">
        <fgColor rgb="FFFFFF00"/>
        <bgColor indexed="64"/>
      </patternFill>
    </fill>
    <fill>
      <patternFill patternType="solid">
        <fgColor rgb="FFFFFFFF"/>
        <bgColor indexed="64"/>
      </patternFill>
    </fill>
    <fill>
      <patternFill patternType="solid">
        <fgColor rgb="FF002060"/>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rgb="FFABEAF3"/>
        <bgColor indexed="64"/>
      </patternFill>
    </fill>
    <fill>
      <patternFill patternType="solid">
        <fgColor rgb="FF92D050"/>
        <bgColor indexed="64"/>
      </patternFill>
    </fill>
    <fill>
      <patternFill patternType="solid">
        <fgColor theme="2"/>
        <bgColor indexed="64"/>
      </patternFill>
    </fill>
    <fill>
      <patternFill patternType="solid">
        <fgColor rgb="FFFFF9E7"/>
        <bgColor indexed="64"/>
      </patternFill>
    </fill>
    <fill>
      <patternFill patternType="solid">
        <fgColor rgb="FFECF5E7"/>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57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0" tint="-0.14996795556505021"/>
        <bgColor indexed="64"/>
      </patternFill>
    </fill>
    <fill>
      <patternFill patternType="solid">
        <fgColor theme="0" tint="-0.249977111117893"/>
        <bgColor rgb="FF000000"/>
      </patternFill>
    </fill>
    <fill>
      <patternFill patternType="solid">
        <fgColor rgb="FFD9D9D9"/>
        <bgColor indexed="64"/>
      </patternFill>
    </fill>
    <fill>
      <patternFill patternType="solid">
        <fgColor rgb="FFD9E1F2"/>
        <bgColor indexed="64"/>
      </patternFill>
    </fill>
    <fill>
      <patternFill patternType="solid">
        <fgColor rgb="FFFFFFFF"/>
        <bgColor rgb="FF000000"/>
      </patternFill>
    </fill>
    <fill>
      <patternFill patternType="solid">
        <fgColor rgb="FF0070C0"/>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4" tint="0.79998168889431442"/>
        <bgColor indexed="64"/>
      </patternFill>
    </fill>
  </fills>
  <borders count="11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double">
        <color indexed="64"/>
      </bottom>
      <diagonal/>
    </border>
    <border>
      <left/>
      <right/>
      <top style="double">
        <color indexed="64"/>
      </top>
      <bottom style="thick">
        <color indexed="64"/>
      </bottom>
      <diagonal/>
    </border>
    <border>
      <left style="hair">
        <color indexed="64"/>
      </left>
      <right style="hair">
        <color indexed="64"/>
      </right>
      <top style="thick">
        <color indexed="64"/>
      </top>
      <bottom style="hair">
        <color indexed="64"/>
      </bottom>
      <diagonal/>
    </border>
    <border>
      <left style="hair">
        <color indexed="64"/>
      </left>
      <right style="hair">
        <color indexed="64"/>
      </right>
      <top style="hair">
        <color indexed="64"/>
      </top>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hair">
        <color indexed="64"/>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hair">
        <color indexed="64"/>
      </top>
      <bottom style="double">
        <color indexed="64"/>
      </bottom>
      <diagonal/>
    </border>
    <border>
      <left/>
      <right style="hair">
        <color indexed="64"/>
      </right>
      <top style="hair">
        <color indexed="64"/>
      </top>
      <bottom style="double">
        <color indexed="64"/>
      </bottom>
      <diagonal/>
    </border>
    <border>
      <left/>
      <right style="thin">
        <color indexed="64"/>
      </right>
      <top/>
      <bottom/>
      <diagonal/>
    </border>
    <border>
      <left style="hair">
        <color indexed="64"/>
      </left>
      <right/>
      <top style="thick">
        <color indexed="64"/>
      </top>
      <bottom style="hair">
        <color indexed="64"/>
      </bottom>
      <diagonal/>
    </border>
    <border>
      <left/>
      <right style="hair">
        <color indexed="64"/>
      </right>
      <top style="thick">
        <color indexed="64"/>
      </top>
      <bottom style="hair">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right style="medium">
        <color indexed="64"/>
      </right>
      <top style="thick">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right/>
      <top/>
      <bottom style="thin">
        <color indexed="64"/>
      </bottom>
      <diagonal/>
    </border>
    <border>
      <left/>
      <right/>
      <top style="thin">
        <color indexed="64"/>
      </top>
      <bottom/>
      <diagonal/>
    </border>
    <border>
      <left style="hair">
        <color indexed="64"/>
      </left>
      <right style="thin">
        <color indexed="64"/>
      </right>
      <top style="double">
        <color indexed="64"/>
      </top>
      <bottom style="thin">
        <color indexed="64"/>
      </bottom>
      <diagonal/>
    </border>
    <border>
      <left style="hair">
        <color indexed="64"/>
      </left>
      <right/>
      <top style="thin">
        <color indexed="64"/>
      </top>
      <bottom style="hair">
        <color indexed="64"/>
      </bottom>
      <diagonal/>
    </border>
    <border>
      <left style="hair">
        <color auto="1"/>
      </left>
      <right/>
      <top/>
      <bottom/>
      <diagonal/>
    </border>
    <border>
      <left/>
      <right style="hair">
        <color auto="1"/>
      </right>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hair">
        <color indexed="64"/>
      </right>
      <top/>
      <bottom style="thin">
        <color indexed="64"/>
      </bottom>
      <diagonal/>
    </border>
    <border>
      <left style="hair">
        <color indexed="64"/>
      </left>
      <right/>
      <top/>
      <bottom style="thin">
        <color indexed="64"/>
      </bottom>
      <diagonal/>
    </border>
    <border>
      <left style="hair">
        <color indexed="64"/>
      </left>
      <right style="thin">
        <color indexed="64"/>
      </right>
      <top/>
      <bottom style="thin">
        <color indexed="64"/>
      </bottom>
      <diagonal/>
    </border>
    <border>
      <left style="hair">
        <color indexed="64"/>
      </left>
      <right/>
      <top style="double">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hair">
        <color auto="1"/>
      </top>
      <bottom style="thin">
        <color indexed="64"/>
      </bottom>
      <diagonal/>
    </border>
    <border>
      <left/>
      <right/>
      <top style="hair">
        <color auto="1"/>
      </top>
      <bottom style="thin">
        <color indexed="64"/>
      </bottom>
      <diagonal/>
    </border>
    <border>
      <left/>
      <right style="thin">
        <color indexed="64"/>
      </right>
      <top style="hair">
        <color auto="1"/>
      </top>
      <bottom style="thin">
        <color indexed="64"/>
      </bottom>
      <diagonal/>
    </border>
    <border>
      <left style="thin">
        <color indexed="64"/>
      </left>
      <right/>
      <top/>
      <bottom style="hair">
        <color indexed="64"/>
      </bottom>
      <diagonal/>
    </border>
    <border>
      <left style="thin">
        <color indexed="64"/>
      </left>
      <right/>
      <top style="thin">
        <color indexed="64"/>
      </top>
      <bottom style="double">
        <color indexed="64"/>
      </bottom>
      <diagonal/>
    </border>
    <border>
      <left style="thin">
        <color indexed="64"/>
      </left>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hair">
        <color indexed="64"/>
      </bottom>
      <diagonal/>
    </border>
    <border>
      <left/>
      <right style="thin">
        <color indexed="64"/>
      </right>
      <top style="thin">
        <color indexed="64"/>
      </top>
      <bottom style="double">
        <color indexed="64"/>
      </bottom>
      <diagonal/>
    </border>
    <border>
      <left style="thin">
        <color indexed="64"/>
      </left>
      <right style="thin">
        <color indexed="64"/>
      </right>
      <top style="double">
        <color indexed="64"/>
      </top>
      <bottom style="hair">
        <color indexed="64"/>
      </bottom>
      <diagonal/>
    </border>
    <border>
      <left style="thin">
        <color indexed="64"/>
      </left>
      <right style="thin">
        <color indexed="64"/>
      </right>
      <top/>
      <bottom style="double">
        <color indexed="64"/>
      </bottom>
      <diagonal/>
    </border>
    <border>
      <left/>
      <right style="thin">
        <color indexed="64"/>
      </right>
      <top/>
      <bottom style="hair">
        <color indexed="64"/>
      </bottom>
      <diagonal/>
    </border>
    <border>
      <left/>
      <right/>
      <top/>
      <bottom style="double">
        <color rgb="FF000000"/>
      </bottom>
      <diagonal/>
    </border>
    <border>
      <left/>
      <right style="thin">
        <color rgb="FF000000"/>
      </right>
      <top/>
      <bottom/>
      <diagonal/>
    </border>
    <border>
      <left style="thin">
        <color rgb="FF000000"/>
      </left>
      <right/>
      <top/>
      <bottom/>
      <diagonal/>
    </border>
    <border>
      <left/>
      <right/>
      <top style="double">
        <color rgb="FF000000"/>
      </top>
      <bottom style="double">
        <color rgb="FF000000"/>
      </bottom>
      <diagonal/>
    </border>
    <border>
      <left/>
      <right style="hair">
        <color indexed="64"/>
      </right>
      <top/>
      <bottom style="double">
        <color rgb="FF000000"/>
      </bottom>
      <diagonal/>
    </border>
    <border>
      <left style="hair">
        <color indexed="64"/>
      </left>
      <right/>
      <top/>
      <bottom style="double">
        <color rgb="FF000000"/>
      </bottom>
      <diagonal/>
    </border>
    <border>
      <left style="hair">
        <color indexed="64"/>
      </left>
      <right style="hair">
        <color indexed="64"/>
      </right>
      <top/>
      <bottom style="double">
        <color rgb="FF000000"/>
      </bottom>
      <diagonal/>
    </border>
    <border>
      <left/>
      <right style="hair">
        <color indexed="64"/>
      </right>
      <top style="medium">
        <color rgb="FF000000"/>
      </top>
      <bottom style="hair">
        <color indexed="64"/>
      </bottom>
      <diagonal/>
    </border>
    <border>
      <left style="hair">
        <color indexed="64"/>
      </left>
      <right/>
      <top style="medium">
        <color rgb="FF000000"/>
      </top>
      <bottom style="hair">
        <color indexed="64"/>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style="hair">
        <color auto="1"/>
      </left>
      <right style="hair">
        <color auto="1"/>
      </right>
      <top/>
      <bottom style="double">
        <color indexed="64"/>
      </bottom>
      <diagonal/>
    </border>
    <border>
      <left style="hair">
        <color indexed="64"/>
      </left>
      <right style="hair">
        <color indexed="64"/>
      </right>
      <top style="double">
        <color indexed="64"/>
      </top>
      <bottom style="hair">
        <color indexed="64"/>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s>
  <cellStyleXfs count="2">
    <xf numFmtId="0" fontId="0" fillId="0" borderId="0"/>
    <xf numFmtId="9" fontId="21" fillId="0" borderId="0" applyFont="0" applyFill="0" applyBorder="0" applyAlignment="0" applyProtection="0"/>
  </cellStyleXfs>
  <cellXfs count="902">
    <xf numFmtId="0" fontId="0" fillId="0" borderId="0" xfId="0"/>
    <xf numFmtId="0" fontId="0" fillId="4" borderId="0" xfId="0" applyFill="1"/>
    <xf numFmtId="0" fontId="3" fillId="0" borderId="0" xfId="0" applyFont="1" applyProtection="1">
      <protection locked="0"/>
    </xf>
    <xf numFmtId="0" fontId="3" fillId="0" borderId="0" xfId="0" applyFont="1" applyAlignment="1" applyProtection="1">
      <alignment horizontal="center"/>
      <protection locked="0"/>
    </xf>
    <xf numFmtId="0" fontId="0" fillId="0" borderId="0" xfId="0" applyProtection="1">
      <protection locked="0"/>
    </xf>
    <xf numFmtId="0" fontId="0" fillId="2" borderId="0" xfId="0" applyFill="1" applyProtection="1">
      <protection locked="0"/>
    </xf>
    <xf numFmtId="0" fontId="5" fillId="2" borderId="0" xfId="0" applyFont="1" applyFill="1" applyProtection="1">
      <protection locked="0"/>
    </xf>
    <xf numFmtId="0" fontId="3" fillId="2" borderId="0" xfId="0" applyFont="1" applyFill="1" applyProtection="1">
      <protection locked="0"/>
    </xf>
    <xf numFmtId="0" fontId="0" fillId="2" borderId="0" xfId="0" applyFill="1"/>
    <xf numFmtId="0" fontId="10" fillId="2" borderId="0" xfId="0" applyFont="1" applyFill="1"/>
    <xf numFmtId="0" fontId="4" fillId="2" borderId="0" xfId="0" applyFont="1" applyFill="1" applyProtection="1">
      <protection locked="0"/>
    </xf>
    <xf numFmtId="0" fontId="7" fillId="2" borderId="0" xfId="0" applyFont="1" applyFill="1" applyProtection="1">
      <protection locked="0"/>
    </xf>
    <xf numFmtId="0" fontId="8" fillId="2" borderId="0" xfId="0" applyFont="1" applyFill="1" applyProtection="1">
      <protection locked="0"/>
    </xf>
    <xf numFmtId="0" fontId="14" fillId="2" borderId="0" xfId="0" applyFont="1" applyFill="1" applyProtection="1">
      <protection locked="0"/>
    </xf>
    <xf numFmtId="0" fontId="14" fillId="2" borderId="0" xfId="0" applyFont="1" applyFill="1" applyAlignment="1" applyProtection="1">
      <alignment horizontal="center"/>
      <protection locked="0"/>
    </xf>
    <xf numFmtId="0" fontId="2" fillId="3" borderId="10" xfId="0" applyFont="1" applyFill="1" applyBorder="1" applyAlignment="1" applyProtection="1">
      <alignment horizontal="center" vertical="center"/>
      <protection locked="0"/>
    </xf>
    <xf numFmtId="0" fontId="2" fillId="3" borderId="10" xfId="0" applyFont="1" applyFill="1" applyBorder="1" applyAlignment="1" applyProtection="1">
      <alignment horizontal="center" vertical="center" wrapText="1"/>
      <protection locked="0"/>
    </xf>
    <xf numFmtId="0" fontId="15" fillId="2" borderId="0" xfId="0" applyFont="1" applyFill="1" applyProtection="1">
      <protection locked="0"/>
    </xf>
    <xf numFmtId="0" fontId="15" fillId="2" borderId="0" xfId="0" applyFont="1" applyFill="1" applyAlignment="1" applyProtection="1">
      <alignment horizontal="center" vertical="top" wrapText="1"/>
      <protection locked="0"/>
    </xf>
    <xf numFmtId="0" fontId="15" fillId="2" borderId="0" xfId="0" applyFont="1" applyFill="1" applyAlignment="1" applyProtection="1">
      <alignment horizontal="justify" vertical="top" wrapText="1"/>
      <protection locked="0"/>
    </xf>
    <xf numFmtId="0" fontId="0" fillId="0" borderId="0" xfId="0" applyAlignment="1">
      <alignment horizontal="left"/>
    </xf>
    <xf numFmtId="0" fontId="3" fillId="0" borderId="0" xfId="0" applyFont="1" applyAlignment="1" applyProtection="1">
      <alignment horizontal="center"/>
      <protection locked="0" hidden="1"/>
    </xf>
    <xf numFmtId="0" fontId="16" fillId="2" borderId="0" xfId="0" applyFont="1" applyFill="1" applyAlignment="1" applyProtection="1">
      <alignment vertical="center"/>
      <protection locked="0" hidden="1"/>
    </xf>
    <xf numFmtId="0" fontId="3" fillId="0" borderId="0" xfId="0" applyFont="1" applyProtection="1">
      <protection locked="0" hidden="1"/>
    </xf>
    <xf numFmtId="0" fontId="16" fillId="2" borderId="0" xfId="0" applyFont="1" applyFill="1" applyAlignment="1" applyProtection="1">
      <alignment horizontal="center" vertical="center"/>
      <protection locked="0" hidden="1"/>
    </xf>
    <xf numFmtId="0" fontId="3" fillId="0" borderId="0" xfId="0" applyFont="1" applyAlignment="1" applyProtection="1">
      <alignment horizontal="left"/>
      <protection locked="0" hidden="1"/>
    </xf>
    <xf numFmtId="0" fontId="3" fillId="0" borderId="0" xfId="0" applyFont="1" applyAlignment="1" applyProtection="1">
      <alignment horizontal="center" vertical="center"/>
      <protection locked="0" hidden="1"/>
    </xf>
    <xf numFmtId="0" fontId="3" fillId="0" borderId="12" xfId="0" applyFont="1" applyBorder="1" applyAlignment="1" applyProtection="1">
      <alignment horizontal="center" vertical="center" wrapText="1"/>
      <protection locked="0" hidden="1"/>
    </xf>
    <xf numFmtId="0" fontId="3" fillId="0" borderId="12" xfId="0" applyFont="1" applyBorder="1" applyAlignment="1" applyProtection="1">
      <alignment horizontal="left" vertical="center" wrapText="1"/>
      <protection locked="0" hidden="1"/>
    </xf>
    <xf numFmtId="0" fontId="3" fillId="0" borderId="12" xfId="0" applyFont="1" applyBorder="1" applyAlignment="1" applyProtection="1">
      <alignment vertical="center" wrapText="1"/>
      <protection locked="0" hidden="1"/>
    </xf>
    <xf numFmtId="0" fontId="3" fillId="0" borderId="29" xfId="0" applyFont="1" applyBorder="1" applyAlignment="1" applyProtection="1">
      <alignment horizontal="center" vertical="center" wrapText="1"/>
      <protection locked="0" hidden="1"/>
    </xf>
    <xf numFmtId="0" fontId="3" fillId="0" borderId="30" xfId="0" applyFont="1" applyBorder="1" applyAlignment="1" applyProtection="1">
      <alignment horizontal="center" vertical="center" wrapText="1"/>
      <protection locked="0" hidden="1"/>
    </xf>
    <xf numFmtId="0" fontId="3" fillId="0" borderId="11" xfId="0" applyFont="1" applyBorder="1" applyAlignment="1" applyProtection="1">
      <alignment horizontal="center" vertical="center" wrapText="1"/>
      <protection locked="0" hidden="1"/>
    </xf>
    <xf numFmtId="0" fontId="3" fillId="0" borderId="11" xfId="0" applyFont="1" applyBorder="1" applyAlignment="1" applyProtection="1">
      <alignment horizontal="left" vertical="center" wrapText="1"/>
      <protection locked="0" hidden="1"/>
    </xf>
    <xf numFmtId="0" fontId="3" fillId="0" borderId="11" xfId="0" applyFont="1" applyBorder="1" applyAlignment="1" applyProtection="1">
      <alignment vertical="center" wrapText="1"/>
      <protection locked="0" hidden="1"/>
    </xf>
    <xf numFmtId="0" fontId="3" fillId="0" borderId="5" xfId="0" applyFont="1" applyBorder="1" applyAlignment="1" applyProtection="1">
      <alignment horizontal="center" vertical="center" wrapText="1"/>
      <protection locked="0" hidden="1"/>
    </xf>
    <xf numFmtId="0" fontId="3" fillId="0" borderId="7" xfId="0" applyFont="1" applyBorder="1" applyAlignment="1" applyProtection="1">
      <alignment horizontal="center" vertical="center" wrapText="1"/>
      <protection locked="0" hidden="1"/>
    </xf>
    <xf numFmtId="0" fontId="3" fillId="0" borderId="16" xfId="0" applyFont="1" applyBorder="1" applyAlignment="1" applyProtection="1">
      <alignment horizontal="left" vertical="center" wrapText="1"/>
      <protection locked="0" hidden="1"/>
    </xf>
    <xf numFmtId="0" fontId="3" fillId="0" borderId="16" xfId="0" applyFont="1" applyBorder="1" applyAlignment="1" applyProtection="1">
      <alignment vertical="center" wrapText="1"/>
      <protection locked="0" hidden="1"/>
    </xf>
    <xf numFmtId="0" fontId="3" fillId="0" borderId="17" xfId="0" applyFont="1" applyBorder="1" applyAlignment="1" applyProtection="1">
      <alignment horizontal="center" vertical="center" wrapText="1"/>
      <protection locked="0" hidden="1"/>
    </xf>
    <xf numFmtId="0" fontId="3" fillId="0" borderId="19" xfId="0" applyFont="1" applyBorder="1" applyAlignment="1" applyProtection="1">
      <alignment horizontal="center" vertical="center" wrapText="1"/>
      <protection locked="0" hidden="1"/>
    </xf>
    <xf numFmtId="0" fontId="3" fillId="0" borderId="16" xfId="0" applyFont="1" applyBorder="1" applyAlignment="1" applyProtection="1">
      <alignment horizontal="center" vertical="center" wrapText="1"/>
      <protection locked="0" hidden="1"/>
    </xf>
    <xf numFmtId="1" fontId="2" fillId="8" borderId="11" xfId="0" applyNumberFormat="1" applyFont="1" applyFill="1" applyBorder="1" applyAlignment="1" applyProtection="1">
      <alignment horizontal="center" vertical="center" wrapText="1"/>
      <protection hidden="1"/>
    </xf>
    <xf numFmtId="0" fontId="3" fillId="0" borderId="40" xfId="0" applyFont="1" applyBorder="1" applyAlignment="1" applyProtection="1">
      <alignment horizontal="center" vertical="center" wrapText="1"/>
      <protection locked="0" hidden="1"/>
    </xf>
    <xf numFmtId="0" fontId="3" fillId="0" borderId="40" xfId="0" applyFont="1" applyBorder="1" applyAlignment="1" applyProtection="1">
      <alignment vertical="center" wrapText="1"/>
      <protection locked="0" hidden="1"/>
    </xf>
    <xf numFmtId="0" fontId="3" fillId="0" borderId="40" xfId="0" applyFont="1" applyBorder="1" applyAlignment="1" applyProtection="1">
      <alignment horizontal="left" vertical="center" wrapText="1"/>
      <protection locked="0" hidden="1"/>
    </xf>
    <xf numFmtId="0" fontId="3" fillId="0" borderId="20" xfId="0" applyFont="1" applyBorder="1" applyAlignment="1" applyProtection="1">
      <alignment horizontal="center" vertical="center" wrapText="1"/>
      <protection locked="0" hidden="1"/>
    </xf>
    <xf numFmtId="0" fontId="3" fillId="0" borderId="22" xfId="0" applyFont="1" applyBorder="1" applyAlignment="1" applyProtection="1">
      <alignment horizontal="center" vertical="center" wrapText="1"/>
      <protection locked="0" hidden="1"/>
    </xf>
    <xf numFmtId="1" fontId="2" fillId="8" borderId="40" xfId="0" applyNumberFormat="1" applyFont="1" applyFill="1" applyBorder="1" applyAlignment="1" applyProtection="1">
      <alignment horizontal="center" vertical="center" wrapText="1"/>
      <protection hidden="1"/>
    </xf>
    <xf numFmtId="0" fontId="3" fillId="0" borderId="39" xfId="0" applyFont="1" applyBorder="1" applyAlignment="1" applyProtection="1">
      <alignment horizontal="center" vertical="center" wrapText="1"/>
      <protection locked="0" hidden="1"/>
    </xf>
    <xf numFmtId="0" fontId="3" fillId="0" borderId="39" xfId="0" applyFont="1" applyBorder="1" applyAlignment="1" applyProtection="1">
      <alignment horizontal="left" vertical="center" wrapText="1"/>
      <protection locked="0" hidden="1"/>
    </xf>
    <xf numFmtId="0" fontId="3" fillId="0" borderId="39" xfId="0" applyFont="1" applyBorder="1" applyAlignment="1" applyProtection="1">
      <alignment vertical="center" wrapText="1"/>
      <protection locked="0" hidden="1"/>
    </xf>
    <xf numFmtId="0" fontId="3" fillId="0" borderId="41" xfId="0" applyFont="1" applyBorder="1" applyAlignment="1" applyProtection="1">
      <alignment horizontal="center" vertical="center" wrapText="1"/>
      <protection locked="0" hidden="1"/>
    </xf>
    <xf numFmtId="0" fontId="3" fillId="0" borderId="42" xfId="0" applyFont="1" applyBorder="1" applyAlignment="1" applyProtection="1">
      <alignment horizontal="center" vertical="center" wrapText="1"/>
      <protection locked="0" hidden="1"/>
    </xf>
    <xf numFmtId="1" fontId="2" fillId="8" borderId="39" xfId="0" applyNumberFormat="1" applyFont="1" applyFill="1" applyBorder="1" applyAlignment="1" applyProtection="1">
      <alignment horizontal="center" vertical="center" wrapText="1"/>
      <protection hidden="1"/>
    </xf>
    <xf numFmtId="0" fontId="3" fillId="2" borderId="0" xfId="0" applyFont="1" applyFill="1" applyAlignment="1" applyProtection="1">
      <alignment horizontal="left"/>
      <protection locked="0"/>
    </xf>
    <xf numFmtId="0" fontId="8" fillId="2" borderId="0" xfId="0" applyFont="1" applyFill="1" applyAlignment="1" applyProtection="1">
      <alignment horizontal="left"/>
      <protection locked="0"/>
    </xf>
    <xf numFmtId="0" fontId="0" fillId="2" borderId="0" xfId="0" applyFill="1" applyAlignment="1" applyProtection="1">
      <alignment horizontal="left"/>
      <protection locked="0"/>
    </xf>
    <xf numFmtId="0" fontId="3" fillId="0" borderId="43" xfId="0" applyFont="1" applyBorder="1" applyAlignment="1" applyProtection="1">
      <alignment horizontal="center" vertical="center" wrapText="1"/>
      <protection locked="0" hidden="1"/>
    </xf>
    <xf numFmtId="0" fontId="3" fillId="0" borderId="20" xfId="0" applyFont="1" applyBorder="1" applyAlignment="1" applyProtection="1">
      <alignment vertical="center" wrapText="1"/>
      <protection locked="0" hidden="1"/>
    </xf>
    <xf numFmtId="0" fontId="3" fillId="0" borderId="5" xfId="0" applyFont="1" applyBorder="1" applyAlignment="1" applyProtection="1">
      <alignment vertical="center" wrapText="1"/>
      <protection locked="0" hidden="1"/>
    </xf>
    <xf numFmtId="0" fontId="3" fillId="0" borderId="41" xfId="0" applyFont="1" applyBorder="1" applyAlignment="1" applyProtection="1">
      <alignment vertical="center" wrapText="1"/>
      <protection locked="0" hidden="1"/>
    </xf>
    <xf numFmtId="0" fontId="0" fillId="0" borderId="0" xfId="0" applyAlignment="1">
      <alignment horizontal="center" vertical="center" wrapText="1"/>
    </xf>
    <xf numFmtId="0" fontId="6" fillId="2" borderId="0" xfId="0" applyFont="1" applyFill="1" applyAlignment="1">
      <alignment horizontal="center"/>
    </xf>
    <xf numFmtId="0" fontId="0" fillId="2" borderId="0" xfId="0" applyFill="1" applyAlignment="1">
      <alignment vertical="center" wrapText="1"/>
    </xf>
    <xf numFmtId="0" fontId="0" fillId="8" borderId="0" xfId="0" applyFill="1"/>
    <xf numFmtId="0" fontId="23" fillId="2" borderId="0" xfId="0" applyFont="1" applyFill="1" applyAlignment="1" applyProtection="1">
      <alignment horizontal="justify" vertical="top" wrapText="1"/>
      <protection locked="0"/>
    </xf>
    <xf numFmtId="0" fontId="22" fillId="2" borderId="0" xfId="0" applyFont="1" applyFill="1" applyAlignment="1" applyProtection="1">
      <alignment horizontal="justify" vertical="top"/>
      <protection locked="0"/>
    </xf>
    <xf numFmtId="0" fontId="0" fillId="0" borderId="0" xfId="0" applyAlignment="1">
      <alignment horizontal="center"/>
    </xf>
    <xf numFmtId="0" fontId="17" fillId="2" borderId="0" xfId="0" applyFont="1" applyFill="1" applyAlignment="1" applyProtection="1">
      <alignment vertical="center" wrapText="1"/>
      <protection locked="0"/>
    </xf>
    <xf numFmtId="0" fontId="13" fillId="2" borderId="0" xfId="0" applyFont="1" applyFill="1" applyAlignment="1" applyProtection="1">
      <alignment horizontal="center"/>
      <protection locked="0"/>
    </xf>
    <xf numFmtId="0" fontId="20" fillId="2" borderId="0" xfId="0" applyFont="1" applyFill="1" applyAlignment="1" applyProtection="1">
      <alignment horizontal="center"/>
      <protection locked="0"/>
    </xf>
    <xf numFmtId="0" fontId="18" fillId="2" borderId="0" xfId="0" applyFont="1" applyFill="1" applyAlignment="1" applyProtection="1">
      <alignment vertical="center"/>
      <protection locked="0"/>
    </xf>
    <xf numFmtId="0" fontId="0" fillId="11" borderId="0" xfId="0" applyFill="1"/>
    <xf numFmtId="0" fontId="0" fillId="11" borderId="0" xfId="0" applyFill="1" applyAlignment="1">
      <alignment horizontal="center"/>
    </xf>
    <xf numFmtId="0" fontId="2" fillId="8" borderId="11" xfId="0" applyFont="1" applyFill="1" applyBorder="1" applyAlignment="1" applyProtection="1">
      <alignment horizontal="center" vertical="center" wrapText="1"/>
      <protection hidden="1"/>
    </xf>
    <xf numFmtId="0" fontId="2" fillId="8" borderId="16" xfId="0" applyFont="1" applyFill="1" applyBorder="1" applyAlignment="1" applyProtection="1">
      <alignment horizontal="center" vertical="center" wrapText="1"/>
      <protection hidden="1"/>
    </xf>
    <xf numFmtId="0" fontId="3" fillId="0" borderId="43" xfId="0" applyFont="1" applyBorder="1" applyAlignment="1" applyProtection="1">
      <alignment vertical="center" wrapText="1"/>
      <protection locked="0" hidden="1"/>
    </xf>
    <xf numFmtId="0" fontId="2" fillId="8" borderId="40" xfId="0" applyFont="1" applyFill="1" applyBorder="1" applyAlignment="1" applyProtection="1">
      <alignment horizontal="center" vertical="center" wrapText="1"/>
      <protection hidden="1"/>
    </xf>
    <xf numFmtId="0" fontId="2" fillId="8" borderId="43" xfId="0" applyFont="1" applyFill="1" applyBorder="1" applyAlignment="1" applyProtection="1">
      <alignment horizontal="center" vertical="center" wrapText="1"/>
      <protection hidden="1"/>
    </xf>
    <xf numFmtId="0" fontId="2" fillId="8" borderId="39" xfId="0" applyFont="1" applyFill="1" applyBorder="1" applyAlignment="1" applyProtection="1">
      <alignment horizontal="center" vertical="center" wrapText="1"/>
      <protection hidden="1"/>
    </xf>
    <xf numFmtId="1" fontId="3" fillId="8" borderId="10" xfId="0" applyNumberFormat="1" applyFont="1" applyFill="1" applyBorder="1" applyAlignment="1">
      <alignment horizontal="center" vertical="center"/>
    </xf>
    <xf numFmtId="0" fontId="0" fillId="6" borderId="0" xfId="0" applyFill="1"/>
    <xf numFmtId="0" fontId="25" fillId="0" borderId="0" xfId="0" applyFont="1" applyAlignment="1">
      <alignment horizontal="center"/>
    </xf>
    <xf numFmtId="0" fontId="27" fillId="6" borderId="0" xfId="0" applyFont="1" applyFill="1" applyAlignment="1">
      <alignment horizontal="center"/>
    </xf>
    <xf numFmtId="0" fontId="27" fillId="6" borderId="0" xfId="0" applyFont="1" applyFill="1"/>
    <xf numFmtId="1" fontId="0" fillId="0" borderId="0" xfId="0" applyNumberFormat="1" applyAlignment="1">
      <alignment horizontal="center"/>
    </xf>
    <xf numFmtId="1" fontId="25" fillId="0" borderId="0" xfId="0" applyNumberFormat="1" applyFont="1" applyAlignment="1">
      <alignment horizontal="center"/>
    </xf>
    <xf numFmtId="0" fontId="32" fillId="0" borderId="0" xfId="0" applyFont="1"/>
    <xf numFmtId="0" fontId="32" fillId="0" borderId="0" xfId="0" applyFont="1" applyAlignment="1">
      <alignment horizontal="center"/>
    </xf>
    <xf numFmtId="0" fontId="16" fillId="2" borderId="0" xfId="0" applyFont="1" applyFill="1" applyAlignment="1">
      <alignment horizontal="center"/>
    </xf>
    <xf numFmtId="0" fontId="16" fillId="2" borderId="0" xfId="0" applyFont="1" applyFill="1" applyAlignment="1">
      <alignment horizontal="center" vertical="center"/>
    </xf>
    <xf numFmtId="0" fontId="16" fillId="2" borderId="0" xfId="0" applyFont="1" applyFill="1" applyAlignment="1" applyProtection="1">
      <alignment horizontal="center" vertical="center"/>
      <protection locked="0"/>
    </xf>
    <xf numFmtId="0" fontId="3" fillId="0" borderId="0" xfId="0" applyFont="1"/>
    <xf numFmtId="0" fontId="2" fillId="0" borderId="0" xfId="0" applyFont="1" applyAlignment="1">
      <alignment vertical="center" wrapText="1"/>
    </xf>
    <xf numFmtId="0" fontId="2" fillId="0" borderId="0" xfId="0" applyFont="1"/>
    <xf numFmtId="0" fontId="2" fillId="2" borderId="0" xfId="0" applyFont="1" applyFill="1" applyProtection="1">
      <protection locked="0"/>
    </xf>
    <xf numFmtId="0" fontId="2" fillId="0" borderId="0" xfId="0" applyFont="1" applyAlignment="1">
      <alignment horizontal="center" vertical="center" wrapText="1"/>
    </xf>
    <xf numFmtId="164" fontId="2" fillId="7" borderId="10" xfId="1" applyNumberFormat="1" applyFont="1" applyFill="1" applyBorder="1" applyAlignment="1" applyProtection="1">
      <alignment horizontal="center"/>
    </xf>
    <xf numFmtId="0" fontId="2" fillId="2" borderId="0" xfId="0" applyFont="1" applyFill="1" applyAlignment="1" applyProtection="1">
      <alignment horizontal="center"/>
      <protection locked="0"/>
    </xf>
    <xf numFmtId="0" fontId="2" fillId="7" borderId="23" xfId="0" applyFont="1" applyFill="1" applyBorder="1" applyAlignment="1">
      <alignment horizontal="left"/>
    </xf>
    <xf numFmtId="164" fontId="3" fillId="8" borderId="23" xfId="1" applyNumberFormat="1" applyFont="1" applyFill="1" applyBorder="1" applyAlignment="1" applyProtection="1">
      <alignment horizontal="center"/>
    </xf>
    <xf numFmtId="10" fontId="3" fillId="8" borderId="23" xfId="1" applyNumberFormat="1" applyFont="1" applyFill="1" applyBorder="1" applyAlignment="1" applyProtection="1">
      <alignment horizontal="center"/>
    </xf>
    <xf numFmtId="0" fontId="29" fillId="2" borderId="0" xfId="0" applyFont="1" applyFill="1" applyAlignment="1">
      <alignment horizontal="left" vertical="center"/>
    </xf>
    <xf numFmtId="0" fontId="2" fillId="7" borderId="24" xfId="0" applyFont="1" applyFill="1" applyBorder="1" applyAlignment="1">
      <alignment horizontal="left"/>
    </xf>
    <xf numFmtId="164" fontId="3" fillId="8" borderId="24" xfId="1" applyNumberFormat="1" applyFont="1" applyFill="1" applyBorder="1" applyAlignment="1" applyProtection="1">
      <alignment horizontal="center"/>
    </xf>
    <xf numFmtId="0" fontId="2" fillId="7" borderId="25" xfId="0" applyFont="1" applyFill="1" applyBorder="1" applyAlignment="1">
      <alignment horizontal="left"/>
    </xf>
    <xf numFmtId="164" fontId="3" fillId="8" borderId="25" xfId="1" applyNumberFormat="1" applyFont="1" applyFill="1" applyBorder="1" applyAlignment="1" applyProtection="1">
      <alignment horizontal="center"/>
    </xf>
    <xf numFmtId="0" fontId="2" fillId="0" borderId="0" xfId="0" applyFont="1" applyAlignment="1">
      <alignment horizontal="center"/>
    </xf>
    <xf numFmtId="0" fontId="3" fillId="0" borderId="0" xfId="0" applyFont="1" applyAlignment="1">
      <alignment horizontal="left"/>
    </xf>
    <xf numFmtId="0" fontId="3" fillId="0" borderId="0" xfId="0" applyFont="1" applyAlignment="1">
      <alignment horizontal="center"/>
    </xf>
    <xf numFmtId="0" fontId="3" fillId="0" borderId="0" xfId="0" applyFont="1" applyAlignment="1">
      <alignment horizontal="center" vertical="center"/>
    </xf>
    <xf numFmtId="0" fontId="3" fillId="2" borderId="0" xfId="0" applyFont="1" applyFill="1" applyAlignment="1" applyProtection="1">
      <alignment horizontal="center"/>
      <protection locked="0"/>
    </xf>
    <xf numFmtId="0" fontId="2" fillId="2" borderId="0" xfId="0" applyFont="1" applyFill="1" applyAlignment="1" applyProtection="1">
      <alignment horizontal="center" vertical="center" wrapText="1"/>
      <protection locked="0"/>
    </xf>
    <xf numFmtId="0" fontId="3" fillId="0" borderId="12" xfId="0" applyFont="1" applyBorder="1" applyAlignment="1" applyProtection="1">
      <alignment horizontal="center" vertical="center" wrapText="1"/>
      <protection locked="0"/>
    </xf>
    <xf numFmtId="0" fontId="3" fillId="0" borderId="12" xfId="0" applyFont="1" applyBorder="1" applyAlignment="1" applyProtection="1">
      <alignment vertical="center" wrapText="1"/>
      <protection locked="0"/>
    </xf>
    <xf numFmtId="0" fontId="3" fillId="0" borderId="12" xfId="0" applyFont="1" applyBorder="1" applyAlignment="1" applyProtection="1">
      <alignment horizontal="left" vertical="center" wrapText="1"/>
      <protection locked="0"/>
    </xf>
    <xf numFmtId="0" fontId="3" fillId="0" borderId="29" xfId="0" applyFont="1" applyBorder="1" applyAlignment="1" applyProtection="1">
      <alignment horizontal="center" vertical="center" wrapText="1"/>
      <protection locked="0"/>
    </xf>
    <xf numFmtId="0" fontId="3" fillId="0" borderId="30" xfId="0" applyFont="1" applyBorder="1" applyAlignment="1" applyProtection="1">
      <alignment horizontal="center" vertical="center" wrapText="1"/>
      <protection locked="0"/>
    </xf>
    <xf numFmtId="0" fontId="3" fillId="0" borderId="40" xfId="0" applyFont="1" applyBorder="1" applyAlignment="1" applyProtection="1">
      <alignment horizontal="center" vertical="center" wrapText="1"/>
      <protection locked="0"/>
    </xf>
    <xf numFmtId="0" fontId="3" fillId="2" borderId="0" xfId="0" applyFont="1" applyFill="1" applyAlignment="1" applyProtection="1">
      <alignment horizontal="center" vertical="center" wrapText="1"/>
      <protection locked="0"/>
    </xf>
    <xf numFmtId="0" fontId="3" fillId="0" borderId="11" xfId="0" applyFont="1" applyBorder="1" applyAlignment="1" applyProtection="1">
      <alignment horizontal="center" vertical="center" wrapText="1"/>
      <protection locked="0"/>
    </xf>
    <xf numFmtId="0" fontId="3" fillId="0" borderId="11" xfId="0" applyFont="1" applyBorder="1" applyAlignment="1" applyProtection="1">
      <alignment vertical="center" wrapText="1"/>
      <protection locked="0"/>
    </xf>
    <xf numFmtId="0" fontId="3" fillId="0" borderId="11" xfId="0" applyFont="1" applyBorder="1" applyAlignment="1" applyProtection="1">
      <alignment horizontal="left" vertical="center" wrapText="1"/>
      <protection locked="0"/>
    </xf>
    <xf numFmtId="0" fontId="3" fillId="0" borderId="5" xfId="0" applyFont="1" applyBorder="1" applyAlignment="1" applyProtection="1">
      <alignment horizontal="center" vertical="center" wrapText="1"/>
      <protection locked="0"/>
    </xf>
    <xf numFmtId="0" fontId="3" fillId="0" borderId="7" xfId="0" applyFont="1" applyBorder="1" applyAlignment="1" applyProtection="1">
      <alignment horizontal="center" vertical="center" wrapText="1"/>
      <protection locked="0"/>
    </xf>
    <xf numFmtId="0" fontId="3" fillId="0" borderId="16" xfId="0" applyFont="1" applyBorder="1" applyAlignment="1" applyProtection="1">
      <alignment horizontal="left" vertical="center" wrapText="1"/>
      <protection locked="0"/>
    </xf>
    <xf numFmtId="0" fontId="3" fillId="0" borderId="16" xfId="0" applyFont="1" applyBorder="1" applyAlignment="1" applyProtection="1">
      <alignment vertical="center" wrapText="1"/>
      <protection locked="0"/>
    </xf>
    <xf numFmtId="0" fontId="3" fillId="0" borderId="17" xfId="0" applyFont="1" applyBorder="1" applyAlignment="1" applyProtection="1">
      <alignment horizontal="center" vertical="center" wrapText="1"/>
      <protection locked="0"/>
    </xf>
    <xf numFmtId="0" fontId="3" fillId="0" borderId="19" xfId="0" applyFont="1" applyBorder="1" applyAlignment="1" applyProtection="1">
      <alignment horizontal="center" vertical="center" wrapText="1"/>
      <protection locked="0"/>
    </xf>
    <xf numFmtId="0" fontId="3" fillId="0" borderId="16"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wrapText="1"/>
      <protection locked="0"/>
    </xf>
    <xf numFmtId="0" fontId="3" fillId="0" borderId="13" xfId="0" applyFont="1" applyBorder="1" applyAlignment="1" applyProtection="1">
      <alignment horizontal="left" vertical="center" wrapText="1"/>
      <protection locked="0"/>
    </xf>
    <xf numFmtId="0" fontId="3" fillId="0" borderId="13" xfId="0" applyFont="1" applyBorder="1" applyAlignment="1" applyProtection="1">
      <alignment vertical="center" wrapText="1"/>
      <protection locked="0"/>
    </xf>
    <xf numFmtId="0" fontId="3" fillId="0" borderId="31" xfId="0" applyFont="1" applyBorder="1" applyAlignment="1" applyProtection="1">
      <alignment horizontal="center" vertical="center" wrapText="1"/>
      <protection locked="0"/>
    </xf>
    <xf numFmtId="0" fontId="3" fillId="0" borderId="32" xfId="0" applyFont="1" applyBorder="1" applyAlignment="1" applyProtection="1">
      <alignment horizontal="center" vertical="center" wrapText="1"/>
      <protection locked="0"/>
    </xf>
    <xf numFmtId="0" fontId="2" fillId="0" borderId="0" xfId="0" applyFont="1" applyProtection="1">
      <protection locked="0"/>
    </xf>
    <xf numFmtId="0" fontId="3" fillId="0" borderId="34" xfId="0" applyFont="1" applyBorder="1" applyAlignment="1" applyProtection="1">
      <alignment horizontal="center" vertical="center" wrapText="1"/>
      <protection locked="0"/>
    </xf>
    <xf numFmtId="0" fontId="3" fillId="0" borderId="35" xfId="0" applyFont="1" applyBorder="1" applyAlignment="1" applyProtection="1">
      <alignment horizontal="center" vertical="center" wrapText="1"/>
      <protection locked="0"/>
    </xf>
    <xf numFmtId="0" fontId="3" fillId="0" borderId="15" xfId="0" applyFont="1" applyBorder="1" applyAlignment="1" applyProtection="1">
      <alignment vertical="center" wrapText="1"/>
      <protection locked="0"/>
    </xf>
    <xf numFmtId="0" fontId="3" fillId="0" borderId="15" xfId="0" applyFont="1" applyBorder="1" applyAlignment="1" applyProtection="1">
      <alignment horizontal="center" vertical="center" wrapText="1"/>
      <protection locked="0"/>
    </xf>
    <xf numFmtId="0" fontId="1" fillId="0" borderId="0" xfId="0" applyFont="1" applyAlignment="1" applyProtection="1">
      <alignment horizontal="left"/>
      <protection locked="0"/>
    </xf>
    <xf numFmtId="0" fontId="1" fillId="2" borderId="0" xfId="0" applyFont="1" applyFill="1" applyAlignment="1" applyProtection="1">
      <alignment horizontal="left"/>
      <protection locked="0"/>
    </xf>
    <xf numFmtId="0" fontId="3" fillId="0" borderId="0" xfId="0" applyFont="1" applyAlignment="1" applyProtection="1">
      <alignment horizontal="center" vertical="center"/>
      <protection locked="0"/>
    </xf>
    <xf numFmtId="0" fontId="4" fillId="2" borderId="0" xfId="0" applyFont="1" applyFill="1"/>
    <xf numFmtId="0" fontId="36" fillId="2" borderId="0" xfId="0" applyFont="1" applyFill="1" applyAlignment="1">
      <alignment horizontal="center"/>
    </xf>
    <xf numFmtId="0" fontId="16" fillId="2" borderId="0" xfId="0" applyFont="1" applyFill="1" applyAlignment="1">
      <alignment horizontal="left"/>
    </xf>
    <xf numFmtId="0" fontId="25" fillId="2" borderId="0" xfId="0" applyFont="1" applyFill="1" applyAlignment="1">
      <alignment horizontal="left"/>
    </xf>
    <xf numFmtId="0" fontId="3" fillId="2" borderId="0" xfId="0" applyFont="1" applyFill="1"/>
    <xf numFmtId="0" fontId="12" fillId="3" borderId="26" xfId="0" applyFont="1" applyFill="1" applyBorder="1" applyAlignment="1">
      <alignment horizontal="center" vertical="center" wrapText="1"/>
    </xf>
    <xf numFmtId="0" fontId="28" fillId="3" borderId="48" xfId="0" applyFont="1" applyFill="1" applyBorder="1" applyAlignment="1">
      <alignment horizontal="center" textRotation="90" wrapText="1"/>
    </xf>
    <xf numFmtId="0" fontId="34" fillId="2" borderId="45" xfId="0" applyFont="1" applyFill="1" applyBorder="1" applyAlignment="1">
      <alignment vertical="center" wrapText="1"/>
    </xf>
    <xf numFmtId="0" fontId="34" fillId="5" borderId="45" xfId="0" applyFont="1" applyFill="1" applyBorder="1" applyAlignment="1">
      <alignment horizontal="center" vertical="center" wrapText="1"/>
    </xf>
    <xf numFmtId="0" fontId="34" fillId="5" borderId="45" xfId="0" applyFont="1" applyFill="1" applyBorder="1" applyAlignment="1">
      <alignment horizontal="left" vertical="center"/>
    </xf>
    <xf numFmtId="0" fontId="0" fillId="2" borderId="45" xfId="0" applyFill="1" applyBorder="1" applyAlignment="1">
      <alignment horizontal="left" vertical="center"/>
    </xf>
    <xf numFmtId="0" fontId="33" fillId="5" borderId="49" xfId="0" applyFont="1" applyFill="1" applyBorder="1" applyAlignment="1">
      <alignment horizontal="center" vertical="center" wrapText="1"/>
    </xf>
    <xf numFmtId="0" fontId="33" fillId="5" borderId="43" xfId="0" applyFont="1" applyFill="1" applyBorder="1" applyAlignment="1">
      <alignment horizontal="center" vertical="center" wrapText="1"/>
    </xf>
    <xf numFmtId="0" fontId="33" fillId="5" borderId="50" xfId="0" applyFont="1" applyFill="1" applyBorder="1" applyAlignment="1">
      <alignment horizontal="center" vertical="center" wrapText="1"/>
    </xf>
    <xf numFmtId="0" fontId="11" fillId="5" borderId="45" xfId="0" applyFont="1" applyFill="1" applyBorder="1" applyAlignment="1">
      <alignment horizontal="center" vertical="center" wrapText="1"/>
    </xf>
    <xf numFmtId="0" fontId="37" fillId="2" borderId="0" xfId="0" applyFont="1" applyFill="1" applyAlignment="1">
      <alignment horizontal="right"/>
    </xf>
    <xf numFmtId="0" fontId="34" fillId="2" borderId="46" xfId="0" applyFont="1" applyFill="1" applyBorder="1" applyAlignment="1">
      <alignment vertical="center" wrapText="1"/>
    </xf>
    <xf numFmtId="0" fontId="34" fillId="5" borderId="46" xfId="0" applyFont="1" applyFill="1" applyBorder="1" applyAlignment="1">
      <alignment horizontal="center" vertical="center" wrapText="1"/>
    </xf>
    <xf numFmtId="0" fontId="34" fillId="5" borderId="46" xfId="0" applyFont="1" applyFill="1" applyBorder="1" applyAlignment="1">
      <alignment horizontal="left" vertical="center"/>
    </xf>
    <xf numFmtId="0" fontId="0" fillId="2" borderId="46" xfId="0" applyFill="1" applyBorder="1" applyAlignment="1">
      <alignment horizontal="left" vertical="center"/>
    </xf>
    <xf numFmtId="0" fontId="33" fillId="5" borderId="51" xfId="0" applyFont="1" applyFill="1" applyBorder="1" applyAlignment="1">
      <alignment horizontal="center" vertical="center" wrapText="1"/>
    </xf>
    <xf numFmtId="0" fontId="33" fillId="5" borderId="11" xfId="0" applyFont="1" applyFill="1" applyBorder="1" applyAlignment="1">
      <alignment horizontal="center" vertical="center" wrapText="1"/>
    </xf>
    <xf numFmtId="0" fontId="33" fillId="5" borderId="53" xfId="0" applyFont="1" applyFill="1" applyBorder="1" applyAlignment="1">
      <alignment horizontal="center" vertical="center" wrapText="1"/>
    </xf>
    <xf numFmtId="0" fontId="11" fillId="5" borderId="46" xfId="0" applyFont="1" applyFill="1" applyBorder="1" applyAlignment="1">
      <alignment horizontal="center" vertical="center" wrapText="1"/>
    </xf>
    <xf numFmtId="0" fontId="34" fillId="2" borderId="47" xfId="0" applyFont="1" applyFill="1" applyBorder="1" applyAlignment="1">
      <alignment vertical="center" wrapText="1"/>
    </xf>
    <xf numFmtId="0" fontId="34" fillId="5" borderId="47" xfId="0" applyFont="1" applyFill="1" applyBorder="1" applyAlignment="1">
      <alignment horizontal="center" vertical="center" wrapText="1"/>
    </xf>
    <xf numFmtId="0" fontId="34" fillId="5" borderId="47" xfId="0" applyFont="1" applyFill="1" applyBorder="1" applyAlignment="1">
      <alignment horizontal="left" vertical="center"/>
    </xf>
    <xf numFmtId="0" fontId="0" fillId="2" borderId="47" xfId="0" applyFill="1" applyBorder="1" applyAlignment="1">
      <alignment horizontal="left" vertical="center"/>
    </xf>
    <xf numFmtId="0" fontId="33" fillId="5" borderId="52" xfId="0" applyFont="1" applyFill="1" applyBorder="1" applyAlignment="1">
      <alignment horizontal="center" vertical="center" wrapText="1"/>
    </xf>
    <xf numFmtId="0" fontId="33" fillId="5" borderId="39" xfId="0" applyFont="1" applyFill="1" applyBorder="1" applyAlignment="1">
      <alignment horizontal="center" vertical="center" wrapText="1"/>
    </xf>
    <xf numFmtId="0" fontId="33" fillId="5" borderId="54" xfId="0" applyFont="1" applyFill="1" applyBorder="1" applyAlignment="1">
      <alignment horizontal="center" vertical="center" wrapText="1"/>
    </xf>
    <xf numFmtId="0" fontId="11" fillId="5" borderId="47" xfId="0" applyFont="1" applyFill="1" applyBorder="1" applyAlignment="1">
      <alignment horizontal="center" vertical="center" wrapText="1"/>
    </xf>
    <xf numFmtId="0" fontId="2" fillId="2" borderId="58" xfId="0" applyFont="1" applyFill="1" applyBorder="1" applyAlignment="1">
      <alignment horizontal="center" vertical="center"/>
    </xf>
    <xf numFmtId="0" fontId="2" fillId="2" borderId="59" xfId="0" applyFont="1" applyFill="1" applyBorder="1" applyAlignment="1">
      <alignment horizontal="center" vertical="center"/>
    </xf>
    <xf numFmtId="0" fontId="8" fillId="5" borderId="0" xfId="0" applyFont="1" applyFill="1" applyAlignment="1">
      <alignment horizontal="center" vertical="center" wrapText="1"/>
    </xf>
    <xf numFmtId="0" fontId="9" fillId="2" borderId="0" xfId="0" applyFont="1" applyFill="1" applyAlignment="1">
      <alignment horizontal="center" vertical="center"/>
    </xf>
    <xf numFmtId="0" fontId="38" fillId="2" borderId="0" xfId="0" applyFont="1" applyFill="1" applyAlignment="1">
      <alignment horizontal="center" vertical="center"/>
    </xf>
    <xf numFmtId="0" fontId="0" fillId="13" borderId="0" xfId="0" applyFill="1"/>
    <xf numFmtId="0" fontId="0" fillId="12" borderId="0" xfId="0" applyFill="1"/>
    <xf numFmtId="0" fontId="0" fillId="0" borderId="0" xfId="0" applyAlignment="1">
      <alignment horizontal="right"/>
    </xf>
    <xf numFmtId="0" fontId="0" fillId="8" borderId="60" xfId="0" applyFill="1" applyBorder="1"/>
    <xf numFmtId="0" fontId="0" fillId="0" borderId="60" xfId="0" applyBorder="1"/>
    <xf numFmtId="0" fontId="0" fillId="14" borderId="0" xfId="0" applyFill="1" applyAlignment="1">
      <alignment horizontal="right"/>
    </xf>
    <xf numFmtId="0" fontId="0" fillId="14" borderId="0" xfId="0" applyFill="1"/>
    <xf numFmtId="0" fontId="0" fillId="14" borderId="60" xfId="0" applyFill="1" applyBorder="1" applyAlignment="1">
      <alignment horizontal="right"/>
    </xf>
    <xf numFmtId="0" fontId="0" fillId="0" borderId="61" xfId="0" applyBorder="1" applyAlignment="1">
      <alignment horizontal="right"/>
    </xf>
    <xf numFmtId="0" fontId="0" fillId="0" borderId="61" xfId="0" applyBorder="1"/>
    <xf numFmtId="0" fontId="2" fillId="2" borderId="62" xfId="0" applyFont="1" applyFill="1" applyBorder="1" applyAlignment="1">
      <alignment horizontal="center" vertical="center"/>
    </xf>
    <xf numFmtId="0" fontId="0" fillId="12" borderId="0" xfId="0" applyFill="1" applyAlignment="1">
      <alignment horizontal="left"/>
    </xf>
    <xf numFmtId="0" fontId="0" fillId="12" borderId="60" xfId="0" applyFill="1" applyBorder="1" applyAlignment="1">
      <alignment horizontal="left"/>
    </xf>
    <xf numFmtId="0" fontId="33" fillId="5" borderId="63" xfId="0" applyFont="1" applyFill="1" applyBorder="1" applyAlignment="1">
      <alignment horizontal="center" vertical="center" wrapText="1"/>
    </xf>
    <xf numFmtId="0" fontId="33" fillId="5" borderId="5" xfId="0" applyFont="1" applyFill="1" applyBorder="1" applyAlignment="1">
      <alignment horizontal="center" vertical="center" wrapText="1"/>
    </xf>
    <xf numFmtId="0" fontId="3" fillId="2" borderId="43" xfId="0" applyFont="1" applyFill="1" applyBorder="1" applyAlignment="1" applyProtection="1">
      <alignment vertical="distributed"/>
      <protection locked="0"/>
    </xf>
    <xf numFmtId="0" fontId="3" fillId="2" borderId="11" xfId="0" applyFont="1" applyFill="1" applyBorder="1" applyAlignment="1" applyProtection="1">
      <alignment vertical="distributed"/>
      <protection locked="0"/>
    </xf>
    <xf numFmtId="0" fontId="2" fillId="2" borderId="0" xfId="0" applyFont="1" applyFill="1" applyAlignment="1" applyProtection="1">
      <alignment vertical="distributed" wrapText="1"/>
      <protection locked="0"/>
    </xf>
    <xf numFmtId="0" fontId="3" fillId="0" borderId="40" xfId="0" applyFont="1" applyBorder="1" applyAlignment="1" applyProtection="1">
      <alignment vertical="center" wrapText="1"/>
      <protection locked="0"/>
    </xf>
    <xf numFmtId="0" fontId="0" fillId="0" borderId="10" xfId="0" applyBorder="1"/>
    <xf numFmtId="0" fontId="19" fillId="2" borderId="0" xfId="0" applyFont="1" applyFill="1" applyAlignment="1" applyProtection="1">
      <alignment horizontal="center"/>
      <protection locked="0"/>
    </xf>
    <xf numFmtId="0" fontId="0" fillId="15" borderId="0" xfId="0" applyFill="1"/>
    <xf numFmtId="0" fontId="25" fillId="0" borderId="0" xfId="0" applyFont="1"/>
    <xf numFmtId="0" fontId="33" fillId="16" borderId="49" xfId="0" applyFont="1" applyFill="1" applyBorder="1" applyAlignment="1">
      <alignment horizontal="center" vertical="center" wrapText="1"/>
    </xf>
    <xf numFmtId="0" fontId="33" fillId="16" borderId="43" xfId="0" applyFont="1" applyFill="1" applyBorder="1" applyAlignment="1">
      <alignment horizontal="center" vertical="center" wrapText="1"/>
    </xf>
    <xf numFmtId="0" fontId="33" fillId="16" borderId="50" xfId="0" applyFont="1" applyFill="1" applyBorder="1" applyAlignment="1">
      <alignment horizontal="center" vertical="center" wrapText="1"/>
    </xf>
    <xf numFmtId="0" fontId="33" fillId="17" borderId="51" xfId="0" applyFont="1" applyFill="1" applyBorder="1" applyAlignment="1">
      <alignment horizontal="center" vertical="center" wrapText="1"/>
    </xf>
    <xf numFmtId="0" fontId="33" fillId="17" borderId="11" xfId="0" applyFont="1" applyFill="1" applyBorder="1" applyAlignment="1">
      <alignment horizontal="center" vertical="center" wrapText="1"/>
    </xf>
    <xf numFmtId="0" fontId="33" fillId="17" borderId="53" xfId="0" applyFont="1" applyFill="1" applyBorder="1" applyAlignment="1">
      <alignment horizontal="center" vertical="center" wrapText="1"/>
    </xf>
    <xf numFmtId="0" fontId="33" fillId="18" borderId="52" xfId="0" applyFont="1" applyFill="1" applyBorder="1" applyAlignment="1">
      <alignment horizontal="center" vertical="center" wrapText="1"/>
    </xf>
    <xf numFmtId="0" fontId="33" fillId="18" borderId="39" xfId="0" applyFont="1" applyFill="1" applyBorder="1" applyAlignment="1">
      <alignment horizontal="center" vertical="center" wrapText="1"/>
    </xf>
    <xf numFmtId="0" fontId="33" fillId="18" borderId="54" xfId="0" applyFont="1" applyFill="1" applyBorder="1" applyAlignment="1">
      <alignment horizontal="center" vertical="center" wrapText="1"/>
    </xf>
    <xf numFmtId="0" fontId="33" fillId="18" borderId="41" xfId="0" applyFont="1" applyFill="1" applyBorder="1" applyAlignment="1">
      <alignment horizontal="center" vertical="center" wrapText="1"/>
    </xf>
    <xf numFmtId="14" fontId="0" fillId="2" borderId="0" xfId="0" applyNumberFormat="1" applyFill="1" applyProtection="1">
      <protection locked="0"/>
    </xf>
    <xf numFmtId="0" fontId="11" fillId="2" borderId="0" xfId="0" applyFont="1" applyFill="1" applyProtection="1">
      <protection locked="0"/>
    </xf>
    <xf numFmtId="0" fontId="0" fillId="0" borderId="5" xfId="0" applyBorder="1" applyAlignment="1" applyProtection="1">
      <alignment horizontal="justify" vertical="top" wrapText="1"/>
      <protection locked="0"/>
    </xf>
    <xf numFmtId="0" fontId="0" fillId="0" borderId="11" xfId="0" applyBorder="1" applyAlignment="1" applyProtection="1">
      <alignment horizontal="justify" vertical="top" wrapText="1"/>
      <protection locked="0"/>
    </xf>
    <xf numFmtId="0" fontId="0" fillId="0" borderId="20" xfId="0" applyBorder="1" applyAlignment="1" applyProtection="1">
      <alignment horizontal="justify" vertical="top" wrapText="1"/>
      <protection locked="0"/>
    </xf>
    <xf numFmtId="0" fontId="3" fillId="0" borderId="39" xfId="0" applyFont="1" applyBorder="1" applyAlignment="1" applyProtection="1">
      <alignment vertical="center" wrapText="1"/>
      <protection locked="0"/>
    </xf>
    <xf numFmtId="0" fontId="0" fillId="0" borderId="11" xfId="0" applyBorder="1" applyAlignment="1" applyProtection="1">
      <alignment horizontal="center" vertical="center" wrapText="1"/>
      <protection locked="0"/>
    </xf>
    <xf numFmtId="0" fontId="0" fillId="19" borderId="0" xfId="0" applyFill="1"/>
    <xf numFmtId="0" fontId="0" fillId="20" borderId="0" xfId="0" applyFill="1"/>
    <xf numFmtId="0" fontId="0" fillId="20" borderId="0" xfId="0" applyFill="1" applyAlignment="1">
      <alignment horizontal="right"/>
    </xf>
    <xf numFmtId="0" fontId="0" fillId="20" borderId="60" xfId="0" applyFill="1" applyBorder="1" applyAlignment="1">
      <alignment horizontal="right"/>
    </xf>
    <xf numFmtId="0" fontId="0" fillId="20" borderId="60" xfId="0" applyFill="1" applyBorder="1"/>
    <xf numFmtId="0" fontId="42" fillId="20" borderId="0" xfId="0" applyFont="1" applyFill="1" applyAlignment="1">
      <alignment horizontal="right"/>
    </xf>
    <xf numFmtId="0" fontId="0" fillId="20" borderId="0" xfId="0" applyFill="1" applyAlignment="1">
      <alignment horizontal="left"/>
    </xf>
    <xf numFmtId="0" fontId="3" fillId="0" borderId="17" xfId="0" applyFont="1" applyBorder="1" applyAlignment="1" applyProtection="1">
      <alignment vertical="center" wrapText="1"/>
      <protection locked="0" hidden="1"/>
    </xf>
    <xf numFmtId="0" fontId="3" fillId="2" borderId="39" xfId="0" applyFont="1" applyFill="1" applyBorder="1" applyAlignment="1" applyProtection="1">
      <alignment vertical="distributed"/>
      <protection locked="0"/>
    </xf>
    <xf numFmtId="0" fontId="19" fillId="0" borderId="11" xfId="0" applyFont="1" applyBorder="1" applyAlignment="1" applyProtection="1">
      <alignment vertical="center" wrapText="1"/>
      <protection locked="0"/>
    </xf>
    <xf numFmtId="165" fontId="2" fillId="7" borderId="10" xfId="0" applyNumberFormat="1" applyFont="1" applyFill="1" applyBorder="1" applyAlignment="1">
      <alignment horizontal="center"/>
    </xf>
    <xf numFmtId="164" fontId="2" fillId="7" borderId="10" xfId="0" applyNumberFormat="1" applyFont="1" applyFill="1" applyBorder="1" applyAlignment="1">
      <alignment horizontal="center"/>
    </xf>
    <xf numFmtId="0" fontId="3" fillId="8" borderId="23" xfId="0" applyFont="1" applyFill="1" applyBorder="1" applyAlignment="1">
      <alignment horizontal="center"/>
    </xf>
    <xf numFmtId="165" fontId="3" fillId="8" borderId="23" xfId="0" applyNumberFormat="1" applyFont="1" applyFill="1" applyBorder="1" applyAlignment="1">
      <alignment horizontal="center"/>
    </xf>
    <xf numFmtId="0" fontId="3" fillId="7" borderId="24" xfId="0" applyFont="1" applyFill="1" applyBorder="1" applyAlignment="1">
      <alignment horizontal="center"/>
    </xf>
    <xf numFmtId="0" fontId="3" fillId="8" borderId="24" xfId="0" applyFont="1" applyFill="1" applyBorder="1" applyAlignment="1">
      <alignment horizontal="center"/>
    </xf>
    <xf numFmtId="165" fontId="3" fillId="8" borderId="24" xfId="0" applyNumberFormat="1" applyFont="1" applyFill="1" applyBorder="1" applyAlignment="1">
      <alignment horizontal="center"/>
    </xf>
    <xf numFmtId="0" fontId="3" fillId="8" borderId="25" xfId="0" applyFont="1" applyFill="1" applyBorder="1" applyAlignment="1">
      <alignment horizontal="center"/>
    </xf>
    <xf numFmtId="165" fontId="3" fillId="8" borderId="25" xfId="0" applyNumberFormat="1" applyFont="1" applyFill="1" applyBorder="1" applyAlignment="1">
      <alignment horizontal="center"/>
    </xf>
    <xf numFmtId="0" fontId="3" fillId="8" borderId="10" xfId="0" applyFont="1" applyFill="1" applyBorder="1" applyAlignment="1">
      <alignment horizontal="center" vertical="center" wrapText="1"/>
    </xf>
    <xf numFmtId="0" fontId="2" fillId="8" borderId="10" xfId="0" applyFont="1" applyFill="1" applyBorder="1" applyAlignment="1">
      <alignment horizontal="center" vertical="center" wrapText="1" shrinkToFit="1"/>
    </xf>
    <xf numFmtId="0" fontId="2" fillId="8" borderId="14" xfId="0" applyFont="1" applyFill="1" applyBorder="1" applyAlignment="1">
      <alignment horizontal="right" vertical="center" wrapText="1"/>
    </xf>
    <xf numFmtId="0" fontId="2" fillId="8" borderId="14" xfId="0" applyFont="1" applyFill="1" applyBorder="1" applyAlignment="1">
      <alignment vertical="center" wrapText="1"/>
    </xf>
    <xf numFmtId="0" fontId="2" fillId="8" borderId="14" xfId="0" applyFont="1" applyFill="1" applyBorder="1" applyAlignment="1">
      <alignment horizontal="center" vertical="center" wrapText="1"/>
    </xf>
    <xf numFmtId="0" fontId="2" fillId="8" borderId="14" xfId="0" applyFont="1" applyFill="1" applyBorder="1" applyAlignment="1">
      <alignment horizontal="left" vertical="center" wrapText="1"/>
    </xf>
    <xf numFmtId="0" fontId="3" fillId="8" borderId="8" xfId="0" applyFont="1" applyFill="1" applyBorder="1" applyAlignment="1">
      <alignment horizontal="center" vertical="center" wrapText="1"/>
    </xf>
    <xf numFmtId="0" fontId="3" fillId="8" borderId="9" xfId="0" applyFont="1" applyFill="1" applyBorder="1" applyAlignment="1">
      <alignment horizontal="center" vertical="center" wrapText="1"/>
    </xf>
    <xf numFmtId="0" fontId="3" fillId="8" borderId="9" xfId="0" applyFont="1" applyFill="1" applyBorder="1" applyAlignment="1">
      <alignment vertical="center" wrapText="1"/>
    </xf>
    <xf numFmtId="0" fontId="2" fillId="8" borderId="9" xfId="0" applyFont="1" applyFill="1" applyBorder="1" applyAlignment="1">
      <alignment horizontal="center" vertical="center" wrapText="1"/>
    </xf>
    <xf numFmtId="0" fontId="3" fillId="8" borderId="44" xfId="0" applyFont="1" applyFill="1" applyBorder="1" applyAlignment="1">
      <alignment horizontal="center" vertical="center" wrapText="1"/>
    </xf>
    <xf numFmtId="0" fontId="2" fillId="8" borderId="12"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2" fillId="8" borderId="16" xfId="0" applyFont="1" applyFill="1" applyBorder="1" applyAlignment="1">
      <alignment horizontal="center" vertical="center" wrapText="1"/>
    </xf>
    <xf numFmtId="0" fontId="2" fillId="8" borderId="13" xfId="0" applyFont="1" applyFill="1" applyBorder="1" applyAlignment="1">
      <alignment horizontal="center" vertical="center" wrapText="1"/>
    </xf>
    <xf numFmtId="0" fontId="3" fillId="0" borderId="20" xfId="0" applyFont="1" applyBorder="1" applyAlignment="1" applyProtection="1">
      <alignment horizontal="center" vertical="center" wrapText="1"/>
      <protection locked="0"/>
    </xf>
    <xf numFmtId="0" fontId="3" fillId="0" borderId="22" xfId="0" applyFont="1" applyBorder="1" applyAlignment="1" applyProtection="1">
      <alignment horizontal="center" vertical="center" wrapText="1"/>
      <protection locked="0"/>
    </xf>
    <xf numFmtId="166" fontId="3" fillId="0" borderId="12" xfId="0" applyNumberFormat="1" applyFont="1" applyBorder="1" applyAlignment="1" applyProtection="1">
      <alignment vertical="center" wrapText="1"/>
      <protection locked="0"/>
    </xf>
    <xf numFmtId="166" fontId="3" fillId="0" borderId="11" xfId="0" applyNumberFormat="1" applyFont="1" applyBorder="1" applyAlignment="1" applyProtection="1">
      <alignment vertical="center" wrapText="1"/>
      <protection locked="0"/>
    </xf>
    <xf numFmtId="166" fontId="3" fillId="0" borderId="13" xfId="0" applyNumberFormat="1" applyFont="1" applyBorder="1" applyAlignment="1" applyProtection="1">
      <alignment vertical="center" wrapText="1"/>
      <protection locked="0"/>
    </xf>
    <xf numFmtId="0" fontId="3" fillId="0" borderId="11" xfId="0" applyFont="1" applyBorder="1" applyAlignment="1">
      <alignment vertical="center" wrapText="1"/>
    </xf>
    <xf numFmtId="0" fontId="3" fillId="0" borderId="16" xfId="0" applyFont="1" applyBorder="1" applyAlignment="1">
      <alignment vertical="center" wrapText="1"/>
    </xf>
    <xf numFmtId="0" fontId="3" fillId="0" borderId="7" xfId="0" applyFont="1" applyBorder="1" applyAlignment="1" applyProtection="1">
      <alignment vertical="center" wrapText="1"/>
      <protection locked="0"/>
    </xf>
    <xf numFmtId="166" fontId="3" fillId="0" borderId="16" xfId="0" applyNumberFormat="1" applyFont="1" applyBorder="1" applyAlignment="1" applyProtection="1">
      <alignment vertical="center" wrapText="1"/>
      <protection locked="0"/>
    </xf>
    <xf numFmtId="0" fontId="3" fillId="0" borderId="40" xfId="0" applyFont="1" applyBorder="1" applyAlignment="1">
      <alignment vertical="center" wrapText="1"/>
    </xf>
    <xf numFmtId="0" fontId="3" fillId="8" borderId="0" xfId="0" applyFont="1" applyFill="1" applyAlignment="1">
      <alignment horizontal="center"/>
    </xf>
    <xf numFmtId="165" fontId="2" fillId="7" borderId="26" xfId="0" applyNumberFormat="1" applyFont="1" applyFill="1" applyBorder="1" applyAlignment="1">
      <alignment horizontal="center"/>
    </xf>
    <xf numFmtId="165" fontId="3" fillId="8" borderId="36" xfId="0" applyNumberFormat="1" applyFont="1" applyFill="1" applyBorder="1" applyAlignment="1">
      <alignment horizontal="center"/>
    </xf>
    <xf numFmtId="165" fontId="3" fillId="8" borderId="37" xfId="0" applyNumberFormat="1" applyFont="1" applyFill="1" applyBorder="1" applyAlignment="1">
      <alignment horizontal="center"/>
    </xf>
    <xf numFmtId="165" fontId="3" fillId="8" borderId="38" xfId="0" applyNumberFormat="1" applyFont="1" applyFill="1" applyBorder="1" applyAlignment="1">
      <alignment horizontal="center"/>
    </xf>
    <xf numFmtId="0" fontId="26" fillId="3" borderId="68" xfId="0" applyFont="1" applyFill="1" applyBorder="1" applyAlignment="1">
      <alignment horizontal="center" textRotation="90" wrapText="1"/>
    </xf>
    <xf numFmtId="0" fontId="26" fillId="3" borderId="67" xfId="0" applyFont="1" applyFill="1" applyBorder="1" applyAlignment="1">
      <alignment horizontal="center" textRotation="90" wrapText="1"/>
    </xf>
    <xf numFmtId="0" fontId="26" fillId="3" borderId="69" xfId="0" applyFont="1" applyFill="1" applyBorder="1" applyAlignment="1">
      <alignment horizontal="center" textRotation="90" wrapText="1"/>
    </xf>
    <xf numFmtId="0" fontId="26" fillId="3" borderId="70" xfId="0" applyFont="1" applyFill="1" applyBorder="1" applyAlignment="1">
      <alignment horizontal="center" textRotation="90" wrapText="1"/>
    </xf>
    <xf numFmtId="0" fontId="2" fillId="2" borderId="71" xfId="0" applyFont="1" applyFill="1" applyBorder="1" applyAlignment="1">
      <alignment horizontal="center" vertical="center"/>
    </xf>
    <xf numFmtId="0" fontId="11" fillId="5" borderId="36" xfId="0" applyFont="1" applyFill="1" applyBorder="1" applyAlignment="1">
      <alignment horizontal="center" vertical="center" wrapText="1"/>
    </xf>
    <xf numFmtId="0" fontId="3" fillId="8" borderId="11" xfId="0" applyFont="1" applyFill="1" applyBorder="1" applyAlignment="1">
      <alignment vertical="center" wrapText="1"/>
    </xf>
    <xf numFmtId="0" fontId="3" fillId="8" borderId="40" xfId="0" applyFont="1" applyFill="1" applyBorder="1" applyAlignment="1">
      <alignment vertical="center" wrapText="1"/>
    </xf>
    <xf numFmtId="0" fontId="3" fillId="8" borderId="39" xfId="0" applyFont="1" applyFill="1" applyBorder="1" applyAlignment="1">
      <alignment vertical="center" wrapText="1"/>
    </xf>
    <xf numFmtId="0" fontId="2" fillId="7" borderId="26" xfId="0" applyFont="1" applyFill="1" applyBorder="1" applyAlignment="1">
      <alignment horizontal="center"/>
    </xf>
    <xf numFmtId="0" fontId="3" fillId="8" borderId="36" xfId="0" applyFont="1" applyFill="1" applyBorder="1" applyAlignment="1">
      <alignment horizontal="center"/>
    </xf>
    <xf numFmtId="0" fontId="3" fillId="8" borderId="37" xfId="0" applyFont="1" applyFill="1" applyBorder="1" applyAlignment="1">
      <alignment horizontal="center"/>
    </xf>
    <xf numFmtId="0" fontId="3" fillId="8" borderId="38" xfId="0" applyFont="1" applyFill="1" applyBorder="1" applyAlignment="1">
      <alignment horizontal="center"/>
    </xf>
    <xf numFmtId="0" fontId="2" fillId="7" borderId="10" xfId="0" applyFont="1" applyFill="1" applyBorder="1" applyAlignment="1">
      <alignment horizontal="center"/>
    </xf>
    <xf numFmtId="0" fontId="3" fillId="7" borderId="23" xfId="0" applyFont="1" applyFill="1" applyBorder="1" applyAlignment="1">
      <alignment horizontal="center"/>
    </xf>
    <xf numFmtId="0" fontId="3" fillId="7" borderId="25" xfId="0" applyFont="1" applyFill="1" applyBorder="1" applyAlignment="1">
      <alignment horizontal="center"/>
    </xf>
    <xf numFmtId="0" fontId="2" fillId="0" borderId="0" xfId="0" applyFont="1" applyAlignment="1">
      <alignment horizontal="right" vertical="center"/>
    </xf>
    <xf numFmtId="0" fontId="3" fillId="0" borderId="40" xfId="0" applyFont="1" applyBorder="1" applyAlignment="1" applyProtection="1">
      <alignment horizontal="left" vertical="center" wrapText="1"/>
      <protection locked="0"/>
    </xf>
    <xf numFmtId="0" fontId="2" fillId="8" borderId="40" xfId="0" applyFont="1" applyFill="1" applyBorder="1" applyAlignment="1">
      <alignment horizontal="center" vertical="center" wrapText="1"/>
    </xf>
    <xf numFmtId="0" fontId="43" fillId="21" borderId="36" xfId="0" applyFont="1" applyFill="1" applyBorder="1" applyAlignment="1">
      <alignment horizontal="center" vertical="center" wrapText="1"/>
    </xf>
    <xf numFmtId="0" fontId="43" fillId="21" borderId="72" xfId="0" applyFont="1" applyFill="1" applyBorder="1" applyAlignment="1">
      <alignment horizontal="center" vertical="center" wrapText="1"/>
    </xf>
    <xf numFmtId="0" fontId="43" fillId="21" borderId="24" xfId="0" applyFont="1" applyFill="1" applyBorder="1" applyAlignment="1">
      <alignment horizontal="center" vertical="center"/>
    </xf>
    <xf numFmtId="0" fontId="45" fillId="15" borderId="10" xfId="0" applyFont="1" applyFill="1" applyBorder="1" applyAlignment="1">
      <alignment horizontal="center" vertical="center" wrapText="1"/>
    </xf>
    <xf numFmtId="0" fontId="45" fillId="15" borderId="26" xfId="0" applyFont="1" applyFill="1" applyBorder="1" applyAlignment="1">
      <alignment horizontal="center" vertical="center" wrapText="1"/>
    </xf>
    <xf numFmtId="0" fontId="46" fillId="15" borderId="10" xfId="0" applyFont="1" applyFill="1" applyBorder="1" applyAlignment="1">
      <alignment horizontal="justify" vertical="center" wrapText="1"/>
    </xf>
    <xf numFmtId="0" fontId="43" fillId="21" borderId="61" xfId="0" applyFont="1" applyFill="1" applyBorder="1" applyAlignment="1">
      <alignment horizontal="center" vertical="center" wrapText="1"/>
    </xf>
    <xf numFmtId="0" fontId="0" fillId="0" borderId="0" xfId="0" applyAlignment="1">
      <alignment horizontal="center" vertical="center"/>
    </xf>
    <xf numFmtId="0" fontId="2" fillId="8" borderId="39" xfId="0" applyFont="1" applyFill="1" applyBorder="1" applyAlignment="1">
      <alignment horizontal="center" vertical="center" wrapText="1"/>
    </xf>
    <xf numFmtId="0" fontId="46" fillId="2" borderId="10" xfId="0" applyFont="1" applyFill="1" applyBorder="1" applyAlignment="1" applyProtection="1">
      <alignment horizontal="justify" vertical="center" wrapText="1"/>
      <protection locked="0"/>
    </xf>
    <xf numFmtId="0" fontId="3" fillId="2" borderId="10" xfId="0" applyFont="1" applyFill="1" applyBorder="1" applyAlignment="1" applyProtection="1">
      <alignment horizontal="center" vertical="center"/>
      <protection locked="0"/>
    </xf>
    <xf numFmtId="0" fontId="25" fillId="0" borderId="10" xfId="0" applyFont="1" applyBorder="1" applyAlignment="1">
      <alignment horizontal="center"/>
    </xf>
    <xf numFmtId="0" fontId="25" fillId="0" borderId="10" xfId="0" applyFont="1" applyBorder="1" applyAlignment="1">
      <alignment horizontal="center" vertical="center"/>
    </xf>
    <xf numFmtId="0" fontId="0" fillId="0" borderId="10" xfId="0" applyBorder="1" applyAlignment="1">
      <alignment horizontal="center" vertical="center"/>
    </xf>
    <xf numFmtId="0" fontId="3" fillId="8" borderId="10" xfId="0" applyFont="1" applyFill="1" applyBorder="1" applyAlignment="1">
      <alignment horizontal="center" vertical="center"/>
    </xf>
    <xf numFmtId="0" fontId="3" fillId="8" borderId="10" xfId="0" applyFont="1" applyFill="1" applyBorder="1" applyAlignment="1">
      <alignment horizontal="left" vertical="center" wrapText="1"/>
    </xf>
    <xf numFmtId="0" fontId="3" fillId="2" borderId="10" xfId="0" applyFont="1" applyFill="1" applyBorder="1" applyAlignment="1" applyProtection="1">
      <alignment horizontal="left" vertical="center" wrapText="1"/>
      <protection locked="0"/>
    </xf>
    <xf numFmtId="0" fontId="3" fillId="8" borderId="40" xfId="0" applyFont="1" applyFill="1" applyBorder="1" applyAlignment="1">
      <alignment horizontal="center" vertical="center" wrapText="1"/>
    </xf>
    <xf numFmtId="0" fontId="3" fillId="8" borderId="11" xfId="0" applyFont="1" applyFill="1" applyBorder="1" applyAlignment="1">
      <alignment horizontal="center" vertical="center" wrapText="1"/>
    </xf>
    <xf numFmtId="0" fontId="11" fillId="2" borderId="5" xfId="0" applyFont="1" applyFill="1" applyBorder="1" applyAlignment="1" applyProtection="1">
      <alignment horizontal="center" vertical="center" wrapText="1"/>
      <protection locked="0"/>
    </xf>
    <xf numFmtId="0" fontId="11" fillId="2" borderId="7" xfId="0" applyFont="1" applyFill="1" applyBorder="1" applyAlignment="1" applyProtection="1">
      <alignment horizontal="center" vertical="center" wrapText="1"/>
      <protection locked="0"/>
    </xf>
    <xf numFmtId="0" fontId="3" fillId="2" borderId="5" xfId="0" applyFont="1" applyFill="1" applyBorder="1" applyAlignment="1" applyProtection="1">
      <alignment horizontal="center" vertical="center" wrapText="1"/>
      <protection locked="0"/>
    </xf>
    <xf numFmtId="0" fontId="3" fillId="2" borderId="7" xfId="0" applyFont="1" applyFill="1" applyBorder="1" applyAlignment="1" applyProtection="1">
      <alignment horizontal="center" vertical="center" wrapText="1"/>
      <protection locked="0"/>
    </xf>
    <xf numFmtId="0" fontId="3" fillId="5" borderId="5" xfId="0" applyFont="1" applyFill="1" applyBorder="1" applyAlignment="1" applyProtection="1">
      <alignment horizontal="center" vertical="center" wrapText="1"/>
      <protection locked="0"/>
    </xf>
    <xf numFmtId="0" fontId="3" fillId="5" borderId="7" xfId="0" applyFont="1" applyFill="1" applyBorder="1" applyAlignment="1" applyProtection="1">
      <alignment horizontal="center" vertical="center" wrapText="1"/>
      <protection locked="0"/>
    </xf>
    <xf numFmtId="0" fontId="3" fillId="2" borderId="17" xfId="0" applyFont="1" applyFill="1" applyBorder="1" applyAlignment="1" applyProtection="1">
      <alignment horizontal="center" vertical="center" wrapText="1"/>
      <protection locked="0"/>
    </xf>
    <xf numFmtId="0" fontId="3" fillId="2" borderId="19" xfId="0" applyFont="1" applyFill="1" applyBorder="1" applyAlignment="1" applyProtection="1">
      <alignment horizontal="center" vertical="center" wrapText="1"/>
      <protection locked="0"/>
    </xf>
    <xf numFmtId="0" fontId="48" fillId="2" borderId="0" xfId="0" applyFont="1" applyFill="1" applyAlignment="1">
      <alignment horizontal="center" vertical="center"/>
    </xf>
    <xf numFmtId="0" fontId="10" fillId="2" borderId="0" xfId="0" applyFont="1" applyFill="1" applyAlignment="1">
      <alignment horizontal="left" vertical="center"/>
    </xf>
    <xf numFmtId="0" fontId="0" fillId="2" borderId="0" xfId="0" applyFill="1" applyAlignment="1">
      <alignment horizontal="center"/>
    </xf>
    <xf numFmtId="0" fontId="45" fillId="15" borderId="28" xfId="0" applyFont="1" applyFill="1" applyBorder="1" applyAlignment="1">
      <alignment horizontal="center" vertical="center" wrapText="1"/>
    </xf>
    <xf numFmtId="0" fontId="45" fillId="15" borderId="27" xfId="0" applyFont="1" applyFill="1" applyBorder="1" applyAlignment="1">
      <alignment horizontal="center" vertical="center" wrapText="1"/>
    </xf>
    <xf numFmtId="1" fontId="45" fillId="15" borderId="27" xfId="0" applyNumberFormat="1" applyFont="1" applyFill="1" applyBorder="1" applyAlignment="1">
      <alignment horizontal="center" vertical="center" wrapText="1"/>
    </xf>
    <xf numFmtId="0" fontId="46" fillId="2" borderId="10" xfId="0" applyFont="1" applyFill="1" applyBorder="1" applyAlignment="1" applyProtection="1">
      <alignment horizontal="center" vertical="center" wrapText="1"/>
      <protection locked="0"/>
    </xf>
    <xf numFmtId="0" fontId="18" fillId="0" borderId="0" xfId="0" applyFont="1" applyAlignment="1" applyProtection="1">
      <alignment vertical="center"/>
      <protection locked="0"/>
    </xf>
    <xf numFmtId="0" fontId="20" fillId="0" borderId="0" xfId="0" applyFont="1" applyAlignment="1" applyProtection="1">
      <alignment horizontal="center"/>
      <protection locked="0"/>
    </xf>
    <xf numFmtId="0" fontId="18" fillId="0" borderId="0" xfId="0" applyFont="1" applyAlignment="1" applyProtection="1">
      <alignment vertical="center" wrapText="1"/>
      <protection locked="0"/>
    </xf>
    <xf numFmtId="0" fontId="15" fillId="0" borderId="0" xfId="0" applyFont="1" applyProtection="1">
      <protection locked="0"/>
    </xf>
    <xf numFmtId="0" fontId="19" fillId="0" borderId="11" xfId="0" applyFont="1" applyBorder="1" applyAlignment="1" applyProtection="1">
      <alignment horizontal="left" vertical="center" wrapText="1"/>
      <protection locked="0"/>
    </xf>
    <xf numFmtId="0" fontId="3" fillId="0" borderId="66" xfId="0" applyFont="1" applyBorder="1" applyAlignment="1" applyProtection="1">
      <alignment horizontal="center" vertical="center" wrapText="1"/>
      <protection locked="0"/>
    </xf>
    <xf numFmtId="0" fontId="0" fillId="0" borderId="0" xfId="0" applyAlignment="1">
      <alignment wrapText="1"/>
    </xf>
    <xf numFmtId="0" fontId="0" fillId="0" borderId="0" xfId="0" applyAlignment="1">
      <alignment vertical="top" wrapText="1"/>
    </xf>
    <xf numFmtId="0" fontId="0" fillId="0" borderId="0" xfId="0" applyAlignment="1">
      <alignment horizontal="right" wrapText="1"/>
    </xf>
    <xf numFmtId="0" fontId="32" fillId="0" borderId="0" xfId="0" applyFont="1" applyAlignment="1">
      <alignment horizontal="center" wrapText="1"/>
    </xf>
    <xf numFmtId="0" fontId="0" fillId="20" borderId="0" xfId="0" applyFill="1" applyAlignment="1">
      <alignment horizontal="right" wrapText="1"/>
    </xf>
    <xf numFmtId="0" fontId="0" fillId="20" borderId="0" xfId="0" applyFill="1" applyAlignment="1">
      <alignment wrapText="1"/>
    </xf>
    <xf numFmtId="0" fontId="0" fillId="0" borderId="0" xfId="0" applyAlignment="1">
      <alignment horizontal="left" vertical="center" wrapText="1"/>
    </xf>
    <xf numFmtId="0" fontId="46" fillId="2" borderId="10" xfId="0" applyFont="1" applyFill="1" applyBorder="1" applyAlignment="1">
      <alignment horizontal="left" vertical="center" wrapText="1"/>
    </xf>
    <xf numFmtId="0" fontId="54" fillId="21" borderId="36" xfId="0" applyFont="1" applyFill="1" applyBorder="1" applyAlignment="1">
      <alignment horizontal="center" vertical="center" wrapText="1"/>
    </xf>
    <xf numFmtId="0" fontId="54" fillId="21" borderId="72" xfId="0" applyFont="1" applyFill="1" applyBorder="1" applyAlignment="1">
      <alignment horizontal="center" vertical="center" wrapText="1"/>
    </xf>
    <xf numFmtId="0" fontId="56" fillId="0" borderId="0" xfId="0" applyFont="1" applyAlignment="1">
      <alignment wrapText="1"/>
    </xf>
    <xf numFmtId="0" fontId="0" fillId="22" borderId="0" xfId="0" applyFill="1"/>
    <xf numFmtId="0" fontId="0" fillId="0" borderId="11" xfId="0" applyBorder="1" applyAlignment="1" applyProtection="1">
      <alignment horizontal="left" vertical="center" wrapText="1"/>
      <protection locked="0"/>
    </xf>
    <xf numFmtId="0" fontId="18" fillId="2" borderId="0" xfId="0" applyFont="1" applyFill="1" applyAlignment="1" applyProtection="1">
      <alignment horizontal="left" vertical="center" wrapText="1"/>
      <protection locked="0"/>
    </xf>
    <xf numFmtId="0" fontId="20" fillId="2" borderId="0" xfId="0" applyFont="1" applyFill="1" applyAlignment="1" applyProtection="1">
      <alignment horizontal="left"/>
      <protection locked="0"/>
    </xf>
    <xf numFmtId="0" fontId="18" fillId="0" borderId="0" xfId="0" applyFont="1" applyAlignment="1" applyProtection="1">
      <alignment horizontal="left" vertical="center" wrapText="1"/>
      <protection locked="0"/>
    </xf>
    <xf numFmtId="1" fontId="19" fillId="0" borderId="11" xfId="0" applyNumberFormat="1" applyFont="1" applyBorder="1" applyAlignment="1" applyProtection="1">
      <alignment horizontal="left" vertical="center" wrapText="1"/>
      <protection locked="0"/>
    </xf>
    <xf numFmtId="0" fontId="18" fillId="0" borderId="0" xfId="0" applyFont="1" applyAlignment="1" applyProtection="1">
      <alignment horizontal="left" vertical="center"/>
      <protection locked="0"/>
    </xf>
    <xf numFmtId="0" fontId="0" fillId="2" borderId="0" xfId="0" applyFill="1" applyAlignment="1" applyProtection="1">
      <alignment horizontal="justify" vertical="top" wrapText="1"/>
      <protection locked="0"/>
    </xf>
    <xf numFmtId="0" fontId="0" fillId="2" borderId="0" xfId="0" applyFill="1" applyAlignment="1" applyProtection="1">
      <alignment horizontal="justify" vertical="top"/>
      <protection locked="0"/>
    </xf>
    <xf numFmtId="0" fontId="0" fillId="9" borderId="20" xfId="0" applyFill="1" applyBorder="1" applyAlignment="1">
      <alignment horizontal="justify" vertical="top" wrapText="1"/>
    </xf>
    <xf numFmtId="0" fontId="0" fillId="9" borderId="5" xfId="0" applyFill="1" applyBorder="1" applyAlignment="1">
      <alignment horizontal="justify" vertical="top" wrapText="1"/>
    </xf>
    <xf numFmtId="0" fontId="52" fillId="0" borderId="28" xfId="0" applyFont="1" applyBorder="1" applyAlignment="1" applyProtection="1">
      <alignment vertical="top"/>
      <protection locked="0"/>
    </xf>
    <xf numFmtId="0" fontId="52" fillId="0" borderId="27" xfId="0" applyFont="1" applyBorder="1" applyAlignment="1" applyProtection="1">
      <alignment vertical="top"/>
      <protection locked="0"/>
    </xf>
    <xf numFmtId="0" fontId="0" fillId="0" borderId="0" xfId="0" applyAlignment="1" applyProtection="1">
      <alignment horizontal="justify" vertical="top" wrapText="1"/>
      <protection locked="0"/>
    </xf>
    <xf numFmtId="0" fontId="19" fillId="9" borderId="11" xfId="0" applyFont="1" applyFill="1" applyBorder="1" applyAlignment="1">
      <alignment vertical="center" wrapText="1"/>
    </xf>
    <xf numFmtId="0" fontId="0" fillId="9" borderId="11" xfId="0" applyFill="1" applyBorder="1" applyAlignment="1">
      <alignment horizontal="left" vertical="center" wrapText="1"/>
    </xf>
    <xf numFmtId="0" fontId="0" fillId="9" borderId="11" xfId="0" applyFill="1" applyBorder="1" applyAlignment="1">
      <alignment horizontal="justify" vertical="top" wrapText="1"/>
    </xf>
    <xf numFmtId="0" fontId="49" fillId="9" borderId="25" xfId="0" applyFont="1" applyFill="1" applyBorder="1" applyAlignment="1">
      <alignment vertical="center" wrapText="1"/>
    </xf>
    <xf numFmtId="0" fontId="0" fillId="0" borderId="10" xfId="0" applyBorder="1" applyAlignment="1">
      <alignment horizontal="left" vertical="center" wrapText="1"/>
    </xf>
    <xf numFmtId="0" fontId="0" fillId="0" borderId="10" xfId="0" applyBorder="1" applyAlignment="1">
      <alignment horizontal="left" vertical="center"/>
    </xf>
    <xf numFmtId="0" fontId="69" fillId="0" borderId="0" xfId="0" applyFont="1" applyAlignment="1">
      <alignment wrapText="1"/>
    </xf>
    <xf numFmtId="0" fontId="58" fillId="9" borderId="28" xfId="0" applyFont="1" applyFill="1" applyBorder="1" applyAlignment="1">
      <alignment vertical="center" wrapText="1"/>
    </xf>
    <xf numFmtId="0" fontId="58" fillId="9" borderId="27" xfId="0" applyFont="1" applyFill="1" applyBorder="1" applyAlignment="1">
      <alignment vertical="center" wrapText="1"/>
    </xf>
    <xf numFmtId="0" fontId="59" fillId="0" borderId="10" xfId="0" applyFont="1" applyBorder="1" applyAlignment="1">
      <alignment vertical="top" wrapText="1"/>
    </xf>
    <xf numFmtId="0" fontId="0" fillId="11" borderId="28" xfId="0" applyFill="1" applyBorder="1" applyAlignment="1">
      <alignment vertical="top" wrapText="1"/>
    </xf>
    <xf numFmtId="0" fontId="0" fillId="11" borderId="27" xfId="0" applyFill="1" applyBorder="1" applyAlignment="1">
      <alignment vertical="top" wrapText="1"/>
    </xf>
    <xf numFmtId="0" fontId="0" fillId="0" borderId="10" xfId="0" applyBorder="1" applyAlignment="1">
      <alignment vertical="top" wrapText="1"/>
    </xf>
    <xf numFmtId="0" fontId="50" fillId="9" borderId="28" xfId="0" applyFont="1" applyFill="1" applyBorder="1" applyAlignment="1">
      <alignment vertical="top" wrapText="1"/>
    </xf>
    <xf numFmtId="0" fontId="50" fillId="9" borderId="27" xfId="0" applyFont="1" applyFill="1" applyBorder="1" applyAlignment="1">
      <alignment vertical="top" wrapText="1"/>
    </xf>
    <xf numFmtId="0" fontId="47" fillId="9" borderId="61" xfId="0" applyFont="1" applyFill="1" applyBorder="1" applyAlignment="1">
      <alignment vertical="top" wrapText="1"/>
    </xf>
    <xf numFmtId="0" fontId="47" fillId="9" borderId="72" xfId="0" applyFont="1" applyFill="1" applyBorder="1" applyAlignment="1">
      <alignment vertical="top" wrapText="1"/>
    </xf>
    <xf numFmtId="0" fontId="49" fillId="0" borderId="28" xfId="0" applyFont="1" applyBorder="1" applyAlignment="1">
      <alignment vertical="top"/>
    </xf>
    <xf numFmtId="0" fontId="49" fillId="0" borderId="27" xfId="0" applyFont="1" applyBorder="1" applyAlignment="1">
      <alignment vertical="top"/>
    </xf>
    <xf numFmtId="0" fontId="23" fillId="2" borderId="78" xfId="0" applyFont="1" applyFill="1" applyBorder="1" applyAlignment="1" applyProtection="1">
      <alignment horizontal="center" vertical="center" wrapText="1"/>
      <protection locked="0"/>
    </xf>
    <xf numFmtId="0" fontId="23" fillId="2" borderId="84" xfId="0" applyFont="1" applyFill="1" applyBorder="1" applyAlignment="1" applyProtection="1">
      <alignment horizontal="center" vertical="center" wrapText="1"/>
      <protection locked="0"/>
    </xf>
    <xf numFmtId="0" fontId="3" fillId="0" borderId="87" xfId="0" applyFont="1" applyBorder="1" applyAlignment="1" applyProtection="1">
      <alignment horizontal="left" vertical="center" wrapText="1"/>
      <protection locked="0"/>
    </xf>
    <xf numFmtId="0" fontId="3" fillId="0" borderId="85" xfId="0" applyFont="1" applyBorder="1" applyAlignment="1" applyProtection="1">
      <alignment horizontal="left" vertical="center" wrapText="1"/>
      <protection locked="0"/>
    </xf>
    <xf numFmtId="0" fontId="3" fillId="0" borderId="46" xfId="0" applyFont="1" applyBorder="1" applyAlignment="1" applyProtection="1">
      <alignment horizontal="left" vertical="center" wrapText="1"/>
      <protection locked="0"/>
    </xf>
    <xf numFmtId="0" fontId="3" fillId="0" borderId="25" xfId="0" applyFont="1" applyBorder="1" applyAlignment="1" applyProtection="1">
      <alignment horizontal="left" vertical="center" wrapText="1"/>
      <protection locked="0"/>
    </xf>
    <xf numFmtId="0" fontId="23" fillId="2" borderId="88" xfId="0" applyFont="1" applyFill="1" applyBorder="1" applyAlignment="1" applyProtection="1">
      <alignment horizontal="center" vertical="center" wrapText="1"/>
      <protection locked="0"/>
    </xf>
    <xf numFmtId="0" fontId="23" fillId="2" borderId="83" xfId="0" applyFont="1" applyFill="1" applyBorder="1" applyAlignment="1" applyProtection="1">
      <alignment horizontal="center" vertical="center" wrapText="1"/>
      <protection locked="0"/>
    </xf>
    <xf numFmtId="0" fontId="3" fillId="0" borderId="39" xfId="0" applyFont="1" applyBorder="1" applyAlignment="1" applyProtection="1">
      <alignment horizontal="left" vertical="center" wrapText="1"/>
      <protection locked="0"/>
    </xf>
    <xf numFmtId="0" fontId="3" fillId="0" borderId="67" xfId="0" applyFont="1" applyBorder="1" applyAlignment="1" applyProtection="1">
      <alignment vertical="center" wrapText="1"/>
      <protection locked="0"/>
    </xf>
    <xf numFmtId="0" fontId="16" fillId="2" borderId="0" xfId="0" applyFont="1" applyFill="1" applyAlignment="1">
      <alignment vertical="center"/>
    </xf>
    <xf numFmtId="0" fontId="19" fillId="9" borderId="11" xfId="0" applyFont="1" applyFill="1" applyBorder="1" applyAlignment="1" applyProtection="1">
      <alignment vertical="center" wrapText="1"/>
      <protection locked="0"/>
    </xf>
    <xf numFmtId="0" fontId="3" fillId="9" borderId="10" xfId="0" applyFont="1" applyFill="1" applyBorder="1" applyAlignment="1">
      <alignment horizontal="center" vertical="center"/>
    </xf>
    <xf numFmtId="0" fontId="3" fillId="9" borderId="10" xfId="0" applyFont="1" applyFill="1" applyBorder="1" applyAlignment="1">
      <alignment horizontal="left" vertical="center" wrapText="1"/>
    </xf>
    <xf numFmtId="0" fontId="3" fillId="9" borderId="10" xfId="0" applyFont="1" applyFill="1" applyBorder="1" applyAlignment="1">
      <alignment horizontal="justify" vertical="center" wrapText="1"/>
    </xf>
    <xf numFmtId="1" fontId="3" fillId="9" borderId="10" xfId="0" applyNumberFormat="1" applyFont="1" applyFill="1" applyBorder="1" applyAlignment="1">
      <alignment horizontal="center" vertical="center"/>
    </xf>
    <xf numFmtId="0" fontId="16" fillId="2" borderId="0" xfId="0" applyFont="1" applyFill="1" applyAlignment="1">
      <alignment horizontal="left" vertical="center"/>
    </xf>
    <xf numFmtId="0" fontId="75" fillId="0" borderId="0" xfId="0" applyFont="1"/>
    <xf numFmtId="0" fontId="75" fillId="0" borderId="0" xfId="0" applyFont="1" applyAlignment="1">
      <alignment vertical="center"/>
    </xf>
    <xf numFmtId="0" fontId="75" fillId="0" borderId="0" xfId="0" applyFont="1" applyAlignment="1">
      <alignment horizontal="center"/>
    </xf>
    <xf numFmtId="0" fontId="78" fillId="0" borderId="93" xfId="0" applyFont="1" applyBorder="1" applyAlignment="1">
      <alignment horizontal="center"/>
    </xf>
    <xf numFmtId="0" fontId="80" fillId="0" borderId="94" xfId="0" applyFont="1" applyBorder="1"/>
    <xf numFmtId="0" fontId="80" fillId="24" borderId="94" xfId="0" applyFont="1" applyFill="1" applyBorder="1"/>
    <xf numFmtId="0" fontId="80" fillId="0" borderId="94" xfId="0" applyFont="1" applyBorder="1" applyAlignment="1">
      <alignment horizontal="center"/>
    </xf>
    <xf numFmtId="0" fontId="76" fillId="26" borderId="94" xfId="0" applyFont="1" applyFill="1" applyBorder="1" applyAlignment="1">
      <alignment horizontal="center" vertical="center"/>
    </xf>
    <xf numFmtId="0" fontId="76" fillId="26" borderId="96" xfId="0" applyFont="1" applyFill="1" applyBorder="1" applyAlignment="1">
      <alignment horizontal="center" vertical="center"/>
    </xf>
    <xf numFmtId="0" fontId="80" fillId="0" borderId="22" xfId="0" applyFont="1" applyBorder="1"/>
    <xf numFmtId="0" fontId="80" fillId="24" borderId="22" xfId="0" applyFont="1" applyFill="1" applyBorder="1"/>
    <xf numFmtId="0" fontId="80" fillId="0" borderId="22" xfId="0" applyFont="1" applyBorder="1" applyAlignment="1">
      <alignment horizontal="center"/>
    </xf>
    <xf numFmtId="0" fontId="76" fillId="26" borderId="22" xfId="0" applyFont="1" applyFill="1" applyBorder="1" applyAlignment="1">
      <alignment horizontal="center" vertical="center"/>
    </xf>
    <xf numFmtId="0" fontId="76" fillId="26" borderId="40" xfId="0" applyFont="1" applyFill="1" applyBorder="1" applyAlignment="1">
      <alignment horizontal="center" vertical="center"/>
    </xf>
    <xf numFmtId="0" fontId="80" fillId="0" borderId="94" xfId="0" applyFont="1" applyBorder="1" applyAlignment="1">
      <alignment horizontal="left"/>
    </xf>
    <xf numFmtId="0" fontId="80" fillId="0" borderId="22" xfId="0" applyFont="1" applyBorder="1" applyAlignment="1">
      <alignment horizontal="left"/>
    </xf>
    <xf numFmtId="0" fontId="77" fillId="26" borderId="94" xfId="0" applyFont="1" applyFill="1" applyBorder="1" applyAlignment="1">
      <alignment horizontal="center" vertical="center"/>
    </xf>
    <xf numFmtId="0" fontId="80" fillId="24" borderId="22" xfId="0" applyFont="1" applyFill="1" applyBorder="1" applyAlignment="1">
      <alignment horizontal="center"/>
    </xf>
    <xf numFmtId="0" fontId="77" fillId="26" borderId="22" xfId="0" applyFont="1" applyFill="1" applyBorder="1" applyAlignment="1">
      <alignment horizontal="center" vertical="center"/>
    </xf>
    <xf numFmtId="0" fontId="81" fillId="0" borderId="22" xfId="0" applyFont="1" applyBorder="1"/>
    <xf numFmtId="0" fontId="76" fillId="26" borderId="43" xfId="0" applyFont="1" applyFill="1" applyBorder="1" applyAlignment="1">
      <alignment horizontal="center" vertical="center"/>
    </xf>
    <xf numFmtId="0" fontId="82" fillId="0" borderId="0" xfId="0" applyFont="1" applyAlignment="1">
      <alignment horizontal="center" vertical="center"/>
    </xf>
    <xf numFmtId="0" fontId="76" fillId="27" borderId="99" xfId="0" applyFont="1" applyFill="1" applyBorder="1" applyAlignment="1">
      <alignment horizontal="center" vertical="center" wrapText="1"/>
    </xf>
    <xf numFmtId="0" fontId="76" fillId="27" borderId="100" xfId="0" applyFont="1" applyFill="1" applyBorder="1" applyAlignment="1">
      <alignment horizontal="center" vertical="center" wrapText="1"/>
    </xf>
    <xf numFmtId="0" fontId="76" fillId="27" borderId="101" xfId="0" applyFont="1" applyFill="1" applyBorder="1" applyAlignment="1">
      <alignment horizontal="center" vertical="center" wrapText="1"/>
    </xf>
    <xf numFmtId="0" fontId="75" fillId="5" borderId="0" xfId="0" applyFont="1" applyFill="1" applyAlignment="1">
      <alignment horizontal="center" vertical="center"/>
    </xf>
    <xf numFmtId="0" fontId="76" fillId="28" borderId="0" xfId="0" applyFont="1" applyFill="1"/>
    <xf numFmtId="0" fontId="75" fillId="5" borderId="0" xfId="0" applyFont="1" applyFill="1" applyAlignment="1">
      <alignment horizontal="left" vertical="center"/>
    </xf>
    <xf numFmtId="0" fontId="75" fillId="0" borderId="0" xfId="0" applyFont="1" applyAlignment="1">
      <alignment horizontal="left" vertical="center"/>
    </xf>
    <xf numFmtId="0" fontId="76" fillId="0" borderId="0" xfId="0" applyFont="1"/>
    <xf numFmtId="0" fontId="25" fillId="0" borderId="10" xfId="0" applyFont="1" applyBorder="1"/>
    <xf numFmtId="0" fontId="0" fillId="0" borderId="10" xfId="0" applyBorder="1" applyAlignment="1">
      <alignment horizontal="center"/>
    </xf>
    <xf numFmtId="0" fontId="84" fillId="21" borderId="36" xfId="0" applyFont="1" applyFill="1" applyBorder="1" applyAlignment="1">
      <alignment horizontal="center" vertical="center" wrapText="1"/>
    </xf>
    <xf numFmtId="0" fontId="84" fillId="21" borderId="72" xfId="0" applyFont="1" applyFill="1" applyBorder="1" applyAlignment="1">
      <alignment horizontal="center" vertical="center" wrapText="1"/>
    </xf>
    <xf numFmtId="0" fontId="84" fillId="21" borderId="61" xfId="0" applyFont="1" applyFill="1" applyBorder="1" applyAlignment="1">
      <alignment horizontal="center" vertical="center" wrapText="1"/>
    </xf>
    <xf numFmtId="0" fontId="11" fillId="15" borderId="10" xfId="0" applyFont="1" applyFill="1" applyBorder="1" applyAlignment="1">
      <alignment horizontal="center" vertical="center" wrapText="1"/>
    </xf>
    <xf numFmtId="0" fontId="11" fillId="15" borderId="26" xfId="0" applyFont="1" applyFill="1" applyBorder="1" applyAlignment="1">
      <alignment horizontal="center" vertical="center" wrapText="1"/>
    </xf>
    <xf numFmtId="0" fontId="11" fillId="15" borderId="28" xfId="0" applyFont="1" applyFill="1" applyBorder="1" applyAlignment="1">
      <alignment horizontal="center" vertical="center" wrapText="1"/>
    </xf>
    <xf numFmtId="0" fontId="11" fillId="15" borderId="27" xfId="0" applyFont="1" applyFill="1" applyBorder="1" applyAlignment="1">
      <alignment horizontal="center" vertical="center" wrapText="1"/>
    </xf>
    <xf numFmtId="1" fontId="11" fillId="15" borderId="27" xfId="0" applyNumberFormat="1" applyFont="1" applyFill="1" applyBorder="1" applyAlignment="1">
      <alignment horizontal="center" vertical="center" wrapText="1"/>
    </xf>
    <xf numFmtId="0" fontId="3" fillId="15" borderId="10" xfId="0" applyFont="1" applyFill="1" applyBorder="1" applyAlignment="1">
      <alignment horizontal="justify" vertical="center" wrapText="1"/>
    </xf>
    <xf numFmtId="0" fontId="3" fillId="2" borderId="10" xfId="0" applyFont="1" applyFill="1" applyBorder="1" applyAlignment="1" applyProtection="1">
      <alignment horizontal="justify" vertical="center" wrapText="1"/>
      <protection locked="0"/>
    </xf>
    <xf numFmtId="0" fontId="3" fillId="15" borderId="10" xfId="0" applyFont="1" applyFill="1" applyBorder="1" applyAlignment="1">
      <alignment horizontal="justify" vertical="top" wrapText="1"/>
    </xf>
    <xf numFmtId="0" fontId="3" fillId="2" borderId="10" xfId="0" applyFont="1" applyFill="1" applyBorder="1" applyAlignment="1">
      <alignment horizontal="left" vertical="center" wrapText="1"/>
    </xf>
    <xf numFmtId="0" fontId="84" fillId="21" borderId="24" xfId="0" applyFont="1" applyFill="1" applyBorder="1" applyAlignment="1">
      <alignment horizontal="center" vertical="center"/>
    </xf>
    <xf numFmtId="0" fontId="11" fillId="15" borderId="10" xfId="0" applyFont="1" applyFill="1" applyBorder="1" applyAlignment="1">
      <alignment horizontal="left" vertical="center" wrapText="1"/>
    </xf>
    <xf numFmtId="0" fontId="86" fillId="0" borderId="0" xfId="0" applyFont="1" applyAlignment="1">
      <alignment horizontal="left" vertical="top"/>
    </xf>
    <xf numFmtId="0" fontId="79" fillId="0" borderId="0" xfId="0" applyFont="1" applyAlignment="1">
      <alignment vertical="top"/>
    </xf>
    <xf numFmtId="0" fontId="49" fillId="0" borderId="0" xfId="0" applyFont="1"/>
    <xf numFmtId="0" fontId="89" fillId="0" borderId="0" xfId="0" applyFont="1" applyAlignment="1">
      <alignment vertical="top"/>
    </xf>
    <xf numFmtId="0" fontId="50" fillId="0" borderId="90" xfId="0" applyFont="1" applyBorder="1" applyAlignment="1">
      <alignment horizontal="center" vertical="top"/>
    </xf>
    <xf numFmtId="0" fontId="49" fillId="0" borderId="0" xfId="0" applyFont="1" applyAlignment="1">
      <alignment horizontal="left" vertical="top"/>
    </xf>
    <xf numFmtId="0" fontId="50" fillId="25" borderId="0" xfId="0" applyFont="1" applyFill="1" applyAlignment="1">
      <alignment horizontal="left"/>
    </xf>
    <xf numFmtId="0" fontId="50" fillId="25" borderId="91" xfId="0" applyFont="1" applyFill="1" applyBorder="1" applyAlignment="1">
      <alignment horizontal="left"/>
    </xf>
    <xf numFmtId="0" fontId="87" fillId="0" borderId="0" xfId="0" applyFont="1" applyAlignment="1">
      <alignment horizontal="center" vertical="top"/>
    </xf>
    <xf numFmtId="0" fontId="88" fillId="0" borderId="0" xfId="0" applyFont="1" applyAlignment="1">
      <alignment horizontal="center" vertical="top"/>
    </xf>
    <xf numFmtId="0" fontId="50" fillId="0" borderId="0" xfId="0" applyFont="1" applyAlignment="1">
      <alignment horizontal="center" vertical="top"/>
    </xf>
    <xf numFmtId="0" fontId="49" fillId="0" borderId="0" xfId="0" applyFont="1" applyAlignment="1">
      <alignment vertical="center"/>
    </xf>
    <xf numFmtId="0" fontId="0" fillId="0" borderId="0" xfId="0" applyAlignment="1">
      <alignment vertical="center"/>
    </xf>
    <xf numFmtId="0" fontId="49" fillId="5" borderId="0" xfId="0" applyFont="1" applyFill="1" applyAlignment="1">
      <alignment horizontal="left" vertical="center"/>
    </xf>
    <xf numFmtId="0" fontId="49" fillId="0" borderId="0" xfId="0" applyFont="1" applyAlignment="1">
      <alignment horizontal="center" vertical="center"/>
    </xf>
    <xf numFmtId="0" fontId="49" fillId="5" borderId="0" xfId="0" applyFont="1" applyFill="1" applyAlignment="1">
      <alignment horizontal="center" vertical="center"/>
    </xf>
    <xf numFmtId="0" fontId="49" fillId="0" borderId="0" xfId="0" applyFont="1" applyAlignment="1">
      <alignment horizontal="left" vertical="center"/>
    </xf>
    <xf numFmtId="0" fontId="49" fillId="0" borderId="0" xfId="0" applyFont="1" applyAlignment="1">
      <alignment vertical="top"/>
    </xf>
    <xf numFmtId="9" fontId="0" fillId="0" borderId="0" xfId="1" applyFont="1" applyFill="1" applyAlignment="1">
      <alignment horizontal="center"/>
    </xf>
    <xf numFmtId="0" fontId="49" fillId="0" borderId="0" xfId="0" applyFont="1" applyAlignment="1">
      <alignment horizontal="center" vertical="top"/>
    </xf>
    <xf numFmtId="0" fontId="50" fillId="26" borderId="91" xfId="0" applyFont="1" applyFill="1" applyBorder="1" applyAlignment="1">
      <alignment horizontal="center"/>
    </xf>
    <xf numFmtId="0" fontId="50" fillId="0" borderId="0" xfId="0" applyFont="1" applyAlignment="1">
      <alignment horizontal="center"/>
    </xf>
    <xf numFmtId="0" fontId="91" fillId="0" borderId="0" xfId="0" applyFont="1" applyAlignment="1">
      <alignment horizontal="left" vertical="center"/>
    </xf>
    <xf numFmtId="0" fontId="50" fillId="0" borderId="0" xfId="0" applyFont="1" applyAlignment="1">
      <alignment horizontal="left" vertical="top"/>
    </xf>
    <xf numFmtId="0" fontId="50" fillId="0" borderId="0" xfId="0" applyFont="1" applyAlignment="1">
      <alignment vertical="top"/>
    </xf>
    <xf numFmtId="0" fontId="50" fillId="0" borderId="0" xfId="0" applyFont="1"/>
    <xf numFmtId="0" fontId="87" fillId="0" borderId="0" xfId="0" applyFont="1" applyAlignment="1">
      <alignment horizontal="left" vertical="top"/>
    </xf>
    <xf numFmtId="0" fontId="50" fillId="0" borderId="0" xfId="0" applyFont="1" applyAlignment="1">
      <alignment vertical="center"/>
    </xf>
    <xf numFmtId="0" fontId="0" fillId="2" borderId="11" xfId="0" applyFill="1" applyBorder="1" applyAlignment="1" applyProtection="1">
      <alignment vertical="center" wrapText="1"/>
      <protection locked="0"/>
    </xf>
    <xf numFmtId="0" fontId="92" fillId="0" borderId="90" xfId="0" applyFont="1" applyBorder="1" applyAlignment="1">
      <alignment horizontal="center" vertical="top"/>
    </xf>
    <xf numFmtId="0" fontId="93" fillId="0" borderId="90" xfId="0" applyFont="1" applyBorder="1" applyAlignment="1">
      <alignment horizontal="left" vertical="top"/>
    </xf>
    <xf numFmtId="165" fontId="49" fillId="0" borderId="0" xfId="0" applyNumberFormat="1" applyFont="1" applyAlignment="1">
      <alignment horizontal="center" vertical="center"/>
    </xf>
    <xf numFmtId="165" fontId="0" fillId="0" borderId="0" xfId="0" applyNumberFormat="1" applyAlignment="1">
      <alignment horizontal="center" vertical="center"/>
    </xf>
    <xf numFmtId="164" fontId="0" fillId="0" borderId="0" xfId="1" applyNumberFormat="1" applyFont="1" applyFill="1" applyAlignment="1">
      <alignment horizontal="center"/>
    </xf>
    <xf numFmtId="0" fontId="80" fillId="0" borderId="11" xfId="0" applyFont="1" applyBorder="1"/>
    <xf numFmtId="0" fontId="80" fillId="0" borderId="40" xfId="0" applyFont="1" applyBorder="1"/>
    <xf numFmtId="0" fontId="80" fillId="0" borderId="104" xfId="0" applyFont="1" applyBorder="1"/>
    <xf numFmtId="0" fontId="50" fillId="8" borderId="0" xfId="0" applyFont="1" applyFill="1" applyAlignment="1">
      <alignment horizontal="left"/>
    </xf>
    <xf numFmtId="0" fontId="42" fillId="0" borderId="0" xfId="0" applyFont="1" applyAlignment="1">
      <alignment vertical="center"/>
    </xf>
    <xf numFmtId="0" fontId="25" fillId="26" borderId="0" xfId="0" applyFont="1" applyFill="1" applyAlignment="1">
      <alignment horizontal="left"/>
    </xf>
    <xf numFmtId="0" fontId="49" fillId="0" borderId="92" xfId="0" applyFont="1" applyBorder="1" applyAlignment="1">
      <alignment vertical="top"/>
    </xf>
    <xf numFmtId="0" fontId="50" fillId="0" borderId="0" xfId="0" applyFont="1" applyAlignment="1">
      <alignment horizontal="center" vertical="center"/>
    </xf>
    <xf numFmtId="0" fontId="49" fillId="0" borderId="0" xfId="0" applyFont="1" applyAlignment="1">
      <alignment horizontal="left" vertical="top" wrapText="1"/>
    </xf>
    <xf numFmtId="0" fontId="27" fillId="6" borderId="10" xfId="0" applyFont="1" applyFill="1" applyBorder="1" applyAlignment="1">
      <alignment horizontal="center" vertical="center" wrapText="1"/>
    </xf>
    <xf numFmtId="0" fontId="27" fillId="29" borderId="10" xfId="0" applyFont="1" applyFill="1" applyBorder="1" applyAlignment="1">
      <alignment horizontal="center" vertical="center" wrapText="1"/>
    </xf>
    <xf numFmtId="0" fontId="27" fillId="29" borderId="10" xfId="0" applyFont="1" applyFill="1" applyBorder="1" applyAlignment="1">
      <alignment horizontal="center" vertical="top" wrapText="1"/>
    </xf>
    <xf numFmtId="0" fontId="19" fillId="9" borderId="11" xfId="0" applyFont="1" applyFill="1" applyBorder="1" applyAlignment="1">
      <alignment horizontal="left" vertical="center" wrapText="1"/>
    </xf>
    <xf numFmtId="0" fontId="3" fillId="2" borderId="11" xfId="0" applyFont="1" applyFill="1" applyBorder="1" applyAlignment="1" applyProtection="1">
      <alignment horizontal="justify" vertical="center" wrapText="1"/>
      <protection locked="0"/>
    </xf>
    <xf numFmtId="0" fontId="67" fillId="2" borderId="11" xfId="0" applyFont="1" applyFill="1" applyBorder="1" applyAlignment="1" applyProtection="1">
      <alignment horizontal="justify" vertical="center" wrapText="1"/>
      <protection locked="0"/>
    </xf>
    <xf numFmtId="0" fontId="27" fillId="6" borderId="11" xfId="0" applyFont="1" applyFill="1" applyBorder="1" applyAlignment="1">
      <alignment horizontal="center" vertical="top" wrapText="1"/>
    </xf>
    <xf numFmtId="0" fontId="50" fillId="0" borderId="10" xfId="0" applyFont="1" applyBorder="1" applyAlignment="1">
      <alignment horizontal="left" vertical="top"/>
    </xf>
    <xf numFmtId="0" fontId="0" fillId="30" borderId="0" xfId="0" applyFill="1"/>
    <xf numFmtId="0" fontId="80" fillId="24" borderId="13" xfId="0" applyFont="1" applyFill="1" applyBorder="1"/>
    <xf numFmtId="0" fontId="80" fillId="24" borderId="13" xfId="0" applyFont="1" applyFill="1" applyBorder="1" applyAlignment="1">
      <alignment horizontal="center"/>
    </xf>
    <xf numFmtId="0" fontId="50" fillId="30" borderId="0" xfId="0" applyFont="1" applyFill="1" applyAlignment="1">
      <alignment horizontal="left"/>
    </xf>
    <xf numFmtId="0" fontId="50" fillId="30" borderId="91" xfId="0" applyFont="1" applyFill="1" applyBorder="1" applyAlignment="1">
      <alignment horizontal="left"/>
    </xf>
    <xf numFmtId="0" fontId="90" fillId="30" borderId="0" xfId="0" applyFont="1" applyFill="1" applyAlignment="1">
      <alignment vertical="center"/>
    </xf>
    <xf numFmtId="0" fontId="49" fillId="30" borderId="0" xfId="0" applyFont="1" applyFill="1" applyAlignment="1">
      <alignment horizontal="left" vertical="center"/>
    </xf>
    <xf numFmtId="0" fontId="0" fillId="30" borderId="0" xfId="0" applyFill="1" applyAlignment="1">
      <alignment vertical="center"/>
    </xf>
    <xf numFmtId="0" fontId="49" fillId="30" borderId="0" xfId="0" applyFont="1" applyFill="1" applyAlignment="1">
      <alignment horizontal="left" vertical="top"/>
    </xf>
    <xf numFmtId="0" fontId="49" fillId="30" borderId="91" xfId="0" applyFont="1" applyFill="1" applyBorder="1" applyAlignment="1">
      <alignment horizontal="left" vertical="top"/>
    </xf>
    <xf numFmtId="0" fontId="50" fillId="0" borderId="10" xfId="0" applyFont="1" applyBorder="1" applyAlignment="1">
      <alignment vertical="top"/>
    </xf>
    <xf numFmtId="0" fontId="49" fillId="0" borderId="33" xfId="0" applyFont="1" applyBorder="1" applyAlignment="1">
      <alignment horizontal="center" vertical="top"/>
    </xf>
    <xf numFmtId="0" fontId="49" fillId="0" borderId="60" xfId="0" applyFont="1" applyBorder="1" applyAlignment="1">
      <alignment horizontal="left" vertical="top"/>
    </xf>
    <xf numFmtId="0" fontId="49" fillId="0" borderId="60" xfId="0" applyFont="1" applyBorder="1" applyAlignment="1">
      <alignment horizontal="center" vertical="top"/>
    </xf>
    <xf numFmtId="0" fontId="49" fillId="0" borderId="73" xfId="0" applyFont="1" applyBorder="1" applyAlignment="1">
      <alignment horizontal="center" vertical="top"/>
    </xf>
    <xf numFmtId="0" fontId="50" fillId="26" borderId="0" xfId="0" applyFont="1" applyFill="1"/>
    <xf numFmtId="0" fontId="80" fillId="0" borderId="13" xfId="0" applyFont="1" applyBorder="1" applyAlignment="1">
      <alignment horizontal="left"/>
    </xf>
    <xf numFmtId="0" fontId="80" fillId="0" borderId="105" xfId="0" applyFont="1" applyBorder="1" applyAlignment="1">
      <alignment horizontal="left"/>
    </xf>
    <xf numFmtId="0" fontId="80" fillId="0" borderId="98" xfId="0" applyFont="1" applyBorder="1" applyAlignment="1">
      <alignment horizontal="center"/>
    </xf>
    <xf numFmtId="0" fontId="80" fillId="0" borderId="97" xfId="0" applyFont="1" applyBorder="1" applyAlignment="1">
      <alignment horizontal="center"/>
    </xf>
    <xf numFmtId="0" fontId="80" fillId="0" borderId="20" xfId="0" applyFont="1" applyBorder="1" applyAlignment="1">
      <alignment horizontal="center"/>
    </xf>
    <xf numFmtId="0" fontId="80" fillId="0" borderId="5" xfId="0" applyFont="1" applyBorder="1" applyAlignment="1">
      <alignment horizontal="center"/>
    </xf>
    <xf numFmtId="0" fontId="80" fillId="0" borderId="7" xfId="0" applyFont="1" applyBorder="1" applyAlignment="1">
      <alignment horizontal="center"/>
    </xf>
    <xf numFmtId="0" fontId="80" fillId="0" borderId="95" xfId="0" applyFont="1" applyBorder="1" applyAlignment="1">
      <alignment horizontal="center"/>
    </xf>
    <xf numFmtId="0" fontId="3" fillId="0" borderId="87" xfId="0" applyFont="1" applyBorder="1" applyAlignment="1" applyProtection="1">
      <alignment horizontal="center" vertical="center" wrapText="1"/>
      <protection locked="0"/>
    </xf>
    <xf numFmtId="0" fontId="3" fillId="0" borderId="85" xfId="0" applyFont="1" applyBorder="1" applyAlignment="1" applyProtection="1">
      <alignment horizontal="center" vertical="center" wrapText="1"/>
      <protection locked="0"/>
    </xf>
    <xf numFmtId="0" fontId="3" fillId="0" borderId="46" xfId="0" applyFont="1" applyBorder="1" applyAlignment="1" applyProtection="1">
      <alignment horizontal="center" vertical="center" wrapText="1"/>
      <protection locked="0"/>
    </xf>
    <xf numFmtId="0" fontId="3" fillId="0" borderId="25" xfId="0" applyFont="1" applyBorder="1" applyAlignment="1" applyProtection="1">
      <alignment horizontal="center" vertical="center" wrapText="1"/>
      <protection locked="0"/>
    </xf>
    <xf numFmtId="0" fontId="15" fillId="2" borderId="77" xfId="0" applyFont="1" applyFill="1" applyBorder="1" applyAlignment="1" applyProtection="1">
      <alignment horizontal="center" vertical="center" wrapText="1"/>
      <protection locked="0"/>
    </xf>
    <xf numFmtId="0" fontId="15" fillId="2" borderId="85" xfId="0" applyFont="1" applyFill="1" applyBorder="1" applyAlignment="1" applyProtection="1">
      <alignment horizontal="center" vertical="center" wrapText="1"/>
      <protection locked="0"/>
    </xf>
    <xf numFmtId="0" fontId="15" fillId="2" borderId="79" xfId="0" applyFont="1" applyFill="1" applyBorder="1" applyAlignment="1" applyProtection="1">
      <alignment horizontal="center" vertical="center" wrapText="1"/>
      <protection locked="0"/>
    </xf>
    <xf numFmtId="0" fontId="3" fillId="2" borderId="0" xfId="0" applyFont="1" applyFill="1" applyAlignment="1" applyProtection="1">
      <alignment horizontal="center" vertical="center"/>
      <protection locked="0"/>
    </xf>
    <xf numFmtId="0" fontId="15" fillId="2" borderId="81" xfId="0" applyFont="1" applyFill="1" applyBorder="1" applyAlignment="1" applyProtection="1">
      <alignment horizontal="center" vertical="center" wrapText="1"/>
      <protection locked="0"/>
    </xf>
    <xf numFmtId="0" fontId="15" fillId="2" borderId="46" xfId="0" applyFont="1" applyFill="1" applyBorder="1" applyAlignment="1" applyProtection="1">
      <alignment horizontal="center" vertical="center" wrapText="1"/>
      <protection locked="0"/>
    </xf>
    <xf numFmtId="0" fontId="15" fillId="2" borderId="74" xfId="0" applyFont="1" applyFill="1" applyBorder="1" applyAlignment="1" applyProtection="1">
      <alignment horizontal="center" vertical="center" wrapText="1"/>
      <protection locked="0"/>
    </xf>
    <xf numFmtId="0" fontId="15" fillId="2" borderId="47" xfId="0" applyFont="1" applyFill="1" applyBorder="1" applyAlignment="1" applyProtection="1">
      <alignment horizontal="center" vertical="center" wrapText="1"/>
      <protection locked="0"/>
    </xf>
    <xf numFmtId="0" fontId="3" fillId="2" borderId="0" xfId="0" applyFont="1" applyFill="1" applyAlignment="1" applyProtection="1">
      <alignment vertical="center"/>
      <protection locked="0"/>
    </xf>
    <xf numFmtId="0" fontId="15" fillId="2" borderId="0" xfId="0" applyFont="1" applyFill="1" applyAlignment="1" applyProtection="1">
      <alignment horizontal="center" vertical="center" wrapText="1"/>
      <protection locked="0"/>
    </xf>
    <xf numFmtId="0" fontId="15" fillId="2" borderId="0" xfId="0" applyFont="1" applyFill="1" applyAlignment="1" applyProtection="1">
      <alignment horizontal="justify" vertical="center" wrapText="1"/>
      <protection locked="0"/>
    </xf>
    <xf numFmtId="0" fontId="8" fillId="2" borderId="0" xfId="0" applyFont="1" applyFill="1" applyAlignment="1" applyProtection="1">
      <alignment vertical="center"/>
      <protection locked="0"/>
    </xf>
    <xf numFmtId="0" fontId="15" fillId="2" borderId="77" xfId="0" applyFont="1" applyFill="1" applyBorder="1" applyAlignment="1" applyProtection="1">
      <alignment vertical="center" wrapText="1"/>
      <protection locked="0"/>
    </xf>
    <xf numFmtId="0" fontId="15" fillId="2" borderId="85" xfId="0" applyFont="1" applyFill="1" applyBorder="1" applyAlignment="1" applyProtection="1">
      <alignment horizontal="left" vertical="center" wrapText="1"/>
      <protection locked="0"/>
    </xf>
    <xf numFmtId="0" fontId="15" fillId="2" borderId="77" xfId="0" applyFont="1" applyFill="1" applyBorder="1" applyAlignment="1" applyProtection="1">
      <alignment horizontal="left" vertical="center" wrapText="1"/>
      <protection locked="0"/>
    </xf>
    <xf numFmtId="0" fontId="15" fillId="2" borderId="81" xfId="0" applyFont="1" applyFill="1" applyBorder="1" applyAlignment="1" applyProtection="1">
      <alignment vertical="center" wrapText="1"/>
      <protection locked="0"/>
    </xf>
    <xf numFmtId="0" fontId="15" fillId="2" borderId="46" xfId="0" applyFont="1" applyFill="1" applyBorder="1" applyAlignment="1" applyProtection="1">
      <alignment horizontal="left" vertical="center" wrapText="1"/>
      <protection locked="0"/>
    </xf>
    <xf numFmtId="0" fontId="15" fillId="2" borderId="81" xfId="0" applyFont="1" applyFill="1" applyBorder="1" applyAlignment="1" applyProtection="1">
      <alignment horizontal="left" vertical="center" wrapText="1"/>
      <protection locked="0"/>
    </xf>
    <xf numFmtId="0" fontId="15" fillId="2" borderId="74" xfId="0" applyFont="1" applyFill="1" applyBorder="1" applyAlignment="1" applyProtection="1">
      <alignment vertical="center" wrapText="1"/>
      <protection locked="0"/>
    </xf>
    <xf numFmtId="0" fontId="15" fillId="2" borderId="47" xfId="0" applyFont="1" applyFill="1" applyBorder="1" applyAlignment="1" applyProtection="1">
      <alignment horizontal="left" vertical="center" wrapText="1"/>
      <protection locked="0"/>
    </xf>
    <xf numFmtId="0" fontId="15" fillId="2" borderId="74" xfId="0" applyFont="1" applyFill="1" applyBorder="1" applyAlignment="1" applyProtection="1">
      <alignment horizontal="left" vertical="center" wrapText="1"/>
      <protection locked="0"/>
    </xf>
    <xf numFmtId="0" fontId="15" fillId="2" borderId="79" xfId="0" applyFont="1" applyFill="1" applyBorder="1" applyAlignment="1" applyProtection="1">
      <alignment horizontal="left" vertical="center" wrapText="1"/>
      <protection locked="0"/>
    </xf>
    <xf numFmtId="0" fontId="0" fillId="9" borderId="20" xfId="0" applyFill="1" applyBorder="1" applyAlignment="1">
      <alignment horizontal="justify" vertical="center" wrapText="1"/>
    </xf>
    <xf numFmtId="0" fontId="0" fillId="9" borderId="5" xfId="0" applyFill="1" applyBorder="1" applyAlignment="1">
      <alignment horizontal="justify" vertical="center" wrapText="1"/>
    </xf>
    <xf numFmtId="0" fontId="0" fillId="9" borderId="11" xfId="0" applyFill="1" applyBorder="1" applyAlignment="1">
      <alignment horizontal="justify" vertical="center" wrapText="1"/>
    </xf>
    <xf numFmtId="0" fontId="0" fillId="2" borderId="20" xfId="0" applyFill="1" applyBorder="1" applyAlignment="1" applyProtection="1">
      <alignment horizontal="justify" vertical="center" wrapText="1"/>
      <protection locked="0"/>
    </xf>
    <xf numFmtId="0" fontId="0" fillId="2" borderId="5" xfId="0" applyFill="1" applyBorder="1" applyAlignment="1" applyProtection="1">
      <alignment horizontal="justify" vertical="center" wrapText="1"/>
      <protection locked="0"/>
    </xf>
    <xf numFmtId="0" fontId="0" fillId="2" borderId="11" xfId="0" applyFill="1" applyBorder="1" applyAlignment="1" applyProtection="1">
      <alignment horizontal="justify" vertical="center" wrapText="1"/>
      <protection locked="0"/>
    </xf>
    <xf numFmtId="0" fontId="0" fillId="0" borderId="20" xfId="0" applyBorder="1" applyAlignment="1" applyProtection="1">
      <alignment horizontal="justify" vertical="center" wrapText="1"/>
      <protection locked="0"/>
    </xf>
    <xf numFmtId="0" fontId="0" fillId="0" borderId="5" xfId="0" applyBorder="1" applyAlignment="1" applyProtection="1">
      <alignment horizontal="justify" vertical="center" wrapText="1"/>
      <protection locked="0"/>
    </xf>
    <xf numFmtId="0" fontId="0" fillId="0" borderId="11" xfId="0" applyBorder="1" applyAlignment="1" applyProtection="1">
      <alignment horizontal="justify" vertical="center" wrapText="1"/>
      <protection locked="0"/>
    </xf>
    <xf numFmtId="0" fontId="3" fillId="0" borderId="43" xfId="0" applyFont="1" applyBorder="1" applyAlignment="1" applyProtection="1">
      <alignment horizontal="left" vertical="center" wrapText="1"/>
      <protection locked="0" hidden="1"/>
    </xf>
    <xf numFmtId="0" fontId="94" fillId="28" borderId="77" xfId="0" applyFont="1" applyFill="1" applyBorder="1" applyAlignment="1">
      <alignment horizontal="center" vertical="top" wrapText="1"/>
    </xf>
    <xf numFmtId="0" fontId="94" fillId="28" borderId="85" xfId="0" applyFont="1" applyFill="1" applyBorder="1" applyAlignment="1">
      <alignment horizontal="center" vertical="top" wrapText="1"/>
    </xf>
    <xf numFmtId="0" fontId="94" fillId="28" borderId="79" xfId="0" applyFont="1" applyFill="1" applyBorder="1" applyAlignment="1">
      <alignment horizontal="left" vertical="top" wrapText="1"/>
    </xf>
    <xf numFmtId="0" fontId="66" fillId="0" borderId="87" xfId="0" applyFont="1" applyBorder="1" applyAlignment="1">
      <alignment horizontal="left" vertical="center" wrapText="1"/>
    </xf>
    <xf numFmtId="0" fontId="94" fillId="28" borderId="81" xfId="0" applyFont="1" applyFill="1" applyBorder="1" applyAlignment="1">
      <alignment horizontal="center" vertical="top" wrapText="1"/>
    </xf>
    <xf numFmtId="0" fontId="94" fillId="28" borderId="46" xfId="0" applyFont="1" applyFill="1" applyBorder="1" applyAlignment="1">
      <alignment horizontal="center" vertical="top" wrapText="1"/>
    </xf>
    <xf numFmtId="0" fontId="94" fillId="28" borderId="81" xfId="0" applyFont="1" applyFill="1" applyBorder="1" applyAlignment="1">
      <alignment horizontal="left" vertical="top" wrapText="1"/>
    </xf>
    <xf numFmtId="0" fontId="66" fillId="0" borderId="85" xfId="0" applyFont="1" applyBorder="1" applyAlignment="1">
      <alignment horizontal="left" vertical="center" wrapText="1"/>
    </xf>
    <xf numFmtId="0" fontId="94" fillId="28" borderId="77" xfId="0" applyFont="1" applyFill="1" applyBorder="1" applyAlignment="1">
      <alignment vertical="top" wrapText="1"/>
    </xf>
    <xf numFmtId="0" fontId="94" fillId="28" borderId="81" xfId="0" applyFont="1" applyFill="1" applyBorder="1" applyAlignment="1">
      <alignment vertical="top" wrapText="1"/>
    </xf>
    <xf numFmtId="0" fontId="94" fillId="28" borderId="85" xfId="0" applyFont="1" applyFill="1" applyBorder="1" applyAlignment="1">
      <alignment horizontal="left" vertical="top" wrapText="1"/>
    </xf>
    <xf numFmtId="0" fontId="94" fillId="28" borderId="46" xfId="0" applyFont="1" applyFill="1" applyBorder="1" applyAlignment="1">
      <alignment horizontal="left" vertical="top" wrapText="1"/>
    </xf>
    <xf numFmtId="0" fontId="66" fillId="0" borderId="11" xfId="0" applyFont="1" applyBorder="1" applyAlignment="1">
      <alignment horizontal="center" vertical="center" wrapText="1"/>
    </xf>
    <xf numFmtId="0" fontId="66" fillId="0" borderId="40" xfId="0" applyFont="1" applyBorder="1" applyAlignment="1">
      <alignment vertical="center" wrapText="1"/>
    </xf>
    <xf numFmtId="0" fontId="66" fillId="0" borderId="11" xfId="0" applyFont="1" applyBorder="1" applyAlignment="1">
      <alignment horizontal="left" vertical="center" wrapText="1"/>
    </xf>
    <xf numFmtId="0" fontId="66" fillId="0" borderId="40" xfId="0" applyFont="1" applyBorder="1" applyAlignment="1">
      <alignment horizontal="left" vertical="center" wrapText="1"/>
    </xf>
    <xf numFmtId="0" fontId="66" fillId="0" borderId="16" xfId="0" applyFont="1" applyBorder="1" applyAlignment="1">
      <alignment horizontal="center" vertical="center" wrapText="1"/>
    </xf>
    <xf numFmtId="0" fontId="66" fillId="0" borderId="16" xfId="0" applyFont="1" applyBorder="1" applyAlignment="1">
      <alignment horizontal="left" vertical="center" wrapText="1"/>
    </xf>
    <xf numFmtId="0" fontId="66" fillId="0" borderId="5" xfId="0" applyFont="1" applyBorder="1" applyAlignment="1">
      <alignment horizontal="center" vertical="center" wrapText="1"/>
    </xf>
    <xf numFmtId="0" fontId="95" fillId="0" borderId="7" xfId="0" applyFont="1" applyBorder="1" applyAlignment="1">
      <alignment horizontal="center" vertical="center" wrapText="1"/>
    </xf>
    <xf numFmtId="0" fontId="95" fillId="0" borderId="5" xfId="0" applyFont="1" applyBorder="1" applyAlignment="1">
      <alignment horizontal="center" vertical="center" wrapText="1"/>
    </xf>
    <xf numFmtId="0" fontId="95" fillId="0" borderId="19" xfId="0" applyFont="1" applyBorder="1" applyAlignment="1">
      <alignment horizontal="center" vertical="center" wrapText="1"/>
    </xf>
    <xf numFmtId="0" fontId="95" fillId="0" borderId="17" xfId="0" applyFont="1" applyBorder="1" applyAlignment="1">
      <alignment horizontal="center" vertical="center" wrapText="1"/>
    </xf>
    <xf numFmtId="0" fontId="66" fillId="0" borderId="19" xfId="0" applyFont="1" applyBorder="1" applyAlignment="1">
      <alignment horizontal="center" vertical="center" wrapText="1"/>
    </xf>
    <xf numFmtId="0" fontId="66" fillId="0" borderId="17" xfId="0" applyFont="1" applyBorder="1" applyAlignment="1">
      <alignment horizontal="center" vertical="center" wrapText="1"/>
    </xf>
    <xf numFmtId="0" fontId="66" fillId="0" borderId="7" xfId="0" applyFont="1" applyBorder="1" applyAlignment="1">
      <alignment horizontal="center" vertical="center" wrapText="1"/>
    </xf>
    <xf numFmtId="0" fontId="66" fillId="0" borderId="11" xfId="0" applyFont="1" applyBorder="1" applyAlignment="1">
      <alignment vertical="center" wrapText="1"/>
    </xf>
    <xf numFmtId="0" fontId="66" fillId="0" borderId="16" xfId="0" applyFont="1" applyBorder="1" applyAlignment="1">
      <alignment vertical="center" wrapText="1"/>
    </xf>
    <xf numFmtId="0" fontId="66" fillId="0" borderId="40" xfId="0" applyFont="1" applyBorder="1" applyAlignment="1">
      <alignment horizontal="center" vertical="center" wrapText="1"/>
    </xf>
    <xf numFmtId="0" fontId="95" fillId="0" borderId="40" xfId="0" applyFont="1" applyBorder="1" applyAlignment="1">
      <alignment vertical="center" wrapText="1"/>
    </xf>
    <xf numFmtId="0" fontId="95" fillId="0" borderId="11" xfId="0" applyFont="1" applyBorder="1" applyAlignment="1">
      <alignment vertical="center" wrapText="1"/>
    </xf>
    <xf numFmtId="0" fontId="95" fillId="0" borderId="16" xfId="0" applyFont="1" applyBorder="1" applyAlignment="1">
      <alignment vertical="center" wrapText="1"/>
    </xf>
    <xf numFmtId="0" fontId="3" fillId="0" borderId="10" xfId="0" applyFont="1" applyBorder="1" applyAlignment="1">
      <alignment horizontal="justify" vertical="center" wrapText="1"/>
    </xf>
    <xf numFmtId="0" fontId="11" fillId="28" borderId="10" xfId="0" applyFont="1" applyFill="1" applyBorder="1" applyAlignment="1">
      <alignment horizontal="justify" vertical="center" wrapText="1"/>
    </xf>
    <xf numFmtId="0" fontId="11" fillId="0" borderId="10" xfId="0" applyFont="1" applyBorder="1" applyAlignment="1">
      <alignment horizontal="justify" vertical="center" wrapText="1"/>
    </xf>
    <xf numFmtId="0" fontId="75" fillId="0" borderId="0" xfId="0" applyFont="1" applyAlignment="1">
      <alignment horizontal="center" vertical="center"/>
    </xf>
    <xf numFmtId="0" fontId="49" fillId="0" borderId="10" xfId="0" applyFont="1" applyBorder="1" applyAlignment="1">
      <alignment horizontal="center" vertical="center" wrapText="1"/>
    </xf>
    <xf numFmtId="0" fontId="49" fillId="0" borderId="10" xfId="0" applyFont="1" applyBorder="1" applyAlignment="1">
      <alignment horizontal="center" vertical="center"/>
    </xf>
    <xf numFmtId="0" fontId="3" fillId="31" borderId="12" xfId="0" applyFont="1" applyFill="1" applyBorder="1" applyAlignment="1" applyProtection="1">
      <alignment horizontal="center" vertical="center" wrapText="1"/>
      <protection locked="0"/>
    </xf>
    <xf numFmtId="166" fontId="3" fillId="31" borderId="12" xfId="0" applyNumberFormat="1" applyFont="1" applyFill="1" applyBorder="1" applyAlignment="1" applyProtection="1">
      <alignment vertical="center" wrapText="1"/>
      <protection locked="0"/>
    </xf>
    <xf numFmtId="0" fontId="3" fillId="31" borderId="12" xfId="0" applyFont="1" applyFill="1" applyBorder="1" applyAlignment="1" applyProtection="1">
      <alignment vertical="center" wrapText="1"/>
      <protection locked="0"/>
    </xf>
    <xf numFmtId="0" fontId="3" fillId="31" borderId="12" xfId="0" applyFont="1" applyFill="1" applyBorder="1" applyAlignment="1" applyProtection="1">
      <alignment horizontal="left" vertical="center" wrapText="1"/>
      <protection locked="0"/>
    </xf>
    <xf numFmtId="0" fontId="3" fillId="31" borderId="11" xfId="0" applyFont="1" applyFill="1" applyBorder="1" applyAlignment="1" applyProtection="1">
      <alignment horizontal="center" vertical="center" wrapText="1"/>
      <protection locked="0"/>
    </xf>
    <xf numFmtId="166" fontId="3" fillId="31" borderId="11" xfId="0" applyNumberFormat="1" applyFont="1" applyFill="1" applyBorder="1" applyAlignment="1" applyProtection="1">
      <alignment vertical="center" wrapText="1"/>
      <protection locked="0"/>
    </xf>
    <xf numFmtId="0" fontId="3" fillId="31" borderId="11" xfId="0" applyFont="1" applyFill="1" applyBorder="1" applyAlignment="1" applyProtection="1">
      <alignment vertical="center" wrapText="1"/>
      <protection locked="0"/>
    </xf>
    <xf numFmtId="0" fontId="3" fillId="31" borderId="11" xfId="0" applyFont="1" applyFill="1" applyBorder="1" applyAlignment="1" applyProtection="1">
      <alignment horizontal="left" vertical="center" wrapText="1"/>
      <protection locked="0"/>
    </xf>
    <xf numFmtId="0" fontId="41" fillId="32" borderId="10" xfId="0" applyFont="1" applyFill="1" applyBorder="1" applyAlignment="1">
      <alignment horizontal="center" vertical="center"/>
    </xf>
    <xf numFmtId="0" fontId="25" fillId="32" borderId="10" xfId="0" applyFont="1" applyFill="1" applyBorder="1" applyAlignment="1">
      <alignment horizontal="center" vertical="center"/>
    </xf>
    <xf numFmtId="0" fontId="2" fillId="10" borderId="1" xfId="0" applyFont="1" applyFill="1" applyBorder="1" applyAlignment="1">
      <alignment horizontal="center" vertical="center" wrapText="1"/>
    </xf>
    <xf numFmtId="0" fontId="2" fillId="10" borderId="2" xfId="0" applyFont="1" applyFill="1" applyBorder="1" applyAlignment="1">
      <alignment vertical="center" wrapText="1"/>
    </xf>
    <xf numFmtId="0" fontId="2" fillId="10" borderId="2" xfId="0" applyFont="1" applyFill="1" applyBorder="1" applyAlignment="1">
      <alignment horizontal="center" vertical="center" wrapText="1"/>
    </xf>
    <xf numFmtId="0" fontId="2" fillId="2" borderId="0" xfId="0" applyFont="1" applyFill="1" applyAlignment="1">
      <alignment horizontal="center" vertical="center" wrapText="1"/>
    </xf>
    <xf numFmtId="0" fontId="23" fillId="9" borderId="10" xfId="0" applyFont="1" applyFill="1" applyBorder="1" applyAlignment="1">
      <alignment horizontal="center" vertical="center" wrapText="1"/>
    </xf>
    <xf numFmtId="165" fontId="2" fillId="8" borderId="40" xfId="0" applyNumberFormat="1" applyFont="1" applyFill="1" applyBorder="1" applyAlignment="1">
      <alignment horizontal="center" vertical="center" wrapText="1"/>
    </xf>
    <xf numFmtId="165" fontId="2" fillId="8" borderId="11" xfId="0" applyNumberFormat="1" applyFont="1" applyFill="1" applyBorder="1" applyAlignment="1">
      <alignment horizontal="center" vertical="center" wrapText="1"/>
    </xf>
    <xf numFmtId="165" fontId="2" fillId="8" borderId="7" xfId="0" applyNumberFormat="1" applyFont="1" applyFill="1" applyBorder="1" applyAlignment="1">
      <alignment horizontal="center" vertical="center" wrapText="1"/>
    </xf>
    <xf numFmtId="165" fontId="2" fillId="8" borderId="13" xfId="0" applyNumberFormat="1" applyFont="1" applyFill="1" applyBorder="1" applyAlignment="1">
      <alignment horizontal="center" vertical="center" wrapText="1"/>
    </xf>
    <xf numFmtId="165" fontId="2" fillId="8" borderId="14" xfId="0" applyNumberFormat="1" applyFont="1" applyFill="1" applyBorder="1" applyAlignment="1">
      <alignment horizontal="center" vertical="center" wrapText="1"/>
    </xf>
    <xf numFmtId="165" fontId="2" fillId="8" borderId="12" xfId="0" applyNumberFormat="1" applyFont="1" applyFill="1" applyBorder="1" applyAlignment="1">
      <alignment horizontal="center" vertical="center" wrapText="1"/>
    </xf>
    <xf numFmtId="165" fontId="2" fillId="8" borderId="9" xfId="0" applyNumberFormat="1" applyFont="1" applyFill="1" applyBorder="1" applyAlignment="1">
      <alignment horizontal="center" vertical="center" wrapText="1"/>
    </xf>
    <xf numFmtId="165" fontId="2" fillId="8" borderId="39" xfId="0" applyNumberFormat="1" applyFont="1" applyFill="1" applyBorder="1" applyAlignment="1">
      <alignment horizontal="center" vertical="center" wrapText="1"/>
    </xf>
    <xf numFmtId="165" fontId="2" fillId="8" borderId="40" xfId="0" applyNumberFormat="1" applyFont="1" applyFill="1" applyBorder="1" applyAlignment="1" applyProtection="1">
      <alignment horizontal="center" vertical="center" wrapText="1"/>
      <protection hidden="1"/>
    </xf>
    <xf numFmtId="165" fontId="2" fillId="8" borderId="11" xfId="0" applyNumberFormat="1" applyFont="1" applyFill="1" applyBorder="1" applyAlignment="1" applyProtection="1">
      <alignment horizontal="center" vertical="center" wrapText="1"/>
      <protection hidden="1"/>
    </xf>
    <xf numFmtId="165" fontId="2" fillId="8" borderId="39" xfId="0" applyNumberFormat="1" applyFont="1" applyFill="1" applyBorder="1" applyAlignment="1" applyProtection="1">
      <alignment horizontal="center" vertical="center" wrapText="1"/>
      <protection hidden="1"/>
    </xf>
    <xf numFmtId="0" fontId="2" fillId="10" borderId="1" xfId="0" applyFont="1" applyFill="1" applyBorder="1" applyAlignment="1" applyProtection="1">
      <alignment horizontal="center" vertical="center" wrapText="1"/>
      <protection hidden="1"/>
    </xf>
    <xf numFmtId="0" fontId="2" fillId="10" borderId="2" xfId="0" applyFont="1" applyFill="1" applyBorder="1" applyAlignment="1" applyProtection="1">
      <alignment horizontal="center" vertical="center" wrapText="1"/>
      <protection hidden="1"/>
    </xf>
    <xf numFmtId="0" fontId="2" fillId="10" borderId="3" xfId="0" applyFont="1" applyFill="1" applyBorder="1" applyAlignment="1" applyProtection="1">
      <alignment horizontal="center" vertical="center" wrapText="1"/>
      <protection hidden="1"/>
    </xf>
    <xf numFmtId="0" fontId="3" fillId="0" borderId="0" xfId="0" applyFont="1" applyProtection="1">
      <protection hidden="1"/>
    </xf>
    <xf numFmtId="0" fontId="3" fillId="0" borderId="10" xfId="0" applyFont="1" applyBorder="1" applyAlignment="1">
      <alignment horizontal="justify" vertical="top" wrapText="1"/>
    </xf>
    <xf numFmtId="0" fontId="2" fillId="0" borderId="10" xfId="0" applyFont="1" applyBorder="1" applyAlignment="1">
      <alignment horizontal="left" vertical="center" wrapText="1"/>
    </xf>
    <xf numFmtId="0" fontId="63" fillId="6" borderId="0" xfId="0" applyFont="1" applyFill="1" applyAlignment="1" applyProtection="1">
      <alignment horizontal="left" vertical="center" wrapText="1"/>
      <protection locked="0"/>
    </xf>
    <xf numFmtId="0" fontId="50" fillId="23" borderId="5" xfId="0" applyFont="1" applyFill="1" applyBorder="1" applyAlignment="1">
      <alignment horizontal="center" vertical="center" wrapText="1"/>
    </xf>
    <xf numFmtId="0" fontId="50" fillId="23" borderId="7" xfId="0" applyFont="1" applyFill="1" applyBorder="1" applyAlignment="1">
      <alignment horizontal="center" vertical="center" wrapText="1"/>
    </xf>
    <xf numFmtId="0" fontId="22" fillId="2" borderId="5" xfId="0" applyFont="1" applyFill="1" applyBorder="1" applyAlignment="1" applyProtection="1">
      <alignment horizontal="center" vertical="center" wrapText="1"/>
      <protection locked="0"/>
    </xf>
    <xf numFmtId="0" fontId="22" fillId="2" borderId="7" xfId="0" applyFont="1" applyFill="1" applyBorder="1" applyAlignment="1" applyProtection="1">
      <alignment horizontal="center" vertical="center" wrapText="1"/>
      <protection locked="0"/>
    </xf>
    <xf numFmtId="0" fontId="22" fillId="2" borderId="20" xfId="0" applyFont="1" applyFill="1" applyBorder="1" applyAlignment="1" applyProtection="1">
      <alignment horizontal="left" vertical="center" wrapText="1"/>
      <protection locked="0"/>
    </xf>
    <xf numFmtId="0" fontId="22" fillId="2" borderId="21" xfId="0" applyFont="1" applyFill="1" applyBorder="1" applyAlignment="1" applyProtection="1">
      <alignment horizontal="left" vertical="center" wrapText="1"/>
      <protection locked="0"/>
    </xf>
    <xf numFmtId="0" fontId="22" fillId="2" borderId="22" xfId="0" applyFont="1" applyFill="1" applyBorder="1" applyAlignment="1" applyProtection="1">
      <alignment horizontal="left" vertical="center" wrapText="1"/>
      <protection locked="0"/>
    </xf>
    <xf numFmtId="0" fontId="25" fillId="9" borderId="16" xfId="0" applyFont="1" applyFill="1" applyBorder="1" applyAlignment="1">
      <alignment horizontal="center" vertical="center" wrapText="1"/>
    </xf>
    <xf numFmtId="0" fontId="25" fillId="9" borderId="66" xfId="0" applyFont="1" applyFill="1" applyBorder="1" applyAlignment="1">
      <alignment horizontal="center" vertical="center" wrapText="1"/>
    </xf>
    <xf numFmtId="0" fontId="25" fillId="9" borderId="40" xfId="0" applyFont="1" applyFill="1" applyBorder="1" applyAlignment="1">
      <alignment horizontal="center" vertical="center" wrapText="1"/>
    </xf>
    <xf numFmtId="0" fontId="22" fillId="2" borderId="66" xfId="0" applyFont="1" applyFill="1" applyBorder="1" applyAlignment="1" applyProtection="1">
      <alignment horizontal="left" vertical="center" wrapText="1"/>
      <protection locked="0"/>
    </xf>
    <xf numFmtId="0" fontId="49" fillId="9" borderId="11" xfId="0" applyFont="1" applyFill="1" applyBorder="1" applyAlignment="1">
      <alignment horizontal="justify" vertical="top" wrapText="1"/>
    </xf>
    <xf numFmtId="0" fontId="22" fillId="2" borderId="16" xfId="0" applyFont="1" applyFill="1" applyBorder="1" applyAlignment="1" applyProtection="1">
      <alignment horizontal="left" vertical="center" wrapText="1"/>
      <protection locked="0"/>
    </xf>
    <xf numFmtId="0" fontId="22" fillId="9" borderId="5" xfId="0" applyFont="1" applyFill="1" applyBorder="1" applyAlignment="1">
      <alignment horizontal="justify" vertical="top" wrapText="1"/>
    </xf>
    <xf numFmtId="0" fontId="22" fillId="9" borderId="6" xfId="0" applyFont="1" applyFill="1" applyBorder="1" applyAlignment="1">
      <alignment horizontal="justify" vertical="top" wrapText="1"/>
    </xf>
    <xf numFmtId="0" fontId="22" fillId="9" borderId="7" xfId="0" applyFont="1" applyFill="1" applyBorder="1" applyAlignment="1">
      <alignment horizontal="justify" vertical="top" wrapText="1"/>
    </xf>
    <xf numFmtId="0" fontId="51" fillId="13" borderId="5" xfId="0" applyFont="1" applyFill="1" applyBorder="1" applyAlignment="1" applyProtection="1">
      <alignment horizontal="left" vertical="center" wrapText="1"/>
      <protection locked="0"/>
    </xf>
    <xf numFmtId="0" fontId="51" fillId="13" borderId="7" xfId="0" applyFont="1" applyFill="1" applyBorder="1" applyAlignment="1" applyProtection="1">
      <alignment horizontal="left" vertical="center" wrapText="1"/>
      <protection locked="0"/>
    </xf>
    <xf numFmtId="0" fontId="27" fillId="6" borderId="11" xfId="0" applyFont="1" applyFill="1" applyBorder="1" applyAlignment="1">
      <alignment horizontal="center" vertical="top" wrapText="1"/>
    </xf>
    <xf numFmtId="0" fontId="25" fillId="9" borderId="16" xfId="0" applyFont="1" applyFill="1" applyBorder="1" applyAlignment="1">
      <alignment horizontal="left" vertical="center" wrapText="1"/>
    </xf>
    <xf numFmtId="0" fontId="25" fillId="9" borderId="66" xfId="0" applyFont="1" applyFill="1" applyBorder="1" applyAlignment="1">
      <alignment horizontal="left" vertical="center" wrapText="1"/>
    </xf>
    <xf numFmtId="0" fontId="25" fillId="9" borderId="40" xfId="0" applyFont="1" applyFill="1" applyBorder="1" applyAlignment="1">
      <alignment horizontal="left" vertical="center" wrapText="1"/>
    </xf>
    <xf numFmtId="0" fontId="66" fillId="2" borderId="5" xfId="0" applyFont="1" applyFill="1" applyBorder="1" applyAlignment="1" applyProtection="1">
      <alignment horizontal="left" vertical="center" wrapText="1"/>
      <protection locked="0"/>
    </xf>
    <xf numFmtId="0" fontId="66" fillId="2" borderId="7" xfId="0" applyFont="1" applyFill="1" applyBorder="1" applyAlignment="1" applyProtection="1">
      <alignment horizontal="left" vertical="center" wrapText="1"/>
      <protection locked="0"/>
    </xf>
    <xf numFmtId="0" fontId="0" fillId="9" borderId="66" xfId="0" applyFill="1" applyBorder="1" applyAlignment="1">
      <alignment horizontal="justify" vertical="center" wrapText="1"/>
    </xf>
    <xf numFmtId="0" fontId="0" fillId="9" borderId="40" xfId="0" applyFill="1" applyBorder="1" applyAlignment="1">
      <alignment horizontal="justify" vertical="center" wrapText="1"/>
    </xf>
    <xf numFmtId="0" fontId="0" fillId="9" borderId="16" xfId="0" applyFill="1" applyBorder="1" applyAlignment="1">
      <alignment horizontal="justify" vertical="center" wrapText="1"/>
    </xf>
    <xf numFmtId="0" fontId="0" fillId="9" borderId="17" xfId="0" applyFill="1" applyBorder="1" applyAlignment="1">
      <alignment horizontal="left" vertical="center" wrapText="1"/>
    </xf>
    <xf numFmtId="0" fontId="0" fillId="9" borderId="18" xfId="0" applyFill="1" applyBorder="1" applyAlignment="1">
      <alignment horizontal="left" vertical="center" wrapText="1"/>
    </xf>
    <xf numFmtId="0" fontId="0" fillId="9" borderId="19" xfId="0" applyFill="1" applyBorder="1" applyAlignment="1">
      <alignment horizontal="left" vertical="center" wrapText="1"/>
    </xf>
    <xf numFmtId="0" fontId="0" fillId="9" borderId="64" xfId="0" applyFill="1" applyBorder="1" applyAlignment="1">
      <alignment horizontal="center" vertical="center" wrapText="1"/>
    </xf>
    <xf numFmtId="0" fontId="0" fillId="9" borderId="0" xfId="0" applyFill="1" applyAlignment="1">
      <alignment horizontal="center" vertical="center" wrapText="1"/>
    </xf>
    <xf numFmtId="0" fontId="0" fillId="9" borderId="65" xfId="0" applyFill="1" applyBorder="1" applyAlignment="1">
      <alignment horizontal="center" vertical="center" wrapText="1"/>
    </xf>
    <xf numFmtId="0" fontId="0" fillId="9" borderId="20" xfId="0" applyFill="1" applyBorder="1" applyAlignment="1">
      <alignment horizontal="center" vertical="center" wrapText="1"/>
    </xf>
    <xf numFmtId="0" fontId="0" fillId="9" borderId="21" xfId="0" applyFill="1" applyBorder="1" applyAlignment="1">
      <alignment horizontal="center" vertical="center" wrapText="1"/>
    </xf>
    <xf numFmtId="0" fontId="0" fillId="9" borderId="22" xfId="0" applyFill="1" applyBorder="1" applyAlignment="1">
      <alignment horizontal="center" vertical="center" wrapText="1"/>
    </xf>
    <xf numFmtId="0" fontId="0" fillId="9" borderId="17" xfId="0" applyFill="1" applyBorder="1" applyAlignment="1">
      <alignment horizontal="center" vertical="center" wrapText="1"/>
    </xf>
    <xf numFmtId="0" fontId="0" fillId="9" borderId="18" xfId="0" applyFill="1" applyBorder="1" applyAlignment="1">
      <alignment horizontal="center" vertical="center" wrapText="1"/>
    </xf>
    <xf numFmtId="0" fontId="0" fillId="9" borderId="19" xfId="0" applyFill="1" applyBorder="1" applyAlignment="1">
      <alignment horizontal="center" vertical="center" wrapText="1"/>
    </xf>
    <xf numFmtId="0" fontId="0" fillId="9" borderId="40" xfId="0" applyFill="1" applyBorder="1" applyAlignment="1">
      <alignment horizontal="left" vertical="center" wrapText="1"/>
    </xf>
    <xf numFmtId="0" fontId="47" fillId="9" borderId="5" xfId="0" applyFont="1" applyFill="1" applyBorder="1" applyAlignment="1">
      <alignment horizontal="justify" vertical="top" wrapText="1"/>
    </xf>
    <xf numFmtId="0" fontId="47" fillId="9" borderId="6" xfId="0" applyFont="1" applyFill="1" applyBorder="1" applyAlignment="1">
      <alignment horizontal="justify" vertical="top" wrapText="1"/>
    </xf>
    <xf numFmtId="0" fontId="47" fillId="9" borderId="7" xfId="0" applyFont="1" applyFill="1" applyBorder="1" applyAlignment="1">
      <alignment horizontal="justify" vertical="top" wrapText="1"/>
    </xf>
    <xf numFmtId="0" fontId="58" fillId="0" borderId="5" xfId="0" applyFont="1" applyBorder="1" applyAlignment="1">
      <alignment horizontal="left" vertical="top"/>
    </xf>
    <xf numFmtId="0" fontId="58" fillId="0" borderId="6" xfId="0" applyFont="1" applyBorder="1" applyAlignment="1">
      <alignment horizontal="left" vertical="top"/>
    </xf>
    <xf numFmtId="0" fontId="58" fillId="0" borderId="7" xfId="0" applyFont="1" applyBorder="1" applyAlignment="1">
      <alignment horizontal="left" vertical="top"/>
    </xf>
    <xf numFmtId="0" fontId="0" fillId="11" borderId="53" xfId="0" applyFill="1" applyBorder="1" applyAlignment="1">
      <alignment horizontal="left" vertical="top" wrapText="1"/>
    </xf>
    <xf numFmtId="0" fontId="0" fillId="11" borderId="82" xfId="0" applyFill="1" applyBorder="1" applyAlignment="1">
      <alignment horizontal="left" vertical="top" wrapText="1"/>
    </xf>
    <xf numFmtId="0" fontId="0" fillId="11" borderId="46" xfId="0" applyFill="1" applyBorder="1" applyAlignment="1">
      <alignment horizontal="left" vertical="top" wrapText="1"/>
    </xf>
    <xf numFmtId="0" fontId="0" fillId="11" borderId="51" xfId="0" applyFill="1" applyBorder="1" applyAlignment="1">
      <alignment horizontal="left" vertical="top" wrapText="1"/>
    </xf>
    <xf numFmtId="0" fontId="0" fillId="0" borderId="53" xfId="0" applyBorder="1" applyAlignment="1">
      <alignment horizontal="justify" vertical="top" wrapText="1"/>
    </xf>
    <xf numFmtId="0" fontId="0" fillId="0" borderId="82" xfId="0" applyBorder="1" applyAlignment="1">
      <alignment horizontal="justify" vertical="top" wrapText="1"/>
    </xf>
    <xf numFmtId="0" fontId="0" fillId="0" borderId="46" xfId="0" applyBorder="1" applyAlignment="1">
      <alignment horizontal="justify" vertical="top" wrapText="1"/>
    </xf>
    <xf numFmtId="0" fontId="0" fillId="0" borderId="51" xfId="0" applyBorder="1" applyAlignment="1">
      <alignment horizontal="justify" vertical="top" wrapText="1"/>
    </xf>
    <xf numFmtId="0" fontId="58" fillId="9" borderId="5" xfId="0" applyFont="1" applyFill="1" applyBorder="1" applyAlignment="1">
      <alignment horizontal="left" vertical="center" wrapText="1"/>
    </xf>
    <xf numFmtId="0" fontId="58" fillId="9" borderId="6" xfId="0" applyFont="1" applyFill="1" applyBorder="1" applyAlignment="1">
      <alignment horizontal="left" vertical="center" wrapText="1"/>
    </xf>
    <xf numFmtId="0" fontId="58" fillId="9" borderId="7" xfId="0" applyFont="1" applyFill="1" applyBorder="1" applyAlignment="1">
      <alignment horizontal="left" vertical="center" wrapText="1"/>
    </xf>
    <xf numFmtId="0" fontId="22" fillId="2" borderId="11" xfId="0" applyFont="1" applyFill="1" applyBorder="1" applyAlignment="1" applyProtection="1">
      <alignment horizontal="justify" vertical="center" wrapText="1"/>
      <protection locked="0"/>
    </xf>
    <xf numFmtId="0" fontId="0" fillId="15" borderId="0" xfId="0" applyFill="1" applyAlignment="1">
      <alignment horizontal="left" vertical="center" wrapText="1"/>
    </xf>
    <xf numFmtId="0" fontId="57" fillId="0" borderId="11" xfId="0" applyFont="1" applyBorder="1" applyAlignment="1">
      <alignment horizontal="left" vertical="top" wrapText="1"/>
    </xf>
    <xf numFmtId="0" fontId="50" fillId="23" borderId="5" xfId="0" applyFont="1" applyFill="1" applyBorder="1" applyAlignment="1">
      <alignment horizontal="left" vertical="top" wrapText="1"/>
    </xf>
    <xf numFmtId="0" fontId="50" fillId="23" borderId="7" xfId="0" applyFont="1" applyFill="1" applyBorder="1" applyAlignment="1">
      <alignment horizontal="left" vertical="top" wrapText="1"/>
    </xf>
    <xf numFmtId="0" fontId="67" fillId="2" borderId="5" xfId="0" applyFont="1" applyFill="1" applyBorder="1" applyAlignment="1" applyProtection="1">
      <alignment horizontal="left" vertical="center" wrapText="1"/>
      <protection locked="0"/>
    </xf>
    <xf numFmtId="0" fontId="67" fillId="2" borderId="7" xfId="0" applyFont="1" applyFill="1" applyBorder="1" applyAlignment="1" applyProtection="1">
      <alignment horizontal="left" vertical="center" wrapText="1"/>
      <protection locked="0"/>
    </xf>
    <xf numFmtId="0" fontId="22" fillId="9" borderId="20" xfId="0" applyFont="1" applyFill="1" applyBorder="1" applyAlignment="1">
      <alignment horizontal="justify" vertical="top" wrapText="1"/>
    </xf>
    <xf numFmtId="0" fontId="22" fillId="9" borderId="21" xfId="0" applyFont="1" applyFill="1" applyBorder="1" applyAlignment="1">
      <alignment horizontal="justify" vertical="top" wrapText="1"/>
    </xf>
    <xf numFmtId="0" fontId="22" fillId="9" borderId="22" xfId="0" applyFont="1" applyFill="1" applyBorder="1" applyAlignment="1">
      <alignment horizontal="justify" vertical="top" wrapText="1"/>
    </xf>
    <xf numFmtId="0" fontId="22" fillId="9" borderId="17" xfId="0" applyFont="1" applyFill="1" applyBorder="1" applyAlignment="1">
      <alignment horizontal="justify" vertical="center" wrapText="1"/>
    </xf>
    <xf numFmtId="0" fontId="22" fillId="9" borderId="18" xfId="0" applyFont="1" applyFill="1" applyBorder="1" applyAlignment="1">
      <alignment horizontal="justify" vertical="center" wrapText="1"/>
    </xf>
    <xf numFmtId="0" fontId="22" fillId="9" borderId="19" xfId="0" applyFont="1" applyFill="1" applyBorder="1" applyAlignment="1">
      <alignment horizontal="justify" vertical="center" wrapText="1"/>
    </xf>
    <xf numFmtId="0" fontId="22" fillId="9" borderId="64" xfId="0" applyFont="1" applyFill="1" applyBorder="1" applyAlignment="1">
      <alignment horizontal="justify" vertical="center" wrapText="1"/>
    </xf>
    <xf numFmtId="0" fontId="22" fillId="9" borderId="0" xfId="0" applyFont="1" applyFill="1" applyAlignment="1">
      <alignment horizontal="justify" vertical="center" wrapText="1"/>
    </xf>
    <xf numFmtId="0" fontId="22" fillId="9" borderId="65" xfId="0" applyFont="1" applyFill="1" applyBorder="1" applyAlignment="1">
      <alignment horizontal="justify" vertical="center" wrapText="1"/>
    </xf>
    <xf numFmtId="0" fontId="3" fillId="2" borderId="5" xfId="0" applyFont="1" applyFill="1" applyBorder="1" applyAlignment="1" applyProtection="1">
      <alignment horizontal="justify" vertical="center" wrapText="1"/>
      <protection locked="0"/>
    </xf>
    <xf numFmtId="0" fontId="3" fillId="2" borderId="6" xfId="0" applyFont="1" applyFill="1" applyBorder="1" applyAlignment="1" applyProtection="1">
      <alignment horizontal="justify" vertical="center" wrapText="1"/>
      <protection locked="0"/>
    </xf>
    <xf numFmtId="0" fontId="41" fillId="32" borderId="10" xfId="0" applyFont="1" applyFill="1" applyBorder="1" applyAlignment="1">
      <alignment horizontal="center" vertical="center"/>
    </xf>
    <xf numFmtId="0" fontId="25" fillId="9" borderId="5" xfId="0" applyFont="1" applyFill="1" applyBorder="1" applyAlignment="1">
      <alignment horizontal="left" vertical="top" wrapText="1"/>
    </xf>
    <xf numFmtId="0" fontId="25" fillId="9" borderId="7" xfId="0" applyFont="1" applyFill="1" applyBorder="1" applyAlignment="1">
      <alignment horizontal="left" vertical="top" wrapText="1"/>
    </xf>
    <xf numFmtId="0" fontId="41" fillId="0" borderId="5" xfId="0" applyFont="1" applyBorder="1" applyAlignment="1" applyProtection="1">
      <alignment horizontal="left" vertical="center" wrapText="1"/>
      <protection locked="0"/>
    </xf>
    <xf numFmtId="0" fontId="41" fillId="0" borderId="7" xfId="0" applyFont="1" applyBorder="1" applyAlignment="1" applyProtection="1">
      <alignment horizontal="left" vertical="center" wrapText="1"/>
      <protection locked="0"/>
    </xf>
    <xf numFmtId="0" fontId="41" fillId="0" borderId="5" xfId="0" applyFont="1" applyBorder="1" applyAlignment="1" applyProtection="1">
      <alignment horizontal="left" vertical="top" wrapText="1"/>
      <protection locked="0"/>
    </xf>
    <xf numFmtId="0" fontId="41" fillId="0" borderId="7" xfId="0" applyFont="1" applyBorder="1" applyAlignment="1" applyProtection="1">
      <alignment horizontal="left" vertical="top" wrapText="1"/>
      <protection locked="0"/>
    </xf>
    <xf numFmtId="0" fontId="22" fillId="9" borderId="17" xfId="0" applyFont="1" applyFill="1" applyBorder="1" applyAlignment="1">
      <alignment horizontal="justify" vertical="top" wrapText="1"/>
    </xf>
    <xf numFmtId="0" fontId="22" fillId="9" borderId="18" xfId="0" applyFont="1" applyFill="1" applyBorder="1" applyAlignment="1">
      <alignment horizontal="justify" vertical="top" wrapText="1"/>
    </xf>
    <xf numFmtId="0" fontId="22" fillId="9" borderId="19" xfId="0" applyFont="1" applyFill="1" applyBorder="1" applyAlignment="1">
      <alignment horizontal="justify" vertical="top" wrapText="1"/>
    </xf>
    <xf numFmtId="0" fontId="22" fillId="2" borderId="20" xfId="0" applyFont="1" applyFill="1" applyBorder="1" applyAlignment="1" applyProtection="1">
      <alignment horizontal="justify" vertical="top" wrapText="1"/>
      <protection locked="0"/>
    </xf>
    <xf numFmtId="0" fontId="22" fillId="2" borderId="21" xfId="0" applyFont="1" applyFill="1" applyBorder="1" applyAlignment="1" applyProtection="1">
      <alignment horizontal="justify" vertical="top" wrapText="1"/>
      <protection locked="0"/>
    </xf>
    <xf numFmtId="0" fontId="22" fillId="2" borderId="22" xfId="0" applyFont="1" applyFill="1" applyBorder="1" applyAlignment="1" applyProtection="1">
      <alignment horizontal="justify" vertical="top" wrapText="1"/>
      <protection locked="0"/>
    </xf>
    <xf numFmtId="0" fontId="53" fillId="0" borderId="64" xfId="0" applyFont="1" applyBorder="1" applyAlignment="1" applyProtection="1">
      <alignment horizontal="left" vertical="top" wrapText="1"/>
      <protection locked="0"/>
    </xf>
    <xf numFmtId="0" fontId="53" fillId="0" borderId="0" xfId="0" applyFont="1" applyAlignment="1" applyProtection="1">
      <alignment horizontal="left" vertical="top" wrapText="1"/>
      <protection locked="0"/>
    </xf>
    <xf numFmtId="0" fontId="53" fillId="0" borderId="65" xfId="0" applyFont="1" applyBorder="1" applyAlignment="1" applyProtection="1">
      <alignment horizontal="left" vertical="top" wrapText="1"/>
      <protection locked="0"/>
    </xf>
    <xf numFmtId="0" fontId="0" fillId="9" borderId="17" xfId="0" applyFill="1" applyBorder="1" applyAlignment="1">
      <alignment horizontal="justify" vertical="top" wrapText="1"/>
    </xf>
    <xf numFmtId="0" fontId="0" fillId="9" borderId="18" xfId="0" applyFill="1" applyBorder="1" applyAlignment="1">
      <alignment horizontal="justify" vertical="top" wrapText="1"/>
    </xf>
    <xf numFmtId="0" fontId="0" fillId="9" borderId="19" xfId="0" applyFill="1" applyBorder="1" applyAlignment="1">
      <alignment horizontal="justify" vertical="top" wrapText="1"/>
    </xf>
    <xf numFmtId="0" fontId="13" fillId="2" borderId="0" xfId="0" applyFont="1" applyFill="1" applyAlignment="1" applyProtection="1">
      <alignment horizontal="center" vertical="center" wrapText="1"/>
      <protection locked="0"/>
    </xf>
    <xf numFmtId="0" fontId="22" fillId="2" borderId="5" xfId="0" applyFont="1" applyFill="1" applyBorder="1" applyAlignment="1" applyProtection="1">
      <alignment horizontal="justify" vertical="top" wrapText="1"/>
      <protection locked="0"/>
    </xf>
    <xf numFmtId="0" fontId="22" fillId="2" borderId="6" xfId="0" applyFont="1" applyFill="1" applyBorder="1" applyAlignment="1" applyProtection="1">
      <alignment horizontal="justify" vertical="top" wrapText="1"/>
      <protection locked="0"/>
    </xf>
    <xf numFmtId="0" fontId="22" fillId="2" borderId="7" xfId="0" applyFont="1" applyFill="1" applyBorder="1" applyAlignment="1" applyProtection="1">
      <alignment horizontal="justify" vertical="top" wrapText="1"/>
      <protection locked="0"/>
    </xf>
    <xf numFmtId="0" fontId="0" fillId="2" borderId="5" xfId="0" applyFill="1" applyBorder="1" applyAlignment="1" applyProtection="1">
      <alignment horizontal="left" vertical="top" wrapText="1"/>
      <protection locked="0"/>
    </xf>
    <xf numFmtId="0" fontId="0" fillId="2" borderId="6" xfId="0" applyFill="1" applyBorder="1" applyAlignment="1" applyProtection="1">
      <alignment horizontal="left" vertical="top" wrapText="1"/>
      <protection locked="0"/>
    </xf>
    <xf numFmtId="0" fontId="0" fillId="2" borderId="6" xfId="0" applyFill="1" applyBorder="1" applyAlignment="1" applyProtection="1">
      <alignment horizontal="left" vertical="top"/>
      <protection locked="0"/>
    </xf>
    <xf numFmtId="0" fontId="0" fillId="2" borderId="7" xfId="0" applyFill="1" applyBorder="1" applyAlignment="1" applyProtection="1">
      <alignment horizontal="left" vertical="top"/>
      <protection locked="0"/>
    </xf>
    <xf numFmtId="0" fontId="0" fillId="9" borderId="20" xfId="0" applyFill="1" applyBorder="1" applyAlignment="1">
      <alignment horizontal="justify" vertical="top" wrapText="1"/>
    </xf>
    <xf numFmtId="0" fontId="0" fillId="9" borderId="21" xfId="0" applyFill="1" applyBorder="1" applyAlignment="1">
      <alignment horizontal="justify" vertical="top" wrapText="1"/>
    </xf>
    <xf numFmtId="0" fontId="0" fillId="9" borderId="22" xfId="0" applyFill="1" applyBorder="1" applyAlignment="1">
      <alignment horizontal="justify" vertical="top" wrapText="1"/>
    </xf>
    <xf numFmtId="0" fontId="19" fillId="9" borderId="5" xfId="0" applyFont="1" applyFill="1" applyBorder="1" applyAlignment="1">
      <alignment horizontal="left" vertical="center" wrapText="1"/>
    </xf>
    <xf numFmtId="0" fontId="19" fillId="9" borderId="6" xfId="0" applyFont="1" applyFill="1" applyBorder="1" applyAlignment="1">
      <alignment horizontal="left" vertical="center" wrapText="1"/>
    </xf>
    <xf numFmtId="0" fontId="19" fillId="9" borderId="7" xfId="0" applyFont="1" applyFill="1" applyBorder="1" applyAlignment="1">
      <alignment horizontal="left" vertical="center" wrapText="1"/>
    </xf>
    <xf numFmtId="0" fontId="22" fillId="9" borderId="17" xfId="0" applyFont="1" applyFill="1" applyBorder="1" applyAlignment="1">
      <alignment horizontal="left" vertical="top" wrapText="1"/>
    </xf>
    <xf numFmtId="0" fontId="22" fillId="9" borderId="18" xfId="0" applyFont="1" applyFill="1" applyBorder="1" applyAlignment="1">
      <alignment horizontal="left" vertical="top" wrapText="1"/>
    </xf>
    <xf numFmtId="0" fontId="22" fillId="9" borderId="19" xfId="0" applyFont="1" applyFill="1" applyBorder="1" applyAlignment="1">
      <alignment horizontal="left" vertical="top" wrapText="1"/>
    </xf>
    <xf numFmtId="0" fontId="22" fillId="9" borderId="64" xfId="0" applyFont="1" applyFill="1" applyBorder="1" applyAlignment="1">
      <alignment horizontal="justify" vertical="top" wrapText="1"/>
    </xf>
    <xf numFmtId="0" fontId="22" fillId="9" borderId="0" xfId="0" applyFont="1" applyFill="1" applyAlignment="1">
      <alignment horizontal="justify" vertical="top" wrapText="1"/>
    </xf>
    <xf numFmtId="0" fontId="22" fillId="9" borderId="65" xfId="0" applyFont="1" applyFill="1" applyBorder="1" applyAlignment="1">
      <alignment horizontal="justify" vertical="top" wrapText="1"/>
    </xf>
    <xf numFmtId="0" fontId="22" fillId="2" borderId="20" xfId="0" applyFont="1" applyFill="1" applyBorder="1" applyAlignment="1" applyProtection="1">
      <alignment horizontal="left" vertical="top" wrapText="1"/>
      <protection locked="0"/>
    </xf>
    <xf numFmtId="0" fontId="22" fillId="2" borderId="21" xfId="0" applyFont="1" applyFill="1" applyBorder="1" applyAlignment="1" applyProtection="1">
      <alignment horizontal="left" vertical="top" wrapText="1"/>
      <protection locked="0"/>
    </xf>
    <xf numFmtId="0" fontId="22" fillId="2" borderId="21" xfId="0" applyFont="1" applyFill="1" applyBorder="1" applyAlignment="1" applyProtection="1">
      <alignment horizontal="left" vertical="top"/>
      <protection locked="0"/>
    </xf>
    <xf numFmtId="0" fontId="22" fillId="2" borderId="22" xfId="0" applyFont="1" applyFill="1" applyBorder="1" applyAlignment="1" applyProtection="1">
      <alignment horizontal="left" vertical="top"/>
      <protection locked="0"/>
    </xf>
    <xf numFmtId="0" fontId="0" fillId="9" borderId="5" xfId="0" applyFill="1" applyBorder="1" applyAlignment="1">
      <alignment horizontal="left" vertical="top" wrapText="1"/>
    </xf>
    <xf numFmtId="0" fontId="0" fillId="9" borderId="6" xfId="0" applyFill="1" applyBorder="1" applyAlignment="1">
      <alignment horizontal="left" vertical="top" wrapText="1"/>
    </xf>
    <xf numFmtId="0" fontId="0" fillId="9" borderId="7" xfId="0" applyFill="1" applyBorder="1" applyAlignment="1">
      <alignment horizontal="left" vertical="top" wrapText="1"/>
    </xf>
    <xf numFmtId="0" fontId="0" fillId="2" borderId="20" xfId="0" applyFill="1" applyBorder="1" applyAlignment="1" applyProtection="1">
      <alignment horizontal="justify" vertical="top" wrapText="1"/>
      <protection locked="0"/>
    </xf>
    <xf numFmtId="0" fontId="0" fillId="2" borderId="21" xfId="0" applyFill="1" applyBorder="1" applyAlignment="1" applyProtection="1">
      <alignment horizontal="justify" vertical="top" wrapText="1"/>
      <protection locked="0"/>
    </xf>
    <xf numFmtId="0" fontId="0" fillId="2" borderId="21" xfId="0" applyFill="1" applyBorder="1" applyAlignment="1" applyProtection="1">
      <alignment horizontal="justify" vertical="top"/>
      <protection locked="0"/>
    </xf>
    <xf numFmtId="0" fontId="0" fillId="2" borderId="22" xfId="0" applyFill="1" applyBorder="1" applyAlignment="1" applyProtection="1">
      <alignment horizontal="justify" vertical="top"/>
      <protection locked="0"/>
    </xf>
    <xf numFmtId="0" fontId="0" fillId="0" borderId="81" xfId="0" applyBorder="1" applyAlignment="1">
      <alignment horizontal="center" vertical="center"/>
    </xf>
    <xf numFmtId="0" fontId="0" fillId="0" borderId="6" xfId="0" applyBorder="1" applyAlignment="1">
      <alignment horizontal="center" vertical="center"/>
    </xf>
    <xf numFmtId="0" fontId="0" fillId="0" borderId="82" xfId="0" applyBorder="1" applyAlignment="1">
      <alignment horizontal="center"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0" borderId="76" xfId="0" applyBorder="1" applyAlignment="1">
      <alignment horizontal="center" vertical="center"/>
    </xf>
    <xf numFmtId="0" fontId="0" fillId="0" borderId="77" xfId="0" applyBorder="1" applyAlignment="1">
      <alignment horizontal="center" vertical="center"/>
    </xf>
    <xf numFmtId="0" fontId="0" fillId="0" borderId="21" xfId="0" applyBorder="1" applyAlignment="1">
      <alignment horizontal="center" vertical="center"/>
    </xf>
    <xf numFmtId="0" fontId="0" fillId="0" borderId="89" xfId="0" applyBorder="1" applyAlignment="1">
      <alignment horizontal="center" vertical="center"/>
    </xf>
    <xf numFmtId="0" fontId="0" fillId="0" borderId="79" xfId="0" applyBorder="1" applyAlignment="1">
      <alignment horizontal="left" vertical="center"/>
    </xf>
    <xf numFmtId="0" fontId="0" fillId="0" borderId="80" xfId="0" applyBorder="1" applyAlignment="1">
      <alignment horizontal="left" vertical="center"/>
    </xf>
    <xf numFmtId="0" fontId="0" fillId="0" borderId="81" xfId="0" applyBorder="1" applyAlignment="1">
      <alignment horizontal="left" vertical="center"/>
    </xf>
    <xf numFmtId="0" fontId="0" fillId="0" borderId="82" xfId="0" applyBorder="1" applyAlignment="1">
      <alignment horizontal="left" vertical="center"/>
    </xf>
    <xf numFmtId="0" fontId="0" fillId="0" borderId="74" xfId="0" applyBorder="1" applyAlignment="1">
      <alignment horizontal="left" vertical="center"/>
    </xf>
    <xf numFmtId="0" fontId="0" fillId="0" borderId="76" xfId="0" applyBorder="1" applyAlignment="1">
      <alignment horizontal="left" vertical="center"/>
    </xf>
    <xf numFmtId="0" fontId="23" fillId="9" borderId="26" xfId="0" applyFont="1" applyFill="1" applyBorder="1" applyAlignment="1">
      <alignment horizontal="left" vertical="center" wrapText="1"/>
    </xf>
    <xf numFmtId="0" fontId="23" fillId="9" borderId="28" xfId="0" applyFont="1" applyFill="1" applyBorder="1" applyAlignment="1">
      <alignment horizontal="left" vertical="center" wrapText="1"/>
    </xf>
    <xf numFmtId="0" fontId="23" fillId="9" borderId="27" xfId="0" applyFont="1" applyFill="1" applyBorder="1" applyAlignment="1">
      <alignment horizontal="left" vertical="center" wrapText="1"/>
    </xf>
    <xf numFmtId="0" fontId="23" fillId="2" borderId="10" xfId="0" applyFont="1" applyFill="1" applyBorder="1" applyAlignment="1" applyProtection="1">
      <alignment horizontal="left" vertical="center" wrapText="1"/>
      <protection locked="0"/>
    </xf>
    <xf numFmtId="0" fontId="23" fillId="0" borderId="84" xfId="0" applyFont="1" applyBorder="1" applyAlignment="1">
      <alignment horizontal="center" vertical="center" wrapText="1"/>
    </xf>
    <xf numFmtId="0" fontId="23" fillId="0" borderId="78" xfId="0" applyFont="1" applyBorder="1" applyAlignment="1">
      <alignment horizontal="center" vertical="center" wrapText="1"/>
    </xf>
    <xf numFmtId="0" fontId="23" fillId="0" borderId="86" xfId="0" applyFont="1" applyBorder="1" applyAlignment="1">
      <alignment horizontal="center" vertical="center" wrapText="1"/>
    </xf>
    <xf numFmtId="0" fontId="23" fillId="9" borderId="10" xfId="0" applyFont="1" applyFill="1" applyBorder="1" applyAlignment="1">
      <alignment horizontal="left" vertical="center" wrapText="1"/>
    </xf>
    <xf numFmtId="0" fontId="39" fillId="28" borderId="26" xfId="0" applyFont="1" applyFill="1" applyBorder="1" applyAlignment="1">
      <alignment horizontal="left" vertical="center" wrapText="1"/>
    </xf>
    <xf numFmtId="0" fontId="39" fillId="28" borderId="28" xfId="0" applyFont="1" applyFill="1" applyBorder="1" applyAlignment="1">
      <alignment horizontal="left" vertical="center" wrapText="1"/>
    </xf>
    <xf numFmtId="0" fontId="25" fillId="0" borderId="0" xfId="0" applyFont="1" applyAlignment="1">
      <alignment horizontal="center" vertical="center"/>
    </xf>
    <xf numFmtId="0" fontId="51" fillId="28" borderId="107" xfId="0" applyFont="1" applyFill="1" applyBorder="1" applyAlignment="1">
      <alignment horizontal="center" vertical="center" wrapText="1"/>
    </xf>
    <xf numFmtId="0" fontId="51" fillId="28" borderId="108" xfId="0" applyFont="1" applyFill="1" applyBorder="1" applyAlignment="1">
      <alignment horizontal="center" vertical="center" wrapText="1"/>
    </xf>
    <xf numFmtId="0" fontId="51" fillId="28" borderId="109" xfId="0" applyFont="1" applyFill="1" applyBorder="1" applyAlignment="1">
      <alignment horizontal="center" vertical="center" wrapText="1"/>
    </xf>
    <xf numFmtId="0" fontId="51" fillId="28" borderId="110" xfId="0" applyFont="1" applyFill="1" applyBorder="1" applyAlignment="1">
      <alignment horizontal="center" vertical="center" wrapText="1"/>
    </xf>
    <xf numFmtId="0" fontId="51" fillId="28" borderId="106" xfId="0" applyFont="1" applyFill="1" applyBorder="1" applyAlignment="1">
      <alignment horizontal="center" vertical="center" wrapText="1"/>
    </xf>
    <xf numFmtId="0" fontId="51" fillId="28" borderId="111" xfId="0" applyFont="1" applyFill="1" applyBorder="1" applyAlignment="1">
      <alignment horizontal="center" vertical="center" wrapText="1"/>
    </xf>
    <xf numFmtId="0" fontId="75" fillId="9" borderId="103" xfId="0" applyFont="1" applyFill="1" applyBorder="1" applyAlignment="1">
      <alignment vertical="center"/>
    </xf>
    <xf numFmtId="0" fontId="75" fillId="9" borderId="102" xfId="0" applyFont="1" applyFill="1" applyBorder="1" applyAlignment="1">
      <alignment vertical="center"/>
    </xf>
    <xf numFmtId="0" fontId="75" fillId="0" borderId="103" xfId="0" applyFont="1" applyBorder="1" applyAlignment="1">
      <alignment horizontal="left" vertical="center"/>
    </xf>
    <xf numFmtId="0" fontId="75" fillId="0" borderId="102" xfId="0" applyFont="1" applyBorder="1" applyAlignment="1">
      <alignment horizontal="left" vertical="center"/>
    </xf>
    <xf numFmtId="0" fontId="76" fillId="27" borderId="0" xfId="0" applyFont="1" applyFill="1" applyAlignment="1">
      <alignment horizontal="center" vertical="center" wrapText="1"/>
    </xf>
    <xf numFmtId="0" fontId="75" fillId="9" borderId="103" xfId="0" applyFont="1" applyFill="1" applyBorder="1" applyAlignment="1">
      <alignment horizontal="left" vertical="center"/>
    </xf>
    <xf numFmtId="0" fontId="75" fillId="9" borderId="102" xfId="0" applyFont="1" applyFill="1" applyBorder="1" applyAlignment="1">
      <alignment horizontal="left" vertical="center"/>
    </xf>
    <xf numFmtId="0" fontId="23" fillId="9" borderId="10" xfId="0" applyFont="1" applyFill="1" applyBorder="1" applyAlignment="1">
      <alignment horizontal="center" vertical="center" wrapText="1"/>
    </xf>
    <xf numFmtId="0" fontId="23" fillId="9" borderId="26" xfId="0" applyFont="1" applyFill="1" applyBorder="1" applyAlignment="1" applyProtection="1">
      <alignment horizontal="center" vertical="center"/>
      <protection locked="0"/>
    </xf>
    <xf numFmtId="0" fontId="23" fillId="9" borderId="28" xfId="0" applyFont="1" applyFill="1" applyBorder="1" applyAlignment="1" applyProtection="1">
      <alignment horizontal="center" vertical="center"/>
      <protection locked="0"/>
    </xf>
    <xf numFmtId="0" fontId="23" fillId="9" borderId="27" xfId="0" applyFont="1" applyFill="1" applyBorder="1" applyAlignment="1" applyProtection="1">
      <alignment horizontal="center" vertical="center"/>
      <protection locked="0"/>
    </xf>
    <xf numFmtId="0" fontId="1" fillId="0" borderId="4" xfId="0" applyFont="1" applyBorder="1" applyAlignment="1" applyProtection="1">
      <alignment horizontal="left"/>
      <protection locked="0"/>
    </xf>
    <xf numFmtId="0" fontId="2" fillId="7" borderId="10" xfId="0" applyFont="1" applyFill="1" applyBorder="1" applyAlignment="1">
      <alignment horizontal="center"/>
    </xf>
    <xf numFmtId="0" fontId="3" fillId="7" borderId="23" xfId="0" applyFont="1" applyFill="1" applyBorder="1" applyAlignment="1">
      <alignment horizontal="center"/>
    </xf>
    <xf numFmtId="0" fontId="3" fillId="7" borderId="25" xfId="0" applyFont="1" applyFill="1" applyBorder="1" applyAlignment="1">
      <alignment horizontal="center"/>
    </xf>
    <xf numFmtId="0" fontId="2" fillId="10" borderId="9"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0" xfId="0" applyFont="1" applyAlignment="1">
      <alignment horizontal="center" vertical="center" wrapText="1"/>
    </xf>
    <xf numFmtId="0" fontId="2" fillId="7" borderId="26" xfId="0" applyFont="1" applyFill="1" applyBorder="1" applyAlignment="1">
      <alignment horizontal="center"/>
    </xf>
    <xf numFmtId="0" fontId="2" fillId="7" borderId="28" xfId="0" applyFont="1" applyFill="1" applyBorder="1" applyAlignment="1">
      <alignment horizontal="center"/>
    </xf>
    <xf numFmtId="0" fontId="2" fillId="7" borderId="36" xfId="0" applyFont="1" applyFill="1" applyBorder="1" applyAlignment="1">
      <alignment horizontal="center" vertical="center"/>
    </xf>
    <xf numFmtId="0" fontId="2" fillId="7" borderId="61" xfId="0" applyFont="1" applyFill="1" applyBorder="1" applyAlignment="1">
      <alignment horizontal="center" vertical="center"/>
    </xf>
    <xf numFmtId="0" fontId="2" fillId="7" borderId="72" xfId="0" applyFont="1" applyFill="1" applyBorder="1" applyAlignment="1">
      <alignment horizontal="center" vertical="center"/>
    </xf>
    <xf numFmtId="0" fontId="2" fillId="7" borderId="37" xfId="0" applyFont="1" applyFill="1" applyBorder="1" applyAlignment="1">
      <alignment horizontal="center" vertical="center"/>
    </xf>
    <xf numFmtId="0" fontId="2" fillId="7" borderId="0" xfId="0" applyFont="1" applyFill="1" applyAlignment="1">
      <alignment horizontal="center" vertical="center"/>
    </xf>
    <xf numFmtId="0" fontId="2" fillId="7" borderId="33" xfId="0" applyFont="1" applyFill="1" applyBorder="1" applyAlignment="1">
      <alignment horizontal="center" vertical="center"/>
    </xf>
    <xf numFmtId="0" fontId="2" fillId="7" borderId="38" xfId="0" applyFont="1" applyFill="1" applyBorder="1" applyAlignment="1">
      <alignment horizontal="center" vertical="center"/>
    </xf>
    <xf numFmtId="0" fontId="2" fillId="7" borderId="60" xfId="0" applyFont="1" applyFill="1" applyBorder="1" applyAlignment="1">
      <alignment horizontal="center" vertical="center"/>
    </xf>
    <xf numFmtId="0" fontId="2" fillId="7" borderId="73" xfId="0" applyFont="1" applyFill="1" applyBorder="1" applyAlignment="1">
      <alignment horizontal="center" vertical="center"/>
    </xf>
    <xf numFmtId="0" fontId="2" fillId="7" borderId="27" xfId="0" applyFont="1" applyFill="1" applyBorder="1" applyAlignment="1">
      <alignment horizontal="center"/>
    </xf>
    <xf numFmtId="0" fontId="2" fillId="0" borderId="0" xfId="0" applyFont="1" applyAlignment="1">
      <alignment horizontal="left" vertical="center" wrapText="1"/>
    </xf>
    <xf numFmtId="0" fontId="1" fillId="0" borderId="0" xfId="0" applyFont="1" applyAlignment="1" applyProtection="1">
      <alignment horizontal="left"/>
      <protection locked="0" hidden="1"/>
    </xf>
    <xf numFmtId="0" fontId="2" fillId="10" borderId="9" xfId="0" applyFont="1" applyFill="1" applyBorder="1" applyAlignment="1" applyProtection="1">
      <alignment horizontal="center" vertical="center" wrapText="1"/>
      <protection hidden="1"/>
    </xf>
    <xf numFmtId="0" fontId="23" fillId="9" borderId="26" xfId="0" applyFont="1" applyFill="1" applyBorder="1" applyAlignment="1" applyProtection="1">
      <alignment horizontal="center" vertical="center" wrapText="1"/>
      <protection locked="0"/>
    </xf>
    <xf numFmtId="0" fontId="23" fillId="9" borderId="28" xfId="0" applyFont="1" applyFill="1" applyBorder="1" applyAlignment="1" applyProtection="1">
      <alignment horizontal="center" vertical="center" wrapText="1"/>
      <protection locked="0"/>
    </xf>
    <xf numFmtId="0" fontId="23" fillId="9" borderId="27" xfId="0"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hidden="1"/>
    </xf>
    <xf numFmtId="0" fontId="16" fillId="2" borderId="1" xfId="0" applyFont="1" applyFill="1" applyBorder="1" applyAlignment="1">
      <alignment horizontal="center"/>
    </xf>
    <xf numFmtId="0" fontId="16" fillId="2" borderId="2" xfId="0" applyFont="1" applyFill="1" applyBorder="1" applyAlignment="1">
      <alignment horizontal="center"/>
    </xf>
    <xf numFmtId="0" fontId="16" fillId="2" borderId="3" xfId="0" applyFont="1" applyFill="1" applyBorder="1" applyAlignment="1">
      <alignment horizontal="center"/>
    </xf>
    <xf numFmtId="0" fontId="18" fillId="0" borderId="0" xfId="0" applyFont="1" applyAlignment="1" applyProtection="1">
      <alignment horizontal="right" vertical="center"/>
      <protection locked="0"/>
    </xf>
    <xf numFmtId="0" fontId="18" fillId="0" borderId="65" xfId="0" applyFont="1" applyBorder="1" applyAlignment="1" applyProtection="1">
      <alignment horizontal="right" vertical="center"/>
      <protection locked="0"/>
    </xf>
    <xf numFmtId="0" fontId="19" fillId="9" borderId="5" xfId="0" applyFont="1" applyFill="1" applyBorder="1" applyAlignment="1" applyProtection="1">
      <alignment horizontal="center" vertical="center" wrapText="1"/>
      <protection locked="0"/>
    </xf>
    <xf numFmtId="0" fontId="19" fillId="9" borderId="6" xfId="0" applyFont="1" applyFill="1" applyBorder="1" applyAlignment="1" applyProtection="1">
      <alignment horizontal="center" vertical="center" wrapText="1"/>
      <protection locked="0"/>
    </xf>
    <xf numFmtId="0" fontId="19" fillId="9" borderId="7" xfId="0" applyFont="1" applyFill="1" applyBorder="1" applyAlignment="1" applyProtection="1">
      <alignment horizontal="center" vertical="center" wrapText="1"/>
      <protection locked="0"/>
    </xf>
    <xf numFmtId="0" fontId="25" fillId="2" borderId="55" xfId="0" applyFont="1" applyFill="1" applyBorder="1" applyAlignment="1">
      <alignment horizontal="center"/>
    </xf>
    <xf numFmtId="0" fontId="25" fillId="2" borderId="56" xfId="0" applyFont="1" applyFill="1" applyBorder="1" applyAlignment="1">
      <alignment horizontal="center"/>
    </xf>
    <xf numFmtId="0" fontId="25" fillId="2" borderId="57" xfId="0" applyFont="1" applyFill="1" applyBorder="1" applyAlignment="1">
      <alignment horizontal="center"/>
    </xf>
    <xf numFmtId="0" fontId="12" fillId="3" borderId="26" xfId="0" applyFont="1" applyFill="1" applyBorder="1" applyAlignment="1">
      <alignment horizontal="center" vertical="center" wrapText="1"/>
    </xf>
    <xf numFmtId="0" fontId="12" fillId="3" borderId="28" xfId="0" applyFont="1" applyFill="1" applyBorder="1" applyAlignment="1">
      <alignment horizontal="center" vertical="center" wrapText="1"/>
    </xf>
    <xf numFmtId="0" fontId="12" fillId="3" borderId="27" xfId="0" applyFont="1" applyFill="1" applyBorder="1" applyAlignment="1">
      <alignment horizontal="center" vertical="center" wrapText="1"/>
    </xf>
    <xf numFmtId="0" fontId="0" fillId="2" borderId="0" xfId="0" applyFill="1" applyAlignment="1">
      <alignment horizontal="left" vertical="center" wrapText="1"/>
    </xf>
    <xf numFmtId="0" fontId="0" fillId="0" borderId="0" xfId="0" applyAlignment="1">
      <alignment horizontal="center"/>
    </xf>
    <xf numFmtId="0" fontId="83" fillId="6" borderId="0" xfId="0" applyFont="1" applyFill="1" applyAlignment="1" applyProtection="1">
      <alignment horizontal="left" vertical="center" wrapText="1"/>
      <protection locked="0"/>
    </xf>
    <xf numFmtId="0" fontId="84" fillId="21" borderId="10" xfId="0" applyFont="1" applyFill="1" applyBorder="1" applyAlignment="1">
      <alignment horizontal="center" vertical="center"/>
    </xf>
    <xf numFmtId="0" fontId="84" fillId="21" borderId="23" xfId="0" applyFont="1" applyFill="1" applyBorder="1" applyAlignment="1">
      <alignment horizontal="center" vertical="center" wrapText="1"/>
    </xf>
    <xf numFmtId="0" fontId="84" fillId="21" borderId="36" xfId="0" applyFont="1" applyFill="1" applyBorder="1" applyAlignment="1">
      <alignment horizontal="center" vertical="center" wrapText="1"/>
    </xf>
    <xf numFmtId="0" fontId="74" fillId="21" borderId="23" xfId="0" applyFont="1" applyFill="1" applyBorder="1" applyAlignment="1">
      <alignment horizontal="center" vertical="center" wrapText="1"/>
    </xf>
    <xf numFmtId="0" fontId="74" fillId="21" borderId="36" xfId="0" applyFont="1" applyFill="1" applyBorder="1" applyAlignment="1">
      <alignment horizontal="center" vertical="center" wrapText="1"/>
    </xf>
    <xf numFmtId="0" fontId="84" fillId="21" borderId="72" xfId="0" applyFont="1" applyFill="1" applyBorder="1" applyAlignment="1">
      <alignment horizontal="center" vertical="center" wrapText="1"/>
    </xf>
    <xf numFmtId="0" fontId="48" fillId="2" borderId="0" xfId="0" applyFont="1" applyFill="1" applyAlignment="1">
      <alignment horizontal="center" vertical="center"/>
    </xf>
    <xf numFmtId="0" fontId="74" fillId="21" borderId="24" xfId="0" applyFont="1" applyFill="1" applyBorder="1" applyAlignment="1">
      <alignment horizontal="center" vertical="center" wrapText="1"/>
    </xf>
    <xf numFmtId="0" fontId="85" fillId="6" borderId="0" xfId="0" applyFont="1" applyFill="1" applyAlignment="1" applyProtection="1">
      <alignment horizontal="left" vertical="center" wrapText="1"/>
      <protection locked="0"/>
    </xf>
    <xf numFmtId="0" fontId="50" fillId="0" borderId="0" xfId="0" applyFont="1" applyAlignment="1">
      <alignment horizontal="left" vertical="top"/>
    </xf>
    <xf numFmtId="0" fontId="50" fillId="8" borderId="26" xfId="0" applyFont="1" applyFill="1" applyBorder="1" applyAlignment="1">
      <alignment horizontal="left" vertical="top" wrapText="1"/>
    </xf>
    <xf numFmtId="0" fontId="50" fillId="8" borderId="28" xfId="0" applyFont="1" applyFill="1" applyBorder="1" applyAlignment="1">
      <alignment horizontal="left" vertical="top" wrapText="1"/>
    </xf>
    <xf numFmtId="0" fontId="50" fillId="8" borderId="27" xfId="0" applyFont="1" applyFill="1" applyBorder="1" applyAlignment="1">
      <alignment horizontal="left" vertical="top" wrapText="1"/>
    </xf>
    <xf numFmtId="0" fontId="50" fillId="26" borderId="0" xfId="0" applyFont="1" applyFill="1" applyAlignment="1">
      <alignment horizontal="center"/>
    </xf>
    <xf numFmtId="0" fontId="50" fillId="0" borderId="10" xfId="0" applyFont="1" applyBorder="1" applyAlignment="1">
      <alignment horizontal="center" vertical="center"/>
    </xf>
    <xf numFmtId="0" fontId="50" fillId="0" borderId="26" xfId="0" applyFont="1" applyBorder="1" applyAlignment="1">
      <alignment horizontal="center" vertical="top"/>
    </xf>
    <xf numFmtId="0" fontId="50" fillId="0" borderId="28" xfId="0" applyFont="1" applyBorder="1" applyAlignment="1">
      <alignment horizontal="center" vertical="top"/>
    </xf>
    <xf numFmtId="0" fontId="50" fillId="0" borderId="27" xfId="0" applyFont="1" applyBorder="1" applyAlignment="1">
      <alignment horizontal="center" vertical="top"/>
    </xf>
    <xf numFmtId="0" fontId="41" fillId="0" borderId="37" xfId="0" applyFont="1" applyBorder="1" applyAlignment="1">
      <alignment horizontal="right" vertical="top"/>
    </xf>
    <xf numFmtId="0" fontId="41" fillId="0" borderId="0" xfId="0" applyFont="1" applyAlignment="1">
      <alignment horizontal="right" vertical="top"/>
    </xf>
    <xf numFmtId="0" fontId="41" fillId="0" borderId="33" xfId="0" applyFont="1" applyBorder="1" applyAlignment="1">
      <alignment horizontal="right" vertical="top"/>
    </xf>
    <xf numFmtId="0" fontId="50" fillId="0" borderId="37" xfId="0" applyFont="1" applyBorder="1" applyAlignment="1">
      <alignment horizontal="right" vertical="top"/>
    </xf>
    <xf numFmtId="0" fontId="50" fillId="0" borderId="0" xfId="0" applyFont="1" applyAlignment="1">
      <alignment horizontal="right" vertical="top"/>
    </xf>
    <xf numFmtId="0" fontId="50" fillId="0" borderId="33" xfId="0" applyFont="1" applyBorder="1" applyAlignment="1">
      <alignment horizontal="right" vertical="top"/>
    </xf>
    <xf numFmtId="0" fontId="50" fillId="8" borderId="10" xfId="0" applyFont="1" applyFill="1" applyBorder="1" applyAlignment="1">
      <alignment horizontal="center" vertical="center" wrapText="1"/>
    </xf>
    <xf numFmtId="0" fontId="27" fillId="29" borderId="10" xfId="0" applyFont="1" applyFill="1" applyBorder="1" applyAlignment="1">
      <alignment horizontal="center"/>
    </xf>
    <xf numFmtId="0" fontId="27" fillId="6" borderId="26" xfId="0" applyFont="1" applyFill="1" applyBorder="1" applyAlignment="1">
      <alignment horizontal="center" vertical="center" wrapText="1"/>
    </xf>
    <xf numFmtId="0" fontId="27" fillId="6" borderId="28" xfId="0" applyFont="1" applyFill="1" applyBorder="1" applyAlignment="1">
      <alignment horizontal="center" vertical="center" wrapText="1"/>
    </xf>
    <xf numFmtId="0" fontId="27" fillId="6" borderId="27" xfId="0" applyFont="1" applyFill="1" applyBorder="1" applyAlignment="1">
      <alignment horizontal="center" vertical="center" wrapText="1"/>
    </xf>
    <xf numFmtId="0" fontId="27" fillId="6" borderId="26" xfId="0" applyFont="1" applyFill="1" applyBorder="1" applyAlignment="1">
      <alignment horizontal="center"/>
    </xf>
    <xf numFmtId="0" fontId="27" fillId="6" borderId="28" xfId="0" applyFont="1" applyFill="1" applyBorder="1" applyAlignment="1">
      <alignment horizontal="center"/>
    </xf>
    <xf numFmtId="0" fontId="27" fillId="6" borderId="27" xfId="0" applyFont="1" applyFill="1" applyBorder="1" applyAlignment="1">
      <alignment horizontal="center"/>
    </xf>
    <xf numFmtId="0" fontId="27" fillId="29" borderId="10" xfId="0" applyFont="1" applyFill="1" applyBorder="1" applyAlignment="1">
      <alignment horizontal="center" vertical="center" wrapText="1"/>
    </xf>
    <xf numFmtId="0" fontId="49" fillId="0" borderId="26" xfId="0" applyFont="1" applyBorder="1" applyAlignment="1">
      <alignment horizontal="center" vertical="center" wrapText="1"/>
    </xf>
    <xf numFmtId="0" fontId="49" fillId="0" borderId="28" xfId="0" applyFont="1" applyBorder="1" applyAlignment="1">
      <alignment horizontal="center" vertical="center" wrapText="1"/>
    </xf>
    <xf numFmtId="0" fontId="49" fillId="0" borderId="27" xfId="0" applyFont="1" applyBorder="1" applyAlignment="1">
      <alignment horizontal="center" vertical="center" wrapText="1"/>
    </xf>
    <xf numFmtId="0" fontId="50" fillId="0" borderId="10" xfId="0" applyFont="1" applyBorder="1" applyAlignment="1">
      <alignment horizontal="left" vertical="top"/>
    </xf>
    <xf numFmtId="0" fontId="50" fillId="0" borderId="26" xfId="0" applyFont="1" applyBorder="1" applyAlignment="1">
      <alignment horizontal="left" vertical="top"/>
    </xf>
    <xf numFmtId="0" fontId="50" fillId="0" borderId="28" xfId="0" applyFont="1" applyBorder="1" applyAlignment="1">
      <alignment horizontal="left" vertical="top"/>
    </xf>
    <xf numFmtId="0" fontId="50" fillId="0" borderId="27" xfId="0" applyFont="1" applyBorder="1" applyAlignment="1">
      <alignment horizontal="left" vertical="top"/>
    </xf>
    <xf numFmtId="0" fontId="50" fillId="26" borderId="10" xfId="0" applyFont="1" applyFill="1" applyBorder="1" applyAlignment="1">
      <alignment horizontal="left"/>
    </xf>
    <xf numFmtId="14" fontId="51" fillId="0" borderId="10" xfId="0" applyNumberFormat="1" applyFont="1" applyBorder="1" applyAlignment="1">
      <alignment horizontal="center" vertical="top"/>
    </xf>
    <xf numFmtId="0" fontId="49" fillId="0" borderId="10" xfId="0" applyFont="1" applyBorder="1" applyAlignment="1">
      <alignment horizontal="center" vertical="top"/>
    </xf>
    <xf numFmtId="0" fontId="49" fillId="0" borderId="26" xfId="0" applyFont="1" applyBorder="1" applyAlignment="1">
      <alignment horizontal="left" vertical="center" wrapText="1"/>
    </xf>
    <xf numFmtId="0" fontId="49" fillId="0" borderId="28" xfId="0" applyFont="1" applyBorder="1" applyAlignment="1">
      <alignment horizontal="left" vertical="center" wrapText="1"/>
    </xf>
    <xf numFmtId="0" fontId="49" fillId="0" borderId="27" xfId="0" applyFont="1" applyBorder="1" applyAlignment="1">
      <alignment horizontal="left" vertical="center" wrapText="1"/>
    </xf>
    <xf numFmtId="0" fontId="50" fillId="26" borderId="26" xfId="0" applyFont="1" applyFill="1" applyBorder="1" applyAlignment="1">
      <alignment horizontal="left"/>
    </xf>
    <xf numFmtId="0" fontId="50" fillId="26" borderId="28" xfId="0" applyFont="1" applyFill="1" applyBorder="1" applyAlignment="1">
      <alignment horizontal="left"/>
    </xf>
    <xf numFmtId="0" fontId="50" fillId="26" borderId="27" xfId="0" applyFont="1" applyFill="1" applyBorder="1" applyAlignment="1">
      <alignment horizontal="left"/>
    </xf>
    <xf numFmtId="0" fontId="22" fillId="0" borderId="26" xfId="0" applyFont="1" applyBorder="1" applyAlignment="1">
      <alignment horizontal="justify" vertical="center" wrapText="1"/>
    </xf>
    <xf numFmtId="0" fontId="22" fillId="0" borderId="28" xfId="0" applyFont="1" applyBorder="1" applyAlignment="1">
      <alignment horizontal="justify" vertical="center" wrapText="1"/>
    </xf>
    <xf numFmtId="0" fontId="22" fillId="0" borderId="27" xfId="0" applyFont="1" applyBorder="1" applyAlignment="1">
      <alignment horizontal="justify" vertical="center" wrapText="1"/>
    </xf>
    <xf numFmtId="0" fontId="49" fillId="0" borderId="26" xfId="0" applyFont="1" applyBorder="1" applyAlignment="1">
      <alignment horizontal="left" vertical="top" wrapText="1"/>
    </xf>
    <xf numFmtId="0" fontId="49" fillId="0" borderId="28" xfId="0" applyFont="1" applyBorder="1" applyAlignment="1">
      <alignment horizontal="left" vertical="top" wrapText="1"/>
    </xf>
    <xf numFmtId="0" fontId="49" fillId="0" borderId="27" xfId="0" applyFont="1" applyBorder="1" applyAlignment="1">
      <alignment horizontal="left" vertical="top" wrapText="1"/>
    </xf>
    <xf numFmtId="0" fontId="50" fillId="0" borderId="10" xfId="0" applyFont="1" applyBorder="1" applyAlignment="1">
      <alignment vertical="top"/>
    </xf>
    <xf numFmtId="0" fontId="49" fillId="0" borderId="26" xfId="0" applyFont="1" applyBorder="1" applyAlignment="1">
      <alignment horizontal="center" vertical="top"/>
    </xf>
    <xf numFmtId="0" fontId="49" fillId="0" borderId="28" xfId="0" applyFont="1" applyBorder="1" applyAlignment="1">
      <alignment horizontal="center" vertical="top"/>
    </xf>
    <xf numFmtId="0" fontId="49" fillId="0" borderId="27" xfId="0" applyFont="1" applyBorder="1" applyAlignment="1">
      <alignment horizontal="center" vertical="top"/>
    </xf>
    <xf numFmtId="0" fontId="49" fillId="0" borderId="26" xfId="0" applyFont="1" applyBorder="1" applyAlignment="1">
      <alignment horizontal="left" vertical="center"/>
    </xf>
    <xf numFmtId="0" fontId="49" fillId="0" borderId="28" xfId="0" applyFont="1" applyBorder="1" applyAlignment="1">
      <alignment horizontal="left" vertical="center"/>
    </xf>
    <xf numFmtId="0" fontId="49" fillId="0" borderId="27" xfId="0" applyFont="1" applyBorder="1" applyAlignment="1">
      <alignment horizontal="left" vertical="center"/>
    </xf>
    <xf numFmtId="0" fontId="35" fillId="6" borderId="0" xfId="0" applyFont="1" applyFill="1" applyAlignment="1">
      <alignment horizontal="center"/>
    </xf>
    <xf numFmtId="0" fontId="31" fillId="6" borderId="0" xfId="0" applyFont="1" applyFill="1" applyAlignment="1">
      <alignment horizontal="center"/>
    </xf>
    <xf numFmtId="9" fontId="30" fillId="0" borderId="0" xfId="1" applyFont="1" applyFill="1" applyAlignment="1">
      <alignment horizontal="center" vertical="center" wrapText="1"/>
    </xf>
    <xf numFmtId="0" fontId="27" fillId="6" borderId="0" xfId="0" applyFont="1" applyFill="1" applyAlignment="1">
      <alignment horizontal="center"/>
    </xf>
    <xf numFmtId="0" fontId="44" fillId="21" borderId="23" xfId="0" applyFont="1" applyFill="1" applyBorder="1" applyAlignment="1">
      <alignment horizontal="center" vertical="center" wrapText="1"/>
    </xf>
    <xf numFmtId="0" fontId="43" fillId="21" borderId="10" xfId="0" applyFont="1" applyFill="1" applyBorder="1" applyAlignment="1">
      <alignment horizontal="center" vertical="center"/>
    </xf>
    <xf numFmtId="0" fontId="43" fillId="21" borderId="23" xfId="0" applyFont="1" applyFill="1" applyBorder="1" applyAlignment="1">
      <alignment horizontal="center" vertical="center" wrapText="1"/>
    </xf>
    <xf numFmtId="0" fontId="43" fillId="21" borderId="36" xfId="0" applyFont="1" applyFill="1" applyBorder="1" applyAlignment="1">
      <alignment horizontal="center" vertical="center" wrapText="1"/>
    </xf>
    <xf numFmtId="0" fontId="54" fillId="21" borderId="36" xfId="0" applyFont="1" applyFill="1" applyBorder="1" applyAlignment="1">
      <alignment horizontal="center" vertical="center" wrapText="1"/>
    </xf>
    <xf numFmtId="0" fontId="43" fillId="21" borderId="72" xfId="0" applyFont="1" applyFill="1" applyBorder="1" applyAlignment="1">
      <alignment horizontal="center" vertical="center" wrapText="1"/>
    </xf>
    <xf numFmtId="0" fontId="44" fillId="21" borderId="24" xfId="0" applyFont="1" applyFill="1" applyBorder="1" applyAlignment="1">
      <alignment horizontal="center" vertical="center" wrapText="1"/>
    </xf>
  </cellXfs>
  <cellStyles count="2">
    <cellStyle name="Normal" xfId="0" builtinId="0"/>
    <cellStyle name="Porcentaje" xfId="1" builtinId="5"/>
  </cellStyles>
  <dxfs count="1301">
    <dxf>
      <fill>
        <patternFill>
          <bgColor theme="0" tint="-0.14996795556505021"/>
        </patternFill>
      </fill>
    </dxf>
    <dxf>
      <fill>
        <patternFill>
          <bgColor theme="0" tint="-0.14996795556505021"/>
        </patternFill>
      </fill>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b/>
        <i val="0"/>
        <color rgb="FFFF0000"/>
      </font>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color rgb="FFFFFFFF"/>
      </font>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tint="-4.9989318521683403E-2"/>
      </font>
      <fill>
        <patternFill>
          <bgColor rgb="FFFF0000"/>
        </patternFill>
      </fill>
    </dxf>
    <dxf>
      <font>
        <color theme="0"/>
      </font>
      <fill>
        <patternFill>
          <bgColor rgb="FFFF0000"/>
        </patternFill>
      </fill>
    </dxf>
    <dxf>
      <fill>
        <patternFill>
          <bgColor rgb="FF99FF66"/>
        </patternFill>
      </fill>
    </dxf>
    <dxf>
      <fill>
        <patternFill>
          <bgColor rgb="FF66FF66"/>
        </patternFill>
      </fill>
    </dxf>
    <dxf>
      <fill>
        <patternFill>
          <bgColor rgb="FF00FF00"/>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auto="1"/>
      </font>
      <fill>
        <patternFill patternType="none">
          <bgColor auto="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ill>
        <patternFill>
          <bgColor rgb="FF99FF66"/>
        </patternFill>
      </fill>
    </dxf>
    <dxf>
      <fill>
        <patternFill>
          <bgColor rgb="FF66FF66"/>
        </patternFill>
      </fill>
    </dxf>
    <dxf>
      <fill>
        <patternFill>
          <bgColor rgb="FF00FF00"/>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ill>
        <patternFill>
          <bgColor rgb="FF99FF66"/>
        </patternFill>
      </fill>
    </dxf>
    <dxf>
      <fill>
        <patternFill>
          <bgColor rgb="FF66FF66"/>
        </patternFill>
      </fill>
    </dxf>
    <dxf>
      <fill>
        <patternFill>
          <bgColor rgb="FF00FF00"/>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ill>
        <patternFill>
          <bgColor rgb="FF99FF66"/>
        </patternFill>
      </fill>
    </dxf>
    <dxf>
      <fill>
        <patternFill>
          <bgColor rgb="FF66FF66"/>
        </patternFill>
      </fill>
    </dxf>
    <dxf>
      <fill>
        <patternFill>
          <bgColor rgb="FF00FF00"/>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ill>
        <patternFill>
          <bgColor rgb="FF99FF66"/>
        </patternFill>
      </fill>
    </dxf>
    <dxf>
      <fill>
        <patternFill>
          <bgColor rgb="FF66FF66"/>
        </patternFill>
      </fill>
    </dxf>
    <dxf>
      <fill>
        <patternFill>
          <bgColor rgb="FF00FF00"/>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ill>
        <patternFill>
          <bgColor rgb="FF00FF00"/>
        </patternFill>
      </fill>
    </dxf>
    <dxf>
      <fill>
        <patternFill>
          <bgColor rgb="FF99FF66"/>
        </patternFill>
      </fill>
    </dxf>
    <dxf>
      <fill>
        <patternFill>
          <bgColor rgb="FF66FF66"/>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rgb="FFFF0000"/>
      </font>
    </dxf>
    <dxf>
      <font>
        <color rgb="FFFFFFFF"/>
      </font>
      <fill>
        <patternFill patternType="solid">
          <bgColor rgb="FFFFFFFF"/>
        </patternFill>
      </fill>
    </dxf>
    <dxf>
      <font>
        <b/>
        <i val="0"/>
        <color rgb="FFFF0000"/>
      </font>
    </dxf>
    <dxf>
      <font>
        <color rgb="FFFF0000"/>
      </font>
    </dxf>
    <dxf>
      <font>
        <b/>
        <i val="0"/>
        <color rgb="FFFF0000"/>
      </font>
    </dxf>
  </dxfs>
  <tableStyles count="0" defaultTableStyle="TableStyleMedium2" defaultPivotStyle="PivotStyleLight16"/>
  <colors>
    <mruColors>
      <color rgb="FFABEAF3"/>
      <color rgb="FFFFFFFF"/>
      <color rgb="FF12AEAE"/>
      <color rgb="FF207884"/>
      <color rgb="FFFFF9E7"/>
      <color rgb="FFFF00FF"/>
      <color rgb="FF00FF00"/>
      <color rgb="FFECF5E7"/>
      <color rgb="FF66FF66"/>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6"/>
              </a:solidFill>
              <a:ln w="19050">
                <a:solidFill>
                  <a:schemeClr val="lt1"/>
                </a:solidFill>
              </a:ln>
              <a:effectLst/>
            </c:spPr>
            <c:extLst>
              <c:ext xmlns:c16="http://schemas.microsoft.com/office/drawing/2014/chart" uri="{C3380CC4-5D6E-409C-BE32-E72D297353CC}">
                <c16:uniqueId val="{00000003-815B-4617-8789-E57BE57002F1}"/>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2-815B-4617-8789-E57BE57002F1}"/>
              </c:ext>
            </c:extLst>
          </c:dPt>
          <c:dLbls>
            <c:dLbl>
              <c:idx val="0"/>
              <c:layout>
                <c:manualLayout>
                  <c:x val="-0.32731648616125153"/>
                  <c:y val="1.313628899835784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15B-4617-8789-E57BE57002F1}"/>
                </c:ext>
              </c:extLst>
            </c:dLbl>
            <c:dLbl>
              <c:idx val="1"/>
              <c:layout>
                <c:manualLayout>
                  <c:x val="0.3128760529482551"/>
                  <c:y val="6.5681444991789817E-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15B-4617-8789-E57BE57002F1}"/>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'3.Plan de Estudios'!$E$12:$E$13</c:f>
              <c:strCache>
                <c:ptCount val="2"/>
                <c:pt idx="0">
                  <c:v>Presencial</c:v>
                </c:pt>
                <c:pt idx="1">
                  <c:v>Virtual</c:v>
                </c:pt>
              </c:strCache>
            </c:strRef>
          </c:cat>
          <c:val>
            <c:numRef>
              <c:f>'3.Plan de Estudios'!$P$12:$P$13</c:f>
              <c:numCache>
                <c:formatCode>0.0%</c:formatCode>
                <c:ptCount val="2"/>
                <c:pt idx="0">
                  <c:v>1</c:v>
                </c:pt>
                <c:pt idx="1">
                  <c:v>0</c:v>
                </c:pt>
              </c:numCache>
            </c:numRef>
          </c:val>
          <c:extLst>
            <c:ext xmlns:c16="http://schemas.microsoft.com/office/drawing/2014/chart" uri="{C3380CC4-5D6E-409C-BE32-E72D297353CC}">
              <c16:uniqueId val="{00000000-815B-4617-8789-E57BE57002F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842693170816336"/>
          <c:y val="5.7516316189052057E-2"/>
          <c:w val="0.84030085791514864"/>
          <c:h val="0.74691091681913779"/>
        </c:manualLayout>
      </c:layout>
      <c:bar3DChart>
        <c:barDir val="col"/>
        <c:grouping val="stacked"/>
        <c:varyColors val="0"/>
        <c:ser>
          <c:idx val="0"/>
          <c:order val="0"/>
          <c:tx>
            <c:strRef>
              <c:f>DATOS!$AU$2</c:f>
              <c:strCache>
                <c:ptCount val="1"/>
                <c:pt idx="0">
                  <c:v>Presencial</c:v>
                </c:pt>
              </c:strCache>
            </c:strRef>
          </c:tx>
          <c:spPr>
            <a:solidFill>
              <a:schemeClr val="accent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DATOS!$AU$3:$AU$16</c:f>
              <c:numCache>
                <c:formatCode>General</c:formatCode>
                <c:ptCount val="10"/>
                <c:pt idx="0">
                  <c:v>20</c:v>
                </c:pt>
                <c:pt idx="1">
                  <c:v>20</c:v>
                </c:pt>
                <c:pt idx="2">
                  <c:v>20</c:v>
                </c:pt>
                <c:pt idx="3">
                  <c:v>20</c:v>
                </c:pt>
                <c:pt idx="4">
                  <c:v>21</c:v>
                </c:pt>
                <c:pt idx="5">
                  <c:v>21</c:v>
                </c:pt>
                <c:pt idx="6">
                  <c:v>20</c:v>
                </c:pt>
                <c:pt idx="7">
                  <c:v>20</c:v>
                </c:pt>
                <c:pt idx="8">
                  <c:v>20</c:v>
                </c:pt>
                <c:pt idx="9">
                  <c:v>18</c:v>
                </c:pt>
              </c:numCache>
            </c:numRef>
          </c:val>
          <c:extLst>
            <c:ext xmlns:c16="http://schemas.microsoft.com/office/drawing/2014/chart" uri="{C3380CC4-5D6E-409C-BE32-E72D297353CC}">
              <c16:uniqueId val="{00000000-0DB0-4923-A2A2-668A3D0545D9}"/>
            </c:ext>
          </c:extLst>
        </c:ser>
        <c:ser>
          <c:idx val="1"/>
          <c:order val="1"/>
          <c:tx>
            <c:strRef>
              <c:f>DATOS!$AV$2</c:f>
              <c:strCache>
                <c:ptCount val="1"/>
                <c:pt idx="0">
                  <c:v>Virtual</c:v>
                </c:pt>
              </c:strCache>
            </c:strRef>
          </c:tx>
          <c:spPr>
            <a:solidFill>
              <a:schemeClr val="accent5"/>
            </a:solidFill>
            <a:ln>
              <a:noFill/>
            </a:ln>
            <a:effectLst/>
            <a:sp3d/>
          </c:spPr>
          <c:invertIfNegative val="0"/>
          <c:dLbls>
            <c:dLbl>
              <c:idx val="4"/>
              <c:layout>
                <c:manualLayout>
                  <c:x val="5.6858564321250887E-3"/>
                  <c:y val="-3.13725361031193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DB0-4923-A2A2-668A3D0545D9}"/>
                </c:ext>
              </c:extLst>
            </c:dLbl>
            <c:dLbl>
              <c:idx val="5"/>
              <c:layout>
                <c:manualLayout>
                  <c:x val="-1.0423949707206135E-16"/>
                  <c:y val="-2.09150240687462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DB0-4923-A2A2-668A3D0545D9}"/>
                </c:ext>
              </c:extLst>
            </c:dLbl>
            <c:dLbl>
              <c:idx val="6"/>
              <c:layout>
                <c:manualLayout>
                  <c:x val="-1.0423949707206135E-16"/>
                  <c:y val="-3.13725361031193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DB0-4923-A2A2-668A3D0545D9}"/>
                </c:ext>
              </c:extLst>
            </c:dLbl>
            <c:dLbl>
              <c:idx val="8"/>
              <c:layout>
                <c:manualLayout>
                  <c:x val="2.8429282160625444E-3"/>
                  <c:y val="-4.70588041546789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DB0-4923-A2A2-668A3D0545D9}"/>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DATOS!$AV$3:$AV$16</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0DB0-4923-A2A2-668A3D0545D9}"/>
            </c:ext>
          </c:extLst>
        </c:ser>
        <c:dLbls>
          <c:showLegendKey val="0"/>
          <c:showVal val="0"/>
          <c:showCatName val="0"/>
          <c:showSerName val="0"/>
          <c:showPercent val="0"/>
          <c:showBubbleSize val="0"/>
        </c:dLbls>
        <c:gapWidth val="150"/>
        <c:shape val="box"/>
        <c:axId val="313709615"/>
        <c:axId val="485192863"/>
        <c:axId val="0"/>
      </c:bar3DChart>
      <c:catAx>
        <c:axId val="31370961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PE">
                    <a:solidFill>
                      <a:sysClr val="windowText" lastClr="000000"/>
                    </a:solidFill>
                  </a:rPr>
                  <a:t>Ciclo</a:t>
                </a:r>
              </a:p>
            </c:rich>
          </c:tx>
          <c:layout>
            <c:manualLayout>
              <c:xMode val="edge"/>
              <c:yMode val="edge"/>
              <c:x val="0.49459720520009626"/>
              <c:y val="0.89621866245950799"/>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92863"/>
        <c:crosses val="autoZero"/>
        <c:auto val="1"/>
        <c:lblAlgn val="ctr"/>
        <c:lblOffset val="100"/>
        <c:noMultiLvlLbl val="0"/>
      </c:catAx>
      <c:valAx>
        <c:axId val="485192863"/>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PE">
                    <a:solidFill>
                      <a:sysClr val="windowText" lastClr="000000"/>
                    </a:solidFill>
                  </a:rPr>
                  <a:t>Cantidad de créditos</a:t>
                </a:r>
              </a:p>
            </c:rich>
          </c:tx>
          <c:layout>
            <c:manualLayout>
              <c:xMode val="edge"/>
              <c:yMode val="edge"/>
              <c:x val="4.2219274829452286E-2"/>
              <c:y val="0.1440011758525342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09615"/>
        <c:crosses val="autoZero"/>
        <c:crossBetween val="between"/>
        <c:majorUnit val="2"/>
      </c:valAx>
      <c:spPr>
        <a:noFill/>
        <a:ln>
          <a:noFill/>
        </a:ln>
        <a:effectLst/>
      </c:spPr>
    </c:plotArea>
    <c:legend>
      <c:legendPos val="r"/>
      <c:layout>
        <c:manualLayout>
          <c:xMode val="edge"/>
          <c:yMode val="edge"/>
          <c:x val="0.55005937690624496"/>
          <c:y val="0.90849594627309094"/>
          <c:w val="0.44709769487769252"/>
          <c:h val="7.7125386392718265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842693170816336"/>
          <c:y val="5.7516316189052057E-2"/>
          <c:w val="0.84030085791514864"/>
          <c:h val="0.74691091681913779"/>
        </c:manualLayout>
      </c:layout>
      <c:bar3DChart>
        <c:barDir val="col"/>
        <c:grouping val="stacked"/>
        <c:varyColors val="0"/>
        <c:ser>
          <c:idx val="0"/>
          <c:order val="0"/>
          <c:tx>
            <c:strRef>
              <c:f>DATOS!$AW$2</c:f>
              <c:strCache>
                <c:ptCount val="1"/>
                <c:pt idx="0">
                  <c:v>Teoría</c:v>
                </c:pt>
              </c:strCache>
            </c:strRef>
          </c:tx>
          <c:spPr>
            <a:solidFill>
              <a:schemeClr val="accent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DATOS!$AW$3:$AW$16</c:f>
              <c:numCache>
                <c:formatCode>0</c:formatCode>
                <c:ptCount val="10"/>
                <c:pt idx="0">
                  <c:v>18.25</c:v>
                </c:pt>
                <c:pt idx="1">
                  <c:v>18.25</c:v>
                </c:pt>
                <c:pt idx="2">
                  <c:v>14.375</c:v>
                </c:pt>
                <c:pt idx="3">
                  <c:v>15.5</c:v>
                </c:pt>
                <c:pt idx="4">
                  <c:v>15.625</c:v>
                </c:pt>
                <c:pt idx="5">
                  <c:v>13.625</c:v>
                </c:pt>
                <c:pt idx="6">
                  <c:v>16.5</c:v>
                </c:pt>
                <c:pt idx="7">
                  <c:v>12.75</c:v>
                </c:pt>
                <c:pt idx="8">
                  <c:v>10.75</c:v>
                </c:pt>
                <c:pt idx="9">
                  <c:v>6.75</c:v>
                </c:pt>
              </c:numCache>
            </c:numRef>
          </c:val>
          <c:extLst>
            <c:ext xmlns:c16="http://schemas.microsoft.com/office/drawing/2014/chart" uri="{C3380CC4-5D6E-409C-BE32-E72D297353CC}">
              <c16:uniqueId val="{00000000-5012-42AF-91CD-B11EFD9F9B93}"/>
            </c:ext>
          </c:extLst>
        </c:ser>
        <c:ser>
          <c:idx val="1"/>
          <c:order val="1"/>
          <c:tx>
            <c:strRef>
              <c:f>DATOS!$AX$2</c:f>
              <c:strCache>
                <c:ptCount val="1"/>
                <c:pt idx="0">
                  <c:v>Práctica</c:v>
                </c:pt>
              </c:strCache>
            </c:strRef>
          </c:tx>
          <c:spPr>
            <a:solidFill>
              <a:schemeClr val="accent5"/>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DATOS!$AX$3:$AX$16</c:f>
              <c:numCache>
                <c:formatCode>0</c:formatCode>
                <c:ptCount val="10"/>
                <c:pt idx="0">
                  <c:v>1.75</c:v>
                </c:pt>
                <c:pt idx="1">
                  <c:v>1.75</c:v>
                </c:pt>
                <c:pt idx="2">
                  <c:v>5.625</c:v>
                </c:pt>
                <c:pt idx="3">
                  <c:v>4.5</c:v>
                </c:pt>
                <c:pt idx="4">
                  <c:v>5.375</c:v>
                </c:pt>
                <c:pt idx="5">
                  <c:v>7.375</c:v>
                </c:pt>
                <c:pt idx="6">
                  <c:v>3.5</c:v>
                </c:pt>
                <c:pt idx="7">
                  <c:v>7.25</c:v>
                </c:pt>
                <c:pt idx="8">
                  <c:v>9.25</c:v>
                </c:pt>
                <c:pt idx="9">
                  <c:v>11.25</c:v>
                </c:pt>
              </c:numCache>
            </c:numRef>
          </c:val>
          <c:extLst>
            <c:ext xmlns:c16="http://schemas.microsoft.com/office/drawing/2014/chart" uri="{C3380CC4-5D6E-409C-BE32-E72D297353CC}">
              <c16:uniqueId val="{00000006-5012-42AF-91CD-B11EFD9F9B93}"/>
            </c:ext>
          </c:extLst>
        </c:ser>
        <c:dLbls>
          <c:showLegendKey val="0"/>
          <c:showVal val="0"/>
          <c:showCatName val="0"/>
          <c:showSerName val="0"/>
          <c:showPercent val="0"/>
          <c:showBubbleSize val="0"/>
        </c:dLbls>
        <c:gapWidth val="150"/>
        <c:shape val="box"/>
        <c:axId val="313709615"/>
        <c:axId val="485192863"/>
        <c:axId val="0"/>
      </c:bar3DChart>
      <c:catAx>
        <c:axId val="31370961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PE">
                    <a:solidFill>
                      <a:sysClr val="windowText" lastClr="000000"/>
                    </a:solidFill>
                  </a:rPr>
                  <a:t>Ciclo</a:t>
                </a:r>
              </a:p>
            </c:rich>
          </c:tx>
          <c:layout>
            <c:manualLayout>
              <c:xMode val="edge"/>
              <c:yMode val="edge"/>
              <c:x val="0.49459720520009626"/>
              <c:y val="0.89621866245950799"/>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85192863"/>
        <c:crosses val="autoZero"/>
        <c:auto val="1"/>
        <c:lblAlgn val="ctr"/>
        <c:lblOffset val="100"/>
        <c:noMultiLvlLbl val="0"/>
      </c:catAx>
      <c:valAx>
        <c:axId val="4851928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PE">
                    <a:solidFill>
                      <a:sysClr val="windowText" lastClr="000000"/>
                    </a:solidFill>
                  </a:rPr>
                  <a:t>Cantidad de créditos</a:t>
                </a:r>
              </a:p>
            </c:rich>
          </c:tx>
          <c:layout>
            <c:manualLayout>
              <c:xMode val="edge"/>
              <c:yMode val="edge"/>
              <c:x val="3.3690490181264653E-2"/>
              <c:y val="0.2172037600931459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13709615"/>
        <c:crosses val="autoZero"/>
        <c:crossBetween val="between"/>
      </c:valAx>
      <c:spPr>
        <a:noFill/>
        <a:ln>
          <a:noFill/>
        </a:ln>
        <a:effectLst/>
      </c:spPr>
    </c:plotArea>
    <c:legend>
      <c:legendPos val="r"/>
      <c:layout>
        <c:manualLayout>
          <c:xMode val="edge"/>
          <c:yMode val="edge"/>
          <c:x val="0.55005937690624496"/>
          <c:y val="0.90849594627309094"/>
          <c:w val="0.44709769487769252"/>
          <c:h val="7.7125386392718265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noFill/>
            <a:ln w="25400" cap="flat" cmpd="sng" algn="ctr">
              <a:solidFill>
                <a:schemeClr val="accent1"/>
              </a:solidFill>
              <a:miter lim="800000"/>
            </a:ln>
            <a:effectLst/>
          </c:spPr>
          <c:invertIfNegative val="0"/>
          <c:dPt>
            <c:idx val="3"/>
            <c:invertIfNegative val="0"/>
            <c:bubble3D val="0"/>
            <c:spPr>
              <a:noFill/>
              <a:ln w="25400" cap="flat" cmpd="sng" algn="ctr">
                <a:solidFill>
                  <a:srgbClr val="00B050"/>
                </a:solidFill>
                <a:miter lim="800000"/>
              </a:ln>
              <a:effectLst/>
            </c:spPr>
            <c:extLst>
              <c:ext xmlns:c16="http://schemas.microsoft.com/office/drawing/2014/chart" uri="{C3380CC4-5D6E-409C-BE32-E72D297353CC}">
                <c16:uniqueId val="{00000001-05F5-46D0-A680-2442A7AD3E93}"/>
              </c:ext>
            </c:extLst>
          </c:dPt>
          <c:dPt>
            <c:idx val="4"/>
            <c:invertIfNegative val="0"/>
            <c:bubble3D val="0"/>
            <c:spPr>
              <a:noFill/>
              <a:ln w="25400" cap="flat" cmpd="sng" algn="ctr">
                <a:solidFill>
                  <a:srgbClr val="00B050"/>
                </a:solidFill>
                <a:miter lim="800000"/>
              </a:ln>
              <a:effectLst/>
            </c:spPr>
            <c:extLst>
              <c:ext xmlns:c16="http://schemas.microsoft.com/office/drawing/2014/chart" uri="{C3380CC4-5D6E-409C-BE32-E72D297353CC}">
                <c16:uniqueId val="{00000002-05F5-46D0-A680-2442A7AD3E93}"/>
              </c:ext>
            </c:extLst>
          </c:dPt>
          <c:dPt>
            <c:idx val="5"/>
            <c:invertIfNegative val="0"/>
            <c:bubble3D val="0"/>
            <c:spPr>
              <a:noFill/>
              <a:ln w="25400" cap="flat" cmpd="sng" algn="ctr">
                <a:solidFill>
                  <a:srgbClr val="00B050"/>
                </a:solidFill>
                <a:miter lim="800000"/>
              </a:ln>
              <a:effectLst/>
            </c:spPr>
            <c:extLst>
              <c:ext xmlns:c16="http://schemas.microsoft.com/office/drawing/2014/chart" uri="{C3380CC4-5D6E-409C-BE32-E72D297353CC}">
                <c16:uniqueId val="{00000003-05F5-46D0-A680-2442A7AD3E93}"/>
              </c:ext>
            </c:extLst>
          </c:dPt>
          <c:dPt>
            <c:idx val="6"/>
            <c:invertIfNegative val="0"/>
            <c:bubble3D val="0"/>
            <c:spPr>
              <a:noFill/>
              <a:ln w="25400" cap="flat" cmpd="sng" algn="ctr">
                <a:solidFill>
                  <a:srgbClr val="FF0000"/>
                </a:solidFill>
                <a:miter lim="800000"/>
              </a:ln>
              <a:effectLst/>
            </c:spPr>
            <c:extLst>
              <c:ext xmlns:c16="http://schemas.microsoft.com/office/drawing/2014/chart" uri="{C3380CC4-5D6E-409C-BE32-E72D297353CC}">
                <c16:uniqueId val="{00000004-05F5-46D0-A680-2442A7AD3E93}"/>
              </c:ext>
            </c:extLst>
          </c:dPt>
          <c:dPt>
            <c:idx val="7"/>
            <c:invertIfNegative val="0"/>
            <c:bubble3D val="0"/>
            <c:spPr>
              <a:noFill/>
              <a:ln w="25400" cap="flat" cmpd="sng" algn="ctr">
                <a:solidFill>
                  <a:srgbClr val="FF0000"/>
                </a:solidFill>
                <a:miter lim="800000"/>
              </a:ln>
              <a:effectLst/>
            </c:spPr>
            <c:extLst>
              <c:ext xmlns:c16="http://schemas.microsoft.com/office/drawing/2014/chart" uri="{C3380CC4-5D6E-409C-BE32-E72D297353CC}">
                <c16:uniqueId val="{00000005-05F5-46D0-A680-2442A7AD3E93}"/>
              </c:ext>
            </c:extLst>
          </c:dPt>
          <c:dPt>
            <c:idx val="8"/>
            <c:invertIfNegative val="0"/>
            <c:bubble3D val="0"/>
            <c:spPr>
              <a:noFill/>
              <a:ln w="25400" cap="flat" cmpd="sng" algn="ctr">
                <a:solidFill>
                  <a:srgbClr val="FF0000"/>
                </a:solidFill>
                <a:miter lim="800000"/>
              </a:ln>
              <a:effectLst/>
            </c:spPr>
            <c:extLst>
              <c:ext xmlns:c16="http://schemas.microsoft.com/office/drawing/2014/chart" uri="{C3380CC4-5D6E-409C-BE32-E72D297353CC}">
                <c16:uniqueId val="{00000006-05F5-46D0-A680-2442A7AD3E93}"/>
              </c:ext>
            </c:extLst>
          </c:dPt>
          <c:dPt>
            <c:idx val="9"/>
            <c:invertIfNegative val="0"/>
            <c:bubble3D val="0"/>
            <c:spPr>
              <a:noFill/>
              <a:ln w="25400" cap="flat" cmpd="sng" algn="ctr">
                <a:solidFill>
                  <a:srgbClr val="002060"/>
                </a:solidFill>
                <a:miter lim="800000"/>
              </a:ln>
              <a:effectLst/>
            </c:spPr>
            <c:extLst>
              <c:ext xmlns:c16="http://schemas.microsoft.com/office/drawing/2014/chart" uri="{C3380CC4-5D6E-409C-BE32-E72D297353CC}">
                <c16:uniqueId val="{00000007-05F5-46D0-A680-2442A7AD3E93}"/>
              </c:ext>
            </c:extLst>
          </c:dPt>
          <c:dPt>
            <c:idx val="10"/>
            <c:invertIfNegative val="0"/>
            <c:bubble3D val="0"/>
            <c:spPr>
              <a:noFill/>
              <a:ln w="25400" cap="flat" cmpd="sng" algn="ctr">
                <a:solidFill>
                  <a:srgbClr val="002060"/>
                </a:solidFill>
                <a:miter lim="800000"/>
              </a:ln>
              <a:effectLst/>
            </c:spPr>
            <c:extLst>
              <c:ext xmlns:c16="http://schemas.microsoft.com/office/drawing/2014/chart" uri="{C3380CC4-5D6E-409C-BE32-E72D297353CC}">
                <c16:uniqueId val="{00000008-05F5-46D0-A680-2442A7AD3E93}"/>
              </c:ext>
            </c:extLst>
          </c:dPt>
          <c:dPt>
            <c:idx val="11"/>
            <c:invertIfNegative val="0"/>
            <c:bubble3D val="0"/>
            <c:spPr>
              <a:noFill/>
              <a:ln w="25400" cap="flat" cmpd="sng" algn="ctr">
                <a:solidFill>
                  <a:srgbClr val="002060"/>
                </a:solidFill>
                <a:miter lim="800000"/>
              </a:ln>
              <a:effectLst/>
            </c:spPr>
            <c:extLst>
              <c:ext xmlns:c16="http://schemas.microsoft.com/office/drawing/2014/chart" uri="{C3380CC4-5D6E-409C-BE32-E72D297353CC}">
                <c16:uniqueId val="{00000009-05F5-46D0-A680-2442A7AD3E93}"/>
              </c:ext>
            </c:extLst>
          </c:dPt>
          <c:dPt>
            <c:idx val="12"/>
            <c:invertIfNegative val="0"/>
            <c:bubble3D val="0"/>
            <c:spPr>
              <a:noFill/>
              <a:ln w="25400" cap="flat" cmpd="sng" algn="ctr">
                <a:solidFill>
                  <a:srgbClr val="FFC000"/>
                </a:solidFill>
                <a:miter lim="800000"/>
              </a:ln>
              <a:effectLst/>
            </c:spPr>
            <c:extLst>
              <c:ext xmlns:c16="http://schemas.microsoft.com/office/drawing/2014/chart" uri="{C3380CC4-5D6E-409C-BE32-E72D297353CC}">
                <c16:uniqueId val="{0000000A-05F5-46D0-A680-2442A7AD3E93}"/>
              </c:ext>
            </c:extLst>
          </c:dPt>
          <c:dPt>
            <c:idx val="13"/>
            <c:invertIfNegative val="0"/>
            <c:bubble3D val="0"/>
            <c:spPr>
              <a:noFill/>
              <a:ln w="25400" cap="flat" cmpd="sng" algn="ctr">
                <a:solidFill>
                  <a:srgbClr val="FFC000"/>
                </a:solidFill>
                <a:miter lim="800000"/>
              </a:ln>
              <a:effectLst/>
            </c:spPr>
            <c:extLst>
              <c:ext xmlns:c16="http://schemas.microsoft.com/office/drawing/2014/chart" uri="{C3380CC4-5D6E-409C-BE32-E72D297353CC}">
                <c16:uniqueId val="{0000000B-05F5-46D0-A680-2442A7AD3E93}"/>
              </c:ext>
            </c:extLst>
          </c:dPt>
          <c:dPt>
            <c:idx val="14"/>
            <c:invertIfNegative val="0"/>
            <c:bubble3D val="0"/>
            <c:spPr>
              <a:noFill/>
              <a:ln w="25400" cap="flat" cmpd="sng" algn="ctr">
                <a:solidFill>
                  <a:srgbClr val="FFC000"/>
                </a:solidFill>
                <a:miter lim="800000"/>
              </a:ln>
              <a:effectLst/>
            </c:spPr>
            <c:extLst>
              <c:ext xmlns:c16="http://schemas.microsoft.com/office/drawing/2014/chart" uri="{C3380CC4-5D6E-409C-BE32-E72D297353CC}">
                <c16:uniqueId val="{0000000C-05F5-46D0-A680-2442A7AD3E93}"/>
              </c:ext>
            </c:extLst>
          </c:dPt>
          <c:dPt>
            <c:idx val="15"/>
            <c:invertIfNegative val="0"/>
            <c:bubble3D val="0"/>
            <c:spPr>
              <a:noFill/>
              <a:ln w="25400" cap="flat" cmpd="sng" algn="ctr">
                <a:solidFill>
                  <a:schemeClr val="tx1"/>
                </a:solidFill>
                <a:miter lim="800000"/>
              </a:ln>
              <a:effectLst/>
            </c:spPr>
            <c:extLst>
              <c:ext xmlns:c16="http://schemas.microsoft.com/office/drawing/2014/chart" uri="{C3380CC4-5D6E-409C-BE32-E72D297353CC}">
                <c16:uniqueId val="{0000000D-05F5-46D0-A680-2442A7AD3E93}"/>
              </c:ext>
            </c:extLst>
          </c:dPt>
          <c:dPt>
            <c:idx val="16"/>
            <c:invertIfNegative val="0"/>
            <c:bubble3D val="0"/>
            <c:spPr>
              <a:noFill/>
              <a:ln w="25400" cap="flat" cmpd="sng" algn="ctr">
                <a:solidFill>
                  <a:schemeClr val="tx1"/>
                </a:solidFill>
                <a:miter lim="800000"/>
              </a:ln>
              <a:effectLst/>
            </c:spPr>
            <c:extLst>
              <c:ext xmlns:c16="http://schemas.microsoft.com/office/drawing/2014/chart" uri="{C3380CC4-5D6E-409C-BE32-E72D297353CC}">
                <c16:uniqueId val="{0000000E-05F5-46D0-A680-2442A7AD3E93}"/>
              </c:ext>
            </c:extLst>
          </c:dPt>
          <c:dPt>
            <c:idx val="17"/>
            <c:invertIfNegative val="0"/>
            <c:bubble3D val="0"/>
            <c:spPr>
              <a:noFill/>
              <a:ln w="25400" cap="flat" cmpd="sng" algn="ctr">
                <a:solidFill>
                  <a:schemeClr val="tx1"/>
                </a:solidFill>
                <a:miter lim="800000"/>
              </a:ln>
              <a:effectLst/>
            </c:spPr>
            <c:extLst>
              <c:ext xmlns:c16="http://schemas.microsoft.com/office/drawing/2014/chart" uri="{C3380CC4-5D6E-409C-BE32-E72D297353CC}">
                <c16:uniqueId val="{0000000F-05F5-46D0-A680-2442A7AD3E93}"/>
              </c:ext>
            </c:extLst>
          </c:dPt>
          <c:dPt>
            <c:idx val="18"/>
            <c:invertIfNegative val="0"/>
            <c:bubble3D val="0"/>
            <c:spPr>
              <a:noFill/>
              <a:ln w="25400" cap="flat" cmpd="sng" algn="ctr">
                <a:solidFill>
                  <a:srgbClr val="00FF00"/>
                </a:solidFill>
                <a:miter lim="800000"/>
              </a:ln>
              <a:effectLst/>
            </c:spPr>
            <c:extLst>
              <c:ext xmlns:c16="http://schemas.microsoft.com/office/drawing/2014/chart" uri="{C3380CC4-5D6E-409C-BE32-E72D297353CC}">
                <c16:uniqueId val="{00000010-05F5-46D0-A680-2442A7AD3E93}"/>
              </c:ext>
            </c:extLst>
          </c:dPt>
          <c:dPt>
            <c:idx val="19"/>
            <c:invertIfNegative val="0"/>
            <c:bubble3D val="0"/>
            <c:spPr>
              <a:noFill/>
              <a:ln w="25400" cap="flat" cmpd="sng" algn="ctr">
                <a:solidFill>
                  <a:srgbClr val="00FF00"/>
                </a:solidFill>
                <a:miter lim="800000"/>
              </a:ln>
              <a:effectLst/>
            </c:spPr>
            <c:extLst>
              <c:ext xmlns:c16="http://schemas.microsoft.com/office/drawing/2014/chart" uri="{C3380CC4-5D6E-409C-BE32-E72D297353CC}">
                <c16:uniqueId val="{00000011-05F5-46D0-A680-2442A7AD3E93}"/>
              </c:ext>
            </c:extLst>
          </c:dPt>
          <c:dPt>
            <c:idx val="20"/>
            <c:invertIfNegative val="0"/>
            <c:bubble3D val="0"/>
            <c:spPr>
              <a:noFill/>
              <a:ln w="25400" cap="flat" cmpd="sng" algn="ctr">
                <a:solidFill>
                  <a:srgbClr val="00FF00"/>
                </a:solidFill>
                <a:miter lim="800000"/>
              </a:ln>
              <a:effectLst/>
            </c:spPr>
            <c:extLst>
              <c:ext xmlns:c16="http://schemas.microsoft.com/office/drawing/2014/chart" uri="{C3380CC4-5D6E-409C-BE32-E72D297353CC}">
                <c16:uniqueId val="{00000012-05F5-46D0-A680-2442A7AD3E93}"/>
              </c:ext>
            </c:extLst>
          </c:dPt>
          <c:dPt>
            <c:idx val="21"/>
            <c:invertIfNegative val="0"/>
            <c:bubble3D val="0"/>
            <c:spPr>
              <a:noFill/>
              <a:ln w="25400" cap="flat" cmpd="sng" algn="ctr">
                <a:solidFill>
                  <a:srgbClr val="7030A0"/>
                </a:solidFill>
                <a:miter lim="800000"/>
              </a:ln>
              <a:effectLst/>
            </c:spPr>
            <c:extLst>
              <c:ext xmlns:c16="http://schemas.microsoft.com/office/drawing/2014/chart" uri="{C3380CC4-5D6E-409C-BE32-E72D297353CC}">
                <c16:uniqueId val="{00000013-05F5-46D0-A680-2442A7AD3E93}"/>
              </c:ext>
            </c:extLst>
          </c:dPt>
          <c:dPt>
            <c:idx val="22"/>
            <c:invertIfNegative val="0"/>
            <c:bubble3D val="0"/>
            <c:spPr>
              <a:noFill/>
              <a:ln w="25400" cap="flat" cmpd="sng" algn="ctr">
                <a:solidFill>
                  <a:srgbClr val="7030A0"/>
                </a:solidFill>
                <a:miter lim="800000"/>
              </a:ln>
              <a:effectLst/>
            </c:spPr>
            <c:extLst>
              <c:ext xmlns:c16="http://schemas.microsoft.com/office/drawing/2014/chart" uri="{C3380CC4-5D6E-409C-BE32-E72D297353CC}">
                <c16:uniqueId val="{00000014-05F5-46D0-A680-2442A7AD3E93}"/>
              </c:ext>
            </c:extLst>
          </c:dPt>
          <c:dPt>
            <c:idx val="23"/>
            <c:invertIfNegative val="0"/>
            <c:bubble3D val="0"/>
            <c:spPr>
              <a:noFill/>
              <a:ln w="25400" cap="flat" cmpd="sng" algn="ctr">
                <a:solidFill>
                  <a:srgbClr val="7030A0"/>
                </a:solidFill>
                <a:miter lim="800000"/>
              </a:ln>
              <a:effectLst/>
            </c:spPr>
            <c:extLst>
              <c:ext xmlns:c16="http://schemas.microsoft.com/office/drawing/2014/chart" uri="{C3380CC4-5D6E-409C-BE32-E72D297353CC}">
                <c16:uniqueId val="{00000015-05F5-46D0-A680-2442A7AD3E93}"/>
              </c:ext>
            </c:extLst>
          </c:dPt>
          <c:dPt>
            <c:idx val="24"/>
            <c:invertIfNegative val="0"/>
            <c:bubble3D val="0"/>
            <c:spPr>
              <a:noFill/>
              <a:ln w="25400" cap="flat" cmpd="sng" algn="ctr">
                <a:solidFill>
                  <a:schemeClr val="bg1">
                    <a:lumMod val="50000"/>
                  </a:schemeClr>
                </a:solidFill>
                <a:miter lim="800000"/>
              </a:ln>
              <a:effectLst/>
            </c:spPr>
            <c:extLst>
              <c:ext xmlns:c16="http://schemas.microsoft.com/office/drawing/2014/chart" uri="{C3380CC4-5D6E-409C-BE32-E72D297353CC}">
                <c16:uniqueId val="{00000016-05F5-46D0-A680-2442A7AD3E93}"/>
              </c:ext>
            </c:extLst>
          </c:dPt>
          <c:dPt>
            <c:idx val="25"/>
            <c:invertIfNegative val="0"/>
            <c:bubble3D val="0"/>
            <c:spPr>
              <a:noFill/>
              <a:ln w="25400" cap="flat" cmpd="sng" algn="ctr">
                <a:solidFill>
                  <a:schemeClr val="bg1">
                    <a:lumMod val="50000"/>
                  </a:schemeClr>
                </a:solidFill>
                <a:miter lim="800000"/>
              </a:ln>
              <a:effectLst/>
            </c:spPr>
            <c:extLst>
              <c:ext xmlns:c16="http://schemas.microsoft.com/office/drawing/2014/chart" uri="{C3380CC4-5D6E-409C-BE32-E72D297353CC}">
                <c16:uniqueId val="{00000017-05F5-46D0-A680-2442A7AD3E93}"/>
              </c:ext>
            </c:extLst>
          </c:dPt>
          <c:dPt>
            <c:idx val="26"/>
            <c:invertIfNegative val="0"/>
            <c:bubble3D val="0"/>
            <c:spPr>
              <a:noFill/>
              <a:ln w="25400" cap="flat" cmpd="sng" algn="ctr">
                <a:solidFill>
                  <a:schemeClr val="bg1">
                    <a:lumMod val="50000"/>
                  </a:schemeClr>
                </a:solidFill>
                <a:miter lim="800000"/>
              </a:ln>
              <a:effectLst/>
            </c:spPr>
            <c:extLst>
              <c:ext xmlns:c16="http://schemas.microsoft.com/office/drawing/2014/chart" uri="{C3380CC4-5D6E-409C-BE32-E72D297353CC}">
                <c16:uniqueId val="{00000018-05F5-46D0-A680-2442A7AD3E93}"/>
              </c:ext>
            </c:extLst>
          </c:dPt>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'5.Mapeo'!$EQ$8:$EQ$43</c:f>
              <c:strCache>
                <c:ptCount val="30"/>
                <c:pt idx="0">
                  <c:v>CG1: Comunicación Integral-N1</c:v>
                </c:pt>
                <c:pt idx="1">
                  <c:v>CG1: Comunicación Integral-N2</c:v>
                </c:pt>
                <c:pt idx="2">
                  <c:v>CG1: Comunicación Integral-N3</c:v>
                </c:pt>
                <c:pt idx="3">
                  <c:v>CG2: Comunicación Bilingüe-N1</c:v>
                </c:pt>
                <c:pt idx="4">
                  <c:v>CG2: Comunicación Bilingüe-N2</c:v>
                </c:pt>
                <c:pt idx="5">
                  <c:v>CG2: Comunicación Bilingüe-N3</c:v>
                </c:pt>
                <c:pt idx="6">
                  <c:v>CG3: Investigación-N1</c:v>
                </c:pt>
                <c:pt idx="7">
                  <c:v>CG3: Investigación-N2</c:v>
                </c:pt>
                <c:pt idx="8">
                  <c:v>CG3: Investigación-N3</c:v>
                </c:pt>
                <c:pt idx="9">
                  <c:v>CG4: Gestión de Recursos-N1</c:v>
                </c:pt>
                <c:pt idx="10">
                  <c:v>CG4: Gestión de Recursos-N2</c:v>
                </c:pt>
                <c:pt idx="11">
                  <c:v>CG4: Gestión de Recursos-N3</c:v>
                </c:pt>
                <c:pt idx="12">
                  <c:v>CG5: Desarrollo Humano-N1</c:v>
                </c:pt>
                <c:pt idx="13">
                  <c:v>CG5: Desarrollo Humano-N2</c:v>
                </c:pt>
                <c:pt idx="14">
                  <c:v>CG5: Desarrollo Humano-N3</c:v>
                </c:pt>
                <c:pt idx="15">
                  <c:v>CP1: Orientación educativa-N1</c:v>
                </c:pt>
                <c:pt idx="16">
                  <c:v>CP1: Orientación educativa-N2</c:v>
                </c:pt>
                <c:pt idx="17">
                  <c:v>CP1: Orientación educativa-N3</c:v>
                </c:pt>
                <c:pt idx="18">
                  <c:v>CP2: Desarrollo de gestión educativa-N1</c:v>
                </c:pt>
                <c:pt idx="19">
                  <c:v>CP2: Desarrollo de gestión educativa-N2</c:v>
                </c:pt>
                <c:pt idx="20">
                  <c:v>CP2: Desarrollo de gestión educativa-N3</c:v>
                </c:pt>
                <c:pt idx="21">
                  <c:v>CP3: Desarrollo enseñanza y aprendizaje-N1</c:v>
                </c:pt>
                <c:pt idx="22">
                  <c:v>CP3: Desarrollo enseñanza y aprendizaje-N2</c:v>
                </c:pt>
                <c:pt idx="23">
                  <c:v>CP3: Desarrollo enseñanza y aprendizaje-N3</c:v>
                </c:pt>
                <c:pt idx="24">
                  <c:v>CP4: Investigación Educativa-N1</c:v>
                </c:pt>
                <c:pt idx="25">
                  <c:v>CP4: Investigación Educativa-N2</c:v>
                </c:pt>
                <c:pt idx="26">
                  <c:v>CP4: Investigación Educativa-N3</c:v>
                </c:pt>
                <c:pt idx="27">
                  <c:v>CP5: Comprensión y expresión del idioma inglés-N1</c:v>
                </c:pt>
                <c:pt idx="28">
                  <c:v>CP5: Comprensión y expresión del idioma inglés-N2</c:v>
                </c:pt>
                <c:pt idx="29">
                  <c:v>CP5: Comprensión y expresión del idioma inglés-N3</c:v>
                </c:pt>
              </c:strCache>
            </c:strRef>
          </c:cat>
          <c:val>
            <c:numRef>
              <c:f>'5.Mapeo'!$EP$8:$EP$43</c:f>
              <c:numCache>
                <c:formatCode>General</c:formatCode>
                <c:ptCount val="30"/>
                <c:pt idx="0">
                  <c:v>3</c:v>
                </c:pt>
                <c:pt idx="1">
                  <c:v>2</c:v>
                </c:pt>
                <c:pt idx="2">
                  <c:v>2</c:v>
                </c:pt>
                <c:pt idx="3">
                  <c:v>3</c:v>
                </c:pt>
                <c:pt idx="4">
                  <c:v>2</c:v>
                </c:pt>
                <c:pt idx="5">
                  <c:v>3</c:v>
                </c:pt>
                <c:pt idx="6">
                  <c:v>2</c:v>
                </c:pt>
                <c:pt idx="7">
                  <c:v>2</c:v>
                </c:pt>
                <c:pt idx="8">
                  <c:v>2</c:v>
                </c:pt>
                <c:pt idx="9">
                  <c:v>4</c:v>
                </c:pt>
                <c:pt idx="10">
                  <c:v>2</c:v>
                </c:pt>
                <c:pt idx="11">
                  <c:v>1</c:v>
                </c:pt>
                <c:pt idx="12">
                  <c:v>2</c:v>
                </c:pt>
                <c:pt idx="13">
                  <c:v>1</c:v>
                </c:pt>
                <c:pt idx="14">
                  <c:v>2</c:v>
                </c:pt>
                <c:pt idx="15">
                  <c:v>3</c:v>
                </c:pt>
                <c:pt idx="16">
                  <c:v>1</c:v>
                </c:pt>
                <c:pt idx="17">
                  <c:v>2</c:v>
                </c:pt>
                <c:pt idx="18">
                  <c:v>2</c:v>
                </c:pt>
                <c:pt idx="19">
                  <c:v>2</c:v>
                </c:pt>
                <c:pt idx="20">
                  <c:v>2</c:v>
                </c:pt>
                <c:pt idx="21">
                  <c:v>3</c:v>
                </c:pt>
                <c:pt idx="22">
                  <c:v>2</c:v>
                </c:pt>
                <c:pt idx="23">
                  <c:v>4</c:v>
                </c:pt>
                <c:pt idx="24">
                  <c:v>1</c:v>
                </c:pt>
                <c:pt idx="25">
                  <c:v>2</c:v>
                </c:pt>
                <c:pt idx="26">
                  <c:v>4</c:v>
                </c:pt>
                <c:pt idx="27">
                  <c:v>2</c:v>
                </c:pt>
                <c:pt idx="28">
                  <c:v>5</c:v>
                </c:pt>
                <c:pt idx="29">
                  <c:v>2</c:v>
                </c:pt>
              </c:numCache>
            </c:numRef>
          </c:val>
          <c:extLst>
            <c:ext xmlns:c16="http://schemas.microsoft.com/office/drawing/2014/chart" uri="{C3380CC4-5D6E-409C-BE32-E72D297353CC}">
              <c16:uniqueId val="{00000000-ADB7-4F85-9A7B-ED88627ED623}"/>
            </c:ext>
          </c:extLst>
        </c:ser>
        <c:dLbls>
          <c:showLegendKey val="0"/>
          <c:showVal val="0"/>
          <c:showCatName val="0"/>
          <c:showSerName val="0"/>
          <c:showPercent val="0"/>
          <c:showBubbleSize val="0"/>
        </c:dLbls>
        <c:gapWidth val="164"/>
        <c:overlap val="-35"/>
        <c:axId val="668271904"/>
        <c:axId val="757761504"/>
      </c:barChart>
      <c:catAx>
        <c:axId val="668271904"/>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r>
                  <a:rPr lang="es-PE" b="1"/>
                  <a:t>Niveles</a:t>
                </a:r>
                <a:r>
                  <a:rPr lang="es-PE" b="1" baseline="0"/>
                  <a:t> de competencia </a:t>
                </a:r>
                <a:endParaRPr lang="es-PE" b="1"/>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s-PE"/>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757761504"/>
        <c:crosses val="autoZero"/>
        <c:auto val="1"/>
        <c:lblAlgn val="ctr"/>
        <c:lblOffset val="100"/>
        <c:noMultiLvlLbl val="0"/>
      </c:catAx>
      <c:valAx>
        <c:axId val="757761504"/>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r>
                  <a:rPr lang="es-PE"/>
                  <a:t>Cantidad de cursos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68271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325244</xdr:colOff>
      <xdr:row>0</xdr:row>
      <xdr:rowOff>0</xdr:rowOff>
    </xdr:from>
    <xdr:to>
      <xdr:col>1</xdr:col>
      <xdr:colOff>2268344</xdr:colOff>
      <xdr:row>2</xdr:row>
      <xdr:rowOff>266700</xdr:rowOff>
    </xdr:to>
    <xdr:pic>
      <xdr:nvPicPr>
        <xdr:cNvPr id="4" name="Imagen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7866" y="0"/>
          <a:ext cx="1943100" cy="7197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221512</xdr:colOff>
      <xdr:row>0</xdr:row>
      <xdr:rowOff>0</xdr:rowOff>
    </xdr:from>
    <xdr:to>
      <xdr:col>2</xdr:col>
      <xdr:colOff>868769</xdr:colOff>
      <xdr:row>4</xdr:row>
      <xdr:rowOff>66259</xdr:rowOff>
    </xdr:to>
    <xdr:pic>
      <xdr:nvPicPr>
        <xdr:cNvPr id="3" name="Imagen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512" y="0"/>
          <a:ext cx="1943100" cy="7197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133144</xdr:colOff>
      <xdr:row>0</xdr:row>
      <xdr:rowOff>40968</xdr:rowOff>
    </xdr:from>
    <xdr:to>
      <xdr:col>4</xdr:col>
      <xdr:colOff>181486</xdr:colOff>
      <xdr:row>4</xdr:row>
      <xdr:rowOff>53992</xdr:rowOff>
    </xdr:to>
    <xdr:pic>
      <xdr:nvPicPr>
        <xdr:cNvPr id="2" name="Imagen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144" y="40968"/>
          <a:ext cx="1943100" cy="7197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142770</xdr:colOff>
      <xdr:row>3</xdr:row>
      <xdr:rowOff>39361</xdr:rowOff>
    </xdr:to>
    <xdr:pic>
      <xdr:nvPicPr>
        <xdr:cNvPr id="3" name="Imagen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43100" cy="7197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11225</xdr:colOff>
      <xdr:row>25</xdr:row>
      <xdr:rowOff>92177</xdr:rowOff>
    </xdr:from>
    <xdr:to>
      <xdr:col>1</xdr:col>
      <xdr:colOff>358469</xdr:colOff>
      <xdr:row>25</xdr:row>
      <xdr:rowOff>390142</xdr:rowOff>
    </xdr:to>
    <xdr:sp macro="" textlink="">
      <xdr:nvSpPr>
        <xdr:cNvPr id="3" name="Rectángulo 2">
          <a:extLst>
            <a:ext uri="{FF2B5EF4-FFF2-40B4-BE49-F238E27FC236}">
              <a16:creationId xmlns:a16="http://schemas.microsoft.com/office/drawing/2014/main" id="{00000000-0008-0000-0600-000003000000}"/>
            </a:ext>
          </a:extLst>
        </xdr:cNvPr>
        <xdr:cNvSpPr/>
      </xdr:nvSpPr>
      <xdr:spPr>
        <a:xfrm>
          <a:off x="195580" y="10958871"/>
          <a:ext cx="347244" cy="297965"/>
        </a:xfrm>
        <a:prstGeom prst="rect">
          <a:avLst/>
        </a:prstGeom>
        <a:solidFill>
          <a:schemeClr val="accent6">
            <a:lumMod val="75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s-PE" sz="1100"/>
        </a:p>
      </xdr:txBody>
    </xdr:sp>
    <xdr:clientData/>
  </xdr:twoCellAnchor>
  <xdr:twoCellAnchor>
    <xdr:from>
      <xdr:col>1</xdr:col>
      <xdr:colOff>10142</xdr:colOff>
      <xdr:row>27</xdr:row>
      <xdr:rowOff>106793</xdr:rowOff>
    </xdr:from>
    <xdr:to>
      <xdr:col>1</xdr:col>
      <xdr:colOff>358485</xdr:colOff>
      <xdr:row>27</xdr:row>
      <xdr:rowOff>376695</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94497" y="11956712"/>
          <a:ext cx="348343" cy="269902"/>
        </a:xfrm>
        <a:prstGeom prst="rect">
          <a:avLst/>
        </a:prstGeom>
        <a:solidFill>
          <a:schemeClr val="accent5">
            <a:lumMod val="60000"/>
            <a:lumOff val="4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s-PE" sz="1100"/>
        </a:p>
      </xdr:txBody>
    </xdr:sp>
    <xdr:clientData/>
  </xdr:twoCellAnchor>
  <xdr:twoCellAnchor>
    <xdr:from>
      <xdr:col>1</xdr:col>
      <xdr:colOff>9141</xdr:colOff>
      <xdr:row>26</xdr:row>
      <xdr:rowOff>83102</xdr:rowOff>
    </xdr:from>
    <xdr:to>
      <xdr:col>1</xdr:col>
      <xdr:colOff>357484</xdr:colOff>
      <xdr:row>26</xdr:row>
      <xdr:rowOff>366130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193496" y="11441408"/>
          <a:ext cx="348343" cy="283028"/>
        </a:xfrm>
        <a:prstGeom prst="rect">
          <a:avLst/>
        </a:prstGeom>
        <a:solidFill>
          <a:schemeClr val="accent4">
            <a:lumMod val="75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0</xdr:col>
      <xdr:colOff>56029</xdr:colOff>
      <xdr:row>0</xdr:row>
      <xdr:rowOff>0</xdr:rowOff>
    </xdr:from>
    <xdr:to>
      <xdr:col>3</xdr:col>
      <xdr:colOff>340658</xdr:colOff>
      <xdr:row>1</xdr:row>
      <xdr:rowOff>92189</xdr:rowOff>
    </xdr:to>
    <xdr:pic>
      <xdr:nvPicPr>
        <xdr:cNvPr id="2" name="Imagen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29" y="0"/>
          <a:ext cx="1943100" cy="7197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304800</xdr:colOff>
          <xdr:row>0</xdr:row>
          <xdr:rowOff>104775</xdr:rowOff>
        </xdr:from>
        <xdr:to>
          <xdr:col>5</xdr:col>
          <xdr:colOff>276225</xdr:colOff>
          <xdr:row>0</xdr:row>
          <xdr:rowOff>552450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24</xdr:col>
      <xdr:colOff>717169</xdr:colOff>
      <xdr:row>707</xdr:row>
      <xdr:rowOff>112044</xdr:rowOff>
    </xdr:from>
    <xdr:to>
      <xdr:col>28</xdr:col>
      <xdr:colOff>1210228</xdr:colOff>
      <xdr:row>707</xdr:row>
      <xdr:rowOff>134455</xdr:rowOff>
    </xdr:to>
    <xdr:cxnSp macro="">
      <xdr:nvCxnSpPr>
        <xdr:cNvPr id="3" name="Conector recto de flecha 2">
          <a:extLst>
            <a:ext uri="{FF2B5EF4-FFF2-40B4-BE49-F238E27FC236}">
              <a16:creationId xmlns:a16="http://schemas.microsoft.com/office/drawing/2014/main" id="{00000000-0008-0000-0700-000003000000}"/>
            </a:ext>
          </a:extLst>
        </xdr:cNvPr>
        <xdr:cNvCxnSpPr/>
      </xdr:nvCxnSpPr>
      <xdr:spPr>
        <a:xfrm flipV="1">
          <a:off x="22972051" y="140476926"/>
          <a:ext cx="8785412" cy="22411"/>
        </a:xfrm>
        <a:prstGeom prst="straightConnector1">
          <a:avLst/>
        </a:prstGeom>
        <a:ln>
          <a:headEnd type="triangle"/>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66675</xdr:colOff>
      <xdr:row>4</xdr:row>
      <xdr:rowOff>161925</xdr:rowOff>
    </xdr:from>
    <xdr:to>
      <xdr:col>3</xdr:col>
      <xdr:colOff>657225</xdr:colOff>
      <xdr:row>14</xdr:row>
      <xdr:rowOff>133350</xdr:rowOff>
    </xdr:to>
    <xdr:graphicFrame macro="">
      <xdr:nvGraphicFramePr>
        <xdr:cNvPr id="2" name="Gráfico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38100</xdr:colOff>
      <xdr:row>5</xdr:row>
      <xdr:rowOff>104775</xdr:rowOff>
    </xdr:from>
    <xdr:to>
      <xdr:col>10</xdr:col>
      <xdr:colOff>695325</xdr:colOff>
      <xdr:row>18</xdr:row>
      <xdr:rowOff>57151</xdr:rowOff>
    </xdr:to>
    <xdr:graphicFrame macro="">
      <xdr:nvGraphicFramePr>
        <xdr:cNvPr id="3" name="Gráfico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28575</xdr:colOff>
      <xdr:row>5</xdr:row>
      <xdr:rowOff>95250</xdr:rowOff>
    </xdr:from>
    <xdr:to>
      <xdr:col>17</xdr:col>
      <xdr:colOff>685800</xdr:colOff>
      <xdr:row>18</xdr:row>
      <xdr:rowOff>47626</xdr:rowOff>
    </xdr:to>
    <xdr:graphicFrame macro="">
      <xdr:nvGraphicFramePr>
        <xdr:cNvPr id="4" name="Gráfico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242887</xdr:colOff>
      <xdr:row>22</xdr:row>
      <xdr:rowOff>76199</xdr:rowOff>
    </xdr:from>
    <xdr:to>
      <xdr:col>17</xdr:col>
      <xdr:colOff>228600</xdr:colOff>
      <xdr:row>40</xdr:row>
      <xdr:rowOff>114300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560D5F1-0C04-4F8D-B25E-E84CF949FA25}" name="Tabla3" displayName="Tabla3" ref="C2:C5" totalsRowShown="0">
  <autoFilter ref="C2:C5" xr:uid="{08B26E13-6A08-4C60-9DCE-ABC7369DE9F9}"/>
  <tableColumns count="1">
    <tableColumn id="1" xr3:uid="{77674A21-E373-4378-9EB1-58BE7899C782}" name="TIPO DE ESTUDIOS"/>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FDBB7B-9EC1-4B8B-AF0F-995041B4686F}" name="Tabla4" displayName="Tabla4" ref="C7:C9" totalsRowShown="0">
  <autoFilter ref="C7:C9" xr:uid="{06C90ECD-9EDA-44D0-82AF-418B6B051013}"/>
  <tableColumns count="1">
    <tableColumn id="1" xr3:uid="{F4642AF9-1753-4DEC-96F4-ACBA466302A5}" name="CONDICIÓ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2C3465C-8FBF-4899-8439-1AFD75DEBF8E}" name="Tabla5" displayName="Tabla5" ref="E2:E4" totalsRowShown="0">
  <autoFilter ref="E2:E4" xr:uid="{6B60EAF8-6A11-44C0-B432-4A237AC9BB48}"/>
  <tableColumns count="1">
    <tableColumn id="1" xr3:uid="{D5DB7C54-C5DF-40EE-A03E-CD2AC11D23F3}" name="PLU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4919F7-F07A-4399-8F7F-ED6BA75DAF00}" name="Tabla2" displayName="Tabla2" ref="G2:G51" totalsRowShown="0">
  <autoFilter ref="G2:G51" xr:uid="{75A4C095-DD61-4977-BCF1-96C8CB2EC720}"/>
  <tableColumns count="1">
    <tableColumn id="1" xr3:uid="{2CDDE6B5-754C-4F9E-A8BB-6E075C936B91}" name="CARRERAS DE COORDINACIÓ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pageSetUpPr fitToPage="1"/>
  </sheetPr>
  <dimension ref="A1:Q221"/>
  <sheetViews>
    <sheetView showGridLines="0" topLeftCell="B54" zoomScaleNormal="100" zoomScaleSheetLayoutView="86" workbookViewId="0">
      <selection activeCell="F59" sqref="F59"/>
    </sheetView>
  </sheetViews>
  <sheetFormatPr defaultColWidth="0" defaultRowHeight="12"/>
  <cols>
    <col min="1" max="1" width="2.42578125" style="7" customWidth="1"/>
    <col min="2" max="2" width="34.140625" style="7" customWidth="1"/>
    <col min="3" max="3" width="10.85546875" style="7" customWidth="1"/>
    <col min="4" max="4" width="51.85546875" style="7" customWidth="1"/>
    <col min="5" max="5" width="48.7109375" style="7" customWidth="1"/>
    <col min="6" max="6" width="48.140625" style="7" customWidth="1"/>
    <col min="7" max="7" width="2.85546875" style="7" customWidth="1"/>
    <col min="8" max="8" width="11.5703125" style="12" hidden="1" customWidth="1"/>
    <col min="9" max="16384" width="11.5703125" style="7" hidden="1"/>
  </cols>
  <sheetData>
    <row r="1" spans="1:8" s="5" customFormat="1" ht="15">
      <c r="B1"/>
      <c r="C1"/>
      <c r="F1" s="214"/>
      <c r="H1" s="10"/>
    </row>
    <row r="2" spans="1:8" s="6" customFormat="1" ht="21" customHeight="1">
      <c r="B2" s="712" t="str">
        <f>+CONCATENATE("F-201_2 PLAN CURRICULAR DEL PROGRAMA DE: ",F6)</f>
        <v>F-201_2 PLAN CURRICULAR DEL PROGRAMA DE: EDUCACIÓN SECUNDARIA CON ESPECIALIDAD EN INGLÉS</v>
      </c>
      <c r="C2" s="712"/>
      <c r="D2" s="712"/>
      <c r="E2" s="712"/>
      <c r="F2" s="712"/>
      <c r="G2" s="69"/>
      <c r="H2" s="11"/>
    </row>
    <row r="3" spans="1:8" s="6" customFormat="1" ht="27.75" customHeight="1">
      <c r="A3" s="13"/>
      <c r="B3" s="14"/>
      <c r="C3" s="14"/>
      <c r="D3" s="14"/>
      <c r="E3" s="14"/>
      <c r="F3" s="201"/>
      <c r="G3" s="13"/>
      <c r="H3" s="11"/>
    </row>
    <row r="4" spans="1:8" s="5" customFormat="1" ht="20.100000000000001" customHeight="1">
      <c r="B4" s="617" t="s">
        <v>0</v>
      </c>
      <c r="C4" s="617"/>
      <c r="D4" s="617"/>
      <c r="E4" s="617"/>
      <c r="F4" s="617"/>
      <c r="H4" s="10"/>
    </row>
    <row r="5" spans="1:8" s="6" customFormat="1" ht="8.25" customHeight="1">
      <c r="A5" s="13"/>
      <c r="B5" s="14"/>
      <c r="C5" s="14"/>
      <c r="D5" s="14"/>
      <c r="E5" s="14"/>
      <c r="F5" s="201"/>
      <c r="G5" s="13"/>
      <c r="H5" s="11"/>
    </row>
    <row r="6" spans="1:8" s="6" customFormat="1" ht="17.25" customHeight="1">
      <c r="A6" s="70"/>
      <c r="B6" s="342" t="s">
        <v>1</v>
      </c>
      <c r="C6" s="342"/>
      <c r="D6" s="341" t="s">
        <v>2</v>
      </c>
      <c r="E6" s="323" t="s">
        <v>3</v>
      </c>
      <c r="F6" s="230" t="s">
        <v>4</v>
      </c>
      <c r="G6" s="70"/>
      <c r="H6" s="11"/>
    </row>
    <row r="7" spans="1:8" s="6" customFormat="1" ht="17.100000000000001" customHeight="1">
      <c r="A7" s="70"/>
      <c r="B7" s="324"/>
      <c r="C7" s="324"/>
      <c r="E7" s="343"/>
      <c r="G7" s="70"/>
      <c r="H7" s="11"/>
    </row>
    <row r="8" spans="1:8" ht="24" customHeight="1">
      <c r="B8" s="325" t="s">
        <v>5</v>
      </c>
      <c r="C8" s="325"/>
      <c r="D8" s="354" t="s">
        <v>6</v>
      </c>
      <c r="E8" s="344" t="s">
        <v>7</v>
      </c>
      <c r="F8" s="482" t="str">
        <f>IF(ISERROR(VLOOKUP(CONCATENATE(F6,"_",D8),DATOS!K:L,2,0)),"Modalidad no licenciada",VLOOKUP(CONCATENATE(F6,"_",D8),DATOS!K:L,2,0))</f>
        <v>P25</v>
      </c>
      <c r="G8" s="215"/>
      <c r="H8" s="7"/>
    </row>
    <row r="9" spans="1:8" ht="16.5" customHeight="1">
      <c r="B9" s="326"/>
      <c r="C9" s="326"/>
      <c r="D9" s="72"/>
      <c r="E9" s="17"/>
      <c r="F9" s="17"/>
    </row>
    <row r="10" spans="1:8" ht="24" customHeight="1">
      <c r="B10" s="323" t="s">
        <v>8</v>
      </c>
      <c r="C10" s="323"/>
      <c r="D10" s="723" t="str">
        <f>IF(F8="Modalidad no licenciada", "",VLOOKUP(F8,DATOS!L:N,2,0))</f>
        <v xml:space="preserve">BACHILLER EN EDUCACIÓN </v>
      </c>
      <c r="E10" s="724"/>
      <c r="F10" s="725"/>
    </row>
    <row r="11" spans="1:8" s="6" customFormat="1" ht="16.5" customHeight="1">
      <c r="A11" s="70"/>
      <c r="B11" s="324"/>
      <c r="C11" s="324"/>
      <c r="D11" s="71"/>
      <c r="E11" s="71"/>
      <c r="F11" s="71"/>
      <c r="G11" s="70"/>
      <c r="H11" s="11"/>
    </row>
    <row r="12" spans="1:8" s="6" customFormat="1" ht="24" customHeight="1">
      <c r="A12" s="70"/>
      <c r="B12" s="323" t="s">
        <v>9</v>
      </c>
      <c r="C12" s="323"/>
      <c r="D12" s="723" t="str">
        <f>IF(F8="Modalidad no licenciada", "",VLOOKUP(F8,DATOS!L:N,3,0))</f>
        <v>LICENCIADO EN EDUCACIÓN SECUNDARIA CON  ESPECIALIDAD EN INGLÉS</v>
      </c>
      <c r="E12" s="724"/>
      <c r="F12" s="725"/>
      <c r="G12" s="70"/>
      <c r="H12" s="11"/>
    </row>
    <row r="13" spans="1:8" s="5" customFormat="1" ht="15.75" customHeight="1">
      <c r="B13" s="4"/>
      <c r="C13" s="4"/>
      <c r="H13" s="10"/>
    </row>
    <row r="14" spans="1:8" s="5" customFormat="1" ht="20.25" customHeight="1">
      <c r="B14" s="323" t="s">
        <v>10</v>
      </c>
      <c r="C14" s="323"/>
      <c r="D14" s="327" t="s">
        <v>11</v>
      </c>
      <c r="E14" s="346" t="s">
        <v>12</v>
      </c>
      <c r="F14" s="220">
        <v>60</v>
      </c>
      <c r="H14" s="10"/>
    </row>
    <row r="15" spans="1:8" s="5" customFormat="1" ht="15.75" customHeight="1">
      <c r="H15" s="10"/>
    </row>
    <row r="16" spans="1:8" s="5" customFormat="1" ht="27" customHeight="1">
      <c r="B16" s="72" t="s">
        <v>13</v>
      </c>
      <c r="C16" s="72"/>
      <c r="D16" s="355">
        <f>IF('3.Plan de Estudios'!O8=0,"",'3.Plan de Estudios'!O8)</f>
        <v>200</v>
      </c>
      <c r="E16" s="325" t="s">
        <v>14</v>
      </c>
      <c r="F16" s="345"/>
      <c r="H16" s="10"/>
    </row>
    <row r="17" spans="1:17" s="5" customFormat="1" ht="15.75" customHeight="1">
      <c r="H17" s="10"/>
    </row>
    <row r="18" spans="1:17" s="5" customFormat="1" ht="24" customHeight="1">
      <c r="B18" s="346" t="s">
        <v>15</v>
      </c>
      <c r="C18" s="346"/>
      <c r="D18" s="220"/>
      <c r="E18" s="346" t="s">
        <v>16</v>
      </c>
      <c r="F18" s="464" t="s">
        <v>17</v>
      </c>
      <c r="H18" s="10"/>
    </row>
    <row r="19" spans="1:17" s="5" customFormat="1" ht="15.75" customHeight="1">
      <c r="B19" s="72"/>
      <c r="C19" s="72"/>
      <c r="H19" s="10"/>
    </row>
    <row r="20" spans="1:17" s="5" customFormat="1" ht="20.100000000000001" customHeight="1">
      <c r="B20" s="617" t="s">
        <v>18</v>
      </c>
      <c r="C20" s="617"/>
      <c r="D20" s="617"/>
      <c r="E20" s="617"/>
      <c r="F20" s="617"/>
      <c r="H20" s="10"/>
    </row>
    <row r="21" spans="1:17" s="5" customFormat="1" ht="221.25" customHeight="1">
      <c r="B21" s="700" t="s">
        <v>19</v>
      </c>
      <c r="C21" s="701"/>
      <c r="D21" s="701"/>
      <c r="E21" s="701"/>
      <c r="F21" s="702"/>
      <c r="H21" s="10"/>
    </row>
    <row r="22" spans="1:17" s="5" customFormat="1" ht="57" customHeight="1">
      <c r="B22" s="706" t="s">
        <v>20</v>
      </c>
      <c r="C22" s="707"/>
      <c r="D22" s="707"/>
      <c r="E22" s="707"/>
      <c r="F22" s="708"/>
      <c r="H22" s="351"/>
      <c r="I22" s="351"/>
      <c r="J22" s="351"/>
      <c r="K22" s="351"/>
      <c r="L22" s="351"/>
      <c r="M22" s="351"/>
      <c r="N22" s="351"/>
      <c r="O22" s="351"/>
      <c r="P22" s="351"/>
      <c r="Q22" s="352"/>
    </row>
    <row r="23" spans="1:17" s="5" customFormat="1" ht="156.75" customHeight="1">
      <c r="B23" s="703"/>
      <c r="C23" s="704"/>
      <c r="D23" s="704"/>
      <c r="E23" s="704"/>
      <c r="F23" s="705"/>
      <c r="H23" s="10"/>
    </row>
    <row r="24" spans="1:17" s="5" customFormat="1" ht="14.25" customHeight="1">
      <c r="H24" s="10"/>
    </row>
    <row r="25" spans="1:17" s="5" customFormat="1" ht="20.100000000000001" customHeight="1">
      <c r="B25" s="617" t="s">
        <v>21</v>
      </c>
      <c r="C25" s="617"/>
      <c r="D25" s="617"/>
      <c r="E25" s="617"/>
      <c r="F25" s="617"/>
      <c r="H25" s="10"/>
    </row>
    <row r="26" spans="1:17" s="5" customFormat="1" ht="8.25" customHeight="1">
      <c r="H26" s="10"/>
    </row>
    <row r="27" spans="1:17" s="5" customFormat="1" ht="20.100000000000001" customHeight="1">
      <c r="A27" s="10"/>
      <c r="B27" s="645" t="str">
        <f>CONCATENATE("El programa de estudios de ",F6," de la Universidad San Ignacio de Loyola tiene como objetivo(s) académico(s):")</f>
        <v>El programa de estudios de EDUCACIÓN SECUNDARIA CON ESPECIALIDAD EN INGLÉS de la Universidad San Ignacio de Loyola tiene como objetivo(s) académico(s):</v>
      </c>
      <c r="C27" s="646"/>
      <c r="D27" s="646"/>
      <c r="E27" s="646"/>
      <c r="F27" s="647"/>
      <c r="H27" s="10"/>
    </row>
    <row r="28" spans="1:17" s="5" customFormat="1" ht="75" customHeight="1">
      <c r="B28" s="713" t="s">
        <v>22</v>
      </c>
      <c r="C28" s="714"/>
      <c r="D28" s="714"/>
      <c r="E28" s="714"/>
      <c r="F28" s="715"/>
      <c r="H28" s="10"/>
    </row>
    <row r="29" spans="1:17" s="5" customFormat="1" ht="15">
      <c r="H29" s="10"/>
    </row>
    <row r="30" spans="1:17" s="5" customFormat="1" ht="20.100000000000001" customHeight="1">
      <c r="B30" s="617" t="s">
        <v>23</v>
      </c>
      <c r="C30" s="617"/>
      <c r="D30" s="617"/>
      <c r="E30" s="617"/>
      <c r="F30" s="617"/>
      <c r="H30" s="10"/>
    </row>
    <row r="31" spans="1:17" s="5" customFormat="1" ht="15">
      <c r="H31" s="10"/>
    </row>
    <row r="32" spans="1:17" s="5" customFormat="1" ht="21" customHeight="1">
      <c r="B32" s="726" t="str">
        <f>CONCATENATE("El perfil de ingreso al programa de estudios de ",F6," está conformado por los siguientes rasgos:")</f>
        <v>El perfil de ingreso al programa de estudios de EDUCACIÓN SECUNDARIA CON ESPECIALIDAD EN INGLÉS está conformado por los siguientes rasgos:</v>
      </c>
      <c r="C32" s="727"/>
      <c r="D32" s="727"/>
      <c r="E32" s="727"/>
      <c r="F32" s="728"/>
      <c r="H32" s="10"/>
    </row>
    <row r="33" spans="1:8" s="5" customFormat="1" ht="59.45" customHeight="1">
      <c r="B33" s="736" t="s">
        <v>24</v>
      </c>
      <c r="C33" s="737"/>
      <c r="D33" s="737"/>
      <c r="E33" s="737"/>
      <c r="F33" s="738"/>
      <c r="H33" s="10"/>
    </row>
    <row r="34" spans="1:8" s="5" customFormat="1" ht="16.5" customHeight="1">
      <c r="B34" s="739"/>
      <c r="C34" s="740"/>
      <c r="D34" s="741"/>
      <c r="E34" s="741"/>
      <c r="F34" s="742"/>
      <c r="H34" s="10"/>
    </row>
    <row r="35" spans="1:8" s="5" customFormat="1" ht="20.25" customHeight="1">
      <c r="B35" s="347"/>
      <c r="C35" s="347"/>
      <c r="D35" s="348"/>
      <c r="E35" s="348"/>
      <c r="F35" s="348"/>
      <c r="H35" s="10"/>
    </row>
    <row r="36" spans="1:8" s="5" customFormat="1" ht="20.100000000000001" customHeight="1">
      <c r="B36" s="617" t="s">
        <v>25</v>
      </c>
      <c r="C36" s="617"/>
      <c r="D36" s="617"/>
      <c r="E36" s="617"/>
      <c r="F36" s="617"/>
      <c r="H36" s="10"/>
    </row>
    <row r="37" spans="1:8" s="5" customFormat="1" ht="15">
      <c r="H37" s="10"/>
    </row>
    <row r="38" spans="1:8" s="5" customFormat="1" ht="21" customHeight="1">
      <c r="B38" s="726" t="str">
        <f>CONCATENATE("El egresado del programa de estudios de ",F6," tiene los siguientes rasgos o características:")</f>
        <v>El egresado del programa de estudios de EDUCACIÓN SECUNDARIA CON ESPECIALIDAD EN INGLÉS tiene los siguientes rasgos o características:</v>
      </c>
      <c r="C38" s="727"/>
      <c r="D38" s="727"/>
      <c r="E38" s="727"/>
      <c r="F38" s="728"/>
      <c r="H38" s="10"/>
    </row>
    <row r="39" spans="1:8" s="5" customFormat="1" ht="6.75" customHeight="1">
      <c r="B39" s="729"/>
      <c r="C39" s="730"/>
      <c r="D39" s="730"/>
      <c r="E39" s="730"/>
      <c r="F39" s="731"/>
      <c r="H39" s="10"/>
    </row>
    <row r="40" spans="1:8" s="5" customFormat="1" ht="94.5" customHeight="1">
      <c r="B40" s="732" t="s">
        <v>26</v>
      </c>
      <c r="C40" s="733"/>
      <c r="D40" s="734"/>
      <c r="E40" s="734"/>
      <c r="F40" s="735"/>
      <c r="H40" s="10"/>
    </row>
    <row r="41" spans="1:8" s="5" customFormat="1" ht="15">
      <c r="H41" s="10"/>
    </row>
    <row r="42" spans="1:8" s="5" customFormat="1" ht="20.100000000000001" customHeight="1">
      <c r="B42" s="617" t="s">
        <v>27</v>
      </c>
      <c r="C42" s="617"/>
      <c r="D42" s="617"/>
      <c r="E42" s="617"/>
      <c r="F42" s="617"/>
      <c r="H42" s="10"/>
    </row>
    <row r="43" spans="1:8" s="5" customFormat="1" ht="15">
      <c r="H43" s="10"/>
    </row>
    <row r="44" spans="1:8" s="5" customFormat="1" ht="20.100000000000001" customHeight="1">
      <c r="A44" s="10"/>
      <c r="B44" s="645" t="str">
        <f>CONCATENATE("Los objetivos educacionales del programa de estudios de ",F6," son:")</f>
        <v>Los objetivos educacionales del programa de estudios de EDUCACIÓN SECUNDARIA CON ESPECIALIDAD EN INGLÉS son:</v>
      </c>
      <c r="C44" s="646"/>
      <c r="D44" s="646"/>
      <c r="E44" s="646"/>
      <c r="F44" s="647"/>
      <c r="H44" s="10"/>
    </row>
    <row r="45" spans="1:8" s="5" customFormat="1" ht="93.75" customHeight="1">
      <c r="B45" s="716"/>
      <c r="C45" s="717"/>
      <c r="D45" s="718"/>
      <c r="E45" s="718"/>
      <c r="F45" s="719"/>
      <c r="H45" s="10"/>
    </row>
    <row r="46" spans="1:8" s="5" customFormat="1" ht="15">
      <c r="B46" s="67"/>
      <c r="C46" s="67"/>
      <c r="D46" s="67"/>
      <c r="E46" s="67"/>
      <c r="F46" s="67"/>
      <c r="H46" s="10"/>
    </row>
    <row r="47" spans="1:8" s="5" customFormat="1" ht="20.100000000000001" customHeight="1">
      <c r="B47" s="617" t="s">
        <v>28</v>
      </c>
      <c r="C47" s="617"/>
      <c r="D47" s="617"/>
      <c r="E47" s="617"/>
      <c r="F47" s="617"/>
      <c r="H47" s="10"/>
    </row>
    <row r="48" spans="1:8" ht="51" customHeight="1">
      <c r="B48" s="709" t="s">
        <v>29</v>
      </c>
      <c r="C48" s="710"/>
      <c r="D48" s="710"/>
      <c r="E48" s="710"/>
      <c r="F48" s="711"/>
    </row>
    <row r="49" spans="2:8" ht="17.25" customHeight="1">
      <c r="B49" s="720" t="str">
        <f>CONCATENATE("A continuación, se detallan las competencias del programa de estudios de ",F6,":")</f>
        <v>A continuación, se detallan las competencias del programa de estudios de EDUCACIÓN SECUNDARIA CON ESPECIALIDAD EN INGLÉS:</v>
      </c>
      <c r="C49" s="721"/>
      <c r="D49" s="721"/>
      <c r="E49" s="721"/>
      <c r="F49" s="722"/>
    </row>
    <row r="50" spans="2:8" ht="13.5" customHeight="1">
      <c r="B50" s="353"/>
      <c r="C50" s="353"/>
      <c r="D50" s="353"/>
      <c r="E50" s="353"/>
      <c r="F50" s="353"/>
    </row>
    <row r="51" spans="2:8" ht="21" customHeight="1">
      <c r="B51" s="693" t="s">
        <v>30</v>
      </c>
      <c r="C51" s="693"/>
      <c r="D51" s="593" t="s">
        <v>31</v>
      </c>
      <c r="E51" s="594" t="s">
        <v>32</v>
      </c>
      <c r="F51" s="594" t="s">
        <v>33</v>
      </c>
    </row>
    <row r="52" spans="2:8" ht="90">
      <c r="B52" s="694" t="s">
        <v>34</v>
      </c>
      <c r="C52" s="695"/>
      <c r="D52" s="537" t="s">
        <v>35</v>
      </c>
      <c r="E52" s="538" t="s">
        <v>36</v>
      </c>
      <c r="F52" s="539" t="s">
        <v>37</v>
      </c>
    </row>
    <row r="53" spans="2:8" ht="75">
      <c r="B53" s="694" t="s">
        <v>38</v>
      </c>
      <c r="C53" s="695"/>
      <c r="D53" s="537" t="s">
        <v>39</v>
      </c>
      <c r="E53" s="538" t="s">
        <v>40</v>
      </c>
      <c r="F53" s="539" t="s">
        <v>41</v>
      </c>
    </row>
    <row r="54" spans="2:8" ht="75">
      <c r="B54" s="694" t="s">
        <v>42</v>
      </c>
      <c r="C54" s="695"/>
      <c r="D54" s="537" t="s">
        <v>43</v>
      </c>
      <c r="E54" s="538" t="s">
        <v>44</v>
      </c>
      <c r="F54" s="539" t="s">
        <v>45</v>
      </c>
    </row>
    <row r="55" spans="2:8" ht="45">
      <c r="B55" s="694" t="s">
        <v>46</v>
      </c>
      <c r="C55" s="695"/>
      <c r="D55" s="537" t="s">
        <v>47</v>
      </c>
      <c r="E55" s="538" t="s">
        <v>48</v>
      </c>
      <c r="F55" s="539" t="s">
        <v>49</v>
      </c>
    </row>
    <row r="56" spans="2:8" ht="60">
      <c r="B56" s="694" t="s">
        <v>50</v>
      </c>
      <c r="C56" s="695"/>
      <c r="D56" s="537" t="s">
        <v>51</v>
      </c>
      <c r="E56" s="538" t="s">
        <v>52</v>
      </c>
      <c r="F56" s="539" t="s">
        <v>53</v>
      </c>
    </row>
    <row r="57" spans="2:8" ht="15" hidden="1">
      <c r="B57" s="694"/>
      <c r="C57" s="695"/>
      <c r="D57" s="349"/>
      <c r="E57" s="350"/>
      <c r="F57" s="356"/>
    </row>
    <row r="58" spans="2:8" s="523" customFormat="1" ht="60">
      <c r="B58" s="696" t="s">
        <v>54</v>
      </c>
      <c r="C58" s="697"/>
      <c r="D58" s="540" t="s">
        <v>55</v>
      </c>
      <c r="E58" s="541" t="s">
        <v>56</v>
      </c>
      <c r="F58" s="542" t="s">
        <v>57</v>
      </c>
      <c r="H58" s="526"/>
    </row>
    <row r="59" spans="2:8" s="523" customFormat="1" ht="60">
      <c r="B59" s="696" t="s">
        <v>58</v>
      </c>
      <c r="C59" s="697"/>
      <c r="D59" s="540" t="s">
        <v>59</v>
      </c>
      <c r="E59" s="541" t="s">
        <v>60</v>
      </c>
      <c r="F59" s="542" t="s">
        <v>61</v>
      </c>
      <c r="H59" s="526"/>
    </row>
    <row r="60" spans="2:8" s="523" customFormat="1" ht="45">
      <c r="B60" s="696" t="s">
        <v>62</v>
      </c>
      <c r="C60" s="697"/>
      <c r="D60" s="540" t="s">
        <v>63</v>
      </c>
      <c r="E60" s="541" t="s">
        <v>64</v>
      </c>
      <c r="F60" s="542" t="s">
        <v>65</v>
      </c>
      <c r="H60" s="526"/>
    </row>
    <row r="61" spans="2:8" s="523" customFormat="1" ht="60">
      <c r="B61" s="696" t="s">
        <v>66</v>
      </c>
      <c r="C61" s="697"/>
      <c r="D61" s="543" t="s">
        <v>67</v>
      </c>
      <c r="E61" s="544" t="s">
        <v>68</v>
      </c>
      <c r="F61" s="542" t="s">
        <v>69</v>
      </c>
      <c r="H61" s="526"/>
    </row>
    <row r="62" spans="2:8" s="523" customFormat="1" ht="75">
      <c r="B62" s="696" t="s">
        <v>70</v>
      </c>
      <c r="C62" s="697"/>
      <c r="D62" s="543" t="s">
        <v>71</v>
      </c>
      <c r="E62" s="544" t="s">
        <v>72</v>
      </c>
      <c r="F62" s="545" t="s">
        <v>73</v>
      </c>
      <c r="H62" s="526"/>
    </row>
    <row r="63" spans="2:8" ht="26.25" customHeight="1">
      <c r="B63" s="698"/>
      <c r="C63" s="699"/>
      <c r="D63" s="218"/>
      <c r="E63" s="216"/>
      <c r="F63" s="217"/>
    </row>
    <row r="64" spans="2:8" ht="15" customHeight="1">
      <c r="B64" s="66"/>
      <c r="C64" s="66"/>
      <c r="D64" s="66"/>
      <c r="E64" s="66"/>
      <c r="F64" s="66"/>
    </row>
    <row r="65" spans="2:9" s="5" customFormat="1" ht="20.100000000000001" customHeight="1">
      <c r="B65" s="617" t="s">
        <v>74</v>
      </c>
      <c r="C65" s="617"/>
      <c r="D65" s="617"/>
      <c r="E65" s="617"/>
      <c r="F65" s="617"/>
      <c r="H65" s="10"/>
    </row>
    <row r="66" spans="2:9" ht="15" customHeight="1">
      <c r="B66" s="18"/>
      <c r="C66" s="18"/>
      <c r="D66" s="18"/>
      <c r="E66" s="19"/>
      <c r="F66" s="19"/>
      <c r="I66" s="5"/>
    </row>
    <row r="67" spans="2:9" s="55" customFormat="1" ht="17.25" customHeight="1">
      <c r="B67" s="593" t="s">
        <v>75</v>
      </c>
      <c r="C67" s="593" t="s">
        <v>76</v>
      </c>
      <c r="D67" s="693" t="s">
        <v>77</v>
      </c>
      <c r="E67" s="693"/>
      <c r="F67" s="693"/>
      <c r="H67" s="56"/>
      <c r="I67" s="57"/>
    </row>
    <row r="68" spans="2:9" s="55" customFormat="1" ht="15">
      <c r="B68" s="637" t="str">
        <f>+B52</f>
        <v>CG1: Comunicación Integral</v>
      </c>
      <c r="C68" s="625" t="s">
        <v>78</v>
      </c>
      <c r="D68" s="644" t="s">
        <v>79</v>
      </c>
      <c r="E68" s="644"/>
      <c r="F68" s="644"/>
      <c r="H68" s="56"/>
      <c r="I68" s="57"/>
    </row>
    <row r="69" spans="2:9" s="55" customFormat="1" ht="15">
      <c r="B69" s="638"/>
      <c r="C69" s="626"/>
      <c r="D69" s="642" t="s">
        <v>80</v>
      </c>
      <c r="E69" s="642"/>
      <c r="F69" s="642"/>
      <c r="H69" s="56"/>
      <c r="I69" s="57"/>
    </row>
    <row r="70" spans="2:9" s="55" customFormat="1" ht="15">
      <c r="B70" s="638"/>
      <c r="C70" s="627"/>
      <c r="D70" s="643" t="s">
        <v>81</v>
      </c>
      <c r="E70" s="643"/>
      <c r="F70" s="643"/>
      <c r="H70" s="56"/>
      <c r="I70" s="57"/>
    </row>
    <row r="71" spans="2:9" s="55" customFormat="1" ht="15">
      <c r="B71" s="638"/>
      <c r="C71" s="625" t="s">
        <v>82</v>
      </c>
      <c r="D71" s="644" t="s">
        <v>83</v>
      </c>
      <c r="E71" s="644"/>
      <c r="F71" s="644"/>
      <c r="H71" s="56"/>
      <c r="I71" s="57"/>
    </row>
    <row r="72" spans="2:9" s="55" customFormat="1" ht="17.45" customHeight="1">
      <c r="B72" s="638"/>
      <c r="C72" s="626"/>
      <c r="D72" s="648"/>
      <c r="E72" s="649"/>
      <c r="F72" s="650"/>
      <c r="H72" s="56"/>
      <c r="I72" s="57"/>
    </row>
    <row r="73" spans="2:9" s="55" customFormat="1" ht="17.45" customHeight="1">
      <c r="B73" s="638"/>
      <c r="C73" s="627"/>
      <c r="D73" s="651"/>
      <c r="E73" s="652"/>
      <c r="F73" s="653"/>
      <c r="H73" s="56"/>
      <c r="I73" s="57"/>
    </row>
    <row r="74" spans="2:9" s="55" customFormat="1" ht="17.45" customHeight="1">
      <c r="B74" s="638"/>
      <c r="C74" s="625" t="s">
        <v>84</v>
      </c>
      <c r="D74" s="644"/>
      <c r="E74" s="644"/>
      <c r="F74" s="644"/>
      <c r="H74" s="56"/>
      <c r="I74" s="57"/>
    </row>
    <row r="75" spans="2:9" s="55" customFormat="1" ht="17.45" customHeight="1">
      <c r="B75" s="638"/>
      <c r="C75" s="626"/>
      <c r="D75" s="648"/>
      <c r="E75" s="649"/>
      <c r="F75" s="650"/>
      <c r="H75" s="56"/>
      <c r="I75" s="57"/>
    </row>
    <row r="76" spans="2:9" s="55" customFormat="1" ht="17.45" customHeight="1">
      <c r="B76" s="639"/>
      <c r="C76" s="627"/>
      <c r="D76" s="651"/>
      <c r="E76" s="652"/>
      <c r="F76" s="653"/>
      <c r="H76" s="56"/>
      <c r="I76" s="57"/>
    </row>
    <row r="77" spans="2:9" s="55" customFormat="1" ht="34.15" customHeight="1">
      <c r="B77" s="637" t="str">
        <f>+B53</f>
        <v>CG2: Comunicación Bilingüe</v>
      </c>
      <c r="C77" s="625" t="s">
        <v>78</v>
      </c>
      <c r="D77" s="644" t="s">
        <v>85</v>
      </c>
      <c r="E77" s="644"/>
      <c r="F77" s="644"/>
      <c r="H77" s="56"/>
      <c r="I77" s="57"/>
    </row>
    <row r="78" spans="2:9" s="55" customFormat="1" ht="34.15" customHeight="1">
      <c r="B78" s="638"/>
      <c r="C78" s="626"/>
      <c r="D78" s="642" t="s">
        <v>86</v>
      </c>
      <c r="E78" s="642"/>
      <c r="F78" s="642"/>
      <c r="H78" s="56"/>
      <c r="I78" s="57"/>
    </row>
    <row r="79" spans="2:9" s="55" customFormat="1" ht="34.15" customHeight="1">
      <c r="B79" s="638"/>
      <c r="C79" s="627"/>
      <c r="D79" s="643" t="s">
        <v>87</v>
      </c>
      <c r="E79" s="643"/>
      <c r="F79" s="643"/>
      <c r="H79" s="56"/>
      <c r="I79" s="57"/>
    </row>
    <row r="80" spans="2:9" s="55" customFormat="1" ht="17.25" customHeight="1">
      <c r="B80" s="638"/>
      <c r="C80" s="625" t="s">
        <v>82</v>
      </c>
      <c r="D80" s="644"/>
      <c r="E80" s="644"/>
      <c r="F80" s="644"/>
      <c r="H80" s="56"/>
      <c r="I80" s="57"/>
    </row>
    <row r="81" spans="2:9" s="55" customFormat="1" ht="27.75" customHeight="1">
      <c r="B81" s="638"/>
      <c r="C81" s="626"/>
      <c r="D81" s="642"/>
      <c r="E81" s="642"/>
      <c r="F81" s="642"/>
      <c r="H81" s="56"/>
      <c r="I81" s="57"/>
    </row>
    <row r="82" spans="2:9" s="55" customFormat="1" ht="18.75" customHeight="1">
      <c r="B82" s="638"/>
      <c r="C82" s="627"/>
      <c r="D82" s="651"/>
      <c r="E82" s="652"/>
      <c r="F82" s="653"/>
      <c r="H82" s="56"/>
      <c r="I82" s="57"/>
    </row>
    <row r="83" spans="2:9" s="55" customFormat="1" ht="18.75" customHeight="1">
      <c r="B83" s="638"/>
      <c r="C83" s="625" t="s">
        <v>84</v>
      </c>
      <c r="D83" s="644"/>
      <c r="E83" s="644"/>
      <c r="F83" s="644"/>
      <c r="H83" s="56"/>
      <c r="I83" s="57"/>
    </row>
    <row r="84" spans="2:9" s="55" customFormat="1" ht="18.75" customHeight="1">
      <c r="B84" s="638"/>
      <c r="C84" s="626"/>
      <c r="D84" s="642"/>
      <c r="E84" s="642"/>
      <c r="F84" s="642"/>
      <c r="H84" s="56"/>
      <c r="I84" s="57"/>
    </row>
    <row r="85" spans="2:9" s="55" customFormat="1" ht="18.75" customHeight="1">
      <c r="B85" s="639"/>
      <c r="C85" s="627"/>
      <c r="D85" s="651"/>
      <c r="E85" s="652"/>
      <c r="F85" s="653"/>
      <c r="H85" s="56"/>
      <c r="I85" s="57"/>
    </row>
    <row r="86" spans="2:9" s="55" customFormat="1" ht="31.15" customHeight="1">
      <c r="B86" s="637" t="str">
        <f>+B54</f>
        <v>CG3: Investigación</v>
      </c>
      <c r="C86" s="625" t="s">
        <v>78</v>
      </c>
      <c r="D86" s="644" t="s">
        <v>88</v>
      </c>
      <c r="E86" s="644"/>
      <c r="F86" s="644"/>
      <c r="H86" s="56"/>
      <c r="I86" s="57"/>
    </row>
    <row r="87" spans="2:9" s="55" customFormat="1" ht="31.15" customHeight="1">
      <c r="B87" s="638"/>
      <c r="C87" s="626"/>
      <c r="D87" s="642" t="s">
        <v>89</v>
      </c>
      <c r="E87" s="642"/>
      <c r="F87" s="642"/>
      <c r="H87" s="56"/>
      <c r="I87" s="57"/>
    </row>
    <row r="88" spans="2:9" s="55" customFormat="1" ht="29.25" customHeight="1">
      <c r="B88" s="638"/>
      <c r="C88" s="627"/>
      <c r="D88" s="643" t="s">
        <v>90</v>
      </c>
      <c r="E88" s="643"/>
      <c r="F88" s="643"/>
      <c r="H88" s="56"/>
      <c r="I88" s="57"/>
    </row>
    <row r="89" spans="2:9" s="55" customFormat="1" ht="17.25" customHeight="1">
      <c r="B89" s="638"/>
      <c r="C89" s="625" t="s">
        <v>82</v>
      </c>
      <c r="D89" s="642"/>
      <c r="E89" s="642"/>
      <c r="F89" s="642"/>
      <c r="H89" s="56"/>
      <c r="I89" s="57"/>
    </row>
    <row r="90" spans="2:9" s="55" customFormat="1" ht="27" customHeight="1">
      <c r="B90" s="638"/>
      <c r="C90" s="626"/>
      <c r="D90" s="642"/>
      <c r="E90" s="642"/>
      <c r="F90" s="642"/>
      <c r="H90" s="56"/>
      <c r="I90" s="57"/>
    </row>
    <row r="91" spans="2:9" s="55" customFormat="1" ht="17.25" customHeight="1">
      <c r="B91" s="638"/>
      <c r="C91" s="627"/>
      <c r="D91" s="643"/>
      <c r="E91" s="643"/>
      <c r="F91" s="643"/>
      <c r="H91" s="56"/>
      <c r="I91" s="57"/>
    </row>
    <row r="92" spans="2:9" s="55" customFormat="1" ht="17.25" customHeight="1">
      <c r="B92" s="638"/>
      <c r="C92" s="625" t="s">
        <v>84</v>
      </c>
      <c r="D92" s="654"/>
      <c r="E92" s="655"/>
      <c r="F92" s="656"/>
      <c r="H92" s="56"/>
      <c r="I92" s="57"/>
    </row>
    <row r="93" spans="2:9" s="55" customFormat="1" ht="17.25" customHeight="1">
      <c r="B93" s="638"/>
      <c r="C93" s="626"/>
      <c r="D93" s="648"/>
      <c r="E93" s="649"/>
      <c r="F93" s="650"/>
      <c r="H93" s="56"/>
      <c r="I93" s="57"/>
    </row>
    <row r="94" spans="2:9" s="55" customFormat="1" ht="17.25" customHeight="1">
      <c r="B94" s="639"/>
      <c r="C94" s="627"/>
      <c r="D94" s="651"/>
      <c r="E94" s="652"/>
      <c r="F94" s="653"/>
      <c r="H94" s="56"/>
      <c r="I94" s="57"/>
    </row>
    <row r="95" spans="2:9" s="55" customFormat="1" ht="27" customHeight="1">
      <c r="B95" s="637" t="str">
        <f>+B55</f>
        <v>CG4: Gestión de Recursos</v>
      </c>
      <c r="C95" s="625" t="s">
        <v>78</v>
      </c>
      <c r="D95" s="644" t="s">
        <v>91</v>
      </c>
      <c r="E95" s="644"/>
      <c r="F95" s="644"/>
      <c r="H95" s="56"/>
      <c r="I95" s="57"/>
    </row>
    <row r="96" spans="2:9" s="55" customFormat="1" ht="23.45" customHeight="1">
      <c r="B96" s="638"/>
      <c r="C96" s="626"/>
      <c r="D96" s="642" t="s">
        <v>92</v>
      </c>
      <c r="E96" s="642"/>
      <c r="F96" s="642"/>
      <c r="H96" s="56"/>
      <c r="I96" s="57"/>
    </row>
    <row r="97" spans="2:9" s="55" customFormat="1" ht="25.15" customHeight="1">
      <c r="B97" s="638"/>
      <c r="C97" s="627"/>
      <c r="D97" s="657" t="s">
        <v>93</v>
      </c>
      <c r="E97" s="657"/>
      <c r="F97" s="657"/>
      <c r="H97" s="56"/>
      <c r="I97" s="57"/>
    </row>
    <row r="98" spans="2:9" s="55" customFormat="1" ht="17.25" customHeight="1">
      <c r="B98" s="638"/>
      <c r="C98" s="625" t="s">
        <v>82</v>
      </c>
      <c r="D98" s="645" t="s">
        <v>94</v>
      </c>
      <c r="E98" s="646"/>
      <c r="F98" s="647"/>
      <c r="H98" s="56"/>
      <c r="I98" s="57"/>
    </row>
    <row r="99" spans="2:9" s="55" customFormat="1" ht="17.25" customHeight="1">
      <c r="B99" s="638"/>
      <c r="C99" s="626"/>
      <c r="D99" s="648"/>
      <c r="E99" s="649"/>
      <c r="F99" s="650"/>
      <c r="H99" s="56"/>
      <c r="I99" s="57"/>
    </row>
    <row r="100" spans="2:9" s="55" customFormat="1" ht="17.25" customHeight="1">
      <c r="B100" s="638"/>
      <c r="C100" s="627"/>
      <c r="D100" s="651"/>
      <c r="E100" s="652"/>
      <c r="F100" s="653"/>
      <c r="H100" s="56"/>
      <c r="I100" s="57"/>
    </row>
    <row r="101" spans="2:9" s="55" customFormat="1" ht="17.25" customHeight="1">
      <c r="B101" s="638"/>
      <c r="C101" s="625" t="s">
        <v>84</v>
      </c>
      <c r="D101" s="654"/>
      <c r="E101" s="655"/>
      <c r="F101" s="656"/>
      <c r="H101" s="56"/>
      <c r="I101" s="57"/>
    </row>
    <row r="102" spans="2:9" s="55" customFormat="1" ht="17.25" customHeight="1">
      <c r="B102" s="638"/>
      <c r="C102" s="626"/>
      <c r="D102" s="648"/>
      <c r="E102" s="649"/>
      <c r="F102" s="650"/>
      <c r="H102" s="56"/>
      <c r="I102" s="57"/>
    </row>
    <row r="103" spans="2:9" s="55" customFormat="1" ht="17.25" customHeight="1">
      <c r="B103" s="639"/>
      <c r="C103" s="627"/>
      <c r="D103" s="651"/>
      <c r="E103" s="652"/>
      <c r="F103" s="653"/>
      <c r="H103" s="56"/>
      <c r="I103" s="57"/>
    </row>
    <row r="104" spans="2:9" ht="25.15" customHeight="1">
      <c r="B104" s="637" t="str">
        <f>+B56</f>
        <v>CG5: Desarrollo Humano</v>
      </c>
      <c r="C104" s="625" t="s">
        <v>78</v>
      </c>
      <c r="D104" s="644" t="s">
        <v>95</v>
      </c>
      <c r="E104" s="644"/>
      <c r="F104" s="644"/>
      <c r="I104" s="5"/>
    </row>
    <row r="105" spans="2:9" ht="25.15" customHeight="1">
      <c r="B105" s="638"/>
      <c r="C105" s="626"/>
      <c r="D105" s="642" t="s">
        <v>96</v>
      </c>
      <c r="E105" s="642"/>
      <c r="F105" s="642"/>
      <c r="I105" s="5"/>
    </row>
    <row r="106" spans="2:9" ht="25.15" customHeight="1">
      <c r="B106" s="638"/>
      <c r="C106" s="627"/>
      <c r="D106" s="643" t="s">
        <v>97</v>
      </c>
      <c r="E106" s="643"/>
      <c r="F106" s="643"/>
      <c r="I106" s="5"/>
    </row>
    <row r="107" spans="2:9" ht="25.15" customHeight="1">
      <c r="B107" s="638"/>
      <c r="C107" s="625" t="s">
        <v>82</v>
      </c>
      <c r="D107" s="644" t="s">
        <v>98</v>
      </c>
      <c r="E107" s="644"/>
      <c r="F107" s="644"/>
      <c r="I107" s="5"/>
    </row>
    <row r="108" spans="2:9" ht="17.25" customHeight="1">
      <c r="B108" s="638"/>
      <c r="C108" s="626"/>
      <c r="D108" s="642"/>
      <c r="E108" s="642"/>
      <c r="F108" s="642"/>
      <c r="I108" s="5"/>
    </row>
    <row r="109" spans="2:9" ht="17.25" customHeight="1">
      <c r="B109" s="638"/>
      <c r="C109" s="627"/>
      <c r="D109" s="643"/>
      <c r="E109" s="643"/>
      <c r="F109" s="643"/>
      <c r="I109" s="5"/>
    </row>
    <row r="110" spans="2:9" ht="17.25" customHeight="1">
      <c r="B110" s="638"/>
      <c r="C110" s="625" t="s">
        <v>84</v>
      </c>
      <c r="D110" s="644"/>
      <c r="E110" s="644"/>
      <c r="F110" s="644"/>
      <c r="I110" s="5"/>
    </row>
    <row r="111" spans="2:9" ht="17.25" customHeight="1">
      <c r="B111" s="638"/>
      <c r="C111" s="626"/>
      <c r="D111" s="642"/>
      <c r="E111" s="642"/>
      <c r="F111" s="642"/>
      <c r="I111" s="5"/>
    </row>
    <row r="112" spans="2:9" ht="17.25" customHeight="1">
      <c r="B112" s="639"/>
      <c r="C112" s="627"/>
      <c r="D112" s="643"/>
      <c r="E112" s="643"/>
      <c r="F112" s="643"/>
      <c r="I112" s="5"/>
    </row>
    <row r="113" spans="2:9" ht="15" hidden="1">
      <c r="B113" s="637">
        <f>+B57</f>
        <v>0</v>
      </c>
      <c r="C113" s="625" t="s">
        <v>78</v>
      </c>
      <c r="D113" s="644"/>
      <c r="E113" s="644"/>
      <c r="F113" s="644"/>
      <c r="I113" s="5"/>
    </row>
    <row r="114" spans="2:9" ht="15" hidden="1">
      <c r="B114" s="638"/>
      <c r="C114" s="626"/>
      <c r="D114" s="642"/>
      <c r="E114" s="642"/>
      <c r="F114" s="642"/>
      <c r="I114" s="5"/>
    </row>
    <row r="115" spans="2:9" ht="15" hidden="1">
      <c r="B115" s="638"/>
      <c r="C115" s="627"/>
      <c r="D115" s="643"/>
      <c r="E115" s="643"/>
      <c r="F115" s="643"/>
      <c r="I115" s="5"/>
    </row>
    <row r="116" spans="2:9" ht="15" hidden="1">
      <c r="B116" s="638"/>
      <c r="C116" s="625" t="s">
        <v>82</v>
      </c>
      <c r="D116" s="644"/>
      <c r="E116" s="644"/>
      <c r="F116" s="644"/>
      <c r="I116" s="5"/>
    </row>
    <row r="117" spans="2:9" ht="15" hidden="1">
      <c r="B117" s="638"/>
      <c r="C117" s="626"/>
      <c r="D117" s="642"/>
      <c r="E117" s="642"/>
      <c r="F117" s="642"/>
      <c r="I117" s="5"/>
    </row>
    <row r="118" spans="2:9" ht="15" hidden="1">
      <c r="B118" s="638"/>
      <c r="C118" s="627"/>
      <c r="D118" s="643"/>
      <c r="E118" s="643"/>
      <c r="F118" s="643"/>
      <c r="I118" s="5"/>
    </row>
    <row r="119" spans="2:9" ht="15" hidden="1">
      <c r="B119" s="638"/>
      <c r="C119" s="625" t="s">
        <v>84</v>
      </c>
      <c r="D119" s="644"/>
      <c r="E119" s="644"/>
      <c r="F119" s="644"/>
      <c r="I119" s="5"/>
    </row>
    <row r="120" spans="2:9" ht="15" hidden="1">
      <c r="B120" s="638"/>
      <c r="C120" s="626"/>
      <c r="D120" s="642"/>
      <c r="E120" s="642"/>
      <c r="F120" s="642"/>
      <c r="I120" s="5"/>
    </row>
    <row r="121" spans="2:9" ht="15" hidden="1">
      <c r="B121" s="639"/>
      <c r="C121" s="627"/>
      <c r="D121" s="643"/>
      <c r="E121" s="643"/>
      <c r="F121" s="643"/>
      <c r="I121" s="5"/>
    </row>
    <row r="122" spans="2:9" ht="15" customHeight="1">
      <c r="B122" s="637" t="str">
        <f>+B58</f>
        <v>CP1: Orientación educativa</v>
      </c>
      <c r="C122" s="625" t="s">
        <v>78</v>
      </c>
      <c r="D122" s="630" t="s">
        <v>99</v>
      </c>
      <c r="E122" s="630"/>
      <c r="F122" s="630"/>
      <c r="I122" s="5"/>
    </row>
    <row r="123" spans="2:9" ht="15" customHeight="1">
      <c r="B123" s="638"/>
      <c r="C123" s="626"/>
      <c r="D123" s="628" t="s">
        <v>100</v>
      </c>
      <c r="E123" s="628"/>
      <c r="F123" s="628"/>
      <c r="I123" s="5"/>
    </row>
    <row r="124" spans="2:9" ht="15" customHeight="1">
      <c r="B124" s="638"/>
      <c r="C124" s="627"/>
      <c r="D124" s="622" t="s">
        <v>101</v>
      </c>
      <c r="E124" s="623"/>
      <c r="F124" s="624"/>
      <c r="I124" s="5"/>
    </row>
    <row r="125" spans="2:9" ht="15" customHeight="1">
      <c r="B125" s="638"/>
      <c r="C125" s="625" t="s">
        <v>82</v>
      </c>
      <c r="D125" s="630"/>
      <c r="E125" s="630"/>
      <c r="F125" s="630"/>
      <c r="I125" s="5"/>
    </row>
    <row r="126" spans="2:9" ht="15" customHeight="1">
      <c r="B126" s="638"/>
      <c r="C126" s="626"/>
      <c r="D126" s="628"/>
      <c r="E126" s="628"/>
      <c r="F126" s="628"/>
      <c r="I126" s="5"/>
    </row>
    <row r="127" spans="2:9" ht="15" customHeight="1">
      <c r="B127" s="638"/>
      <c r="C127" s="627"/>
      <c r="D127" s="622"/>
      <c r="E127" s="623"/>
      <c r="F127" s="624"/>
      <c r="I127" s="5"/>
    </row>
    <row r="128" spans="2:9" ht="15" customHeight="1">
      <c r="B128" s="638"/>
      <c r="C128" s="625" t="s">
        <v>84</v>
      </c>
      <c r="D128" s="630"/>
      <c r="E128" s="630"/>
      <c r="F128" s="630"/>
      <c r="I128" s="5"/>
    </row>
    <row r="129" spans="2:9" ht="15" customHeight="1">
      <c r="B129" s="638"/>
      <c r="C129" s="626"/>
      <c r="D129" s="628"/>
      <c r="E129" s="628"/>
      <c r="F129" s="628"/>
      <c r="I129" s="5"/>
    </row>
    <row r="130" spans="2:9" ht="15" customHeight="1">
      <c r="B130" s="639"/>
      <c r="C130" s="627"/>
      <c r="D130" s="622"/>
      <c r="E130" s="623"/>
      <c r="F130" s="624"/>
      <c r="I130" s="5"/>
    </row>
    <row r="131" spans="2:9" ht="15" customHeight="1">
      <c r="B131" s="637" t="str">
        <f>+B59</f>
        <v>CP2: Desarrollo de gestión educativa</v>
      </c>
      <c r="C131" s="625" t="s">
        <v>78</v>
      </c>
      <c r="D131" s="630" t="s">
        <v>102</v>
      </c>
      <c r="E131" s="630"/>
      <c r="F131" s="630"/>
      <c r="I131" s="5"/>
    </row>
    <row r="132" spans="2:9" ht="15" customHeight="1">
      <c r="B132" s="638"/>
      <c r="C132" s="626"/>
      <c r="D132" s="628" t="s">
        <v>103</v>
      </c>
      <c r="E132" s="628"/>
      <c r="F132" s="628"/>
      <c r="I132" s="5"/>
    </row>
    <row r="133" spans="2:9" ht="15" customHeight="1">
      <c r="B133" s="638"/>
      <c r="C133" s="627"/>
      <c r="D133" s="622" t="s">
        <v>104</v>
      </c>
      <c r="E133" s="623"/>
      <c r="F133" s="624"/>
      <c r="I133" s="5"/>
    </row>
    <row r="134" spans="2:9" ht="15" customHeight="1">
      <c r="B134" s="638"/>
      <c r="C134" s="625" t="s">
        <v>82</v>
      </c>
      <c r="D134" s="630" t="s">
        <v>105</v>
      </c>
      <c r="E134" s="630"/>
      <c r="F134" s="630"/>
      <c r="I134" s="5"/>
    </row>
    <row r="135" spans="2:9" ht="15" customHeight="1">
      <c r="B135" s="638"/>
      <c r="C135" s="626"/>
      <c r="D135" s="628"/>
      <c r="E135" s="628"/>
      <c r="F135" s="628"/>
      <c r="I135" s="5"/>
    </row>
    <row r="136" spans="2:9" ht="15" customHeight="1">
      <c r="B136" s="638"/>
      <c r="C136" s="627"/>
      <c r="D136" s="622"/>
      <c r="E136" s="623"/>
      <c r="F136" s="624"/>
      <c r="I136" s="5"/>
    </row>
    <row r="137" spans="2:9" ht="15" customHeight="1">
      <c r="B137" s="638"/>
      <c r="C137" s="625" t="s">
        <v>84</v>
      </c>
      <c r="D137" s="630"/>
      <c r="E137" s="630"/>
      <c r="F137" s="630"/>
      <c r="I137" s="5"/>
    </row>
    <row r="138" spans="2:9" ht="15" customHeight="1">
      <c r="B138" s="638"/>
      <c r="C138" s="626"/>
      <c r="D138" s="628"/>
      <c r="E138" s="628"/>
      <c r="F138" s="628"/>
      <c r="I138" s="5"/>
    </row>
    <row r="139" spans="2:9" ht="15" customHeight="1">
      <c r="B139" s="639"/>
      <c r="C139" s="627"/>
      <c r="D139" s="622"/>
      <c r="E139" s="623"/>
      <c r="F139" s="624"/>
      <c r="I139" s="5"/>
    </row>
    <row r="140" spans="2:9" ht="15" customHeight="1">
      <c r="B140" s="637" t="str">
        <f>+B60</f>
        <v>CP3: Desarrollo enseñanza y aprendizaje</v>
      </c>
      <c r="C140" s="625" t="s">
        <v>78</v>
      </c>
      <c r="D140" s="630" t="s">
        <v>106</v>
      </c>
      <c r="E140" s="630"/>
      <c r="F140" s="630"/>
      <c r="I140" s="5"/>
    </row>
    <row r="141" spans="2:9" ht="15" customHeight="1">
      <c r="B141" s="638"/>
      <c r="C141" s="626"/>
      <c r="D141" s="628" t="s">
        <v>107</v>
      </c>
      <c r="E141" s="628"/>
      <c r="F141" s="628"/>
      <c r="I141" s="5"/>
    </row>
    <row r="142" spans="2:9" ht="15" customHeight="1">
      <c r="B142" s="638"/>
      <c r="C142" s="627"/>
      <c r="D142" s="622" t="s">
        <v>108</v>
      </c>
      <c r="E142" s="623"/>
      <c r="F142" s="624"/>
      <c r="I142" s="5"/>
    </row>
    <row r="143" spans="2:9" ht="15" customHeight="1">
      <c r="B143" s="638"/>
      <c r="C143" s="625" t="s">
        <v>82</v>
      </c>
      <c r="D143" s="630" t="s">
        <v>109</v>
      </c>
      <c r="E143" s="630"/>
      <c r="F143" s="630"/>
      <c r="I143" s="5"/>
    </row>
    <row r="144" spans="2:9" ht="15" customHeight="1">
      <c r="B144" s="638"/>
      <c r="C144" s="626"/>
      <c r="D144" s="628"/>
      <c r="E144" s="628"/>
      <c r="F144" s="628"/>
      <c r="I144" s="5"/>
    </row>
    <row r="145" spans="2:9" ht="15" customHeight="1">
      <c r="B145" s="638"/>
      <c r="C145" s="627"/>
      <c r="D145" s="622"/>
      <c r="E145" s="623"/>
      <c r="F145" s="624"/>
      <c r="I145" s="5"/>
    </row>
    <row r="146" spans="2:9" ht="15" customHeight="1">
      <c r="B146" s="638"/>
      <c r="C146" s="625" t="s">
        <v>84</v>
      </c>
      <c r="D146" s="630"/>
      <c r="E146" s="630"/>
      <c r="F146" s="630"/>
      <c r="I146" s="5"/>
    </row>
    <row r="147" spans="2:9" ht="15" customHeight="1">
      <c r="B147" s="638"/>
      <c r="C147" s="626"/>
      <c r="D147" s="628"/>
      <c r="E147" s="628"/>
      <c r="F147" s="628"/>
      <c r="I147" s="5"/>
    </row>
    <row r="148" spans="2:9" ht="15" customHeight="1">
      <c r="B148" s="639"/>
      <c r="C148" s="627"/>
      <c r="D148" s="622"/>
      <c r="E148" s="623"/>
      <c r="F148" s="624"/>
      <c r="I148" s="5"/>
    </row>
    <row r="149" spans="2:9" ht="15" customHeight="1">
      <c r="B149" s="637" t="str">
        <f>+B61</f>
        <v>CP4: Investigación Educativa</v>
      </c>
      <c r="C149" s="625" t="s">
        <v>78</v>
      </c>
      <c r="D149" s="630" t="s">
        <v>110</v>
      </c>
      <c r="E149" s="630"/>
      <c r="F149" s="630"/>
      <c r="I149" s="5"/>
    </row>
    <row r="150" spans="2:9" ht="15" customHeight="1">
      <c r="B150" s="638"/>
      <c r="C150" s="626"/>
      <c r="D150" s="628" t="s">
        <v>111</v>
      </c>
      <c r="E150" s="628"/>
      <c r="F150" s="628"/>
      <c r="I150" s="5"/>
    </row>
    <row r="151" spans="2:9" ht="15" customHeight="1">
      <c r="B151" s="638"/>
      <c r="C151" s="627"/>
      <c r="D151" s="622" t="s">
        <v>112</v>
      </c>
      <c r="E151" s="623"/>
      <c r="F151" s="624"/>
      <c r="I151" s="5"/>
    </row>
    <row r="152" spans="2:9" ht="15" customHeight="1">
      <c r="B152" s="638"/>
      <c r="C152" s="625" t="s">
        <v>82</v>
      </c>
      <c r="D152" s="630"/>
      <c r="E152" s="630"/>
      <c r="F152" s="630"/>
      <c r="I152" s="5"/>
    </row>
    <row r="153" spans="2:9" ht="15" customHeight="1">
      <c r="B153" s="638"/>
      <c r="C153" s="626"/>
      <c r="D153" s="628"/>
      <c r="E153" s="628"/>
      <c r="F153" s="628"/>
      <c r="I153" s="5"/>
    </row>
    <row r="154" spans="2:9" ht="15" customHeight="1">
      <c r="B154" s="638"/>
      <c r="C154" s="627"/>
      <c r="D154" s="622"/>
      <c r="E154" s="623"/>
      <c r="F154" s="624"/>
      <c r="I154" s="5"/>
    </row>
    <row r="155" spans="2:9" ht="15" customHeight="1">
      <c r="B155" s="638"/>
      <c r="C155" s="625" t="s">
        <v>84</v>
      </c>
      <c r="D155" s="630"/>
      <c r="E155" s="630"/>
      <c r="F155" s="630"/>
      <c r="I155" s="5"/>
    </row>
    <row r="156" spans="2:9" ht="15" customHeight="1">
      <c r="B156" s="638"/>
      <c r="C156" s="626"/>
      <c r="D156" s="628"/>
      <c r="E156" s="628"/>
      <c r="F156" s="628"/>
      <c r="I156" s="5"/>
    </row>
    <row r="157" spans="2:9" ht="15" customHeight="1">
      <c r="B157" s="639"/>
      <c r="C157" s="627"/>
      <c r="D157" s="622"/>
      <c r="E157" s="623"/>
      <c r="F157" s="624"/>
      <c r="I157" s="5"/>
    </row>
    <row r="158" spans="2:9" ht="15" customHeight="1">
      <c r="B158" s="637" t="str">
        <f>+B62</f>
        <v>CP5: Comprensión y expresión del idioma inglés</v>
      </c>
      <c r="C158" s="625" t="s">
        <v>78</v>
      </c>
      <c r="D158" s="630" t="s">
        <v>113</v>
      </c>
      <c r="E158" s="630"/>
      <c r="F158" s="630"/>
      <c r="I158" s="5"/>
    </row>
    <row r="159" spans="2:9" ht="15" customHeight="1">
      <c r="B159" s="638"/>
      <c r="C159" s="626"/>
      <c r="D159" s="628" t="s">
        <v>114</v>
      </c>
      <c r="E159" s="628"/>
      <c r="F159" s="628"/>
      <c r="I159" s="5"/>
    </row>
    <row r="160" spans="2:9" ht="15" customHeight="1">
      <c r="B160" s="638"/>
      <c r="C160" s="627"/>
      <c r="D160" s="622" t="s">
        <v>115</v>
      </c>
      <c r="E160" s="623"/>
      <c r="F160" s="624"/>
      <c r="I160" s="5"/>
    </row>
    <row r="161" spans="2:9" ht="15" customHeight="1">
      <c r="B161" s="638"/>
      <c r="C161" s="625" t="s">
        <v>82</v>
      </c>
      <c r="D161" s="630" t="s">
        <v>116</v>
      </c>
      <c r="E161" s="630"/>
      <c r="F161" s="630"/>
      <c r="I161" s="5"/>
    </row>
    <row r="162" spans="2:9" ht="15" customHeight="1">
      <c r="B162" s="638"/>
      <c r="C162" s="626"/>
      <c r="D162" s="628"/>
      <c r="E162" s="628"/>
      <c r="F162" s="628"/>
      <c r="I162" s="5"/>
    </row>
    <row r="163" spans="2:9" ht="15" customHeight="1">
      <c r="B163" s="638"/>
      <c r="C163" s="627"/>
      <c r="D163" s="622"/>
      <c r="E163" s="623"/>
      <c r="F163" s="624"/>
      <c r="I163" s="5"/>
    </row>
    <row r="164" spans="2:9" ht="15" customHeight="1">
      <c r="B164" s="638"/>
      <c r="C164" s="625" t="s">
        <v>84</v>
      </c>
      <c r="D164" s="630"/>
      <c r="E164" s="630"/>
      <c r="F164" s="630"/>
      <c r="I164" s="5"/>
    </row>
    <row r="165" spans="2:9" ht="15" customHeight="1">
      <c r="B165" s="638"/>
      <c r="C165" s="626"/>
      <c r="D165" s="628"/>
      <c r="E165" s="628"/>
      <c r="F165" s="628"/>
      <c r="I165" s="5"/>
    </row>
    <row r="166" spans="2:9" ht="15" customHeight="1">
      <c r="B166" s="639"/>
      <c r="C166" s="627"/>
      <c r="D166" s="622"/>
      <c r="E166" s="623"/>
      <c r="F166" s="624"/>
      <c r="I166" s="5"/>
    </row>
    <row r="167" spans="2:9" ht="15" hidden="1" customHeight="1">
      <c r="B167" s="637">
        <f>+B63</f>
        <v>0</v>
      </c>
      <c r="C167" s="625" t="s">
        <v>78</v>
      </c>
      <c r="D167" s="630"/>
      <c r="E167" s="630"/>
      <c r="F167" s="630"/>
      <c r="I167" s="5"/>
    </row>
    <row r="168" spans="2:9" ht="15" hidden="1" customHeight="1">
      <c r="B168" s="638"/>
      <c r="C168" s="626"/>
      <c r="D168" s="628"/>
      <c r="E168" s="628"/>
      <c r="F168" s="628"/>
      <c r="I168" s="5"/>
    </row>
    <row r="169" spans="2:9" ht="15" hidden="1" customHeight="1">
      <c r="B169" s="638"/>
      <c r="C169" s="627"/>
      <c r="D169" s="622"/>
      <c r="E169" s="623"/>
      <c r="F169" s="624"/>
      <c r="I169" s="5"/>
    </row>
    <row r="170" spans="2:9" ht="15" hidden="1" customHeight="1">
      <c r="B170" s="638"/>
      <c r="C170" s="625" t="s">
        <v>82</v>
      </c>
      <c r="D170" s="630"/>
      <c r="E170" s="630"/>
      <c r="F170" s="630"/>
      <c r="I170" s="5"/>
    </row>
    <row r="171" spans="2:9" ht="15" hidden="1" customHeight="1">
      <c r="B171" s="638"/>
      <c r="C171" s="626"/>
      <c r="D171" s="628"/>
      <c r="E171" s="628"/>
      <c r="F171" s="628"/>
      <c r="I171" s="5"/>
    </row>
    <row r="172" spans="2:9" ht="15" hidden="1" customHeight="1">
      <c r="B172" s="638"/>
      <c r="C172" s="627"/>
      <c r="D172" s="622"/>
      <c r="E172" s="623"/>
      <c r="F172" s="624"/>
      <c r="I172" s="5"/>
    </row>
    <row r="173" spans="2:9" ht="15" hidden="1" customHeight="1">
      <c r="B173" s="638"/>
      <c r="C173" s="625" t="s">
        <v>84</v>
      </c>
      <c r="D173" s="630"/>
      <c r="E173" s="630"/>
      <c r="F173" s="630"/>
      <c r="I173" s="5"/>
    </row>
    <row r="174" spans="2:9" ht="15" hidden="1" customHeight="1">
      <c r="B174" s="638"/>
      <c r="C174" s="626"/>
      <c r="D174" s="628"/>
      <c r="E174" s="628"/>
      <c r="F174" s="628"/>
      <c r="I174" s="5"/>
    </row>
    <row r="175" spans="2:9" ht="15" hidden="1" customHeight="1">
      <c r="B175" s="639"/>
      <c r="C175" s="627"/>
      <c r="D175" s="622"/>
      <c r="E175" s="623"/>
      <c r="F175" s="624"/>
      <c r="I175" s="5"/>
    </row>
    <row r="176" spans="2:9" ht="15" customHeight="1">
      <c r="B176" s="18"/>
      <c r="C176" s="18"/>
      <c r="D176" s="18"/>
      <c r="E176" s="19"/>
      <c r="F176" s="19"/>
      <c r="I176" s="5"/>
    </row>
    <row r="177" spans="2:9" s="5" customFormat="1" ht="20.100000000000001" customHeight="1">
      <c r="B177" s="617" t="s">
        <v>117</v>
      </c>
      <c r="C177" s="617"/>
      <c r="D177" s="617"/>
      <c r="E177" s="617"/>
      <c r="F177" s="617"/>
      <c r="H177" s="10"/>
    </row>
    <row r="178" spans="2:9" ht="12" customHeight="1">
      <c r="B178" s="18"/>
      <c r="C178" s="18"/>
      <c r="D178" s="18"/>
      <c r="E178" s="19"/>
      <c r="F178" s="19"/>
      <c r="I178" s="5"/>
    </row>
    <row r="179" spans="2:9" ht="165.75" customHeight="1">
      <c r="B179" s="631" t="s">
        <v>118</v>
      </c>
      <c r="C179" s="632"/>
      <c r="D179" s="632"/>
      <c r="E179" s="632"/>
      <c r="F179" s="633"/>
    </row>
    <row r="181" spans="2:9" s="5" customFormat="1" ht="18.75" customHeight="1">
      <c r="B181" s="617" t="s">
        <v>119</v>
      </c>
      <c r="C181" s="617"/>
      <c r="D181" s="617"/>
      <c r="E181" s="617"/>
      <c r="F181" s="617"/>
      <c r="H181" s="10"/>
    </row>
    <row r="182" spans="2:9" ht="172.5" customHeight="1">
      <c r="B182" s="685" t="s">
        <v>120</v>
      </c>
      <c r="C182" s="686"/>
      <c r="D182" s="686"/>
      <c r="E182" s="686"/>
      <c r="F182" s="687"/>
    </row>
    <row r="183" spans="2:9" ht="182.25" customHeight="1">
      <c r="B183" s="688"/>
      <c r="C183" s="689"/>
      <c r="D183" s="689"/>
      <c r="E183" s="689"/>
      <c r="F183" s="690"/>
    </row>
    <row r="184" spans="2:9" ht="35.25" customHeight="1">
      <c r="B184" s="682" t="s">
        <v>121</v>
      </c>
      <c r="C184" s="683"/>
      <c r="D184" s="683"/>
      <c r="E184" s="683"/>
      <c r="F184" s="684"/>
    </row>
    <row r="185" spans="2:9" ht="18.75" customHeight="1">
      <c r="B185" s="636" t="s">
        <v>122</v>
      </c>
      <c r="C185" s="636"/>
      <c r="D185" s="636" t="s">
        <v>123</v>
      </c>
      <c r="E185" s="636"/>
      <c r="F185" s="485" t="s">
        <v>124</v>
      </c>
    </row>
    <row r="186" spans="2:9" ht="50.25" customHeight="1">
      <c r="B186" s="634"/>
      <c r="C186" s="635"/>
      <c r="D186" s="691" t="str">
        <f>IF(B186="","",VLOOKUP(B186,DATOS!$A$196:$B$204,2,0))</f>
        <v/>
      </c>
      <c r="E186" s="692"/>
      <c r="F186" s="483"/>
    </row>
    <row r="187" spans="2:9" ht="39.950000000000003" customHeight="1">
      <c r="B187" s="634"/>
      <c r="C187" s="635"/>
      <c r="D187" s="691" t="str">
        <f>IF(B187="","",VLOOKUP(B187,DATOS!$A$196:$B$204,2,0))</f>
        <v/>
      </c>
      <c r="E187" s="692"/>
      <c r="F187" s="483"/>
    </row>
    <row r="188" spans="2:9" ht="39.950000000000003" customHeight="1">
      <c r="B188" s="634"/>
      <c r="C188" s="635"/>
      <c r="D188" s="691" t="str">
        <f>IF(B188="","",VLOOKUP(B188,DATOS!$A$196:$B$204,2,0))</f>
        <v/>
      </c>
      <c r="E188" s="692"/>
      <c r="F188" s="483"/>
    </row>
    <row r="189" spans="2:9" ht="39.950000000000003" customHeight="1">
      <c r="B189" s="634"/>
      <c r="C189" s="635"/>
      <c r="D189" s="691" t="str">
        <f>IF(B189="","",VLOOKUP(B189,DATOS!$A$196:$B$204,2,0))</f>
        <v/>
      </c>
      <c r="E189" s="692"/>
      <c r="F189" s="483"/>
    </row>
    <row r="190" spans="2:9" ht="39.950000000000003" customHeight="1">
      <c r="B190" s="634"/>
      <c r="C190" s="635"/>
      <c r="D190" s="691" t="str">
        <f>IF(B190="","",VLOOKUP(B190,DATOS!$A$196:$B$204,2,0))</f>
        <v/>
      </c>
      <c r="E190" s="692"/>
      <c r="F190" s="483"/>
    </row>
    <row r="191" spans="2:9" ht="42" customHeight="1">
      <c r="B191" s="640" t="s">
        <v>125</v>
      </c>
      <c r="C191" s="641"/>
      <c r="D191" s="680" t="s">
        <v>126</v>
      </c>
      <c r="E191" s="681"/>
      <c r="F191" s="483"/>
    </row>
    <row r="192" spans="2:9" ht="42" customHeight="1">
      <c r="B192" s="640" t="s">
        <v>125</v>
      </c>
      <c r="C192" s="641"/>
      <c r="D192" s="680" t="s">
        <v>126</v>
      </c>
      <c r="E192" s="681"/>
      <c r="F192" s="484"/>
    </row>
    <row r="194" spans="2:17" ht="18.75" customHeight="1">
      <c r="B194" s="617" t="s">
        <v>127</v>
      </c>
      <c r="C194" s="617"/>
      <c r="D194" s="617"/>
      <c r="E194" s="617"/>
      <c r="F194" s="617"/>
    </row>
    <row r="195" spans="2:17" ht="159.75" customHeight="1">
      <c r="B195" s="631" t="s">
        <v>128</v>
      </c>
      <c r="C195" s="632"/>
      <c r="D195" s="632"/>
      <c r="E195" s="632"/>
      <c r="F195" s="633"/>
    </row>
    <row r="196" spans="2:17" ht="34.5" customHeight="1">
      <c r="B196" s="631" t="s">
        <v>129</v>
      </c>
      <c r="C196" s="632"/>
      <c r="D196" s="632"/>
      <c r="E196" s="632"/>
      <c r="F196" s="633"/>
    </row>
    <row r="197" spans="2:17" ht="33" customHeight="1">
      <c r="B197" s="618"/>
      <c r="C197" s="619"/>
      <c r="D197" s="629" t="str">
        <f>IF(B197="","",VLOOKUP(B197,DATOS!$G$185:$H$190,2,0))</f>
        <v/>
      </c>
      <c r="E197" s="629"/>
      <c r="F197" s="629"/>
      <c r="H197" s="357"/>
      <c r="I197" s="357"/>
      <c r="J197" s="357"/>
      <c r="K197" s="357"/>
      <c r="L197" s="357"/>
      <c r="M197" s="357"/>
      <c r="N197" s="357"/>
      <c r="O197" s="357"/>
    </row>
    <row r="198" spans="2:17" ht="32.25" customHeight="1">
      <c r="B198" s="618"/>
      <c r="C198" s="619"/>
      <c r="D198" s="629" t="str">
        <f>IF(B198="","",VLOOKUP(B198,DATOS!$G$185:$H$190,2,0))</f>
        <v/>
      </c>
      <c r="E198" s="629"/>
      <c r="F198" s="629"/>
    </row>
    <row r="199" spans="2:17" ht="27.75" customHeight="1">
      <c r="B199" s="618"/>
      <c r="C199" s="619"/>
      <c r="D199" s="629" t="str">
        <f>IF(B199="","",VLOOKUP(B199,DATOS!$G$185:$H$190,2,0))</f>
        <v/>
      </c>
      <c r="E199" s="629"/>
      <c r="F199" s="629"/>
    </row>
    <row r="200" spans="2:17" ht="30.75" customHeight="1">
      <c r="B200" s="618"/>
      <c r="C200" s="619"/>
      <c r="D200" s="629" t="str">
        <f>IF(B200="","",VLOOKUP(B200,DATOS!$G$185:$H$190,2,0))</f>
        <v/>
      </c>
      <c r="E200" s="629"/>
      <c r="F200" s="629"/>
    </row>
    <row r="201" spans="2:17" ht="32.25" customHeight="1">
      <c r="B201" s="618"/>
      <c r="C201" s="619"/>
      <c r="D201" s="629" t="str">
        <f>IF(B201="","",VLOOKUP(B201,DATOS!$G$185:$H$190,2,0))</f>
        <v/>
      </c>
      <c r="E201" s="629"/>
      <c r="F201" s="629"/>
    </row>
    <row r="202" spans="2:17" ht="30.75" customHeight="1">
      <c r="B202" s="618"/>
      <c r="C202" s="619"/>
      <c r="D202" s="629" t="str">
        <f>IF(B202="","",VLOOKUP(B202,DATOS!$G$185:$H$190,2,0))</f>
        <v/>
      </c>
      <c r="E202" s="629"/>
      <c r="F202" s="629"/>
    </row>
    <row r="203" spans="2:17" ht="15" customHeight="1">
      <c r="B203" s="672" t="s">
        <v>130</v>
      </c>
      <c r="C203" s="673"/>
      <c r="D203" s="673"/>
      <c r="E203" s="673"/>
      <c r="F203" s="674"/>
      <c r="H203" s="361"/>
      <c r="I203" s="361"/>
      <c r="J203" s="361"/>
      <c r="K203" s="361"/>
      <c r="L203" s="361"/>
      <c r="M203" s="361"/>
      <c r="N203" s="361"/>
      <c r="O203" s="361"/>
      <c r="P203" s="361"/>
      <c r="Q203" s="362"/>
    </row>
    <row r="204" spans="2:17" ht="15">
      <c r="B204" s="620"/>
      <c r="C204" s="621"/>
      <c r="D204" s="675"/>
      <c r="E204" s="675"/>
      <c r="F204" s="675"/>
    </row>
    <row r="205" spans="2:17" ht="15">
      <c r="B205" s="620"/>
      <c r="C205" s="621"/>
      <c r="D205" s="675"/>
      <c r="E205" s="675"/>
      <c r="F205" s="675"/>
    </row>
    <row r="206" spans="2:17" ht="15">
      <c r="B206" s="620"/>
      <c r="C206" s="621"/>
      <c r="D206" s="675"/>
      <c r="E206" s="675"/>
      <c r="F206" s="675"/>
    </row>
    <row r="207" spans="2:17" ht="15">
      <c r="B207" s="620"/>
      <c r="C207" s="621"/>
      <c r="D207" s="675"/>
      <c r="E207" s="675"/>
      <c r="F207" s="675"/>
    </row>
    <row r="209" spans="2:17" ht="23.25" customHeight="1">
      <c r="B209" s="676" t="s">
        <v>131</v>
      </c>
      <c r="C209" s="676"/>
      <c r="D209" s="676"/>
      <c r="E209" s="676"/>
      <c r="F209" s="676"/>
      <c r="H209" s="202"/>
      <c r="I209" s="202"/>
      <c r="J209" s="202"/>
      <c r="K209" s="202"/>
      <c r="L209" s="202"/>
      <c r="M209" s="202"/>
      <c r="N209" s="202"/>
      <c r="O209" s="202"/>
      <c r="P209" s="202"/>
      <c r="Q209" s="202"/>
    </row>
    <row r="211" spans="2:17" ht="31.5" customHeight="1">
      <c r="B211" s="678" t="s">
        <v>132</v>
      </c>
      <c r="C211" s="679"/>
      <c r="D211" s="677" t="s">
        <v>133</v>
      </c>
      <c r="E211" s="677"/>
      <c r="F211" s="677"/>
      <c r="H211" s="363"/>
      <c r="I211" s="363"/>
      <c r="J211" s="363"/>
      <c r="K211" s="363"/>
      <c r="L211" s="363"/>
      <c r="M211" s="363"/>
      <c r="N211" s="363"/>
      <c r="O211" s="363"/>
    </row>
    <row r="213" spans="2:17" ht="39.75" customHeight="1">
      <c r="B213" s="664" t="s">
        <v>134</v>
      </c>
      <c r="C213" s="665"/>
      <c r="D213" s="666"/>
      <c r="E213" s="666"/>
      <c r="F213" s="667"/>
      <c r="H213" s="364"/>
      <c r="I213" s="364"/>
      <c r="J213" s="364"/>
      <c r="K213" s="364"/>
      <c r="L213" s="364"/>
      <c r="M213" s="364"/>
      <c r="N213" s="364"/>
      <c r="O213" s="364"/>
      <c r="P213" s="364"/>
      <c r="Q213" s="365"/>
    </row>
    <row r="214" spans="2:17" ht="39.75" customHeight="1">
      <c r="B214" s="668"/>
      <c r="C214" s="669"/>
      <c r="D214" s="670"/>
      <c r="E214" s="670"/>
      <c r="F214" s="671"/>
      <c r="H214" s="366"/>
      <c r="I214" s="366"/>
      <c r="J214" s="366"/>
      <c r="K214" s="366"/>
      <c r="L214" s="366"/>
      <c r="M214" s="366"/>
      <c r="N214" s="366"/>
      <c r="O214" s="366"/>
      <c r="P214" s="366"/>
      <c r="Q214" s="366"/>
    </row>
    <row r="216" spans="2:17" ht="18.75" customHeight="1">
      <c r="B216" s="617" t="s">
        <v>135</v>
      </c>
      <c r="C216" s="617"/>
      <c r="D216" s="617"/>
      <c r="E216" s="617"/>
      <c r="F216" s="617"/>
    </row>
    <row r="217" spans="2:17" ht="354" customHeight="1">
      <c r="B217" s="658" t="s">
        <v>136</v>
      </c>
      <c r="C217" s="659"/>
      <c r="D217" s="659"/>
      <c r="E217" s="659"/>
      <c r="F217" s="660"/>
      <c r="H217" s="367"/>
      <c r="I217" s="367"/>
      <c r="J217" s="367"/>
      <c r="K217" s="367"/>
      <c r="L217" s="367"/>
      <c r="M217" s="367"/>
      <c r="N217" s="367"/>
      <c r="O217" s="367"/>
      <c r="P217" s="367"/>
      <c r="Q217" s="368"/>
    </row>
    <row r="219" spans="2:17" ht="18.75" customHeight="1">
      <c r="B219" s="617" t="s">
        <v>137</v>
      </c>
      <c r="C219" s="617"/>
      <c r="D219" s="617"/>
      <c r="E219" s="617"/>
      <c r="F219" s="617"/>
    </row>
    <row r="220" spans="2:17" ht="380.25" customHeight="1">
      <c r="B220" s="658" t="s">
        <v>138</v>
      </c>
      <c r="C220" s="659"/>
      <c r="D220" s="659"/>
      <c r="E220" s="659"/>
      <c r="F220" s="660"/>
      <c r="H220" s="369"/>
      <c r="I220" s="369"/>
      <c r="J220" s="369"/>
      <c r="K220" s="369"/>
      <c r="L220" s="369"/>
      <c r="M220" s="369"/>
      <c r="N220" s="369"/>
      <c r="O220" s="369"/>
      <c r="P220" s="369"/>
      <c r="Q220" s="370"/>
    </row>
    <row r="221" spans="2:17" ht="39.75" customHeight="1">
      <c r="B221" s="661" t="s">
        <v>139</v>
      </c>
      <c r="C221" s="662"/>
      <c r="D221" s="662"/>
      <c r="E221" s="662"/>
      <c r="F221" s="663"/>
      <c r="H221" s="371"/>
      <c r="I221" s="371"/>
      <c r="J221" s="371"/>
      <c r="K221" s="371"/>
      <c r="L221" s="371"/>
      <c r="M221" s="371"/>
      <c r="N221" s="371"/>
      <c r="O221" s="371"/>
      <c r="P221" s="371"/>
      <c r="Q221" s="372"/>
    </row>
  </sheetData>
  <sheetProtection formatRows="0" selectLockedCells="1" sort="0" autoFilter="0" pivotTables="0"/>
  <mergeCells count="251">
    <mergeCell ref="B140:B148"/>
    <mergeCell ref="D155:F155"/>
    <mergeCell ref="B158:B166"/>
    <mergeCell ref="D164:F164"/>
    <mergeCell ref="D165:F165"/>
    <mergeCell ref="D158:F158"/>
    <mergeCell ref="D167:F167"/>
    <mergeCell ref="B4:F4"/>
    <mergeCell ref="B167:B175"/>
    <mergeCell ref="D140:F140"/>
    <mergeCell ref="D68:F68"/>
    <mergeCell ref="D88:F88"/>
    <mergeCell ref="D89:F89"/>
    <mergeCell ref="D90:F90"/>
    <mergeCell ref="B131:B139"/>
    <mergeCell ref="D132:F132"/>
    <mergeCell ref="D138:F138"/>
    <mergeCell ref="D139:F139"/>
    <mergeCell ref="D114:F114"/>
    <mergeCell ref="D115:F115"/>
    <mergeCell ref="D116:F116"/>
    <mergeCell ref="B122:B130"/>
    <mergeCell ref="D128:F128"/>
    <mergeCell ref="D129:F129"/>
    <mergeCell ref="B2:F2"/>
    <mergeCell ref="B28:F28"/>
    <mergeCell ref="B45:F45"/>
    <mergeCell ref="B49:F49"/>
    <mergeCell ref="D10:F10"/>
    <mergeCell ref="D12:F12"/>
    <mergeCell ref="B38:F38"/>
    <mergeCell ref="B39:F39"/>
    <mergeCell ref="B40:F40"/>
    <mergeCell ref="B32:F32"/>
    <mergeCell ref="B33:F33"/>
    <mergeCell ref="B34:F34"/>
    <mergeCell ref="B36:F36"/>
    <mergeCell ref="B30:F30"/>
    <mergeCell ref="B42:F42"/>
    <mergeCell ref="B47:F47"/>
    <mergeCell ref="D130:F130"/>
    <mergeCell ref="D131:F131"/>
    <mergeCell ref="B20:F20"/>
    <mergeCell ref="B21:F21"/>
    <mergeCell ref="B23:F23"/>
    <mergeCell ref="B22:F22"/>
    <mergeCell ref="B27:F27"/>
    <mergeCell ref="B44:F44"/>
    <mergeCell ref="D78:F78"/>
    <mergeCell ref="D79:F79"/>
    <mergeCell ref="C74:C76"/>
    <mergeCell ref="D72:F72"/>
    <mergeCell ref="D73:F73"/>
    <mergeCell ref="D74:F74"/>
    <mergeCell ref="D75:F75"/>
    <mergeCell ref="D76:F76"/>
    <mergeCell ref="D67:F67"/>
    <mergeCell ref="D69:F69"/>
    <mergeCell ref="D70:F70"/>
    <mergeCell ref="D71:F71"/>
    <mergeCell ref="C77:C79"/>
    <mergeCell ref="B48:F48"/>
    <mergeCell ref="B65:F65"/>
    <mergeCell ref="B25:F25"/>
    <mergeCell ref="D142:F142"/>
    <mergeCell ref="B51:C51"/>
    <mergeCell ref="B52:C52"/>
    <mergeCell ref="B53:C53"/>
    <mergeCell ref="B54:C54"/>
    <mergeCell ref="B55:C55"/>
    <mergeCell ref="B56:C56"/>
    <mergeCell ref="B57:C57"/>
    <mergeCell ref="B58:C58"/>
    <mergeCell ref="B59:C59"/>
    <mergeCell ref="B60:C60"/>
    <mergeCell ref="B61:C61"/>
    <mergeCell ref="B62:C62"/>
    <mergeCell ref="B63:C63"/>
    <mergeCell ref="C68:C70"/>
    <mergeCell ref="C71:C73"/>
    <mergeCell ref="C80:C82"/>
    <mergeCell ref="C83:C85"/>
    <mergeCell ref="B77:B85"/>
    <mergeCell ref="D82:F82"/>
    <mergeCell ref="D83:F83"/>
    <mergeCell ref="D84:F84"/>
    <mergeCell ref="D85:F85"/>
    <mergeCell ref="C86:C88"/>
    <mergeCell ref="B149:B157"/>
    <mergeCell ref="B192:C192"/>
    <mergeCell ref="D191:E191"/>
    <mergeCell ref="D192:E192"/>
    <mergeCell ref="B197:C197"/>
    <mergeCell ref="B198:C198"/>
    <mergeCell ref="B199:C199"/>
    <mergeCell ref="B200:C200"/>
    <mergeCell ref="B184:F184"/>
    <mergeCell ref="B177:F177"/>
    <mergeCell ref="B179:F179"/>
    <mergeCell ref="B181:F181"/>
    <mergeCell ref="B182:F183"/>
    <mergeCell ref="D185:E185"/>
    <mergeCell ref="D186:E186"/>
    <mergeCell ref="D187:E187"/>
    <mergeCell ref="D188:E188"/>
    <mergeCell ref="D189:E189"/>
    <mergeCell ref="D190:E190"/>
    <mergeCell ref="C155:C157"/>
    <mergeCell ref="C158:C160"/>
    <mergeCell ref="C161:C163"/>
    <mergeCell ref="D161:F161"/>
    <mergeCell ref="D162:F162"/>
    <mergeCell ref="B219:F219"/>
    <mergeCell ref="B220:F220"/>
    <mergeCell ref="B221:F221"/>
    <mergeCell ref="B213:F213"/>
    <mergeCell ref="B214:F214"/>
    <mergeCell ref="B216:F216"/>
    <mergeCell ref="B217:F217"/>
    <mergeCell ref="B203:F203"/>
    <mergeCell ref="D204:F204"/>
    <mergeCell ref="D205:F205"/>
    <mergeCell ref="D206:F206"/>
    <mergeCell ref="D207:F207"/>
    <mergeCell ref="B209:F209"/>
    <mergeCell ref="D211:F211"/>
    <mergeCell ref="B207:C207"/>
    <mergeCell ref="B211:C211"/>
    <mergeCell ref="B205:C205"/>
    <mergeCell ref="B206:C206"/>
    <mergeCell ref="D80:F80"/>
    <mergeCell ref="D86:F86"/>
    <mergeCell ref="D77:F77"/>
    <mergeCell ref="D87:F87"/>
    <mergeCell ref="D81:F81"/>
    <mergeCell ref="C89:C91"/>
    <mergeCell ref="D91:F91"/>
    <mergeCell ref="C92:C94"/>
    <mergeCell ref="B86:B94"/>
    <mergeCell ref="D92:F92"/>
    <mergeCell ref="D93:F93"/>
    <mergeCell ref="D94:F94"/>
    <mergeCell ref="B95:B103"/>
    <mergeCell ref="C95:C97"/>
    <mergeCell ref="C98:C100"/>
    <mergeCell ref="C101:C103"/>
    <mergeCell ref="D98:F98"/>
    <mergeCell ref="D99:F99"/>
    <mergeCell ref="D100:F100"/>
    <mergeCell ref="D101:F101"/>
    <mergeCell ref="D102:F102"/>
    <mergeCell ref="D103:F103"/>
    <mergeCell ref="D96:F96"/>
    <mergeCell ref="D97:F97"/>
    <mergeCell ref="D95:F95"/>
    <mergeCell ref="C104:C106"/>
    <mergeCell ref="C107:C109"/>
    <mergeCell ref="C110:C112"/>
    <mergeCell ref="B104:B112"/>
    <mergeCell ref="D108:F108"/>
    <mergeCell ref="D109:F109"/>
    <mergeCell ref="D110:F110"/>
    <mergeCell ref="D111:F111"/>
    <mergeCell ref="D112:F112"/>
    <mergeCell ref="D104:F104"/>
    <mergeCell ref="D106:F106"/>
    <mergeCell ref="D105:F105"/>
    <mergeCell ref="D107:F107"/>
    <mergeCell ref="D125:F125"/>
    <mergeCell ref="C113:C115"/>
    <mergeCell ref="C116:C118"/>
    <mergeCell ref="C119:C121"/>
    <mergeCell ref="B113:B121"/>
    <mergeCell ref="D117:F117"/>
    <mergeCell ref="D118:F118"/>
    <mergeCell ref="D119:F119"/>
    <mergeCell ref="D120:F120"/>
    <mergeCell ref="D121:F121"/>
    <mergeCell ref="D113:F113"/>
    <mergeCell ref="D156:F156"/>
    <mergeCell ref="D157:F157"/>
    <mergeCell ref="D149:F149"/>
    <mergeCell ref="D175:F175"/>
    <mergeCell ref="D166:F166"/>
    <mergeCell ref="D141:F141"/>
    <mergeCell ref="D144:F144"/>
    <mergeCell ref="B191:C191"/>
    <mergeCell ref="C122:C124"/>
    <mergeCell ref="C125:C127"/>
    <mergeCell ref="C128:C130"/>
    <mergeCell ref="C131:C133"/>
    <mergeCell ref="D133:F133"/>
    <mergeCell ref="C134:C136"/>
    <mergeCell ref="D134:F134"/>
    <mergeCell ref="D135:F135"/>
    <mergeCell ref="C137:C139"/>
    <mergeCell ref="D122:F122"/>
    <mergeCell ref="D137:F137"/>
    <mergeCell ref="D123:F123"/>
    <mergeCell ref="D127:F127"/>
    <mergeCell ref="D136:F136"/>
    <mergeCell ref="D126:F126"/>
    <mergeCell ref="D124:F124"/>
    <mergeCell ref="B190:C190"/>
    <mergeCell ref="B185:C185"/>
    <mergeCell ref="B196:F196"/>
    <mergeCell ref="B68:B76"/>
    <mergeCell ref="D159:F159"/>
    <mergeCell ref="D160:F160"/>
    <mergeCell ref="D169:F169"/>
    <mergeCell ref="D170:F170"/>
    <mergeCell ref="D197:F197"/>
    <mergeCell ref="C140:C142"/>
    <mergeCell ref="C143:C145"/>
    <mergeCell ref="D145:F145"/>
    <mergeCell ref="C146:C148"/>
    <mergeCell ref="D146:F146"/>
    <mergeCell ref="D147:F147"/>
    <mergeCell ref="C149:C151"/>
    <mergeCell ref="D151:F151"/>
    <mergeCell ref="C152:C154"/>
    <mergeCell ref="D152:F152"/>
    <mergeCell ref="D153:F153"/>
    <mergeCell ref="D143:F143"/>
    <mergeCell ref="D150:F150"/>
    <mergeCell ref="D154:F154"/>
    <mergeCell ref="D148:F148"/>
    <mergeCell ref="B201:C201"/>
    <mergeCell ref="B202:C202"/>
    <mergeCell ref="B204:C204"/>
    <mergeCell ref="D163:F163"/>
    <mergeCell ref="C164:C166"/>
    <mergeCell ref="C167:C169"/>
    <mergeCell ref="C170:C172"/>
    <mergeCell ref="D171:F171"/>
    <mergeCell ref="D172:F172"/>
    <mergeCell ref="D168:F168"/>
    <mergeCell ref="D198:F198"/>
    <mergeCell ref="D199:F199"/>
    <mergeCell ref="D200:F200"/>
    <mergeCell ref="D201:F201"/>
    <mergeCell ref="D202:F202"/>
    <mergeCell ref="B194:F194"/>
    <mergeCell ref="D173:F173"/>
    <mergeCell ref="D174:F174"/>
    <mergeCell ref="B195:F195"/>
    <mergeCell ref="C173:C175"/>
    <mergeCell ref="B186:C186"/>
    <mergeCell ref="B187:C187"/>
    <mergeCell ref="B188:C188"/>
    <mergeCell ref="B189:C189"/>
  </mergeCells>
  <phoneticPr fontId="24" type="noConversion"/>
  <conditionalFormatting sqref="D14">
    <cfRule type="expression" dxfId="1300" priority="3">
      <formula>"E6=$F$6"</formula>
    </cfRule>
  </conditionalFormatting>
  <conditionalFormatting sqref="F8">
    <cfRule type="expression" dxfId="1299" priority="1">
      <formula>"""Modalidad no licenciada"""</formula>
    </cfRule>
  </conditionalFormatting>
  <conditionalFormatting sqref="F16">
    <cfRule type="expression" dxfId="1298" priority="2">
      <formula>"E6=$F$6"</formula>
    </cfRule>
  </conditionalFormatting>
  <dataValidations xWindow="109" yWindow="536" count="14">
    <dataValidation allowBlank="1" showInputMessage="1" showErrorMessage="1" prompt="Grado otorgado por el programa" sqref="D10" xr:uid="{968B4341-55E8-4FE1-9F22-A0481CB3B786}"/>
    <dataValidation allowBlank="1" showInputMessage="1" showErrorMessage="1" prompt="Título otorgado por el programa" sqref="D12" xr:uid="{A3226D52-6DBD-492D-9EE1-50FFD1AA3F71}"/>
    <dataValidation allowBlank="1" showInputMessage="1" showErrorMessage="1" prompt="Se describe brevemente la razón de ser (misión) de la carrera para atender la demanda social identificada según la misión USIL y sus pilares estratégico. Se caracteriza el tipo de carrera que ofrecemos." sqref="B28:F28" xr:uid="{3EEDD6CD-2D6F-450B-B89E-491C84457923}"/>
    <dataValidation allowBlank="1" showInputMessage="1" showErrorMessage="1" prompt="Describe las competencias que deben reunir los postulantes a la carrera y que constituyen los requisitos para la evaluación de ingreso. Indicar cómo se va a realizar la verificación del cumplimiento de los requisitos" sqref="B32:C32 B34:F35" xr:uid="{EDC54981-1D4D-4783-86FC-B158AAEB515E}"/>
    <dataValidation allowBlank="1" showInputMessage="1" showErrorMessage="1" prompt="Se describe cargos y funciones que nuestros egresados podrán desarrollar como profesionales en el mercado laboral. Permite ofertar con claridad la carrera a los posibles postulantes (Marketing)." sqref="B46:F46" xr:uid="{2CB5B45B-EC4D-43BA-9967-7DCA532639D4}"/>
    <dataValidation allowBlank="1" showInputMessage="1" showErrorMessage="1" prompt="Son declaraciones generales que describen lo que se espera que los graduados logren algunos años después de la graduación." sqref="B45:F45" xr:uid="{34667DB7-249E-4989-AA57-5FBA9FAA74BE}"/>
    <dataValidation allowBlank="1" showInputMessage="1" showErrorMessage="1" prompt="Describe las Competencias expresadas en grandes capacidades funcionales que el estudiante USIL desarrollará en su formación profesional" sqref="B49:F50" xr:uid="{EF3AA31F-EAEF-40CE-A6D5-5809254BDE95}"/>
    <dataValidation allowBlank="1" showInputMessage="1" showErrorMessage="1" prompt="Se describen las características del egresado con base a los cuatro pilares del Modelo Educativo y las competencias genéricas, específicas y de especialidad.  El perfil de egreso (Sello USIL) está en el Modelo Educativo._x000a_ " sqref="B38:C38" xr:uid="{F0CC0162-A13F-4B0D-BC5C-5DC3F1A28FF6}"/>
    <dataValidation allowBlank="1" showInputMessage="1" showErrorMessage="1" prompt="Se describen las características del egresado con base a los cuatro pilares del Modelo Educativo. Cada programa de estudios deberá completar el perfil de egreso incluyendo los rasgos o características inherentes a la carrera profesional." sqref="B40:C40" xr:uid="{94C26D34-2CC1-4190-8B86-56676593E1D4}"/>
    <dataValidation allowBlank="1" showInputMessage="1" showErrorMessage="1" promptTitle="Describir siguientes aspectos:" sqref="B21:F21 B23:F23" xr:uid="{DECCCC1D-8952-4454-9A1C-A6F3188968C3}"/>
    <dataValidation allowBlank="1" showInputMessage="1" showErrorMessage="1" promptTitle="CONSIDERACIONES" prompt="Establecer la fundamentación teórica del programa: una visión, enfoque basado en un principio teórico propio del área disciplinar de la carrera. " sqref="H22:Q22 B22:C22" xr:uid="{5595854E-9A35-496E-BAB0-FD5C492A701D}"/>
    <dataValidation allowBlank="1" showInputMessage="1" showErrorMessage="1" prompt="Los aprendizajes se deben redactar por niveles" sqref="D67:F67" xr:uid="{DE2C39C6-E637-4C27-92DB-EDC6C3E8131A}"/>
    <dataValidation type="list" allowBlank="1" showInputMessage="1" showErrorMessage="1" sqref="F6" xr:uid="{3A4D8296-5A66-47E9-8772-BA601B4FA6DA}">
      <formula1>INDIRECT($D$6)</formula1>
    </dataValidation>
    <dataValidation allowBlank="1" showInputMessage="1" showErrorMessage="1" prompt="Fundamente la selección de la metodología considerando: la modalidad del programa, las características de los estudiante, la formación por competencias, el aprendizaje autónomo y personalizado " sqref="F185" xr:uid="{F33D15BD-06A4-4F41-9E94-151BD8E325D6}"/>
  </dataValidations>
  <printOptions horizontalCentered="1"/>
  <pageMargins left="0.70866141732283472" right="0.70866141732283472" top="0.74803149606299213" bottom="0.74803149606299213" header="0.31496062992125984" footer="0.31496062992125984"/>
  <pageSetup paperSize="9" scale="45" fitToHeight="0" orientation="portrait" r:id="rId1"/>
  <rowBreaks count="3" manualBreakCount="3">
    <brk id="41" min="1" max="4" man="1"/>
    <brk id="63" min="1" max="4" man="1"/>
    <brk id="180" min="1" max="4" man="1"/>
  </rowBreaks>
  <ignoredErrors>
    <ignoredError sqref="B68 B77 B86 B95 B104 B113 D186 B167 B158 B149 B140 B131 B127:B130 B136:B139 B148 B154:B157 B164:B166 B173:B175 D187:F190 B122:B123 B132 B141:B144 B150 B159:B160 B168:B170" unlockedFormula="1"/>
  </ignoredErrors>
  <drawing r:id="rId2"/>
  <extLst>
    <ext xmlns:x14="http://schemas.microsoft.com/office/spreadsheetml/2009/9/main" uri="{CCE6A557-97BC-4b89-ADB6-D9C93CAAB3DF}">
      <x14:dataValidations xmlns:xm="http://schemas.microsoft.com/office/excel/2006/main" xWindow="109" yWindow="536" count="7">
        <x14:dataValidation type="list" allowBlank="1" showInputMessage="1" showErrorMessage="1" xr:uid="{C1408417-BA56-45E1-B879-D9B30D6F5706}">
          <x14:formula1>
            <xm:f>DATOS!$C$25:$C$29</xm:f>
          </x14:formula1>
          <xm:sqref>D14</xm:sqref>
        </x14:dataValidation>
        <x14:dataValidation type="list" allowBlank="1" showInputMessage="1" showErrorMessage="1" xr:uid="{AA0646FB-494F-499A-8AF8-5F81B7AE4CC7}">
          <x14:formula1>
            <xm:f>DATOS!$C$32:$C$33</xm:f>
          </x14:formula1>
          <xm:sqref>D6</xm:sqref>
        </x14:dataValidation>
        <x14:dataValidation type="list" allowBlank="1" showInputMessage="1" showErrorMessage="1" xr:uid="{AEE4437E-D131-41C9-8DCC-F3D354815771}">
          <x14:formula1>
            <xm:f>DATOS!$A$196:$A$204</xm:f>
          </x14:formula1>
          <xm:sqref>B186:B190</xm:sqref>
        </x14:dataValidation>
        <x14:dataValidation type="list" allowBlank="1" showInputMessage="1" showErrorMessage="1" xr:uid="{58B681DB-1415-4B57-B680-EBBACE0ED9FC}">
          <x14:formula1>
            <xm:f>DATOS!$G$185:$G$190</xm:f>
          </x14:formula1>
          <xm:sqref>B197:B202</xm:sqref>
        </x14:dataValidation>
        <x14:dataValidation type="list" allowBlank="1" showInputMessage="1" showErrorMessage="1" xr:uid="{0C08A267-3735-4627-8A91-F27FE2401CD5}">
          <x14:formula1>
            <xm:f>DATOS!$A$185:$A$191</xm:f>
          </x14:formula1>
          <xm:sqref>B211</xm:sqref>
        </x14:dataValidation>
        <x14:dataValidation type="list" allowBlank="1" showInputMessage="1" showErrorMessage="1" xr:uid="{0916E937-E970-429B-94CC-776A00D12221}">
          <x14:formula1>
            <xm:f>DATOS!$B$3:$B$8</xm:f>
          </x14:formula1>
          <xm:sqref>F18</xm:sqref>
        </x14:dataValidation>
        <x14:dataValidation type="list" allowBlank="1" showInputMessage="1" showErrorMessage="1" xr:uid="{F71802CA-56C2-420A-9DDE-E14617924A4D}">
          <x14:formula1>
            <xm:f>DATOS!$A$3:$A$5</xm:f>
          </x14:formula1>
          <xm:sqref>D8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49D95-2EA6-4129-9F4A-A7300C7D37C2}">
  <sheetPr codeName="Hoja4">
    <pageSetUpPr fitToPage="1"/>
  </sheetPr>
  <dimension ref="B2:L73"/>
  <sheetViews>
    <sheetView showGridLines="0" topLeftCell="A11" zoomScale="86" zoomScaleNormal="86" zoomScaleSheetLayoutView="65" workbookViewId="0">
      <selection activeCell="J25" sqref="J25:L25"/>
    </sheetView>
  </sheetViews>
  <sheetFormatPr defaultColWidth="11.42578125" defaultRowHeight="15"/>
  <cols>
    <col min="1" max="1" width="3.7109375" style="448" customWidth="1"/>
    <col min="2" max="4" width="15.7109375" style="448" customWidth="1"/>
    <col min="5" max="5" width="30.7109375" style="448" customWidth="1"/>
    <col min="6" max="6" width="15.7109375" style="448" customWidth="1"/>
    <col min="7" max="7" width="2.5703125" style="448" customWidth="1"/>
    <col min="8" max="10" width="15.7109375" style="448" customWidth="1"/>
    <col min="11" max="11" width="30.7109375" style="448" customWidth="1"/>
    <col min="12" max="12" width="15.7109375" style="448" customWidth="1"/>
    <col min="13" max="16384" width="11.42578125" style="448"/>
  </cols>
  <sheetData>
    <row r="2" spans="2:12">
      <c r="B2" s="768" t="str">
        <f>+CONCATENATE("MENCIONES Y CERTIFICACIONES DEL PROGRAMA DE ESTUDIOS DE: ",'1.Fundamentos'!F6)</f>
        <v>MENCIONES Y CERTIFICACIONES DEL PROGRAMA DE ESTUDIOS DE: EDUCACIÓN SECUNDARIA CON ESPECIALIDAD EN INGLÉS</v>
      </c>
      <c r="C2" s="768"/>
      <c r="D2" s="768"/>
      <c r="E2" s="768"/>
      <c r="F2" s="768"/>
      <c r="G2" s="768"/>
      <c r="H2" s="768"/>
      <c r="I2" s="768"/>
      <c r="J2" s="768"/>
      <c r="K2" s="768"/>
      <c r="L2" s="768"/>
    </row>
    <row r="4" spans="2:12" ht="6.75" customHeight="1"/>
    <row r="5" spans="2:12" s="523" customFormat="1" ht="15" customHeight="1">
      <c r="B5" s="617" t="s">
        <v>140</v>
      </c>
      <c r="C5" s="617"/>
      <c r="D5" s="617"/>
      <c r="E5" s="617"/>
      <c r="F5" s="617"/>
      <c r="G5" s="617"/>
      <c r="H5" s="617"/>
      <c r="I5" s="617"/>
      <c r="J5" s="617"/>
      <c r="K5" s="617"/>
      <c r="L5" s="617"/>
    </row>
    <row r="6" spans="2:12" s="523" customFormat="1" ht="5.25" customHeight="1">
      <c r="B6" s="524"/>
      <c r="C6" s="524"/>
      <c r="D6" s="525"/>
      <c r="E6" s="525"/>
      <c r="F6" s="526"/>
    </row>
    <row r="7" spans="2:12" s="523" customFormat="1" ht="21" customHeight="1">
      <c r="B7" s="765" t="s">
        <v>141</v>
      </c>
      <c r="C7" s="765"/>
      <c r="D7" s="761" t="s">
        <v>142</v>
      </c>
      <c r="E7" s="761"/>
      <c r="F7" s="761"/>
      <c r="H7" s="765" t="s">
        <v>143</v>
      </c>
      <c r="I7" s="765"/>
      <c r="J7" s="761" t="s">
        <v>144</v>
      </c>
      <c r="K7" s="761"/>
      <c r="L7" s="761"/>
    </row>
    <row r="8" spans="2:12" s="523" customFormat="1" ht="27" customHeight="1" thickBot="1">
      <c r="B8" s="380" t="s">
        <v>145</v>
      </c>
      <c r="C8" s="374" t="s">
        <v>146</v>
      </c>
      <c r="D8" s="373" t="s">
        <v>147</v>
      </c>
      <c r="E8" s="373" t="s">
        <v>148</v>
      </c>
      <c r="F8" s="374" t="s">
        <v>149</v>
      </c>
      <c r="H8" s="380" t="s">
        <v>145</v>
      </c>
      <c r="I8" s="374" t="s">
        <v>146</v>
      </c>
      <c r="J8" s="373" t="s">
        <v>147</v>
      </c>
      <c r="K8" s="373" t="s">
        <v>148</v>
      </c>
      <c r="L8" s="374" t="s">
        <v>149</v>
      </c>
    </row>
    <row r="9" spans="2:12" s="523" customFormat="1" ht="23.45" customHeight="1" thickTop="1">
      <c r="B9" s="515" t="s">
        <v>150</v>
      </c>
      <c r="C9" s="516">
        <f>IFERROR(VLOOKUP(B9,'4.Electivos'!$C$6:$H$68,2,0),"")</f>
        <v>103659</v>
      </c>
      <c r="D9" s="515">
        <f>+IFERROR(_xlfn.XLOOKUP(B9,'4.Electivos'!$C$6:$C$68,'4.Electivos'!B6:B68,,,),"")</f>
        <v>7</v>
      </c>
      <c r="E9" s="536" t="str">
        <f>IFERROR(VLOOKUP(B9,'4.Electivos'!$C$6:$H$68,3,0),"")</f>
        <v>FUNDAMENTOS DE LA TUTORÍA</v>
      </c>
      <c r="F9" s="511" t="s">
        <v>151</v>
      </c>
      <c r="G9" s="518"/>
      <c r="H9" s="515" t="s">
        <v>152</v>
      </c>
      <c r="I9" s="516">
        <f>IFERROR(VLOOKUP(H9,'4.Electivos'!$C$6:$H$68,2,0),"")</f>
        <v>103663</v>
      </c>
      <c r="J9" s="515">
        <f>IFERROR(_xlfn.XLOOKUP(H9,'4.Electivos'!$C$6:$C$68,'4.Electivos'!B6:B68,,,),"")</f>
        <v>7</v>
      </c>
      <c r="K9" s="536" t="str">
        <f>IFERROR(VLOOKUP(H9,'4.Electivos'!$C$6:$H$68,3,0),"")</f>
        <v>LA EVALUACIÓN DE LOS APRENDIZAJES EN EL PERÚ</v>
      </c>
      <c r="L9" s="511" t="s">
        <v>151</v>
      </c>
    </row>
    <row r="10" spans="2:12" s="523" customFormat="1" ht="23.45" customHeight="1">
      <c r="B10" s="519" t="s">
        <v>153</v>
      </c>
      <c r="C10" s="520">
        <f>IFERROR(VLOOKUP(B10,'4.Electivos'!$C$6:$H$68,2,0),"")</f>
        <v>103660</v>
      </c>
      <c r="D10" s="519">
        <f>+IFERROR(_xlfn.XLOOKUP(B10,'4.Electivos'!$C$6:$C$68,'4.Electivos'!B7:B69,,,),"")</f>
        <v>8</v>
      </c>
      <c r="E10" s="532" t="str">
        <f>IFERROR(VLOOKUP(B10,'4.Electivos'!$C$6:$H$68,3,0),"")</f>
        <v>DESARROLLO Y DINÁMICA DE LOS GRUPOS HUMANOS</v>
      </c>
      <c r="F10" s="512" t="s">
        <v>151</v>
      </c>
      <c r="G10" s="518"/>
      <c r="H10" s="519" t="s">
        <v>154</v>
      </c>
      <c r="I10" s="520">
        <f>IFERROR(VLOOKUP(H10,'4.Electivos'!$C$6:$H$68,2,0),"")</f>
        <v>103664</v>
      </c>
      <c r="J10" s="519">
        <f>IFERROR(_xlfn.XLOOKUP(H10,'4.Electivos'!$C$6:$C$68,'4.Electivos'!B7:B69,,,),"")</f>
        <v>8</v>
      </c>
      <c r="K10" s="532" t="str">
        <f>IFERROR(VLOOKUP(H10,'4.Electivos'!$C$6:$H$68,3,0),"")</f>
        <v>ESTRATEGIAS DE EVALUACIÓN DE LOS APRENDIZAJES</v>
      </c>
      <c r="L10" s="512" t="s">
        <v>151</v>
      </c>
    </row>
    <row r="11" spans="2:12" s="523" customFormat="1" ht="23.45" customHeight="1">
      <c r="B11" s="519" t="s">
        <v>155</v>
      </c>
      <c r="C11" s="520">
        <f>IFERROR(VLOOKUP(B11,'4.Electivos'!$C$6:$H$68,2,0),"")</f>
        <v>103661</v>
      </c>
      <c r="D11" s="519">
        <f>+IFERROR(_xlfn.XLOOKUP(B11,'4.Electivos'!$C$6:$C$68,'4.Electivos'!B8:B70,,,),"")</f>
        <v>9</v>
      </c>
      <c r="E11" s="532" t="str">
        <f>IFERROR(VLOOKUP(B11,'4.Electivos'!$C$6:$H$68,3,0),"")</f>
        <v>DESARROLLO DE LAS ÁREAS DE TUTORÍA</v>
      </c>
      <c r="F11" s="512" t="s">
        <v>151</v>
      </c>
      <c r="G11" s="518"/>
      <c r="H11" s="519" t="s">
        <v>156</v>
      </c>
      <c r="I11" s="520">
        <f>IFERROR(VLOOKUP(H11,'4.Electivos'!$C$6:$H$68,2,0),"")</f>
        <v>103665</v>
      </c>
      <c r="J11" s="519">
        <f>IFERROR(_xlfn.XLOOKUP(H11,'4.Electivos'!$C$6:$C$68,'4.Electivos'!B8:B70,,,),"")</f>
        <v>9</v>
      </c>
      <c r="K11" s="532" t="str">
        <f>IFERROR(VLOOKUP(H11,'4.Electivos'!$C$6:$H$68,3,0),"")</f>
        <v>DISEÑO DE INSTRUMENTOS DE EVALUACIÓN</v>
      </c>
      <c r="L11" s="512" t="s">
        <v>151</v>
      </c>
    </row>
    <row r="12" spans="2:12" s="523" customFormat="1" ht="23.45" customHeight="1">
      <c r="B12" s="519" t="s">
        <v>157</v>
      </c>
      <c r="C12" s="520">
        <f>IFERROR(VLOOKUP(B12,'4.Electivos'!$C$6:$H$68,2,0),"")</f>
        <v>103662</v>
      </c>
      <c r="D12" s="519">
        <f>+IFERROR(_xlfn.XLOOKUP(B12,'4.Electivos'!$C$6:$C$68,'4.Electivos'!B9:B71,,,),"")</f>
        <v>10</v>
      </c>
      <c r="E12" s="532" t="str">
        <f>IFERROR(VLOOKUP(B12,'4.Electivos'!$C$6:$H$68,3,0),"")</f>
        <v>PLAN DE TUTORÍA Y CONVIVENCIA ESCOLAR</v>
      </c>
      <c r="F12" s="512" t="s">
        <v>151</v>
      </c>
      <c r="G12" s="518"/>
      <c r="H12" s="519" t="s">
        <v>158</v>
      </c>
      <c r="I12" s="520">
        <f>IFERROR(VLOOKUP(H12,'4.Electivos'!$C$6:$H$68,2,0),"")</f>
        <v>103666</v>
      </c>
      <c r="J12" s="519">
        <f>IFERROR(_xlfn.XLOOKUP(H12,'4.Electivos'!$C$6:$C$68,'4.Electivos'!B9:B71,,,),"")</f>
        <v>10</v>
      </c>
      <c r="K12" s="532" t="str">
        <f>IFERROR(VLOOKUP(H12,'4.Electivos'!$C$6:$H$68,3,0),"")</f>
        <v>ACTIVIDADES DE EVALUACIÓN DE LOS APRENDIZAJES</v>
      </c>
      <c r="L12" s="512" t="s">
        <v>151</v>
      </c>
    </row>
    <row r="13" spans="2:12" s="523" customFormat="1" ht="15" customHeight="1">
      <c r="B13" s="519"/>
      <c r="C13" s="520"/>
      <c r="D13" s="519"/>
      <c r="E13" s="532"/>
      <c r="F13" s="513"/>
      <c r="G13" s="518"/>
      <c r="H13" s="519"/>
      <c r="I13" s="520"/>
      <c r="J13" s="519"/>
      <c r="K13" s="532"/>
      <c r="L13" s="513"/>
    </row>
    <row r="14" spans="2:12" s="523" customFormat="1" ht="15" customHeight="1">
      <c r="B14" s="521"/>
      <c r="C14" s="522"/>
      <c r="D14" s="521"/>
      <c r="E14" s="535"/>
      <c r="F14" s="514"/>
      <c r="G14" s="518"/>
      <c r="H14" s="521"/>
      <c r="I14" s="522"/>
      <c r="J14" s="521"/>
      <c r="K14" s="535"/>
      <c r="L14" s="514"/>
    </row>
    <row r="15" spans="2:12" s="523" customFormat="1" ht="15" customHeight="1">
      <c r="B15" s="524"/>
      <c r="C15" s="524"/>
      <c r="D15" s="525"/>
      <c r="E15" s="525"/>
      <c r="F15" s="526"/>
    </row>
    <row r="16" spans="2:12" s="523" customFormat="1" ht="21" customHeight="1">
      <c r="B16" s="765" t="s">
        <v>159</v>
      </c>
      <c r="C16" s="765"/>
      <c r="D16" s="766" t="s">
        <v>160</v>
      </c>
      <c r="E16" s="767"/>
      <c r="F16" s="767"/>
      <c r="H16" s="765" t="s">
        <v>161</v>
      </c>
      <c r="I16" s="765"/>
      <c r="J16" s="766" t="s">
        <v>162</v>
      </c>
      <c r="K16" s="767"/>
      <c r="L16" s="767"/>
    </row>
    <row r="17" spans="2:12" s="523" customFormat="1" ht="27" customHeight="1" thickBot="1">
      <c r="B17" s="380" t="s">
        <v>145</v>
      </c>
      <c r="C17" s="374" t="s">
        <v>146</v>
      </c>
      <c r="D17" s="373" t="s">
        <v>147</v>
      </c>
      <c r="E17" s="373" t="s">
        <v>148</v>
      </c>
      <c r="F17" s="374" t="s">
        <v>149</v>
      </c>
      <c r="H17" s="380" t="s">
        <v>145</v>
      </c>
      <c r="I17" s="374" t="s">
        <v>146</v>
      </c>
      <c r="J17" s="373" t="s">
        <v>147</v>
      </c>
      <c r="K17" s="373" t="s">
        <v>148</v>
      </c>
      <c r="L17" s="374" t="s">
        <v>149</v>
      </c>
    </row>
    <row r="18" spans="2:12" s="518" customFormat="1" ht="15" customHeight="1" thickTop="1">
      <c r="B18" s="547" t="s">
        <v>163</v>
      </c>
      <c r="C18" s="548">
        <v>93896</v>
      </c>
      <c r="D18" s="547">
        <v>7</v>
      </c>
      <c r="E18" s="549" t="s">
        <v>164</v>
      </c>
      <c r="F18" s="550" t="s">
        <v>151</v>
      </c>
      <c r="H18" s="547" t="s">
        <v>165</v>
      </c>
      <c r="I18" s="548">
        <v>143193</v>
      </c>
      <c r="J18" s="547">
        <v>7</v>
      </c>
      <c r="K18" s="549" t="s">
        <v>166</v>
      </c>
      <c r="L18" s="550" t="s">
        <v>151</v>
      </c>
    </row>
    <row r="19" spans="2:12" s="518" customFormat="1" ht="15" customHeight="1">
      <c r="B19" s="551" t="s">
        <v>167</v>
      </c>
      <c r="C19" s="552">
        <v>93897</v>
      </c>
      <c r="D19" s="551">
        <v>8</v>
      </c>
      <c r="E19" s="553" t="s">
        <v>168</v>
      </c>
      <c r="F19" s="554" t="s">
        <v>151</v>
      </c>
      <c r="H19" s="551" t="s">
        <v>169</v>
      </c>
      <c r="I19" s="552">
        <v>143307</v>
      </c>
      <c r="J19" s="551">
        <v>8</v>
      </c>
      <c r="K19" s="553" t="s">
        <v>170</v>
      </c>
      <c r="L19" s="554" t="s">
        <v>151</v>
      </c>
    </row>
    <row r="20" spans="2:12" s="518" customFormat="1" ht="15" customHeight="1">
      <c r="B20" s="551" t="s">
        <v>171</v>
      </c>
      <c r="C20" s="552">
        <v>93898</v>
      </c>
      <c r="D20" s="551">
        <v>9</v>
      </c>
      <c r="E20" s="553" t="s">
        <v>172</v>
      </c>
      <c r="F20" s="554" t="s">
        <v>151</v>
      </c>
      <c r="H20" s="551" t="s">
        <v>173</v>
      </c>
      <c r="I20" s="552">
        <v>143246</v>
      </c>
      <c r="J20" s="551">
        <v>9</v>
      </c>
      <c r="K20" s="553" t="s">
        <v>174</v>
      </c>
      <c r="L20" s="554" t="s">
        <v>151</v>
      </c>
    </row>
    <row r="21" spans="2:12" s="518" customFormat="1" ht="15" customHeight="1">
      <c r="B21" s="551" t="s">
        <v>175</v>
      </c>
      <c r="C21" s="552">
        <v>93899</v>
      </c>
      <c r="D21" s="551">
        <v>10</v>
      </c>
      <c r="E21" s="553" t="s">
        <v>176</v>
      </c>
      <c r="F21" s="554" t="s">
        <v>151</v>
      </c>
      <c r="H21" s="551" t="s">
        <v>177</v>
      </c>
      <c r="I21" s="552">
        <v>143576</v>
      </c>
      <c r="J21" s="551">
        <v>10</v>
      </c>
      <c r="K21" s="553" t="s">
        <v>178</v>
      </c>
      <c r="L21" s="554" t="s">
        <v>151</v>
      </c>
    </row>
    <row r="22" spans="2:12" s="518" customFormat="1" ht="15" customHeight="1">
      <c r="B22" s="519"/>
      <c r="C22" s="520"/>
      <c r="D22" s="519"/>
      <c r="E22" s="532"/>
      <c r="F22" s="513"/>
      <c r="H22" s="519"/>
      <c r="I22" s="520"/>
      <c r="J22" s="519"/>
      <c r="K22" s="532"/>
      <c r="L22" s="513"/>
    </row>
    <row r="23" spans="2:12" s="518" customFormat="1" ht="15" customHeight="1">
      <c r="B23" s="521"/>
      <c r="C23" s="522"/>
      <c r="D23" s="521"/>
      <c r="E23" s="535"/>
      <c r="F23" s="514"/>
      <c r="H23" s="521"/>
      <c r="I23" s="522"/>
      <c r="J23" s="521"/>
      <c r="K23" s="535"/>
      <c r="L23" s="514"/>
    </row>
    <row r="25" spans="2:12" s="523" customFormat="1" ht="21" customHeight="1">
      <c r="B25" s="765" t="s">
        <v>179</v>
      </c>
      <c r="C25" s="765"/>
      <c r="D25" s="766" t="s">
        <v>180</v>
      </c>
      <c r="E25" s="767"/>
      <c r="F25" s="767"/>
      <c r="H25" s="765" t="s">
        <v>181</v>
      </c>
      <c r="I25" s="765"/>
      <c r="J25" s="766" t="s">
        <v>182</v>
      </c>
      <c r="K25" s="767"/>
      <c r="L25" s="767"/>
    </row>
    <row r="26" spans="2:12" s="523" customFormat="1" ht="27" customHeight="1" thickBot="1">
      <c r="B26" s="380" t="s">
        <v>145</v>
      </c>
      <c r="C26" s="374" t="s">
        <v>146</v>
      </c>
      <c r="D26" s="373" t="s">
        <v>147</v>
      </c>
      <c r="E26" s="373" t="s">
        <v>148</v>
      </c>
      <c r="F26" s="374" t="s">
        <v>149</v>
      </c>
      <c r="H26" s="380" t="s">
        <v>145</v>
      </c>
      <c r="I26" s="374" t="s">
        <v>146</v>
      </c>
      <c r="J26" s="373" t="s">
        <v>147</v>
      </c>
      <c r="K26" s="373" t="s">
        <v>148</v>
      </c>
      <c r="L26" s="374" t="s">
        <v>149</v>
      </c>
    </row>
    <row r="27" spans="2:12" s="518" customFormat="1" ht="15" customHeight="1" thickTop="1">
      <c r="B27" s="555" t="s">
        <v>183</v>
      </c>
      <c r="C27" s="548">
        <v>147884</v>
      </c>
      <c r="D27" s="547">
        <v>7</v>
      </c>
      <c r="E27" s="549" t="s">
        <v>184</v>
      </c>
      <c r="F27" s="550" t="s">
        <v>151</v>
      </c>
      <c r="H27" s="555" t="s">
        <v>185</v>
      </c>
      <c r="I27" s="557">
        <v>147892</v>
      </c>
      <c r="J27" s="547">
        <v>7</v>
      </c>
      <c r="K27" s="549" t="s">
        <v>186</v>
      </c>
      <c r="L27" s="550" t="s">
        <v>151</v>
      </c>
    </row>
    <row r="28" spans="2:12" s="518" customFormat="1" ht="15" customHeight="1">
      <c r="B28" s="556" t="s">
        <v>187</v>
      </c>
      <c r="C28" s="552">
        <v>147886</v>
      </c>
      <c r="D28" s="551">
        <v>8</v>
      </c>
      <c r="E28" s="553" t="s">
        <v>188</v>
      </c>
      <c r="F28" s="554" t="s">
        <v>151</v>
      </c>
      <c r="H28" s="556" t="s">
        <v>189</v>
      </c>
      <c r="I28" s="558">
        <v>147894</v>
      </c>
      <c r="J28" s="551">
        <v>8</v>
      </c>
      <c r="K28" s="553" t="s">
        <v>190</v>
      </c>
      <c r="L28" s="554" t="s">
        <v>151</v>
      </c>
    </row>
    <row r="29" spans="2:12" s="518" customFormat="1" ht="15" customHeight="1">
      <c r="B29" s="556" t="s">
        <v>191</v>
      </c>
      <c r="C29" s="552">
        <v>147888</v>
      </c>
      <c r="D29" s="551">
        <v>9</v>
      </c>
      <c r="E29" s="553" t="s">
        <v>192</v>
      </c>
      <c r="F29" s="554" t="s">
        <v>151</v>
      </c>
      <c r="H29" s="556" t="s">
        <v>193</v>
      </c>
      <c r="I29" s="558">
        <v>147898</v>
      </c>
      <c r="J29" s="551">
        <v>9</v>
      </c>
      <c r="K29" s="553" t="s">
        <v>194</v>
      </c>
      <c r="L29" s="554" t="s">
        <v>151</v>
      </c>
    </row>
    <row r="30" spans="2:12" s="518" customFormat="1" ht="15" customHeight="1">
      <c r="B30" s="556" t="s">
        <v>195</v>
      </c>
      <c r="C30" s="552">
        <v>147890</v>
      </c>
      <c r="D30" s="551">
        <v>10</v>
      </c>
      <c r="E30" s="553" t="s">
        <v>196</v>
      </c>
      <c r="F30" s="554" t="s">
        <v>151</v>
      </c>
      <c r="H30" s="556" t="s">
        <v>197</v>
      </c>
      <c r="I30" s="558">
        <v>147900</v>
      </c>
      <c r="J30" s="551">
        <v>10</v>
      </c>
      <c r="K30" s="553" t="s">
        <v>198</v>
      </c>
      <c r="L30" s="554" t="s">
        <v>151</v>
      </c>
    </row>
    <row r="31" spans="2:12" s="518" customFormat="1" ht="15" customHeight="1">
      <c r="B31" s="519"/>
      <c r="C31" s="520"/>
      <c r="D31" s="519"/>
      <c r="E31" s="532"/>
      <c r="F31" s="513"/>
      <c r="H31" s="519"/>
      <c r="I31" s="520"/>
      <c r="J31" s="519"/>
      <c r="K31" s="532"/>
      <c r="L31" s="513"/>
    </row>
    <row r="32" spans="2:12" s="518" customFormat="1" ht="15" customHeight="1">
      <c r="B32" s="521"/>
      <c r="C32" s="522"/>
      <c r="D32" s="521"/>
      <c r="E32" s="535"/>
      <c r="F32" s="514"/>
      <c r="H32" s="521"/>
      <c r="I32" s="522"/>
      <c r="J32" s="521"/>
      <c r="K32" s="535"/>
      <c r="L32" s="514"/>
    </row>
    <row r="34" spans="2:12" s="523" customFormat="1" ht="21" customHeight="1">
      <c r="B34" s="765" t="s">
        <v>199</v>
      </c>
      <c r="C34" s="765"/>
      <c r="D34" s="761"/>
      <c r="E34" s="761"/>
      <c r="F34" s="761"/>
      <c r="H34" s="765" t="s">
        <v>200</v>
      </c>
      <c r="I34" s="765"/>
      <c r="J34" s="761"/>
      <c r="K34" s="761"/>
      <c r="L34" s="761"/>
    </row>
    <row r="35" spans="2:12" s="523" customFormat="1" ht="27" customHeight="1" thickBot="1">
      <c r="B35" s="380" t="s">
        <v>145</v>
      </c>
      <c r="C35" s="374" t="s">
        <v>146</v>
      </c>
      <c r="D35" s="373" t="s">
        <v>147</v>
      </c>
      <c r="E35" s="373" t="s">
        <v>148</v>
      </c>
      <c r="F35" s="374" t="s">
        <v>149</v>
      </c>
      <c r="H35" s="380" t="s">
        <v>145</v>
      </c>
      <c r="I35" s="374" t="s">
        <v>146</v>
      </c>
      <c r="J35" s="373" t="s">
        <v>147</v>
      </c>
      <c r="K35" s="373" t="s">
        <v>148</v>
      </c>
      <c r="L35" s="374" t="s">
        <v>149</v>
      </c>
    </row>
    <row r="36" spans="2:12" s="518" customFormat="1" ht="15" customHeight="1" thickTop="1">
      <c r="B36" s="515"/>
      <c r="C36" s="516"/>
      <c r="D36" s="515"/>
      <c r="E36" s="536"/>
      <c r="F36" s="511"/>
      <c r="H36" s="515"/>
      <c r="I36" s="516"/>
      <c r="J36" s="515"/>
      <c r="K36" s="536"/>
      <c r="L36" s="511"/>
    </row>
    <row r="37" spans="2:12" s="518" customFormat="1" ht="15" customHeight="1">
      <c r="B37" s="519"/>
      <c r="C37" s="520"/>
      <c r="D37" s="519"/>
      <c r="E37" s="532"/>
      <c r="F37" s="512"/>
      <c r="H37" s="519"/>
      <c r="I37" s="520"/>
      <c r="J37" s="519"/>
      <c r="K37" s="532"/>
      <c r="L37" s="512"/>
    </row>
    <row r="38" spans="2:12" s="518" customFormat="1" ht="15" customHeight="1">
      <c r="B38" s="519"/>
      <c r="C38" s="520"/>
      <c r="D38" s="519"/>
      <c r="E38" s="532"/>
      <c r="F38" s="512"/>
      <c r="H38" s="519"/>
      <c r="I38" s="520"/>
      <c r="J38" s="519"/>
      <c r="K38" s="532"/>
      <c r="L38" s="512"/>
    </row>
    <row r="39" spans="2:12" s="518" customFormat="1" ht="15" customHeight="1">
      <c r="B39" s="519"/>
      <c r="C39" s="520"/>
      <c r="D39" s="519"/>
      <c r="E39" s="532"/>
      <c r="F39" s="512"/>
      <c r="H39" s="519"/>
      <c r="I39" s="520"/>
      <c r="J39" s="519"/>
      <c r="K39" s="532"/>
      <c r="L39" s="512"/>
    </row>
    <row r="40" spans="2:12" s="518" customFormat="1" ht="15" customHeight="1">
      <c r="B40" s="519"/>
      <c r="C40" s="520"/>
      <c r="D40" s="519"/>
      <c r="E40" s="532"/>
      <c r="F40" s="513"/>
      <c r="H40" s="519"/>
      <c r="I40" s="520"/>
      <c r="J40" s="519"/>
      <c r="K40" s="532"/>
      <c r="L40" s="513"/>
    </row>
    <row r="41" spans="2:12" s="518" customFormat="1" ht="15" customHeight="1">
      <c r="B41" s="521"/>
      <c r="C41" s="522"/>
      <c r="D41" s="521"/>
      <c r="E41" s="535"/>
      <c r="F41" s="514"/>
      <c r="H41" s="521"/>
      <c r="I41" s="522"/>
      <c r="J41" s="521"/>
      <c r="K41" s="535"/>
      <c r="L41" s="514"/>
    </row>
    <row r="43" spans="2:12">
      <c r="B43" s="617" t="s">
        <v>201</v>
      </c>
      <c r="C43" s="617"/>
      <c r="D43" s="617"/>
      <c r="E43" s="617"/>
      <c r="F43" s="617"/>
      <c r="G43" s="617"/>
      <c r="H43" s="617"/>
      <c r="I43" s="617"/>
      <c r="J43" s="617"/>
      <c r="K43" s="617"/>
      <c r="L43" s="617"/>
    </row>
    <row r="44" spans="2:12" ht="4.5" customHeight="1"/>
    <row r="45" spans="2:12" ht="15" customHeight="1">
      <c r="B45" s="758" t="s">
        <v>202</v>
      </c>
      <c r="C45" s="759"/>
      <c r="D45" s="760"/>
      <c r="E45" s="761"/>
      <c r="F45" s="761"/>
      <c r="G45" s="761"/>
      <c r="H45" s="761"/>
      <c r="I45" s="761"/>
      <c r="J45" s="761"/>
      <c r="K45" s="761"/>
      <c r="L45" s="761"/>
    </row>
    <row r="46" spans="2:12" ht="15" customHeight="1">
      <c r="B46" s="758" t="s">
        <v>203</v>
      </c>
      <c r="C46" s="759"/>
      <c r="D46" s="760"/>
      <c r="E46" s="761"/>
      <c r="F46" s="761"/>
      <c r="G46" s="761"/>
      <c r="H46" s="761"/>
      <c r="I46" s="761"/>
      <c r="J46" s="761"/>
      <c r="K46" s="761"/>
      <c r="L46" s="761"/>
    </row>
    <row r="47" spans="2:12" ht="26.25" customHeight="1" thickBot="1">
      <c r="B47" s="380" t="s">
        <v>145</v>
      </c>
      <c r="C47" s="379" t="s">
        <v>146</v>
      </c>
      <c r="D47" s="380" t="s">
        <v>147</v>
      </c>
      <c r="E47" s="373" t="s">
        <v>148</v>
      </c>
      <c r="F47" s="374" t="s">
        <v>149</v>
      </c>
      <c r="G47" s="762" t="s">
        <v>204</v>
      </c>
      <c r="H47" s="762"/>
      <c r="I47" s="762"/>
      <c r="J47" s="762"/>
      <c r="K47" s="763" t="s">
        <v>205</v>
      </c>
      <c r="L47" s="764"/>
    </row>
    <row r="48" spans="2:12" ht="15.75" thickTop="1">
      <c r="B48" s="527"/>
      <c r="C48" s="528"/>
      <c r="D48" s="529"/>
      <c r="E48" s="517"/>
      <c r="F48" s="375"/>
      <c r="G48" s="749"/>
      <c r="H48" s="750"/>
      <c r="I48" s="750"/>
      <c r="J48" s="751"/>
      <c r="K48" s="752"/>
      <c r="L48" s="753"/>
    </row>
    <row r="49" spans="2:12">
      <c r="B49" s="530"/>
      <c r="C49" s="531"/>
      <c r="D49" s="532"/>
      <c r="E49" s="519"/>
      <c r="F49" s="376"/>
      <c r="G49" s="743"/>
      <c r="H49" s="744"/>
      <c r="I49" s="744"/>
      <c r="J49" s="745"/>
      <c r="K49" s="754"/>
      <c r="L49" s="755"/>
    </row>
    <row r="50" spans="2:12">
      <c r="B50" s="530"/>
      <c r="C50" s="531"/>
      <c r="D50" s="532"/>
      <c r="E50" s="519"/>
      <c r="F50" s="376"/>
      <c r="G50" s="743" t="s">
        <v>206</v>
      </c>
      <c r="H50" s="744"/>
      <c r="I50" s="744"/>
      <c r="J50" s="745"/>
      <c r="K50" s="754"/>
      <c r="L50" s="755"/>
    </row>
    <row r="51" spans="2:12">
      <c r="B51" s="530"/>
      <c r="C51" s="531"/>
      <c r="D51" s="532"/>
      <c r="E51" s="519"/>
      <c r="F51" s="376"/>
      <c r="G51" s="743"/>
      <c r="H51" s="744"/>
      <c r="I51" s="744"/>
      <c r="J51" s="745"/>
      <c r="K51" s="754"/>
      <c r="L51" s="755"/>
    </row>
    <row r="52" spans="2:12">
      <c r="B52" s="530"/>
      <c r="C52" s="531"/>
      <c r="D52" s="532"/>
      <c r="E52" s="519"/>
      <c r="F52" s="377"/>
      <c r="G52" s="743"/>
      <c r="H52" s="744"/>
      <c r="I52" s="744"/>
      <c r="J52" s="745"/>
      <c r="K52" s="754"/>
      <c r="L52" s="755"/>
    </row>
    <row r="53" spans="2:12">
      <c r="B53" s="533"/>
      <c r="C53" s="534"/>
      <c r="D53" s="535"/>
      <c r="E53" s="521"/>
      <c r="F53" s="378"/>
      <c r="G53" s="746"/>
      <c r="H53" s="747"/>
      <c r="I53" s="747"/>
      <c r="J53" s="748"/>
      <c r="K53" s="756"/>
      <c r="L53" s="757"/>
    </row>
    <row r="54" spans="2:12" ht="10.5" customHeight="1"/>
    <row r="55" spans="2:12" ht="15" customHeight="1">
      <c r="B55" s="758" t="s">
        <v>207</v>
      </c>
      <c r="C55" s="759"/>
      <c r="D55" s="760"/>
      <c r="E55" s="761"/>
      <c r="F55" s="761"/>
      <c r="G55" s="761"/>
      <c r="H55" s="761"/>
      <c r="I55" s="761"/>
      <c r="J55" s="761"/>
      <c r="K55" s="761"/>
      <c r="L55" s="761"/>
    </row>
    <row r="56" spans="2:12" ht="15" customHeight="1">
      <c r="B56" s="758" t="s">
        <v>203</v>
      </c>
      <c r="C56" s="759"/>
      <c r="D56" s="760"/>
      <c r="E56" s="761"/>
      <c r="F56" s="761"/>
      <c r="G56" s="761"/>
      <c r="H56" s="761"/>
      <c r="I56" s="761"/>
      <c r="J56" s="761"/>
      <c r="K56" s="761"/>
      <c r="L56" s="761"/>
    </row>
    <row r="57" spans="2:12" ht="26.25" customHeight="1" thickBot="1">
      <c r="B57" s="380" t="s">
        <v>145</v>
      </c>
      <c r="C57" s="379" t="s">
        <v>146</v>
      </c>
      <c r="D57" s="380" t="s">
        <v>147</v>
      </c>
      <c r="E57" s="373" t="s">
        <v>148</v>
      </c>
      <c r="F57" s="374" t="s">
        <v>149</v>
      </c>
      <c r="G57" s="762" t="s">
        <v>204</v>
      </c>
      <c r="H57" s="762"/>
      <c r="I57" s="762"/>
      <c r="J57" s="762"/>
      <c r="K57" s="763" t="s">
        <v>205</v>
      </c>
      <c r="L57" s="764"/>
    </row>
    <row r="58" spans="2:12" ht="15.75" thickTop="1">
      <c r="B58" s="527"/>
      <c r="C58" s="528"/>
      <c r="D58" s="529"/>
      <c r="E58" s="517"/>
      <c r="F58" s="375"/>
      <c r="G58" s="749"/>
      <c r="H58" s="750"/>
      <c r="I58" s="750"/>
      <c r="J58" s="751"/>
      <c r="K58" s="752"/>
      <c r="L58" s="753"/>
    </row>
    <row r="59" spans="2:12">
      <c r="B59" s="530"/>
      <c r="C59" s="531"/>
      <c r="D59" s="532"/>
      <c r="E59" s="519"/>
      <c r="F59" s="376"/>
      <c r="G59" s="743"/>
      <c r="H59" s="744"/>
      <c r="I59" s="744"/>
      <c r="J59" s="745"/>
      <c r="K59" s="754"/>
      <c r="L59" s="755"/>
    </row>
    <row r="60" spans="2:12">
      <c r="B60" s="530"/>
      <c r="C60" s="531"/>
      <c r="D60" s="532"/>
      <c r="E60" s="519"/>
      <c r="F60" s="376"/>
      <c r="G60" s="743"/>
      <c r="H60" s="744"/>
      <c r="I60" s="744"/>
      <c r="J60" s="745"/>
      <c r="K60" s="754"/>
      <c r="L60" s="755"/>
    </row>
    <row r="61" spans="2:12">
      <c r="B61" s="530"/>
      <c r="C61" s="531"/>
      <c r="D61" s="532"/>
      <c r="E61" s="519"/>
      <c r="F61" s="376"/>
      <c r="G61" s="743"/>
      <c r="H61" s="744"/>
      <c r="I61" s="744"/>
      <c r="J61" s="745"/>
      <c r="K61" s="754"/>
      <c r="L61" s="755"/>
    </row>
    <row r="62" spans="2:12">
      <c r="B62" s="530"/>
      <c r="C62" s="531"/>
      <c r="D62" s="532"/>
      <c r="E62" s="519"/>
      <c r="F62" s="377"/>
      <c r="G62" s="743"/>
      <c r="H62" s="744"/>
      <c r="I62" s="744"/>
      <c r="J62" s="745"/>
      <c r="K62" s="754"/>
      <c r="L62" s="755"/>
    </row>
    <row r="63" spans="2:12">
      <c r="B63" s="533"/>
      <c r="C63" s="534"/>
      <c r="D63" s="535"/>
      <c r="E63" s="521"/>
      <c r="F63" s="378"/>
      <c r="G63" s="746"/>
      <c r="H63" s="747"/>
      <c r="I63" s="747"/>
      <c r="J63" s="748"/>
      <c r="K63" s="756"/>
      <c r="L63" s="757"/>
    </row>
    <row r="64" spans="2:12" ht="10.5" customHeight="1"/>
    <row r="65" spans="2:12" ht="15" customHeight="1">
      <c r="B65" s="758" t="s">
        <v>208</v>
      </c>
      <c r="C65" s="759"/>
      <c r="D65" s="760"/>
      <c r="E65" s="761"/>
      <c r="F65" s="761"/>
      <c r="G65" s="761"/>
      <c r="H65" s="761"/>
      <c r="I65" s="761"/>
      <c r="J65" s="761"/>
      <c r="K65" s="761"/>
      <c r="L65" s="761"/>
    </row>
    <row r="66" spans="2:12" ht="15" customHeight="1">
      <c r="B66" s="758" t="s">
        <v>203</v>
      </c>
      <c r="C66" s="759"/>
      <c r="D66" s="760"/>
      <c r="E66" s="761"/>
      <c r="F66" s="761"/>
      <c r="G66" s="761"/>
      <c r="H66" s="761"/>
      <c r="I66" s="761"/>
      <c r="J66" s="761"/>
      <c r="K66" s="761"/>
      <c r="L66" s="761"/>
    </row>
    <row r="67" spans="2:12" ht="26.25" customHeight="1" thickBot="1">
      <c r="B67" s="380" t="s">
        <v>145</v>
      </c>
      <c r="C67" s="379" t="s">
        <v>146</v>
      </c>
      <c r="D67" s="380" t="s">
        <v>147</v>
      </c>
      <c r="E67" s="373" t="s">
        <v>148</v>
      </c>
      <c r="F67" s="374" t="s">
        <v>149</v>
      </c>
      <c r="G67" s="762" t="s">
        <v>204</v>
      </c>
      <c r="H67" s="762"/>
      <c r="I67" s="762"/>
      <c r="J67" s="762"/>
      <c r="K67" s="763" t="s">
        <v>205</v>
      </c>
      <c r="L67" s="764"/>
    </row>
    <row r="68" spans="2:12" ht="15.75" thickTop="1">
      <c r="B68" s="527"/>
      <c r="C68" s="528"/>
      <c r="D68" s="529"/>
      <c r="E68" s="517"/>
      <c r="F68" s="375"/>
      <c r="G68" s="749"/>
      <c r="H68" s="750"/>
      <c r="I68" s="750"/>
      <c r="J68" s="751"/>
      <c r="K68" s="752"/>
      <c r="L68" s="753"/>
    </row>
    <row r="69" spans="2:12">
      <c r="B69" s="530"/>
      <c r="C69" s="531"/>
      <c r="D69" s="532"/>
      <c r="E69" s="519"/>
      <c r="F69" s="376"/>
      <c r="G69" s="743"/>
      <c r="H69" s="744"/>
      <c r="I69" s="744"/>
      <c r="J69" s="745"/>
      <c r="K69" s="754"/>
      <c r="L69" s="755"/>
    </row>
    <row r="70" spans="2:12">
      <c r="B70" s="530"/>
      <c r="C70" s="531"/>
      <c r="D70" s="532"/>
      <c r="E70" s="519"/>
      <c r="F70" s="376"/>
      <c r="G70" s="743"/>
      <c r="H70" s="744"/>
      <c r="I70" s="744"/>
      <c r="J70" s="745"/>
      <c r="K70" s="754"/>
      <c r="L70" s="755"/>
    </row>
    <row r="71" spans="2:12">
      <c r="B71" s="530"/>
      <c r="C71" s="531"/>
      <c r="D71" s="532"/>
      <c r="E71" s="519"/>
      <c r="F71" s="376"/>
      <c r="G71" s="743"/>
      <c r="H71" s="744"/>
      <c r="I71" s="744"/>
      <c r="J71" s="745"/>
      <c r="K71" s="754"/>
      <c r="L71" s="755"/>
    </row>
    <row r="72" spans="2:12">
      <c r="B72" s="530"/>
      <c r="C72" s="531"/>
      <c r="D72" s="532"/>
      <c r="E72" s="519"/>
      <c r="F72" s="377"/>
      <c r="G72" s="743"/>
      <c r="H72" s="744"/>
      <c r="I72" s="744"/>
      <c r="J72" s="745"/>
      <c r="K72" s="754"/>
      <c r="L72" s="755"/>
    </row>
    <row r="73" spans="2:12">
      <c r="B73" s="533"/>
      <c r="C73" s="534"/>
      <c r="D73" s="535"/>
      <c r="E73" s="521"/>
      <c r="F73" s="378"/>
      <c r="G73" s="746"/>
      <c r="H73" s="747"/>
      <c r="I73" s="747"/>
      <c r="J73" s="748"/>
      <c r="K73" s="756"/>
      <c r="L73" s="757"/>
    </row>
  </sheetData>
  <mergeCells count="73">
    <mergeCell ref="B2:L2"/>
    <mergeCell ref="B16:C16"/>
    <mergeCell ref="D16:F16"/>
    <mergeCell ref="H16:I16"/>
    <mergeCell ref="J16:L16"/>
    <mergeCell ref="H7:I7"/>
    <mergeCell ref="J7:L7"/>
    <mergeCell ref="D7:F7"/>
    <mergeCell ref="B7:C7"/>
    <mergeCell ref="B25:C25"/>
    <mergeCell ref="D25:F25"/>
    <mergeCell ref="H25:I25"/>
    <mergeCell ref="J25:L25"/>
    <mergeCell ref="B5:L5"/>
    <mergeCell ref="B43:L43"/>
    <mergeCell ref="B45:D45"/>
    <mergeCell ref="B46:D46"/>
    <mergeCell ref="B34:C34"/>
    <mergeCell ref="D34:F34"/>
    <mergeCell ref="H34:I34"/>
    <mergeCell ref="J34:L34"/>
    <mergeCell ref="E45:L45"/>
    <mergeCell ref="E46:L46"/>
    <mergeCell ref="G52:J52"/>
    <mergeCell ref="G53:J53"/>
    <mergeCell ref="K47:L47"/>
    <mergeCell ref="K48:L48"/>
    <mergeCell ref="G50:J50"/>
    <mergeCell ref="K50:L50"/>
    <mergeCell ref="K51:L51"/>
    <mergeCell ref="K52:L52"/>
    <mergeCell ref="K53:L53"/>
    <mergeCell ref="G47:J47"/>
    <mergeCell ref="G48:J48"/>
    <mergeCell ref="G49:J49"/>
    <mergeCell ref="K49:L49"/>
    <mergeCell ref="G51:J51"/>
    <mergeCell ref="G58:J58"/>
    <mergeCell ref="K58:L58"/>
    <mergeCell ref="G59:J59"/>
    <mergeCell ref="G60:J60"/>
    <mergeCell ref="B55:D55"/>
    <mergeCell ref="E55:L55"/>
    <mergeCell ref="B56:D56"/>
    <mergeCell ref="E56:L56"/>
    <mergeCell ref="G57:J57"/>
    <mergeCell ref="K57:L57"/>
    <mergeCell ref="K59:L59"/>
    <mergeCell ref="K60:L60"/>
    <mergeCell ref="G61:J61"/>
    <mergeCell ref="G62:J62"/>
    <mergeCell ref="G63:J63"/>
    <mergeCell ref="K61:L61"/>
    <mergeCell ref="K62:L62"/>
    <mergeCell ref="K63:L63"/>
    <mergeCell ref="B65:D65"/>
    <mergeCell ref="E65:L65"/>
    <mergeCell ref="B66:D66"/>
    <mergeCell ref="E66:L66"/>
    <mergeCell ref="G67:J67"/>
    <mergeCell ref="K67:L67"/>
    <mergeCell ref="G71:J71"/>
    <mergeCell ref="G72:J72"/>
    <mergeCell ref="G73:J73"/>
    <mergeCell ref="G68:J68"/>
    <mergeCell ref="K68:L68"/>
    <mergeCell ref="G69:J69"/>
    <mergeCell ref="G70:J70"/>
    <mergeCell ref="K69:L69"/>
    <mergeCell ref="K70:L70"/>
    <mergeCell ref="K71:L71"/>
    <mergeCell ref="K72:L72"/>
    <mergeCell ref="K73:L73"/>
  </mergeCells>
  <pageMargins left="0.70866141732283472" right="0.70866141732283472" top="0.74803149606299213" bottom="0.74803149606299213" header="0.31496062992125984" footer="0.31496062992125984"/>
  <pageSetup paperSize="9" scale="68" fitToHeight="0" orientation="landscape" r:id="rId1"/>
  <rowBreaks count="1" manualBreakCount="1">
    <brk id="53" min="1" max="13" man="1"/>
  </rowBreaks>
  <colBreaks count="1" manualBreakCount="1">
    <brk id="6"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48DA3EE-8260-4E9F-AFCB-D293F357EB91}">
          <x14:formula1>
            <xm:f>DATOS!$C$8:$C$9</xm:f>
          </x14:formula1>
          <xm:sqref>F9:F14 L9:L14 F31:F32 F22:F23 F36:F41 L36:L41 F48:F53 F58:F63 F68:F73 L22:L23 L31:L32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58FAE-EF35-4BA0-BC37-2CDAF16013CB}">
  <sheetPr codeName="Hoja11">
    <tabColor rgb="FFA9D08E"/>
  </sheetPr>
  <dimension ref="B1:T155"/>
  <sheetViews>
    <sheetView showGridLines="0" workbookViewId="0">
      <selection activeCell="N7" sqref="N7"/>
    </sheetView>
  </sheetViews>
  <sheetFormatPr defaultColWidth="9.140625" defaultRowHeight="11.25"/>
  <cols>
    <col min="1" max="1" width="2.7109375" style="390" customWidth="1"/>
    <col min="2" max="2" width="5.140625" style="390" customWidth="1"/>
    <col min="3" max="3" width="12.140625" style="390" customWidth="1"/>
    <col min="4" max="4" width="9.42578125" style="392" customWidth="1"/>
    <col min="5" max="5" width="25.85546875" style="390" customWidth="1"/>
    <col min="6" max="6" width="11.42578125" style="390" customWidth="1"/>
    <col min="7" max="7" width="13.7109375" style="390" customWidth="1"/>
    <col min="8" max="8" width="10.85546875" style="390" customWidth="1"/>
    <col min="9" max="12" width="5.28515625" style="392" customWidth="1"/>
    <col min="13" max="13" width="6.5703125" style="392" customWidth="1"/>
    <col min="14" max="14" width="5.28515625" style="392" customWidth="1"/>
    <col min="15" max="15" width="8.85546875" style="390" customWidth="1"/>
    <col min="16" max="20" width="9.85546875" style="390" customWidth="1"/>
    <col min="21" max="16384" width="9.140625" style="390"/>
  </cols>
  <sheetData>
    <row r="1" spans="2:20" ht="11.25" customHeight="1">
      <c r="B1" s="769" t="s">
        <v>209</v>
      </c>
      <c r="C1" s="770"/>
      <c r="D1" s="770"/>
      <c r="E1" s="770"/>
      <c r="F1" s="770"/>
      <c r="G1" s="770"/>
      <c r="H1" s="770"/>
      <c r="I1" s="770"/>
      <c r="J1" s="770"/>
      <c r="K1" s="770"/>
      <c r="L1" s="770"/>
      <c r="M1" s="770"/>
      <c r="N1" s="770"/>
      <c r="O1" s="770"/>
      <c r="P1" s="770"/>
      <c r="Q1" s="770"/>
      <c r="R1" s="770"/>
      <c r="S1" s="770"/>
      <c r="T1" s="771"/>
    </row>
    <row r="2" spans="2:20" ht="15" customHeight="1">
      <c r="B2" s="772"/>
      <c r="C2" s="773"/>
      <c r="D2" s="773"/>
      <c r="E2" s="773"/>
      <c r="F2" s="773"/>
      <c r="G2" s="773"/>
      <c r="H2" s="773"/>
      <c r="I2" s="773"/>
      <c r="J2" s="773"/>
      <c r="K2" s="773"/>
      <c r="L2" s="773"/>
      <c r="M2" s="773"/>
      <c r="N2" s="773"/>
      <c r="O2" s="773"/>
      <c r="P2" s="773"/>
      <c r="Q2" s="773"/>
      <c r="R2" s="773"/>
      <c r="S2" s="773"/>
      <c r="T2" s="774"/>
    </row>
    <row r="3" spans="2:20" ht="6.75" customHeight="1"/>
    <row r="4" spans="2:20" ht="15.75" customHeight="1">
      <c r="B4" s="416" t="s">
        <v>210</v>
      </c>
      <c r="C4" s="416"/>
      <c r="E4" s="780" t="s">
        <v>4</v>
      </c>
      <c r="F4" s="781"/>
      <c r="G4" s="418"/>
      <c r="H4" s="419" t="s">
        <v>211</v>
      </c>
      <c r="N4" s="775" t="str">
        <f>IF(E6="","",IF(E4="","",IF(ISERROR(VLOOKUP(CONCATENATE(E4,"_",E6),DATOS!U:V,2,0)),"LA MODALIDAD NO ESTA LICENCIADA",VLOOKUP(CONCATENATE(E4,"_",E6), DATOS!U:V,2,0))))</f>
        <v>P25</v>
      </c>
      <c r="O4" s="776"/>
    </row>
    <row r="5" spans="2:20" ht="6.75" customHeight="1">
      <c r="E5" s="418"/>
      <c r="F5" s="418"/>
      <c r="G5" s="418"/>
      <c r="N5" s="582"/>
      <c r="O5" s="391"/>
    </row>
    <row r="6" spans="2:20" ht="15.75" customHeight="1">
      <c r="B6" s="416" t="s">
        <v>212</v>
      </c>
      <c r="C6" s="416"/>
      <c r="E6" s="777" t="s">
        <v>6</v>
      </c>
      <c r="F6" s="778"/>
      <c r="G6" s="418"/>
      <c r="H6" s="416" t="s">
        <v>213</v>
      </c>
      <c r="N6" s="777" t="s">
        <v>11</v>
      </c>
      <c r="O6" s="778"/>
    </row>
    <row r="7" spans="2:20" ht="6.75" customHeight="1">
      <c r="E7" s="418"/>
      <c r="F7" s="418"/>
      <c r="G7" s="418"/>
      <c r="N7" s="582"/>
      <c r="O7" s="391"/>
    </row>
    <row r="8" spans="2:20" ht="15.75" customHeight="1">
      <c r="B8" s="416" t="s">
        <v>214</v>
      </c>
      <c r="C8" s="416"/>
      <c r="E8" s="780" t="s">
        <v>215</v>
      </c>
      <c r="F8" s="781"/>
      <c r="G8" s="417"/>
      <c r="H8" s="416" t="s">
        <v>216</v>
      </c>
      <c r="N8" s="777">
        <v>60</v>
      </c>
      <c r="O8" s="778"/>
    </row>
    <row r="9" spans="2:20" ht="6.75" customHeight="1">
      <c r="E9" s="417"/>
      <c r="F9" s="417"/>
      <c r="G9" s="417"/>
    </row>
    <row r="10" spans="2:20" ht="15.75" customHeight="1">
      <c r="B10" s="416" t="s">
        <v>217</v>
      </c>
      <c r="C10" s="416"/>
      <c r="E10" s="775" t="s">
        <v>218</v>
      </c>
      <c r="F10" s="776"/>
      <c r="G10" s="417"/>
      <c r="H10" s="416" t="s">
        <v>219</v>
      </c>
      <c r="N10" s="777" t="s">
        <v>220</v>
      </c>
      <c r="O10" s="778"/>
    </row>
    <row r="11" spans="2:20" ht="6.75" customHeight="1">
      <c r="B11" s="416"/>
      <c r="C11" s="416"/>
      <c r="E11" s="415"/>
      <c r="F11" s="415"/>
      <c r="G11" s="415"/>
    </row>
    <row r="12" spans="2:20" ht="15" customHeight="1">
      <c r="I12" s="779" t="s">
        <v>221</v>
      </c>
      <c r="J12" s="779"/>
      <c r="K12" s="779" t="s">
        <v>222</v>
      </c>
      <c r="L12" s="779"/>
      <c r="M12" s="779" t="s">
        <v>223</v>
      </c>
      <c r="N12" s="779"/>
    </row>
    <row r="13" spans="2:20" s="411" customFormat="1" ht="34.5" customHeight="1" thickBot="1">
      <c r="B13" s="414" t="s">
        <v>224</v>
      </c>
      <c r="C13" s="413" t="s">
        <v>225</v>
      </c>
      <c r="D13" s="413" t="s">
        <v>226</v>
      </c>
      <c r="E13" s="413" t="s">
        <v>227</v>
      </c>
      <c r="F13" s="413" t="s">
        <v>228</v>
      </c>
      <c r="G13" s="413" t="s">
        <v>229</v>
      </c>
      <c r="H13" s="413" t="s">
        <v>230</v>
      </c>
      <c r="I13" s="413" t="s">
        <v>231</v>
      </c>
      <c r="J13" s="413" t="s">
        <v>232</v>
      </c>
      <c r="K13" s="413" t="s">
        <v>231</v>
      </c>
      <c r="L13" s="413" t="s">
        <v>232</v>
      </c>
      <c r="M13" s="413" t="s">
        <v>231</v>
      </c>
      <c r="N13" s="413" t="s">
        <v>232</v>
      </c>
      <c r="O13" s="413" t="s">
        <v>233</v>
      </c>
      <c r="P13" s="413" t="s">
        <v>234</v>
      </c>
      <c r="Q13" s="413" t="s">
        <v>235</v>
      </c>
      <c r="R13" s="413" t="s">
        <v>236</v>
      </c>
      <c r="S13" s="413" t="s">
        <v>237</v>
      </c>
      <c r="T13" s="412" t="s">
        <v>238</v>
      </c>
    </row>
    <row r="14" spans="2:20">
      <c r="B14" s="403">
        <v>1</v>
      </c>
      <c r="C14" s="408"/>
      <c r="D14" s="405" t="s">
        <v>239</v>
      </c>
      <c r="E14" s="399" t="s">
        <v>240</v>
      </c>
      <c r="F14" s="399" t="s">
        <v>241</v>
      </c>
      <c r="G14" s="399" t="s">
        <v>242</v>
      </c>
      <c r="H14" s="400" t="s">
        <v>243</v>
      </c>
      <c r="I14" s="505">
        <v>64</v>
      </c>
      <c r="J14" s="506">
        <v>0</v>
      </c>
      <c r="K14" s="505">
        <v>0</v>
      </c>
      <c r="L14" s="506">
        <v>0</v>
      </c>
      <c r="M14" s="505">
        <v>0</v>
      </c>
      <c r="N14" s="506">
        <v>0</v>
      </c>
      <c r="O14" s="407">
        <v>4</v>
      </c>
      <c r="P14" s="409" t="s">
        <v>244</v>
      </c>
      <c r="Q14" s="409" t="s">
        <v>244</v>
      </c>
      <c r="R14" s="409" t="s">
        <v>244</v>
      </c>
      <c r="S14" s="409" t="s">
        <v>244</v>
      </c>
      <c r="T14" s="409" t="s">
        <v>244</v>
      </c>
    </row>
    <row r="15" spans="2:20">
      <c r="B15" s="403">
        <v>1</v>
      </c>
      <c r="C15" s="408"/>
      <c r="D15" s="405" t="s">
        <v>245</v>
      </c>
      <c r="E15" s="399" t="s">
        <v>246</v>
      </c>
      <c r="F15" s="399" t="s">
        <v>247</v>
      </c>
      <c r="G15" s="399" t="s">
        <v>242</v>
      </c>
      <c r="H15" s="400" t="s">
        <v>243</v>
      </c>
      <c r="I15" s="507">
        <v>64</v>
      </c>
      <c r="J15" s="401">
        <v>0</v>
      </c>
      <c r="K15" s="507">
        <v>0</v>
      </c>
      <c r="L15" s="401">
        <v>0</v>
      </c>
      <c r="M15" s="507">
        <v>0</v>
      </c>
      <c r="N15" s="401">
        <v>0</v>
      </c>
      <c r="O15" s="407">
        <v>4</v>
      </c>
      <c r="P15" s="399" t="s">
        <v>244</v>
      </c>
      <c r="Q15" s="399" t="s">
        <v>244</v>
      </c>
      <c r="R15" s="399" t="s">
        <v>244</v>
      </c>
      <c r="S15" s="399" t="s">
        <v>244</v>
      </c>
      <c r="T15" s="399" t="s">
        <v>244</v>
      </c>
    </row>
    <row r="16" spans="2:20">
      <c r="B16" s="403">
        <v>1</v>
      </c>
      <c r="C16" s="408"/>
      <c r="D16" s="405" t="s">
        <v>248</v>
      </c>
      <c r="E16" s="399" t="s">
        <v>249</v>
      </c>
      <c r="F16" s="399" t="s">
        <v>241</v>
      </c>
      <c r="G16" s="399" t="s">
        <v>242</v>
      </c>
      <c r="H16" s="400" t="s">
        <v>243</v>
      </c>
      <c r="I16" s="507">
        <v>36</v>
      </c>
      <c r="J16" s="401">
        <v>0</v>
      </c>
      <c r="K16" s="508">
        <v>56</v>
      </c>
      <c r="L16" s="509">
        <v>0</v>
      </c>
      <c r="M16" s="507">
        <v>0</v>
      </c>
      <c r="N16" s="401">
        <v>0</v>
      </c>
      <c r="O16" s="407">
        <v>4</v>
      </c>
      <c r="P16" s="399" t="s">
        <v>244</v>
      </c>
      <c r="Q16" s="399" t="s">
        <v>244</v>
      </c>
      <c r="R16" s="399" t="s">
        <v>244</v>
      </c>
      <c r="S16" s="399" t="s">
        <v>244</v>
      </c>
      <c r="T16" s="399" t="s">
        <v>244</v>
      </c>
    </row>
    <row r="17" spans="2:20">
      <c r="B17" s="403">
        <v>1</v>
      </c>
      <c r="C17" s="408"/>
      <c r="D17" s="405" t="s">
        <v>250</v>
      </c>
      <c r="E17" s="399" t="s">
        <v>251</v>
      </c>
      <c r="F17" s="399" t="s">
        <v>247</v>
      </c>
      <c r="G17" s="399" t="s">
        <v>242</v>
      </c>
      <c r="H17" s="400" t="s">
        <v>243</v>
      </c>
      <c r="I17" s="507">
        <v>64</v>
      </c>
      <c r="J17" s="401">
        <v>0</v>
      </c>
      <c r="K17" s="507">
        <v>0</v>
      </c>
      <c r="L17" s="401">
        <v>0</v>
      </c>
      <c r="M17" s="507">
        <v>0</v>
      </c>
      <c r="N17" s="401">
        <v>0</v>
      </c>
      <c r="O17" s="407">
        <v>4</v>
      </c>
      <c r="P17" s="399" t="s">
        <v>244</v>
      </c>
      <c r="Q17" s="399" t="s">
        <v>244</v>
      </c>
      <c r="R17" s="399" t="s">
        <v>244</v>
      </c>
      <c r="S17" s="399" t="s">
        <v>244</v>
      </c>
      <c r="T17" s="399" t="s">
        <v>244</v>
      </c>
    </row>
    <row r="18" spans="2:20">
      <c r="B18" s="403">
        <v>1</v>
      </c>
      <c r="C18" s="408"/>
      <c r="D18" s="405" t="s">
        <v>252</v>
      </c>
      <c r="E18" s="399" t="s">
        <v>253</v>
      </c>
      <c r="F18" s="399" t="s">
        <v>247</v>
      </c>
      <c r="G18" s="471" t="s">
        <v>242</v>
      </c>
      <c r="H18" s="400" t="s">
        <v>243</v>
      </c>
      <c r="I18" s="507">
        <v>64</v>
      </c>
      <c r="J18" s="401">
        <v>0</v>
      </c>
      <c r="K18" s="507">
        <v>0</v>
      </c>
      <c r="L18" s="401">
        <v>0</v>
      </c>
      <c r="M18" s="507">
        <v>0</v>
      </c>
      <c r="N18" s="401">
        <v>0</v>
      </c>
      <c r="O18" s="407">
        <v>4</v>
      </c>
      <c r="P18" s="399" t="s">
        <v>244</v>
      </c>
      <c r="Q18" s="399" t="s">
        <v>244</v>
      </c>
      <c r="R18" s="399" t="s">
        <v>244</v>
      </c>
      <c r="S18" s="399" t="s">
        <v>244</v>
      </c>
      <c r="T18" s="399" t="s">
        <v>244</v>
      </c>
    </row>
    <row r="19" spans="2:20">
      <c r="B19" s="403">
        <v>1</v>
      </c>
      <c r="C19" s="408"/>
      <c r="D19" s="405" t="s">
        <v>244</v>
      </c>
      <c r="E19" s="399" t="s">
        <v>244</v>
      </c>
      <c r="F19" s="399" t="s">
        <v>244</v>
      </c>
      <c r="G19" s="471" t="s">
        <v>244</v>
      </c>
      <c r="H19" s="400" t="s">
        <v>244</v>
      </c>
      <c r="I19" s="507">
        <v>0</v>
      </c>
      <c r="J19" s="401">
        <v>0</v>
      </c>
      <c r="K19" s="507">
        <v>0</v>
      </c>
      <c r="L19" s="401">
        <v>0</v>
      </c>
      <c r="M19" s="507">
        <v>0</v>
      </c>
      <c r="N19" s="401">
        <v>0</v>
      </c>
      <c r="O19" s="407" t="s">
        <v>244</v>
      </c>
      <c r="P19" s="399" t="s">
        <v>244</v>
      </c>
      <c r="Q19" s="399" t="s">
        <v>244</v>
      </c>
      <c r="R19" s="399" t="s">
        <v>244</v>
      </c>
      <c r="S19" s="399" t="s">
        <v>244</v>
      </c>
      <c r="T19" s="399" t="s">
        <v>244</v>
      </c>
    </row>
    <row r="20" spans="2:20">
      <c r="B20" s="403">
        <v>1</v>
      </c>
      <c r="C20" s="408"/>
      <c r="D20" s="405" t="s">
        <v>244</v>
      </c>
      <c r="E20" s="399" t="s">
        <v>244</v>
      </c>
      <c r="F20" s="399" t="s">
        <v>244</v>
      </c>
      <c r="G20" s="471" t="s">
        <v>244</v>
      </c>
      <c r="H20" s="400" t="s">
        <v>244</v>
      </c>
      <c r="I20" s="507">
        <v>0</v>
      </c>
      <c r="J20" s="401">
        <v>0</v>
      </c>
      <c r="K20" s="507">
        <v>0</v>
      </c>
      <c r="L20" s="401">
        <v>0</v>
      </c>
      <c r="M20" s="507">
        <v>0</v>
      </c>
      <c r="N20" s="401">
        <v>0</v>
      </c>
      <c r="O20" s="407" t="s">
        <v>244</v>
      </c>
      <c r="P20" s="399" t="s">
        <v>244</v>
      </c>
      <c r="Q20" s="399" t="s">
        <v>244</v>
      </c>
      <c r="R20" s="399" t="s">
        <v>244</v>
      </c>
      <c r="S20" s="399" t="s">
        <v>244</v>
      </c>
      <c r="T20" s="399" t="s">
        <v>244</v>
      </c>
    </row>
    <row r="21" spans="2:20">
      <c r="B21" s="403">
        <v>1</v>
      </c>
      <c r="C21" s="408"/>
      <c r="D21" s="405" t="s">
        <v>244</v>
      </c>
      <c r="E21" s="399" t="s">
        <v>244</v>
      </c>
      <c r="F21" s="399" t="s">
        <v>244</v>
      </c>
      <c r="G21" s="471" t="s">
        <v>244</v>
      </c>
      <c r="H21" s="400" t="s">
        <v>244</v>
      </c>
      <c r="I21" s="507">
        <v>0</v>
      </c>
      <c r="J21" s="401">
        <v>0</v>
      </c>
      <c r="K21" s="507">
        <v>0</v>
      </c>
      <c r="L21" s="401">
        <v>0</v>
      </c>
      <c r="M21" s="507">
        <v>0</v>
      </c>
      <c r="N21" s="401">
        <v>0</v>
      </c>
      <c r="O21" s="407" t="s">
        <v>244</v>
      </c>
      <c r="P21" s="399" t="s">
        <v>244</v>
      </c>
      <c r="Q21" s="399" t="s">
        <v>244</v>
      </c>
      <c r="R21" s="399" t="s">
        <v>244</v>
      </c>
      <c r="S21" s="399" t="s">
        <v>244</v>
      </c>
      <c r="T21" s="399" t="s">
        <v>244</v>
      </c>
    </row>
    <row r="22" spans="2:20">
      <c r="B22" s="403">
        <v>1</v>
      </c>
      <c r="C22" s="408"/>
      <c r="D22" s="405" t="s">
        <v>244</v>
      </c>
      <c r="E22" s="399" t="s">
        <v>244</v>
      </c>
      <c r="F22" s="399" t="s">
        <v>244</v>
      </c>
      <c r="G22" s="471" t="s">
        <v>244</v>
      </c>
      <c r="H22" s="400" t="s">
        <v>244</v>
      </c>
      <c r="I22" s="507">
        <v>0</v>
      </c>
      <c r="J22" s="401">
        <v>0</v>
      </c>
      <c r="K22" s="507">
        <v>0</v>
      </c>
      <c r="L22" s="401">
        <v>0</v>
      </c>
      <c r="M22" s="507">
        <v>0</v>
      </c>
      <c r="N22" s="401">
        <v>0</v>
      </c>
      <c r="O22" s="407" t="s">
        <v>244</v>
      </c>
      <c r="P22" s="399" t="s">
        <v>244</v>
      </c>
      <c r="Q22" s="399" t="s">
        <v>244</v>
      </c>
      <c r="R22" s="399" t="s">
        <v>244</v>
      </c>
      <c r="S22" s="399" t="s">
        <v>244</v>
      </c>
      <c r="T22" s="399" t="s">
        <v>244</v>
      </c>
    </row>
    <row r="23" spans="2:20" ht="12" thickBot="1">
      <c r="B23" s="398">
        <v>1</v>
      </c>
      <c r="C23" s="406"/>
      <c r="D23" s="503" t="s">
        <v>244</v>
      </c>
      <c r="E23" s="394" t="s">
        <v>244</v>
      </c>
      <c r="F23" s="394" t="s">
        <v>244</v>
      </c>
      <c r="G23" s="472" t="s">
        <v>244</v>
      </c>
      <c r="H23" s="488" t="s">
        <v>244</v>
      </c>
      <c r="I23" s="510">
        <v>0</v>
      </c>
      <c r="J23" s="396">
        <v>0</v>
      </c>
      <c r="K23" s="510">
        <v>0</v>
      </c>
      <c r="L23" s="396">
        <v>0</v>
      </c>
      <c r="M23" s="510">
        <v>0</v>
      </c>
      <c r="N23" s="396">
        <v>0</v>
      </c>
      <c r="O23" s="489" t="s">
        <v>244</v>
      </c>
      <c r="P23" s="394" t="s">
        <v>244</v>
      </c>
      <c r="Q23" s="394" t="s">
        <v>244</v>
      </c>
      <c r="R23" s="394" t="s">
        <v>244</v>
      </c>
      <c r="S23" s="394" t="s">
        <v>244</v>
      </c>
      <c r="T23" s="394" t="s">
        <v>244</v>
      </c>
    </row>
    <row r="24" spans="2:20" ht="12" thickTop="1">
      <c r="B24" s="410">
        <v>2</v>
      </c>
      <c r="C24" s="408"/>
      <c r="D24" s="504" t="s">
        <v>254</v>
      </c>
      <c r="E24" s="399" t="s">
        <v>255</v>
      </c>
      <c r="F24" s="399" t="s">
        <v>256</v>
      </c>
      <c r="G24" s="399" t="s">
        <v>242</v>
      </c>
      <c r="H24" s="400" t="s">
        <v>243</v>
      </c>
      <c r="I24" s="505">
        <v>32</v>
      </c>
      <c r="J24" s="506">
        <v>0</v>
      </c>
      <c r="K24" s="505">
        <v>0</v>
      </c>
      <c r="L24" s="506">
        <v>0</v>
      </c>
      <c r="M24" s="507">
        <v>0</v>
      </c>
      <c r="N24" s="401">
        <v>0</v>
      </c>
      <c r="O24" s="407">
        <v>2</v>
      </c>
      <c r="P24" s="409" t="s">
        <v>244</v>
      </c>
      <c r="Q24" s="409" t="s">
        <v>244</v>
      </c>
      <c r="R24" s="409" t="s">
        <v>244</v>
      </c>
      <c r="S24" s="409" t="s">
        <v>244</v>
      </c>
      <c r="T24" s="409" t="s">
        <v>244</v>
      </c>
    </row>
    <row r="25" spans="2:20">
      <c r="B25" s="403">
        <v>2</v>
      </c>
      <c r="C25" s="408"/>
      <c r="D25" s="405" t="s">
        <v>257</v>
      </c>
      <c r="E25" s="399" t="s">
        <v>258</v>
      </c>
      <c r="F25" s="399" t="s">
        <v>241</v>
      </c>
      <c r="G25" s="399" t="s">
        <v>242</v>
      </c>
      <c r="H25" s="400" t="s">
        <v>243</v>
      </c>
      <c r="I25" s="507">
        <v>36</v>
      </c>
      <c r="J25" s="401">
        <v>0</v>
      </c>
      <c r="K25" s="507">
        <v>56</v>
      </c>
      <c r="L25" s="401">
        <v>0</v>
      </c>
      <c r="M25" s="507">
        <v>0</v>
      </c>
      <c r="N25" s="401">
        <v>0</v>
      </c>
      <c r="O25" s="407">
        <v>4</v>
      </c>
      <c r="P25" s="399" t="s">
        <v>249</v>
      </c>
      <c r="Q25" s="399" t="s">
        <v>244</v>
      </c>
      <c r="R25" s="399" t="s">
        <v>244</v>
      </c>
      <c r="S25" s="399" t="s">
        <v>244</v>
      </c>
      <c r="T25" s="399" t="s">
        <v>244</v>
      </c>
    </row>
    <row r="26" spans="2:20">
      <c r="B26" s="403">
        <v>2</v>
      </c>
      <c r="C26" s="408"/>
      <c r="D26" s="405" t="s">
        <v>259</v>
      </c>
      <c r="E26" s="399" t="s">
        <v>260</v>
      </c>
      <c r="F26" s="399" t="s">
        <v>256</v>
      </c>
      <c r="G26" s="399" t="s">
        <v>242</v>
      </c>
      <c r="H26" s="400" t="s">
        <v>243</v>
      </c>
      <c r="I26" s="507">
        <v>64</v>
      </c>
      <c r="J26" s="401">
        <v>0</v>
      </c>
      <c r="K26" s="508">
        <v>0</v>
      </c>
      <c r="L26" s="509">
        <v>0</v>
      </c>
      <c r="M26" s="507">
        <v>0</v>
      </c>
      <c r="N26" s="401">
        <v>0</v>
      </c>
      <c r="O26" s="407">
        <v>4</v>
      </c>
      <c r="P26" s="399" t="s">
        <v>244</v>
      </c>
      <c r="Q26" s="399" t="s">
        <v>244</v>
      </c>
      <c r="R26" s="399" t="s">
        <v>244</v>
      </c>
      <c r="S26" s="399" t="s">
        <v>244</v>
      </c>
      <c r="T26" s="399" t="s">
        <v>244</v>
      </c>
    </row>
    <row r="27" spans="2:20">
      <c r="B27" s="403">
        <v>2</v>
      </c>
      <c r="C27" s="408"/>
      <c r="D27" s="405" t="s">
        <v>261</v>
      </c>
      <c r="E27" s="399" t="s">
        <v>262</v>
      </c>
      <c r="F27" s="399" t="s">
        <v>247</v>
      </c>
      <c r="G27" s="470" t="s">
        <v>242</v>
      </c>
      <c r="H27" s="400" t="s">
        <v>243</v>
      </c>
      <c r="I27" s="507">
        <v>64</v>
      </c>
      <c r="J27" s="401">
        <v>0</v>
      </c>
      <c r="K27" s="507">
        <v>0</v>
      </c>
      <c r="L27" s="401">
        <v>0</v>
      </c>
      <c r="M27" s="507">
        <v>0</v>
      </c>
      <c r="N27" s="401">
        <v>0</v>
      </c>
      <c r="O27" s="407">
        <v>4</v>
      </c>
      <c r="P27" s="399" t="s">
        <v>251</v>
      </c>
      <c r="Q27" s="399" t="s">
        <v>244</v>
      </c>
      <c r="R27" s="399" t="s">
        <v>244</v>
      </c>
      <c r="S27" s="399" t="s">
        <v>244</v>
      </c>
      <c r="T27" s="399" t="s">
        <v>244</v>
      </c>
    </row>
    <row r="28" spans="2:20">
      <c r="B28" s="403">
        <v>2</v>
      </c>
      <c r="C28" s="408"/>
      <c r="D28" s="405" t="s">
        <v>263</v>
      </c>
      <c r="E28" s="399" t="s">
        <v>264</v>
      </c>
      <c r="F28" s="399" t="s">
        <v>241</v>
      </c>
      <c r="G28" s="471" t="s">
        <v>242</v>
      </c>
      <c r="H28" s="400" t="s">
        <v>243</v>
      </c>
      <c r="I28" s="507">
        <v>64</v>
      </c>
      <c r="J28" s="401">
        <v>0</v>
      </c>
      <c r="K28" s="507">
        <v>0</v>
      </c>
      <c r="L28" s="401">
        <v>0</v>
      </c>
      <c r="M28" s="507">
        <v>0</v>
      </c>
      <c r="N28" s="401">
        <v>0</v>
      </c>
      <c r="O28" s="407">
        <v>4</v>
      </c>
      <c r="P28" s="399" t="s">
        <v>244</v>
      </c>
      <c r="Q28" s="399" t="s">
        <v>244</v>
      </c>
      <c r="R28" s="399" t="s">
        <v>244</v>
      </c>
      <c r="S28" s="399" t="s">
        <v>244</v>
      </c>
      <c r="T28" s="399" t="s">
        <v>244</v>
      </c>
    </row>
    <row r="29" spans="2:20">
      <c r="B29" s="403">
        <v>2</v>
      </c>
      <c r="C29" s="408"/>
      <c r="D29" s="405" t="s">
        <v>265</v>
      </c>
      <c r="E29" s="399" t="s">
        <v>266</v>
      </c>
      <c r="F29" s="399" t="s">
        <v>256</v>
      </c>
      <c r="G29" s="471" t="s">
        <v>242</v>
      </c>
      <c r="H29" s="400" t="s">
        <v>243</v>
      </c>
      <c r="I29" s="507">
        <v>32</v>
      </c>
      <c r="J29" s="401">
        <v>0</v>
      </c>
      <c r="K29" s="507">
        <v>0</v>
      </c>
      <c r="L29" s="401">
        <v>0</v>
      </c>
      <c r="M29" s="507">
        <v>0</v>
      </c>
      <c r="N29" s="401">
        <v>0</v>
      </c>
      <c r="O29" s="407">
        <v>2</v>
      </c>
      <c r="P29" s="399" t="s">
        <v>244</v>
      </c>
      <c r="Q29" s="399" t="s">
        <v>244</v>
      </c>
      <c r="R29" s="399" t="s">
        <v>244</v>
      </c>
      <c r="S29" s="399" t="s">
        <v>244</v>
      </c>
      <c r="T29" s="399" t="s">
        <v>244</v>
      </c>
    </row>
    <row r="30" spans="2:20">
      <c r="B30" s="403">
        <v>2</v>
      </c>
      <c r="C30" s="408"/>
      <c r="D30" s="405" t="s">
        <v>244</v>
      </c>
      <c r="E30" s="399" t="s">
        <v>244</v>
      </c>
      <c r="F30" s="399" t="s">
        <v>244</v>
      </c>
      <c r="G30" s="471" t="s">
        <v>244</v>
      </c>
      <c r="H30" s="400" t="s">
        <v>244</v>
      </c>
      <c r="I30" s="507">
        <v>0</v>
      </c>
      <c r="J30" s="401">
        <v>0</v>
      </c>
      <c r="K30" s="507">
        <v>0</v>
      </c>
      <c r="L30" s="401">
        <v>0</v>
      </c>
      <c r="M30" s="507">
        <v>0</v>
      </c>
      <c r="N30" s="401">
        <v>0</v>
      </c>
      <c r="O30" s="407" t="s">
        <v>244</v>
      </c>
      <c r="P30" s="399" t="s">
        <v>244</v>
      </c>
      <c r="Q30" s="399" t="s">
        <v>244</v>
      </c>
      <c r="R30" s="399" t="s">
        <v>244</v>
      </c>
      <c r="S30" s="399" t="s">
        <v>244</v>
      </c>
      <c r="T30" s="399" t="s">
        <v>244</v>
      </c>
    </row>
    <row r="31" spans="2:20">
      <c r="B31" s="403">
        <v>2</v>
      </c>
      <c r="C31" s="408"/>
      <c r="D31" s="405" t="s">
        <v>244</v>
      </c>
      <c r="E31" s="399" t="s">
        <v>244</v>
      </c>
      <c r="F31" s="399" t="s">
        <v>244</v>
      </c>
      <c r="G31" s="471" t="s">
        <v>244</v>
      </c>
      <c r="H31" s="400" t="s">
        <v>244</v>
      </c>
      <c r="I31" s="507">
        <v>0</v>
      </c>
      <c r="J31" s="401">
        <v>0</v>
      </c>
      <c r="K31" s="507">
        <v>0</v>
      </c>
      <c r="L31" s="401">
        <v>0</v>
      </c>
      <c r="M31" s="507">
        <v>0</v>
      </c>
      <c r="N31" s="401">
        <v>0</v>
      </c>
      <c r="O31" s="407" t="s">
        <v>244</v>
      </c>
      <c r="P31" s="399" t="s">
        <v>244</v>
      </c>
      <c r="Q31" s="399" t="s">
        <v>244</v>
      </c>
      <c r="R31" s="399" t="s">
        <v>244</v>
      </c>
      <c r="S31" s="399" t="s">
        <v>244</v>
      </c>
      <c r="T31" s="399" t="s">
        <v>244</v>
      </c>
    </row>
    <row r="32" spans="2:20">
      <c r="B32" s="403">
        <v>2</v>
      </c>
      <c r="C32" s="408"/>
      <c r="D32" s="405" t="s">
        <v>244</v>
      </c>
      <c r="E32" s="399" t="s">
        <v>244</v>
      </c>
      <c r="F32" s="399" t="s">
        <v>244</v>
      </c>
      <c r="G32" s="471" t="s">
        <v>244</v>
      </c>
      <c r="H32" s="400" t="s">
        <v>244</v>
      </c>
      <c r="I32" s="507">
        <v>0</v>
      </c>
      <c r="J32" s="401">
        <v>0</v>
      </c>
      <c r="K32" s="507">
        <v>0</v>
      </c>
      <c r="L32" s="401">
        <v>0</v>
      </c>
      <c r="M32" s="507">
        <v>0</v>
      </c>
      <c r="N32" s="401">
        <v>0</v>
      </c>
      <c r="O32" s="407" t="s">
        <v>244</v>
      </c>
      <c r="P32" s="399" t="s">
        <v>244</v>
      </c>
      <c r="Q32" s="399" t="s">
        <v>244</v>
      </c>
      <c r="R32" s="399" t="s">
        <v>244</v>
      </c>
      <c r="S32" s="399" t="s">
        <v>244</v>
      </c>
      <c r="T32" s="399" t="s">
        <v>244</v>
      </c>
    </row>
    <row r="33" spans="2:20" ht="12" thickBot="1">
      <c r="B33" s="398">
        <v>2</v>
      </c>
      <c r="C33" s="406"/>
      <c r="D33" s="404" t="s">
        <v>244</v>
      </c>
      <c r="E33" s="394" t="s">
        <v>244</v>
      </c>
      <c r="F33" s="394" t="s">
        <v>244</v>
      </c>
      <c r="G33" s="472" t="s">
        <v>244</v>
      </c>
      <c r="H33" s="488" t="s">
        <v>244</v>
      </c>
      <c r="I33" s="510">
        <v>0</v>
      </c>
      <c r="J33" s="396">
        <v>0</v>
      </c>
      <c r="K33" s="510">
        <v>0</v>
      </c>
      <c r="L33" s="396">
        <v>0</v>
      </c>
      <c r="M33" s="510">
        <v>0</v>
      </c>
      <c r="N33" s="396">
        <v>0</v>
      </c>
      <c r="O33" s="489" t="s">
        <v>244</v>
      </c>
      <c r="P33" s="394" t="s">
        <v>244</v>
      </c>
      <c r="Q33" s="394" t="s">
        <v>244</v>
      </c>
      <c r="R33" s="394" t="s">
        <v>244</v>
      </c>
      <c r="S33" s="394" t="s">
        <v>244</v>
      </c>
      <c r="T33" s="394" t="s">
        <v>244</v>
      </c>
    </row>
    <row r="34" spans="2:20" ht="12" thickTop="1">
      <c r="B34" s="403">
        <v>3</v>
      </c>
      <c r="C34" s="408"/>
      <c r="D34" s="405" t="s">
        <v>267</v>
      </c>
      <c r="E34" s="399" t="s">
        <v>268</v>
      </c>
      <c r="F34" s="399" t="s">
        <v>241</v>
      </c>
      <c r="G34" s="399" t="s">
        <v>242</v>
      </c>
      <c r="H34" s="400" t="s">
        <v>243</v>
      </c>
      <c r="I34" s="505">
        <v>36</v>
      </c>
      <c r="J34" s="506">
        <v>0</v>
      </c>
      <c r="K34" s="505">
        <v>56</v>
      </c>
      <c r="L34" s="506">
        <v>0</v>
      </c>
      <c r="M34" s="507">
        <v>0</v>
      </c>
      <c r="N34" s="401">
        <v>0</v>
      </c>
      <c r="O34" s="407">
        <v>4</v>
      </c>
      <c r="P34" s="409" t="s">
        <v>258</v>
      </c>
      <c r="Q34" s="409" t="s">
        <v>244</v>
      </c>
      <c r="R34" s="409" t="s">
        <v>244</v>
      </c>
      <c r="S34" s="409" t="s">
        <v>244</v>
      </c>
      <c r="T34" s="409" t="s">
        <v>244</v>
      </c>
    </row>
    <row r="35" spans="2:20">
      <c r="B35" s="403">
        <v>3</v>
      </c>
      <c r="C35" s="408"/>
      <c r="D35" s="405" t="s">
        <v>269</v>
      </c>
      <c r="E35" s="399" t="s">
        <v>270</v>
      </c>
      <c r="F35" s="399" t="s">
        <v>247</v>
      </c>
      <c r="G35" s="399" t="s">
        <v>242</v>
      </c>
      <c r="H35" s="400" t="s">
        <v>243</v>
      </c>
      <c r="I35" s="507">
        <v>36</v>
      </c>
      <c r="J35" s="401">
        <v>0</v>
      </c>
      <c r="K35" s="507">
        <v>28</v>
      </c>
      <c r="L35" s="401">
        <v>0</v>
      </c>
      <c r="M35" s="507">
        <v>28</v>
      </c>
      <c r="N35" s="401">
        <v>0</v>
      </c>
      <c r="O35" s="407">
        <v>4</v>
      </c>
      <c r="P35" s="399" t="s">
        <v>253</v>
      </c>
      <c r="Q35" s="399" t="s">
        <v>244</v>
      </c>
      <c r="R35" s="399" t="s">
        <v>244</v>
      </c>
      <c r="S35" s="399" t="s">
        <v>244</v>
      </c>
      <c r="T35" s="399" t="s">
        <v>244</v>
      </c>
    </row>
    <row r="36" spans="2:20">
      <c r="B36" s="403">
        <v>3</v>
      </c>
      <c r="C36" s="408"/>
      <c r="D36" s="405" t="s">
        <v>271</v>
      </c>
      <c r="E36" s="399" t="s">
        <v>272</v>
      </c>
      <c r="F36" s="399" t="s">
        <v>256</v>
      </c>
      <c r="G36" s="399" t="s">
        <v>242</v>
      </c>
      <c r="H36" s="400" t="s">
        <v>243</v>
      </c>
      <c r="I36" s="507">
        <v>2</v>
      </c>
      <c r="J36" s="401">
        <v>0</v>
      </c>
      <c r="K36" s="508">
        <v>60</v>
      </c>
      <c r="L36" s="509">
        <v>0</v>
      </c>
      <c r="M36" s="507">
        <v>0</v>
      </c>
      <c r="N36" s="401">
        <v>0</v>
      </c>
      <c r="O36" s="407">
        <v>2</v>
      </c>
      <c r="P36" s="399" t="s">
        <v>244</v>
      </c>
      <c r="Q36" s="399" t="s">
        <v>244</v>
      </c>
      <c r="R36" s="399" t="s">
        <v>244</v>
      </c>
      <c r="S36" s="399" t="s">
        <v>244</v>
      </c>
      <c r="T36" s="399" t="s">
        <v>244</v>
      </c>
    </row>
    <row r="37" spans="2:20">
      <c r="B37" s="403">
        <v>3</v>
      </c>
      <c r="C37" s="408"/>
      <c r="D37" s="405" t="s">
        <v>273</v>
      </c>
      <c r="E37" s="399" t="s">
        <v>274</v>
      </c>
      <c r="F37" s="399" t="s">
        <v>247</v>
      </c>
      <c r="G37" s="470" t="s">
        <v>242</v>
      </c>
      <c r="H37" s="400" t="s">
        <v>243</v>
      </c>
      <c r="I37" s="507">
        <v>36</v>
      </c>
      <c r="J37" s="401">
        <v>0</v>
      </c>
      <c r="K37" s="507">
        <v>56</v>
      </c>
      <c r="L37" s="401">
        <v>0</v>
      </c>
      <c r="M37" s="507">
        <v>0</v>
      </c>
      <c r="N37" s="401">
        <v>0</v>
      </c>
      <c r="O37" s="407">
        <v>4</v>
      </c>
      <c r="P37" s="399" t="s">
        <v>262</v>
      </c>
      <c r="Q37" s="399" t="s">
        <v>244</v>
      </c>
      <c r="R37" s="399" t="s">
        <v>244</v>
      </c>
      <c r="S37" s="399" t="s">
        <v>244</v>
      </c>
      <c r="T37" s="399" t="s">
        <v>244</v>
      </c>
    </row>
    <row r="38" spans="2:20">
      <c r="B38" s="403">
        <v>3</v>
      </c>
      <c r="C38" s="408"/>
      <c r="D38" s="405" t="s">
        <v>275</v>
      </c>
      <c r="E38" s="399" t="s">
        <v>276</v>
      </c>
      <c r="F38" s="399" t="s">
        <v>247</v>
      </c>
      <c r="G38" s="471" t="s">
        <v>242</v>
      </c>
      <c r="H38" s="400" t="s">
        <v>243</v>
      </c>
      <c r="I38" s="507">
        <v>64</v>
      </c>
      <c r="J38" s="401">
        <v>0</v>
      </c>
      <c r="K38" s="507">
        <v>0</v>
      </c>
      <c r="L38" s="401">
        <v>0</v>
      </c>
      <c r="M38" s="507">
        <v>0</v>
      </c>
      <c r="N38" s="401">
        <v>0</v>
      </c>
      <c r="O38" s="407">
        <v>4</v>
      </c>
      <c r="P38" s="399" t="s">
        <v>244</v>
      </c>
      <c r="Q38" s="399" t="s">
        <v>244</v>
      </c>
      <c r="R38" s="399" t="s">
        <v>244</v>
      </c>
      <c r="S38" s="399" t="s">
        <v>244</v>
      </c>
      <c r="T38" s="399" t="s">
        <v>244</v>
      </c>
    </row>
    <row r="39" spans="2:20">
      <c r="B39" s="403">
        <v>3</v>
      </c>
      <c r="C39" s="408"/>
      <c r="D39" s="405" t="s">
        <v>277</v>
      </c>
      <c r="E39" s="399" t="s">
        <v>278</v>
      </c>
      <c r="F39" s="399" t="s">
        <v>256</v>
      </c>
      <c r="G39" s="471" t="s">
        <v>242</v>
      </c>
      <c r="H39" s="400" t="s">
        <v>243</v>
      </c>
      <c r="I39" s="507">
        <v>32</v>
      </c>
      <c r="J39" s="401">
        <v>0</v>
      </c>
      <c r="K39" s="507">
        <v>0</v>
      </c>
      <c r="L39" s="401">
        <v>0</v>
      </c>
      <c r="M39" s="507">
        <v>0</v>
      </c>
      <c r="N39" s="401">
        <v>0</v>
      </c>
      <c r="O39" s="407">
        <v>2</v>
      </c>
      <c r="P39" s="399" t="s">
        <v>260</v>
      </c>
      <c r="Q39" s="399" t="s">
        <v>244</v>
      </c>
      <c r="R39" s="399" t="s">
        <v>244</v>
      </c>
      <c r="S39" s="399" t="s">
        <v>244</v>
      </c>
      <c r="T39" s="399" t="s">
        <v>244</v>
      </c>
    </row>
    <row r="40" spans="2:20">
      <c r="B40" s="403">
        <v>3</v>
      </c>
      <c r="C40" s="408"/>
      <c r="D40" s="405" t="s">
        <v>244</v>
      </c>
      <c r="E40" s="399" t="s">
        <v>244</v>
      </c>
      <c r="F40" s="399" t="s">
        <v>244</v>
      </c>
      <c r="G40" s="471" t="s">
        <v>244</v>
      </c>
      <c r="H40" s="400" t="s">
        <v>244</v>
      </c>
      <c r="I40" s="507">
        <v>0</v>
      </c>
      <c r="J40" s="401">
        <v>0</v>
      </c>
      <c r="K40" s="507">
        <v>0</v>
      </c>
      <c r="L40" s="401">
        <v>0</v>
      </c>
      <c r="M40" s="507">
        <v>0</v>
      </c>
      <c r="N40" s="401">
        <v>0</v>
      </c>
      <c r="O40" s="407" t="s">
        <v>244</v>
      </c>
      <c r="P40" s="399" t="s">
        <v>244</v>
      </c>
      <c r="Q40" s="399" t="s">
        <v>244</v>
      </c>
      <c r="R40" s="399" t="s">
        <v>244</v>
      </c>
      <c r="S40" s="399" t="s">
        <v>244</v>
      </c>
      <c r="T40" s="399" t="s">
        <v>244</v>
      </c>
    </row>
    <row r="41" spans="2:20">
      <c r="B41" s="403">
        <v>3</v>
      </c>
      <c r="C41" s="408"/>
      <c r="D41" s="405" t="s">
        <v>244</v>
      </c>
      <c r="E41" s="399" t="s">
        <v>244</v>
      </c>
      <c r="F41" s="399" t="s">
        <v>244</v>
      </c>
      <c r="G41" s="471" t="s">
        <v>244</v>
      </c>
      <c r="H41" s="400" t="s">
        <v>244</v>
      </c>
      <c r="I41" s="507">
        <v>0</v>
      </c>
      <c r="J41" s="401">
        <v>0</v>
      </c>
      <c r="K41" s="507">
        <v>0</v>
      </c>
      <c r="L41" s="401">
        <v>0</v>
      </c>
      <c r="M41" s="507">
        <v>0</v>
      </c>
      <c r="N41" s="401">
        <v>0</v>
      </c>
      <c r="O41" s="407" t="s">
        <v>244</v>
      </c>
      <c r="P41" s="399" t="s">
        <v>244</v>
      </c>
      <c r="Q41" s="399" t="s">
        <v>244</v>
      </c>
      <c r="R41" s="399" t="s">
        <v>244</v>
      </c>
      <c r="S41" s="399" t="s">
        <v>244</v>
      </c>
      <c r="T41" s="399" t="s">
        <v>244</v>
      </c>
    </row>
    <row r="42" spans="2:20">
      <c r="B42" s="403">
        <v>3</v>
      </c>
      <c r="C42" s="408"/>
      <c r="D42" s="405" t="s">
        <v>244</v>
      </c>
      <c r="E42" s="399" t="s">
        <v>244</v>
      </c>
      <c r="F42" s="399" t="s">
        <v>244</v>
      </c>
      <c r="G42" s="471" t="s">
        <v>244</v>
      </c>
      <c r="H42" s="400" t="s">
        <v>244</v>
      </c>
      <c r="I42" s="507">
        <v>0</v>
      </c>
      <c r="J42" s="401">
        <v>0</v>
      </c>
      <c r="K42" s="507">
        <v>0</v>
      </c>
      <c r="L42" s="401">
        <v>0</v>
      </c>
      <c r="M42" s="507">
        <v>0</v>
      </c>
      <c r="N42" s="401">
        <v>0</v>
      </c>
      <c r="O42" s="407" t="s">
        <v>244</v>
      </c>
      <c r="P42" s="399" t="s">
        <v>244</v>
      </c>
      <c r="Q42" s="399" t="s">
        <v>244</v>
      </c>
      <c r="R42" s="399" t="s">
        <v>244</v>
      </c>
      <c r="S42" s="399" t="s">
        <v>244</v>
      </c>
      <c r="T42" s="399" t="s">
        <v>244</v>
      </c>
    </row>
    <row r="43" spans="2:20" ht="12" thickBot="1">
      <c r="B43" s="398">
        <v>3</v>
      </c>
      <c r="C43" s="406"/>
      <c r="D43" s="404" t="s">
        <v>244</v>
      </c>
      <c r="E43" s="394" t="s">
        <v>244</v>
      </c>
      <c r="F43" s="394" t="s">
        <v>244</v>
      </c>
      <c r="G43" s="472" t="s">
        <v>244</v>
      </c>
      <c r="H43" s="488" t="s">
        <v>244</v>
      </c>
      <c r="I43" s="510">
        <v>0</v>
      </c>
      <c r="J43" s="396">
        <v>0</v>
      </c>
      <c r="K43" s="510">
        <v>0</v>
      </c>
      <c r="L43" s="396">
        <v>0</v>
      </c>
      <c r="M43" s="510">
        <v>0</v>
      </c>
      <c r="N43" s="396">
        <v>0</v>
      </c>
      <c r="O43" s="489" t="s">
        <v>244</v>
      </c>
      <c r="P43" s="394" t="s">
        <v>244</v>
      </c>
      <c r="Q43" s="394" t="s">
        <v>244</v>
      </c>
      <c r="R43" s="394" t="s">
        <v>244</v>
      </c>
      <c r="S43" s="394" t="s">
        <v>244</v>
      </c>
      <c r="T43" s="394" t="s">
        <v>244</v>
      </c>
    </row>
    <row r="44" spans="2:20" ht="12" thickTop="1">
      <c r="B44" s="403">
        <v>4</v>
      </c>
      <c r="C44" s="408"/>
      <c r="D44" s="405" t="s">
        <v>279</v>
      </c>
      <c r="E44" s="399" t="s">
        <v>280</v>
      </c>
      <c r="F44" s="399" t="s">
        <v>256</v>
      </c>
      <c r="G44" s="399" t="s">
        <v>242</v>
      </c>
      <c r="H44" s="400" t="s">
        <v>243</v>
      </c>
      <c r="I44" s="505">
        <v>36</v>
      </c>
      <c r="J44" s="506">
        <v>0</v>
      </c>
      <c r="K44" s="505">
        <v>56</v>
      </c>
      <c r="L44" s="506">
        <v>0</v>
      </c>
      <c r="M44" s="507">
        <v>0</v>
      </c>
      <c r="N44" s="401">
        <v>0</v>
      </c>
      <c r="O44" s="407">
        <v>4</v>
      </c>
      <c r="P44" s="409" t="s">
        <v>244</v>
      </c>
      <c r="Q44" s="409" t="s">
        <v>244</v>
      </c>
      <c r="R44" s="409" t="s">
        <v>244</v>
      </c>
      <c r="S44" s="409" t="s">
        <v>244</v>
      </c>
      <c r="T44" s="409" t="s">
        <v>244</v>
      </c>
    </row>
    <row r="45" spans="2:20">
      <c r="B45" s="403">
        <v>4</v>
      </c>
      <c r="C45" s="408"/>
      <c r="D45" s="405" t="s">
        <v>281</v>
      </c>
      <c r="E45" s="399" t="s">
        <v>282</v>
      </c>
      <c r="F45" s="399" t="s">
        <v>241</v>
      </c>
      <c r="G45" s="399" t="s">
        <v>242</v>
      </c>
      <c r="H45" s="400" t="s">
        <v>243</v>
      </c>
      <c r="I45" s="507">
        <v>36</v>
      </c>
      <c r="J45" s="401">
        <v>0</v>
      </c>
      <c r="K45" s="507">
        <v>56</v>
      </c>
      <c r="L45" s="401">
        <v>0</v>
      </c>
      <c r="M45" s="507">
        <v>0</v>
      </c>
      <c r="N45" s="401">
        <v>0</v>
      </c>
      <c r="O45" s="407">
        <v>4</v>
      </c>
      <c r="P45" s="399" t="s">
        <v>268</v>
      </c>
      <c r="Q45" s="399" t="s">
        <v>244</v>
      </c>
      <c r="R45" s="399" t="s">
        <v>244</v>
      </c>
      <c r="S45" s="399" t="s">
        <v>244</v>
      </c>
      <c r="T45" s="399" t="s">
        <v>244</v>
      </c>
    </row>
    <row r="46" spans="2:20">
      <c r="B46" s="403">
        <v>4</v>
      </c>
      <c r="C46" s="408"/>
      <c r="D46" s="405" t="s">
        <v>283</v>
      </c>
      <c r="E46" s="399" t="s">
        <v>284</v>
      </c>
      <c r="F46" s="399" t="s">
        <v>256</v>
      </c>
      <c r="G46" s="399" t="s">
        <v>242</v>
      </c>
      <c r="H46" s="400" t="s">
        <v>243</v>
      </c>
      <c r="I46" s="507">
        <v>36</v>
      </c>
      <c r="J46" s="401">
        <v>0</v>
      </c>
      <c r="K46" s="508">
        <v>56</v>
      </c>
      <c r="L46" s="509">
        <v>0</v>
      </c>
      <c r="M46" s="507">
        <v>0</v>
      </c>
      <c r="N46" s="401">
        <v>0</v>
      </c>
      <c r="O46" s="407">
        <v>4</v>
      </c>
      <c r="P46" s="399" t="s">
        <v>244</v>
      </c>
      <c r="Q46" s="399" t="s">
        <v>244</v>
      </c>
      <c r="R46" s="399" t="s">
        <v>244</v>
      </c>
      <c r="S46" s="399" t="s">
        <v>244</v>
      </c>
      <c r="T46" s="399" t="s">
        <v>244</v>
      </c>
    </row>
    <row r="47" spans="2:20">
      <c r="B47" s="403">
        <v>4</v>
      </c>
      <c r="C47" s="408"/>
      <c r="D47" s="405" t="s">
        <v>285</v>
      </c>
      <c r="E47" s="399" t="s">
        <v>286</v>
      </c>
      <c r="F47" s="399" t="s">
        <v>247</v>
      </c>
      <c r="G47" s="470" t="s">
        <v>242</v>
      </c>
      <c r="H47" s="400" t="s">
        <v>243</v>
      </c>
      <c r="I47" s="507">
        <v>64</v>
      </c>
      <c r="J47" s="401">
        <v>0</v>
      </c>
      <c r="K47" s="507">
        <v>0</v>
      </c>
      <c r="L47" s="401">
        <v>0</v>
      </c>
      <c r="M47" s="507">
        <v>0</v>
      </c>
      <c r="N47" s="401">
        <v>0</v>
      </c>
      <c r="O47" s="407">
        <v>4</v>
      </c>
      <c r="P47" s="399" t="s">
        <v>270</v>
      </c>
      <c r="Q47" s="399" t="s">
        <v>244</v>
      </c>
      <c r="R47" s="399" t="s">
        <v>244</v>
      </c>
      <c r="S47" s="399" t="s">
        <v>244</v>
      </c>
      <c r="T47" s="399" t="s">
        <v>244</v>
      </c>
    </row>
    <row r="48" spans="2:20">
      <c r="B48" s="403">
        <v>4</v>
      </c>
      <c r="C48" s="408"/>
      <c r="D48" s="405" t="s">
        <v>287</v>
      </c>
      <c r="E48" s="399" t="s">
        <v>288</v>
      </c>
      <c r="F48" s="399" t="s">
        <v>241</v>
      </c>
      <c r="G48" s="471" t="s">
        <v>242</v>
      </c>
      <c r="H48" s="400" t="s">
        <v>243</v>
      </c>
      <c r="I48" s="507">
        <v>64</v>
      </c>
      <c r="J48" s="401">
        <v>0</v>
      </c>
      <c r="K48" s="507">
        <v>0</v>
      </c>
      <c r="L48" s="401">
        <v>0</v>
      </c>
      <c r="M48" s="507">
        <v>0</v>
      </c>
      <c r="N48" s="401">
        <v>0</v>
      </c>
      <c r="O48" s="407">
        <v>4</v>
      </c>
      <c r="P48" s="399" t="s">
        <v>244</v>
      </c>
      <c r="Q48" s="399" t="s">
        <v>244</v>
      </c>
      <c r="R48" s="399" t="s">
        <v>244</v>
      </c>
      <c r="S48" s="399" t="s">
        <v>244</v>
      </c>
      <c r="T48" s="399" t="s">
        <v>244</v>
      </c>
    </row>
    <row r="49" spans="2:20">
      <c r="B49" s="403">
        <v>4</v>
      </c>
      <c r="C49" s="408"/>
      <c r="D49" s="405" t="s">
        <v>244</v>
      </c>
      <c r="E49" s="399" t="s">
        <v>244</v>
      </c>
      <c r="F49" s="399" t="s">
        <v>244</v>
      </c>
      <c r="G49" s="471" t="s">
        <v>244</v>
      </c>
      <c r="H49" s="400" t="s">
        <v>244</v>
      </c>
      <c r="I49" s="507">
        <v>0</v>
      </c>
      <c r="J49" s="401">
        <v>0</v>
      </c>
      <c r="K49" s="507">
        <v>0</v>
      </c>
      <c r="L49" s="401">
        <v>0</v>
      </c>
      <c r="M49" s="507">
        <v>0</v>
      </c>
      <c r="N49" s="401">
        <v>0</v>
      </c>
      <c r="O49" s="407" t="s">
        <v>244</v>
      </c>
      <c r="P49" s="399" t="s">
        <v>244</v>
      </c>
      <c r="Q49" s="399" t="s">
        <v>244</v>
      </c>
      <c r="R49" s="399" t="s">
        <v>244</v>
      </c>
      <c r="S49" s="399" t="s">
        <v>244</v>
      </c>
      <c r="T49" s="399" t="s">
        <v>244</v>
      </c>
    </row>
    <row r="50" spans="2:20">
      <c r="B50" s="403">
        <v>4</v>
      </c>
      <c r="C50" s="408"/>
      <c r="D50" s="405" t="s">
        <v>244</v>
      </c>
      <c r="E50" s="399" t="s">
        <v>244</v>
      </c>
      <c r="F50" s="399" t="s">
        <v>244</v>
      </c>
      <c r="G50" s="471" t="s">
        <v>244</v>
      </c>
      <c r="H50" s="400" t="s">
        <v>244</v>
      </c>
      <c r="I50" s="507">
        <v>0</v>
      </c>
      <c r="J50" s="401">
        <v>0</v>
      </c>
      <c r="K50" s="507">
        <v>0</v>
      </c>
      <c r="L50" s="401">
        <v>0</v>
      </c>
      <c r="M50" s="507">
        <v>0</v>
      </c>
      <c r="N50" s="401">
        <v>0</v>
      </c>
      <c r="O50" s="407" t="s">
        <v>244</v>
      </c>
      <c r="P50" s="399" t="s">
        <v>244</v>
      </c>
      <c r="Q50" s="399" t="s">
        <v>244</v>
      </c>
      <c r="R50" s="399" t="s">
        <v>244</v>
      </c>
      <c r="S50" s="399" t="s">
        <v>244</v>
      </c>
      <c r="T50" s="399" t="s">
        <v>244</v>
      </c>
    </row>
    <row r="51" spans="2:20">
      <c r="B51" s="403">
        <v>4</v>
      </c>
      <c r="C51" s="408"/>
      <c r="D51" s="405" t="s">
        <v>244</v>
      </c>
      <c r="E51" s="399" t="s">
        <v>244</v>
      </c>
      <c r="F51" s="399" t="s">
        <v>244</v>
      </c>
      <c r="G51" s="471" t="s">
        <v>244</v>
      </c>
      <c r="H51" s="400" t="s">
        <v>244</v>
      </c>
      <c r="I51" s="507">
        <v>0</v>
      </c>
      <c r="J51" s="401">
        <v>0</v>
      </c>
      <c r="K51" s="507">
        <v>0</v>
      </c>
      <c r="L51" s="401">
        <v>0</v>
      </c>
      <c r="M51" s="507">
        <v>0</v>
      </c>
      <c r="N51" s="401">
        <v>0</v>
      </c>
      <c r="O51" s="407" t="s">
        <v>244</v>
      </c>
      <c r="P51" s="399" t="s">
        <v>244</v>
      </c>
      <c r="Q51" s="399" t="s">
        <v>244</v>
      </c>
      <c r="R51" s="399" t="s">
        <v>244</v>
      </c>
      <c r="S51" s="399" t="s">
        <v>244</v>
      </c>
      <c r="T51" s="399" t="s">
        <v>244</v>
      </c>
    </row>
    <row r="52" spans="2:20">
      <c r="B52" s="403">
        <v>4</v>
      </c>
      <c r="C52" s="408"/>
      <c r="D52" s="405" t="s">
        <v>244</v>
      </c>
      <c r="E52" s="399" t="s">
        <v>244</v>
      </c>
      <c r="F52" s="399" t="s">
        <v>244</v>
      </c>
      <c r="G52" s="471" t="s">
        <v>244</v>
      </c>
      <c r="H52" s="400" t="s">
        <v>244</v>
      </c>
      <c r="I52" s="507">
        <v>0</v>
      </c>
      <c r="J52" s="401">
        <v>0</v>
      </c>
      <c r="K52" s="507">
        <v>0</v>
      </c>
      <c r="L52" s="401">
        <v>0</v>
      </c>
      <c r="M52" s="507">
        <v>0</v>
      </c>
      <c r="N52" s="401">
        <v>0</v>
      </c>
      <c r="O52" s="407" t="s">
        <v>244</v>
      </c>
      <c r="P52" s="399" t="s">
        <v>244</v>
      </c>
      <c r="Q52" s="399" t="s">
        <v>244</v>
      </c>
      <c r="R52" s="399" t="s">
        <v>244</v>
      </c>
      <c r="S52" s="399" t="s">
        <v>244</v>
      </c>
      <c r="T52" s="399" t="s">
        <v>244</v>
      </c>
    </row>
    <row r="53" spans="2:20" ht="12" thickBot="1">
      <c r="B53" s="398">
        <v>4</v>
      </c>
      <c r="C53" s="406"/>
      <c r="D53" s="404" t="s">
        <v>244</v>
      </c>
      <c r="E53" s="394" t="s">
        <v>244</v>
      </c>
      <c r="F53" s="394" t="s">
        <v>244</v>
      </c>
      <c r="G53" s="472" t="s">
        <v>244</v>
      </c>
      <c r="H53" s="488" t="s">
        <v>244</v>
      </c>
      <c r="I53" s="510">
        <v>0</v>
      </c>
      <c r="J53" s="396">
        <v>0</v>
      </c>
      <c r="K53" s="510">
        <v>0</v>
      </c>
      <c r="L53" s="396">
        <v>0</v>
      </c>
      <c r="M53" s="510">
        <v>0</v>
      </c>
      <c r="N53" s="396">
        <v>0</v>
      </c>
      <c r="O53" s="489" t="s">
        <v>244</v>
      </c>
      <c r="P53" s="394" t="s">
        <v>244</v>
      </c>
      <c r="Q53" s="394" t="s">
        <v>244</v>
      </c>
      <c r="R53" s="394" t="s">
        <v>244</v>
      </c>
      <c r="S53" s="394" t="s">
        <v>244</v>
      </c>
      <c r="T53" s="394" t="s">
        <v>244</v>
      </c>
    </row>
    <row r="54" spans="2:20" ht="12" thickTop="1">
      <c r="B54" s="403">
        <v>5</v>
      </c>
      <c r="C54" s="408"/>
      <c r="D54" s="405" t="s">
        <v>289</v>
      </c>
      <c r="E54" s="399" t="s">
        <v>290</v>
      </c>
      <c r="F54" s="399" t="s">
        <v>241</v>
      </c>
      <c r="G54" s="399" t="s">
        <v>242</v>
      </c>
      <c r="H54" s="400" t="s">
        <v>243</v>
      </c>
      <c r="I54" s="505">
        <v>36</v>
      </c>
      <c r="J54" s="506">
        <v>0</v>
      </c>
      <c r="K54" s="505">
        <v>56</v>
      </c>
      <c r="L54" s="506">
        <v>0</v>
      </c>
      <c r="M54" s="507">
        <v>0</v>
      </c>
      <c r="N54" s="401">
        <v>0</v>
      </c>
      <c r="O54" s="407">
        <v>4</v>
      </c>
      <c r="P54" s="409" t="s">
        <v>282</v>
      </c>
      <c r="Q54" s="409" t="s">
        <v>244</v>
      </c>
      <c r="R54" s="409" t="s">
        <v>244</v>
      </c>
      <c r="S54" s="409" t="s">
        <v>244</v>
      </c>
      <c r="T54" s="409" t="s">
        <v>244</v>
      </c>
    </row>
    <row r="55" spans="2:20">
      <c r="B55" s="403">
        <v>5</v>
      </c>
      <c r="C55" s="408"/>
      <c r="D55" s="405" t="s">
        <v>291</v>
      </c>
      <c r="E55" s="399" t="s">
        <v>292</v>
      </c>
      <c r="F55" s="399" t="s">
        <v>256</v>
      </c>
      <c r="G55" s="399" t="s">
        <v>242</v>
      </c>
      <c r="H55" s="400" t="s">
        <v>243</v>
      </c>
      <c r="I55" s="507">
        <v>36</v>
      </c>
      <c r="J55" s="401">
        <v>0</v>
      </c>
      <c r="K55" s="507">
        <v>56</v>
      </c>
      <c r="L55" s="401">
        <v>0</v>
      </c>
      <c r="M55" s="507">
        <v>0</v>
      </c>
      <c r="N55" s="401">
        <v>0</v>
      </c>
      <c r="O55" s="407">
        <v>4</v>
      </c>
      <c r="P55" s="399" t="s">
        <v>280</v>
      </c>
      <c r="Q55" s="399" t="s">
        <v>244</v>
      </c>
      <c r="R55" s="399" t="s">
        <v>244</v>
      </c>
      <c r="S55" s="399" t="s">
        <v>244</v>
      </c>
      <c r="T55" s="399" t="s">
        <v>244</v>
      </c>
    </row>
    <row r="56" spans="2:20">
      <c r="B56" s="403">
        <v>5</v>
      </c>
      <c r="C56" s="408"/>
      <c r="D56" s="405" t="s">
        <v>293</v>
      </c>
      <c r="E56" s="399" t="s">
        <v>294</v>
      </c>
      <c r="F56" s="399" t="s">
        <v>247</v>
      </c>
      <c r="G56" s="399" t="s">
        <v>242</v>
      </c>
      <c r="H56" s="400" t="s">
        <v>243</v>
      </c>
      <c r="I56" s="507">
        <v>34</v>
      </c>
      <c r="J56" s="401">
        <v>0</v>
      </c>
      <c r="K56" s="508">
        <v>28</v>
      </c>
      <c r="L56" s="509">
        <v>0</v>
      </c>
      <c r="M56" s="507">
        <v>0</v>
      </c>
      <c r="N56" s="401">
        <v>0</v>
      </c>
      <c r="O56" s="407">
        <v>3</v>
      </c>
      <c r="P56" s="399" t="s">
        <v>244</v>
      </c>
      <c r="Q56" s="399" t="s">
        <v>244</v>
      </c>
      <c r="R56" s="399" t="s">
        <v>244</v>
      </c>
      <c r="S56" s="399" t="s">
        <v>244</v>
      </c>
      <c r="T56" s="399" t="s">
        <v>244</v>
      </c>
    </row>
    <row r="57" spans="2:20">
      <c r="B57" s="403">
        <v>5</v>
      </c>
      <c r="C57" s="408"/>
      <c r="D57" s="405" t="s">
        <v>295</v>
      </c>
      <c r="E57" s="399" t="s">
        <v>296</v>
      </c>
      <c r="F57" s="399" t="s">
        <v>256</v>
      </c>
      <c r="G57" s="470" t="s">
        <v>242</v>
      </c>
      <c r="H57" s="400" t="s">
        <v>243</v>
      </c>
      <c r="I57" s="507">
        <v>36</v>
      </c>
      <c r="J57" s="401">
        <v>0</v>
      </c>
      <c r="K57" s="507">
        <v>56</v>
      </c>
      <c r="L57" s="401">
        <v>0</v>
      </c>
      <c r="M57" s="507">
        <v>0</v>
      </c>
      <c r="N57" s="401">
        <v>0</v>
      </c>
      <c r="O57" s="407">
        <v>4</v>
      </c>
      <c r="P57" s="399" t="s">
        <v>244</v>
      </c>
      <c r="Q57" s="399" t="s">
        <v>244</v>
      </c>
      <c r="R57" s="399" t="s">
        <v>244</v>
      </c>
      <c r="S57" s="399" t="s">
        <v>244</v>
      </c>
      <c r="T57" s="399" t="s">
        <v>244</v>
      </c>
    </row>
    <row r="58" spans="2:20">
      <c r="B58" s="403">
        <v>5</v>
      </c>
      <c r="C58" s="408"/>
      <c r="D58" s="405" t="s">
        <v>297</v>
      </c>
      <c r="E58" s="399" t="s">
        <v>298</v>
      </c>
      <c r="F58" s="399" t="s">
        <v>241</v>
      </c>
      <c r="G58" s="471" t="s">
        <v>242</v>
      </c>
      <c r="H58" s="400" t="s">
        <v>243</v>
      </c>
      <c r="I58" s="507">
        <v>64</v>
      </c>
      <c r="J58" s="401">
        <v>0</v>
      </c>
      <c r="K58" s="507">
        <v>0</v>
      </c>
      <c r="L58" s="401">
        <v>0</v>
      </c>
      <c r="M58" s="507">
        <v>0</v>
      </c>
      <c r="N58" s="401">
        <v>0</v>
      </c>
      <c r="O58" s="407">
        <v>4</v>
      </c>
      <c r="P58" s="399" t="s">
        <v>288</v>
      </c>
      <c r="Q58" s="399" t="s">
        <v>244</v>
      </c>
      <c r="R58" s="399" t="s">
        <v>244</v>
      </c>
      <c r="S58" s="399" t="s">
        <v>244</v>
      </c>
      <c r="T58" s="399" t="s">
        <v>244</v>
      </c>
    </row>
    <row r="59" spans="2:20">
      <c r="B59" s="403">
        <v>5</v>
      </c>
      <c r="C59" s="408"/>
      <c r="D59" s="405" t="s">
        <v>299</v>
      </c>
      <c r="E59" s="399" t="s">
        <v>300</v>
      </c>
      <c r="F59" s="399" t="s">
        <v>256</v>
      </c>
      <c r="G59" s="471" t="s">
        <v>242</v>
      </c>
      <c r="H59" s="400" t="s">
        <v>243</v>
      </c>
      <c r="I59" s="507">
        <v>32</v>
      </c>
      <c r="J59" s="401">
        <v>0</v>
      </c>
      <c r="K59" s="507">
        <v>0</v>
      </c>
      <c r="L59" s="401">
        <v>0</v>
      </c>
      <c r="M59" s="507">
        <v>0</v>
      </c>
      <c r="N59" s="401">
        <v>0</v>
      </c>
      <c r="O59" s="407">
        <v>2</v>
      </c>
      <c r="P59" s="399" t="s">
        <v>266</v>
      </c>
      <c r="Q59" s="399" t="s">
        <v>244</v>
      </c>
      <c r="R59" s="399" t="s">
        <v>244</v>
      </c>
      <c r="S59" s="399" t="s">
        <v>244</v>
      </c>
      <c r="T59" s="399" t="s">
        <v>244</v>
      </c>
    </row>
    <row r="60" spans="2:20">
      <c r="B60" s="403">
        <v>5</v>
      </c>
      <c r="C60" s="408"/>
      <c r="D60" s="405" t="s">
        <v>244</v>
      </c>
      <c r="E60" s="399" t="s">
        <v>244</v>
      </c>
      <c r="F60" s="399" t="s">
        <v>244</v>
      </c>
      <c r="G60" s="471" t="s">
        <v>244</v>
      </c>
      <c r="H60" s="400" t="s">
        <v>244</v>
      </c>
      <c r="I60" s="507">
        <v>0</v>
      </c>
      <c r="J60" s="401">
        <v>0</v>
      </c>
      <c r="K60" s="507">
        <v>0</v>
      </c>
      <c r="L60" s="401">
        <v>0</v>
      </c>
      <c r="M60" s="507">
        <v>0</v>
      </c>
      <c r="N60" s="401">
        <v>0</v>
      </c>
      <c r="O60" s="407" t="s">
        <v>244</v>
      </c>
      <c r="P60" s="399" t="s">
        <v>244</v>
      </c>
      <c r="Q60" s="399" t="s">
        <v>244</v>
      </c>
      <c r="R60" s="399" t="s">
        <v>244</v>
      </c>
      <c r="S60" s="399" t="s">
        <v>244</v>
      </c>
      <c r="T60" s="399" t="s">
        <v>244</v>
      </c>
    </row>
    <row r="61" spans="2:20">
      <c r="B61" s="403">
        <v>5</v>
      </c>
      <c r="C61" s="408"/>
      <c r="D61" s="405" t="s">
        <v>244</v>
      </c>
      <c r="E61" s="399" t="s">
        <v>244</v>
      </c>
      <c r="F61" s="399" t="s">
        <v>244</v>
      </c>
      <c r="G61" s="471" t="s">
        <v>244</v>
      </c>
      <c r="H61" s="400" t="s">
        <v>244</v>
      </c>
      <c r="I61" s="507">
        <v>0</v>
      </c>
      <c r="J61" s="401">
        <v>0</v>
      </c>
      <c r="K61" s="507">
        <v>0</v>
      </c>
      <c r="L61" s="401">
        <v>0</v>
      </c>
      <c r="M61" s="507">
        <v>0</v>
      </c>
      <c r="N61" s="401">
        <v>0</v>
      </c>
      <c r="O61" s="407" t="s">
        <v>244</v>
      </c>
      <c r="P61" s="399" t="s">
        <v>244</v>
      </c>
      <c r="Q61" s="399" t="s">
        <v>244</v>
      </c>
      <c r="R61" s="399" t="s">
        <v>244</v>
      </c>
      <c r="S61" s="399" t="s">
        <v>244</v>
      </c>
      <c r="T61" s="399" t="s">
        <v>244</v>
      </c>
    </row>
    <row r="62" spans="2:20">
      <c r="B62" s="403">
        <v>5</v>
      </c>
      <c r="C62" s="408"/>
      <c r="D62" s="405" t="s">
        <v>244</v>
      </c>
      <c r="E62" s="399" t="s">
        <v>244</v>
      </c>
      <c r="F62" s="399" t="s">
        <v>244</v>
      </c>
      <c r="G62" s="471" t="s">
        <v>244</v>
      </c>
      <c r="H62" s="400" t="s">
        <v>244</v>
      </c>
      <c r="I62" s="507">
        <v>0</v>
      </c>
      <c r="J62" s="401">
        <v>0</v>
      </c>
      <c r="K62" s="507">
        <v>0</v>
      </c>
      <c r="L62" s="401">
        <v>0</v>
      </c>
      <c r="M62" s="507">
        <v>0</v>
      </c>
      <c r="N62" s="401">
        <v>0</v>
      </c>
      <c r="O62" s="407" t="s">
        <v>244</v>
      </c>
      <c r="P62" s="399" t="s">
        <v>244</v>
      </c>
      <c r="Q62" s="399" t="s">
        <v>244</v>
      </c>
      <c r="R62" s="399" t="s">
        <v>244</v>
      </c>
      <c r="S62" s="399" t="s">
        <v>244</v>
      </c>
      <c r="T62" s="399" t="s">
        <v>244</v>
      </c>
    </row>
    <row r="63" spans="2:20" ht="12" thickBot="1">
      <c r="B63" s="398">
        <v>5</v>
      </c>
      <c r="C63" s="406"/>
      <c r="D63" s="404" t="s">
        <v>244</v>
      </c>
      <c r="E63" s="394" t="s">
        <v>244</v>
      </c>
      <c r="F63" s="394" t="s">
        <v>244</v>
      </c>
      <c r="G63" s="472" t="s">
        <v>244</v>
      </c>
      <c r="H63" s="488" t="s">
        <v>244</v>
      </c>
      <c r="I63" s="510">
        <v>0</v>
      </c>
      <c r="J63" s="396">
        <v>0</v>
      </c>
      <c r="K63" s="510">
        <v>0</v>
      </c>
      <c r="L63" s="396">
        <v>0</v>
      </c>
      <c r="M63" s="510">
        <v>0</v>
      </c>
      <c r="N63" s="396">
        <v>0</v>
      </c>
      <c r="O63" s="489" t="s">
        <v>244</v>
      </c>
      <c r="P63" s="394" t="s">
        <v>244</v>
      </c>
      <c r="Q63" s="394" t="s">
        <v>244</v>
      </c>
      <c r="R63" s="394" t="s">
        <v>244</v>
      </c>
      <c r="S63" s="394" t="s">
        <v>244</v>
      </c>
      <c r="T63" s="394" t="s">
        <v>244</v>
      </c>
    </row>
    <row r="64" spans="2:20" ht="12" thickTop="1">
      <c r="B64" s="403">
        <v>6</v>
      </c>
      <c r="C64" s="408"/>
      <c r="D64" s="405" t="s">
        <v>301</v>
      </c>
      <c r="E64" s="399" t="s">
        <v>302</v>
      </c>
      <c r="F64" s="399" t="s">
        <v>256</v>
      </c>
      <c r="G64" s="399" t="s">
        <v>242</v>
      </c>
      <c r="H64" s="400" t="s">
        <v>243</v>
      </c>
      <c r="I64" s="505">
        <v>36</v>
      </c>
      <c r="J64" s="506">
        <v>0</v>
      </c>
      <c r="K64" s="505">
        <v>56</v>
      </c>
      <c r="L64" s="506">
        <v>0</v>
      </c>
      <c r="M64" s="507">
        <v>0</v>
      </c>
      <c r="N64" s="401">
        <v>0</v>
      </c>
      <c r="O64" s="407">
        <v>4</v>
      </c>
      <c r="P64" s="409" t="s">
        <v>296</v>
      </c>
      <c r="Q64" s="409" t="s">
        <v>244</v>
      </c>
      <c r="R64" s="409" t="s">
        <v>244</v>
      </c>
      <c r="S64" s="409" t="s">
        <v>244</v>
      </c>
      <c r="T64" s="409" t="s">
        <v>244</v>
      </c>
    </row>
    <row r="65" spans="2:20">
      <c r="B65" s="403">
        <v>6</v>
      </c>
      <c r="C65" s="408"/>
      <c r="D65" s="405" t="s">
        <v>303</v>
      </c>
      <c r="E65" s="399" t="s">
        <v>304</v>
      </c>
      <c r="F65" s="399" t="s">
        <v>241</v>
      </c>
      <c r="G65" s="399" t="s">
        <v>242</v>
      </c>
      <c r="H65" s="400" t="s">
        <v>243</v>
      </c>
      <c r="I65" s="507">
        <v>3</v>
      </c>
      <c r="J65" s="401">
        <v>0</v>
      </c>
      <c r="K65" s="507">
        <v>90</v>
      </c>
      <c r="L65" s="401">
        <v>0</v>
      </c>
      <c r="M65" s="507">
        <v>0</v>
      </c>
      <c r="N65" s="401">
        <v>0</v>
      </c>
      <c r="O65" s="407">
        <v>3</v>
      </c>
      <c r="P65" s="399" t="s">
        <v>290</v>
      </c>
      <c r="Q65" s="399" t="s">
        <v>244</v>
      </c>
      <c r="R65" s="399" t="s">
        <v>244</v>
      </c>
      <c r="S65" s="399" t="s">
        <v>244</v>
      </c>
      <c r="T65" s="399" t="s">
        <v>244</v>
      </c>
    </row>
    <row r="66" spans="2:20">
      <c r="B66" s="403">
        <v>6</v>
      </c>
      <c r="C66" s="408"/>
      <c r="D66" s="405" t="s">
        <v>305</v>
      </c>
      <c r="E66" s="399" t="s">
        <v>306</v>
      </c>
      <c r="F66" s="399" t="s">
        <v>256</v>
      </c>
      <c r="G66" s="399" t="s">
        <v>242</v>
      </c>
      <c r="H66" s="400" t="s">
        <v>243</v>
      </c>
      <c r="I66" s="507">
        <v>64</v>
      </c>
      <c r="J66" s="401">
        <v>0</v>
      </c>
      <c r="K66" s="508">
        <v>0</v>
      </c>
      <c r="L66" s="509">
        <v>0</v>
      </c>
      <c r="M66" s="507">
        <v>0</v>
      </c>
      <c r="N66" s="401">
        <v>0</v>
      </c>
      <c r="O66" s="407">
        <v>4</v>
      </c>
      <c r="P66" s="399" t="s">
        <v>244</v>
      </c>
      <c r="Q66" s="399" t="s">
        <v>244</v>
      </c>
      <c r="R66" s="399" t="s">
        <v>244</v>
      </c>
      <c r="S66" s="399" t="s">
        <v>244</v>
      </c>
      <c r="T66" s="399" t="s">
        <v>244</v>
      </c>
    </row>
    <row r="67" spans="2:20">
      <c r="B67" s="403">
        <v>6</v>
      </c>
      <c r="C67" s="408"/>
      <c r="D67" s="405" t="s">
        <v>307</v>
      </c>
      <c r="E67" s="399" t="s">
        <v>308</v>
      </c>
      <c r="F67" s="399" t="s">
        <v>256</v>
      </c>
      <c r="G67" s="470" t="s">
        <v>242</v>
      </c>
      <c r="H67" s="400" t="s">
        <v>243</v>
      </c>
      <c r="I67" s="507">
        <v>64</v>
      </c>
      <c r="J67" s="401">
        <v>0</v>
      </c>
      <c r="K67" s="507">
        <v>0</v>
      </c>
      <c r="L67" s="401">
        <v>0</v>
      </c>
      <c r="M67" s="507">
        <v>0</v>
      </c>
      <c r="N67" s="401">
        <v>0</v>
      </c>
      <c r="O67" s="407">
        <v>4</v>
      </c>
      <c r="P67" s="399" t="s">
        <v>244</v>
      </c>
      <c r="Q67" s="399" t="s">
        <v>244</v>
      </c>
      <c r="R67" s="399" t="s">
        <v>244</v>
      </c>
      <c r="S67" s="399" t="s">
        <v>244</v>
      </c>
      <c r="T67" s="399" t="s">
        <v>244</v>
      </c>
    </row>
    <row r="68" spans="2:20">
      <c r="B68" s="403">
        <v>6</v>
      </c>
      <c r="C68" s="408"/>
      <c r="D68" s="405" t="s">
        <v>309</v>
      </c>
      <c r="E68" s="399" t="s">
        <v>310</v>
      </c>
      <c r="F68" s="399" t="s">
        <v>256</v>
      </c>
      <c r="G68" s="471" t="s">
        <v>242</v>
      </c>
      <c r="H68" s="400" t="s">
        <v>243</v>
      </c>
      <c r="I68" s="507">
        <v>2</v>
      </c>
      <c r="J68" s="401">
        <v>0</v>
      </c>
      <c r="K68" s="507">
        <v>60</v>
      </c>
      <c r="L68" s="401">
        <v>0</v>
      </c>
      <c r="M68" s="507">
        <v>0</v>
      </c>
      <c r="N68" s="401">
        <v>0</v>
      </c>
      <c r="O68" s="407">
        <v>2</v>
      </c>
      <c r="P68" s="399" t="s">
        <v>272</v>
      </c>
      <c r="Q68" s="399" t="s">
        <v>244</v>
      </c>
      <c r="R68" s="399" t="s">
        <v>244</v>
      </c>
      <c r="S68" s="399" t="s">
        <v>244</v>
      </c>
      <c r="T68" s="399" t="s">
        <v>244</v>
      </c>
    </row>
    <row r="69" spans="2:20">
      <c r="B69" s="403">
        <v>6</v>
      </c>
      <c r="C69" s="408"/>
      <c r="D69" s="405" t="s">
        <v>311</v>
      </c>
      <c r="E69" s="399" t="s">
        <v>312</v>
      </c>
      <c r="F69" s="399" t="s">
        <v>256</v>
      </c>
      <c r="G69" s="471" t="s">
        <v>242</v>
      </c>
      <c r="H69" s="400" t="s">
        <v>243</v>
      </c>
      <c r="I69" s="507">
        <v>36</v>
      </c>
      <c r="J69" s="401">
        <v>0</v>
      </c>
      <c r="K69" s="507">
        <v>56</v>
      </c>
      <c r="L69" s="401">
        <v>0</v>
      </c>
      <c r="M69" s="507">
        <v>0</v>
      </c>
      <c r="N69" s="401">
        <v>0</v>
      </c>
      <c r="O69" s="407">
        <v>4</v>
      </c>
      <c r="P69" s="399" t="s">
        <v>244</v>
      </c>
      <c r="Q69" s="399" t="s">
        <v>244</v>
      </c>
      <c r="R69" s="399" t="s">
        <v>244</v>
      </c>
      <c r="S69" s="399" t="s">
        <v>244</v>
      </c>
      <c r="T69" s="399" t="s">
        <v>244</v>
      </c>
    </row>
    <row r="70" spans="2:20">
      <c r="B70" s="403">
        <v>6</v>
      </c>
      <c r="C70" s="408"/>
      <c r="D70" s="405" t="s">
        <v>244</v>
      </c>
      <c r="E70" s="399" t="s">
        <v>244</v>
      </c>
      <c r="F70" s="399" t="s">
        <v>244</v>
      </c>
      <c r="G70" s="471" t="s">
        <v>244</v>
      </c>
      <c r="H70" s="400" t="s">
        <v>244</v>
      </c>
      <c r="I70" s="507">
        <v>0</v>
      </c>
      <c r="J70" s="401">
        <v>0</v>
      </c>
      <c r="K70" s="507">
        <v>0</v>
      </c>
      <c r="L70" s="401">
        <v>0</v>
      </c>
      <c r="M70" s="507">
        <v>0</v>
      </c>
      <c r="N70" s="401">
        <v>0</v>
      </c>
      <c r="O70" s="407" t="s">
        <v>244</v>
      </c>
      <c r="P70" s="399" t="s">
        <v>244</v>
      </c>
      <c r="Q70" s="399" t="s">
        <v>244</v>
      </c>
      <c r="R70" s="399" t="s">
        <v>244</v>
      </c>
      <c r="S70" s="399" t="s">
        <v>244</v>
      </c>
      <c r="T70" s="399" t="s">
        <v>244</v>
      </c>
    </row>
    <row r="71" spans="2:20">
      <c r="B71" s="403">
        <v>6</v>
      </c>
      <c r="C71" s="408"/>
      <c r="D71" s="405" t="s">
        <v>244</v>
      </c>
      <c r="E71" s="399" t="s">
        <v>244</v>
      </c>
      <c r="F71" s="399" t="s">
        <v>244</v>
      </c>
      <c r="G71" s="471" t="s">
        <v>244</v>
      </c>
      <c r="H71" s="400" t="s">
        <v>244</v>
      </c>
      <c r="I71" s="507">
        <v>0</v>
      </c>
      <c r="J71" s="401">
        <v>0</v>
      </c>
      <c r="K71" s="507">
        <v>0</v>
      </c>
      <c r="L71" s="401">
        <v>0</v>
      </c>
      <c r="M71" s="507">
        <v>0</v>
      </c>
      <c r="N71" s="401">
        <v>0</v>
      </c>
      <c r="O71" s="407" t="s">
        <v>244</v>
      </c>
      <c r="P71" s="399" t="s">
        <v>244</v>
      </c>
      <c r="Q71" s="399" t="s">
        <v>244</v>
      </c>
      <c r="R71" s="399" t="s">
        <v>244</v>
      </c>
      <c r="S71" s="399" t="s">
        <v>244</v>
      </c>
      <c r="T71" s="399" t="s">
        <v>244</v>
      </c>
    </row>
    <row r="72" spans="2:20">
      <c r="B72" s="403">
        <v>6</v>
      </c>
      <c r="C72" s="408"/>
      <c r="D72" s="405" t="s">
        <v>244</v>
      </c>
      <c r="E72" s="399" t="s">
        <v>244</v>
      </c>
      <c r="F72" s="399" t="s">
        <v>244</v>
      </c>
      <c r="G72" s="471" t="s">
        <v>244</v>
      </c>
      <c r="H72" s="400" t="s">
        <v>244</v>
      </c>
      <c r="I72" s="507">
        <v>0</v>
      </c>
      <c r="J72" s="401">
        <v>0</v>
      </c>
      <c r="K72" s="507">
        <v>0</v>
      </c>
      <c r="L72" s="401">
        <v>0</v>
      </c>
      <c r="M72" s="507">
        <v>0</v>
      </c>
      <c r="N72" s="401">
        <v>0</v>
      </c>
      <c r="O72" s="407" t="s">
        <v>244</v>
      </c>
      <c r="P72" s="399" t="s">
        <v>244</v>
      </c>
      <c r="Q72" s="399" t="s">
        <v>244</v>
      </c>
      <c r="R72" s="399" t="s">
        <v>244</v>
      </c>
      <c r="S72" s="399" t="s">
        <v>244</v>
      </c>
      <c r="T72" s="399" t="s">
        <v>244</v>
      </c>
    </row>
    <row r="73" spans="2:20" ht="12" thickBot="1">
      <c r="B73" s="398">
        <v>6</v>
      </c>
      <c r="C73" s="406"/>
      <c r="D73" s="404" t="s">
        <v>244</v>
      </c>
      <c r="E73" s="394" t="s">
        <v>244</v>
      </c>
      <c r="F73" s="394" t="s">
        <v>244</v>
      </c>
      <c r="G73" s="472" t="s">
        <v>244</v>
      </c>
      <c r="H73" s="488" t="s">
        <v>244</v>
      </c>
      <c r="I73" s="510">
        <v>0</v>
      </c>
      <c r="J73" s="396">
        <v>0</v>
      </c>
      <c r="K73" s="510">
        <v>0</v>
      </c>
      <c r="L73" s="396">
        <v>0</v>
      </c>
      <c r="M73" s="510">
        <v>0</v>
      </c>
      <c r="N73" s="396">
        <v>0</v>
      </c>
      <c r="O73" s="489" t="s">
        <v>244</v>
      </c>
      <c r="P73" s="394" t="s">
        <v>244</v>
      </c>
      <c r="Q73" s="394" t="s">
        <v>244</v>
      </c>
      <c r="R73" s="394" t="s">
        <v>244</v>
      </c>
      <c r="S73" s="394" t="s">
        <v>244</v>
      </c>
      <c r="T73" s="394" t="s">
        <v>244</v>
      </c>
    </row>
    <row r="74" spans="2:20" ht="12" thickTop="1">
      <c r="B74" s="403">
        <v>7</v>
      </c>
      <c r="C74" s="408"/>
      <c r="D74" s="405" t="s">
        <v>313</v>
      </c>
      <c r="E74" s="399" t="s">
        <v>314</v>
      </c>
      <c r="F74" s="399" t="s">
        <v>256</v>
      </c>
      <c r="G74" s="399" t="s">
        <v>242</v>
      </c>
      <c r="H74" s="400" t="s">
        <v>243</v>
      </c>
      <c r="I74" s="505">
        <v>64</v>
      </c>
      <c r="J74" s="506">
        <v>0</v>
      </c>
      <c r="K74" s="505">
        <v>0</v>
      </c>
      <c r="L74" s="506">
        <v>0</v>
      </c>
      <c r="M74" s="507">
        <v>0</v>
      </c>
      <c r="N74" s="401">
        <v>0</v>
      </c>
      <c r="O74" s="407">
        <v>4</v>
      </c>
      <c r="P74" s="409" t="s">
        <v>308</v>
      </c>
      <c r="Q74" s="409" t="s">
        <v>244</v>
      </c>
      <c r="R74" s="409" t="s">
        <v>244</v>
      </c>
      <c r="S74" s="409" t="s">
        <v>244</v>
      </c>
      <c r="T74" s="409" t="s">
        <v>244</v>
      </c>
    </row>
    <row r="75" spans="2:20">
      <c r="B75" s="403">
        <v>7</v>
      </c>
      <c r="C75" s="408"/>
      <c r="D75" s="405" t="s">
        <v>315</v>
      </c>
      <c r="E75" s="399" t="s">
        <v>316</v>
      </c>
      <c r="F75" s="399" t="s">
        <v>256</v>
      </c>
      <c r="G75" s="399" t="s">
        <v>242</v>
      </c>
      <c r="H75" s="400" t="s">
        <v>243</v>
      </c>
      <c r="I75" s="507">
        <v>36</v>
      </c>
      <c r="J75" s="401">
        <v>0</v>
      </c>
      <c r="K75" s="507">
        <v>56</v>
      </c>
      <c r="L75" s="401">
        <v>0</v>
      </c>
      <c r="M75" s="507">
        <v>0</v>
      </c>
      <c r="N75" s="401">
        <v>0</v>
      </c>
      <c r="O75" s="407">
        <v>4</v>
      </c>
      <c r="P75" s="399" t="s">
        <v>286</v>
      </c>
      <c r="Q75" s="399" t="s">
        <v>244</v>
      </c>
      <c r="R75" s="399" t="s">
        <v>244</v>
      </c>
      <c r="S75" s="399" t="s">
        <v>244</v>
      </c>
      <c r="T75" s="399" t="s">
        <v>244</v>
      </c>
    </row>
    <row r="76" spans="2:20">
      <c r="B76" s="403">
        <v>7</v>
      </c>
      <c r="C76" s="408"/>
      <c r="D76" s="405" t="s">
        <v>317</v>
      </c>
      <c r="E76" s="399" t="s">
        <v>318</v>
      </c>
      <c r="F76" s="399" t="s">
        <v>256</v>
      </c>
      <c r="G76" s="399" t="s">
        <v>242</v>
      </c>
      <c r="H76" s="400" t="s">
        <v>243</v>
      </c>
      <c r="I76" s="507">
        <v>64</v>
      </c>
      <c r="J76" s="401">
        <v>0</v>
      </c>
      <c r="K76" s="508">
        <v>0</v>
      </c>
      <c r="L76" s="509">
        <v>0</v>
      </c>
      <c r="M76" s="507">
        <v>0</v>
      </c>
      <c r="N76" s="401">
        <v>0</v>
      </c>
      <c r="O76" s="407">
        <v>4</v>
      </c>
      <c r="P76" s="399" t="s">
        <v>306</v>
      </c>
      <c r="Q76" s="399" t="s">
        <v>244</v>
      </c>
      <c r="R76" s="399" t="s">
        <v>244</v>
      </c>
      <c r="S76" s="399" t="s">
        <v>244</v>
      </c>
      <c r="T76" s="399" t="s">
        <v>244</v>
      </c>
    </row>
    <row r="77" spans="2:20">
      <c r="B77" s="403">
        <v>7</v>
      </c>
      <c r="C77" s="408"/>
      <c r="D77" s="405" t="s">
        <v>319</v>
      </c>
      <c r="E77" s="399" t="s">
        <v>320</v>
      </c>
      <c r="F77" s="399" t="s">
        <v>256</v>
      </c>
      <c r="G77" s="470" t="s">
        <v>242</v>
      </c>
      <c r="H77" s="400" t="s">
        <v>243</v>
      </c>
      <c r="I77" s="507">
        <v>36</v>
      </c>
      <c r="J77" s="401">
        <v>0</v>
      </c>
      <c r="K77" s="507">
        <v>56</v>
      </c>
      <c r="L77" s="401">
        <v>0</v>
      </c>
      <c r="M77" s="507">
        <v>0</v>
      </c>
      <c r="N77" s="401">
        <v>0</v>
      </c>
      <c r="O77" s="407">
        <v>4</v>
      </c>
      <c r="P77" s="399" t="s">
        <v>312</v>
      </c>
      <c r="Q77" s="399" t="s">
        <v>244</v>
      </c>
      <c r="R77" s="399" t="s">
        <v>244</v>
      </c>
      <c r="S77" s="399" t="s">
        <v>244</v>
      </c>
      <c r="T77" s="399" t="s">
        <v>244</v>
      </c>
    </row>
    <row r="78" spans="2:20">
      <c r="B78" s="403">
        <v>7</v>
      </c>
      <c r="C78" s="408"/>
      <c r="D78" s="405" t="s">
        <v>244</v>
      </c>
      <c r="E78" s="399" t="s">
        <v>321</v>
      </c>
      <c r="F78" s="399" t="s">
        <v>256</v>
      </c>
      <c r="G78" s="471" t="s">
        <v>151</v>
      </c>
      <c r="H78" s="400" t="s">
        <v>243</v>
      </c>
      <c r="I78" s="507">
        <v>64</v>
      </c>
      <c r="J78" s="401">
        <v>0</v>
      </c>
      <c r="K78" s="507">
        <v>0</v>
      </c>
      <c r="L78" s="401">
        <v>0</v>
      </c>
      <c r="M78" s="507">
        <v>0</v>
      </c>
      <c r="N78" s="401">
        <v>0</v>
      </c>
      <c r="O78" s="407">
        <v>4</v>
      </c>
      <c r="P78" s="399" t="s">
        <v>244</v>
      </c>
      <c r="Q78" s="399" t="s">
        <v>244</v>
      </c>
      <c r="R78" s="399" t="s">
        <v>244</v>
      </c>
      <c r="S78" s="399" t="s">
        <v>244</v>
      </c>
      <c r="T78" s="399" t="s">
        <v>244</v>
      </c>
    </row>
    <row r="79" spans="2:20">
      <c r="B79" s="403">
        <v>7</v>
      </c>
      <c r="C79" s="408"/>
      <c r="D79" s="405" t="s">
        <v>244</v>
      </c>
      <c r="E79" s="399" t="s">
        <v>244</v>
      </c>
      <c r="F79" s="399" t="s">
        <v>244</v>
      </c>
      <c r="G79" s="471" t="s">
        <v>244</v>
      </c>
      <c r="H79" s="400" t="s">
        <v>244</v>
      </c>
      <c r="I79" s="507">
        <v>0</v>
      </c>
      <c r="J79" s="401">
        <v>0</v>
      </c>
      <c r="K79" s="507">
        <v>0</v>
      </c>
      <c r="L79" s="401">
        <v>0</v>
      </c>
      <c r="M79" s="507">
        <v>0</v>
      </c>
      <c r="N79" s="401">
        <v>0</v>
      </c>
      <c r="O79" s="407" t="s">
        <v>244</v>
      </c>
      <c r="P79" s="399" t="s">
        <v>244</v>
      </c>
      <c r="Q79" s="399" t="s">
        <v>244</v>
      </c>
      <c r="R79" s="399" t="s">
        <v>244</v>
      </c>
      <c r="S79" s="399" t="s">
        <v>244</v>
      </c>
      <c r="T79" s="399" t="s">
        <v>244</v>
      </c>
    </row>
    <row r="80" spans="2:20">
      <c r="B80" s="403">
        <v>7</v>
      </c>
      <c r="C80" s="408"/>
      <c r="D80" s="405" t="s">
        <v>244</v>
      </c>
      <c r="E80" s="399" t="s">
        <v>244</v>
      </c>
      <c r="F80" s="399" t="s">
        <v>244</v>
      </c>
      <c r="G80" s="471" t="s">
        <v>244</v>
      </c>
      <c r="H80" s="400" t="s">
        <v>244</v>
      </c>
      <c r="I80" s="507">
        <v>0</v>
      </c>
      <c r="J80" s="401">
        <v>0</v>
      </c>
      <c r="K80" s="507">
        <v>0</v>
      </c>
      <c r="L80" s="401">
        <v>0</v>
      </c>
      <c r="M80" s="507">
        <v>0</v>
      </c>
      <c r="N80" s="401">
        <v>0</v>
      </c>
      <c r="O80" s="407" t="s">
        <v>244</v>
      </c>
      <c r="P80" s="399" t="s">
        <v>244</v>
      </c>
      <c r="Q80" s="399" t="s">
        <v>244</v>
      </c>
      <c r="R80" s="399" t="s">
        <v>244</v>
      </c>
      <c r="S80" s="399" t="s">
        <v>244</v>
      </c>
      <c r="T80" s="399" t="s">
        <v>244</v>
      </c>
    </row>
    <row r="81" spans="2:20">
      <c r="B81" s="403">
        <v>7</v>
      </c>
      <c r="C81" s="408"/>
      <c r="D81" s="405" t="s">
        <v>244</v>
      </c>
      <c r="E81" s="399" t="s">
        <v>244</v>
      </c>
      <c r="F81" s="399" t="s">
        <v>244</v>
      </c>
      <c r="G81" s="471" t="s">
        <v>244</v>
      </c>
      <c r="H81" s="400" t="s">
        <v>244</v>
      </c>
      <c r="I81" s="507">
        <v>0</v>
      </c>
      <c r="J81" s="401">
        <v>0</v>
      </c>
      <c r="K81" s="507">
        <v>0</v>
      </c>
      <c r="L81" s="401">
        <v>0</v>
      </c>
      <c r="M81" s="507">
        <v>0</v>
      </c>
      <c r="N81" s="401">
        <v>0</v>
      </c>
      <c r="O81" s="407" t="s">
        <v>244</v>
      </c>
      <c r="P81" s="399" t="s">
        <v>244</v>
      </c>
      <c r="Q81" s="399" t="s">
        <v>244</v>
      </c>
      <c r="R81" s="399" t="s">
        <v>244</v>
      </c>
      <c r="S81" s="399" t="s">
        <v>244</v>
      </c>
      <c r="T81" s="399" t="s">
        <v>244</v>
      </c>
    </row>
    <row r="82" spans="2:20">
      <c r="B82" s="403">
        <v>7</v>
      </c>
      <c r="C82" s="408"/>
      <c r="D82" s="405" t="s">
        <v>244</v>
      </c>
      <c r="E82" s="399" t="s">
        <v>244</v>
      </c>
      <c r="F82" s="399" t="s">
        <v>244</v>
      </c>
      <c r="G82" s="471" t="s">
        <v>244</v>
      </c>
      <c r="H82" s="400" t="s">
        <v>244</v>
      </c>
      <c r="I82" s="507">
        <v>0</v>
      </c>
      <c r="J82" s="401">
        <v>0</v>
      </c>
      <c r="K82" s="507">
        <v>0</v>
      </c>
      <c r="L82" s="401">
        <v>0</v>
      </c>
      <c r="M82" s="507">
        <v>0</v>
      </c>
      <c r="N82" s="401">
        <v>0</v>
      </c>
      <c r="O82" s="407" t="s">
        <v>244</v>
      </c>
      <c r="P82" s="399" t="s">
        <v>244</v>
      </c>
      <c r="Q82" s="399" t="s">
        <v>244</v>
      </c>
      <c r="R82" s="399" t="s">
        <v>244</v>
      </c>
      <c r="S82" s="399" t="s">
        <v>244</v>
      </c>
      <c r="T82" s="399" t="s">
        <v>244</v>
      </c>
    </row>
    <row r="83" spans="2:20" ht="12" thickBot="1">
      <c r="B83" s="398">
        <v>7</v>
      </c>
      <c r="C83" s="406"/>
      <c r="D83" s="404" t="s">
        <v>244</v>
      </c>
      <c r="E83" s="394" t="s">
        <v>244</v>
      </c>
      <c r="F83" s="394" t="s">
        <v>244</v>
      </c>
      <c r="G83" s="472" t="s">
        <v>244</v>
      </c>
      <c r="H83" s="488" t="s">
        <v>244</v>
      </c>
      <c r="I83" s="510">
        <v>0</v>
      </c>
      <c r="J83" s="396">
        <v>0</v>
      </c>
      <c r="K83" s="510">
        <v>0</v>
      </c>
      <c r="L83" s="396">
        <v>0</v>
      </c>
      <c r="M83" s="510">
        <v>0</v>
      </c>
      <c r="N83" s="396">
        <v>0</v>
      </c>
      <c r="O83" s="489" t="s">
        <v>244</v>
      </c>
      <c r="P83" s="394" t="s">
        <v>244</v>
      </c>
      <c r="Q83" s="394" t="s">
        <v>244</v>
      </c>
      <c r="R83" s="394" t="s">
        <v>244</v>
      </c>
      <c r="S83" s="394" t="s">
        <v>244</v>
      </c>
      <c r="T83" s="394" t="s">
        <v>244</v>
      </c>
    </row>
    <row r="84" spans="2:20" ht="12" thickTop="1">
      <c r="B84" s="403">
        <v>8</v>
      </c>
      <c r="C84" s="408"/>
      <c r="D84" s="405" t="s">
        <v>322</v>
      </c>
      <c r="E84" s="399" t="s">
        <v>323</v>
      </c>
      <c r="F84" s="399" t="s">
        <v>256</v>
      </c>
      <c r="G84" s="399" t="s">
        <v>242</v>
      </c>
      <c r="H84" s="400" t="s">
        <v>243</v>
      </c>
      <c r="I84" s="505">
        <v>36</v>
      </c>
      <c r="J84" s="506">
        <v>0</v>
      </c>
      <c r="K84" s="505">
        <v>56</v>
      </c>
      <c r="L84" s="506">
        <v>0</v>
      </c>
      <c r="M84" s="507">
        <v>0</v>
      </c>
      <c r="N84" s="401">
        <v>0</v>
      </c>
      <c r="O84" s="407">
        <v>4</v>
      </c>
      <c r="P84" s="409" t="s">
        <v>244</v>
      </c>
      <c r="Q84" s="409" t="s">
        <v>244</v>
      </c>
      <c r="R84" s="409" t="s">
        <v>244</v>
      </c>
      <c r="S84" s="409" t="s">
        <v>244</v>
      </c>
      <c r="T84" s="409" t="s">
        <v>244</v>
      </c>
    </row>
    <row r="85" spans="2:20">
      <c r="B85" s="403">
        <v>8</v>
      </c>
      <c r="C85" s="408"/>
      <c r="D85" s="405" t="s">
        <v>324</v>
      </c>
      <c r="E85" s="399" t="s">
        <v>325</v>
      </c>
      <c r="F85" s="399" t="s">
        <v>256</v>
      </c>
      <c r="G85" s="399" t="s">
        <v>242</v>
      </c>
      <c r="H85" s="400" t="s">
        <v>243</v>
      </c>
      <c r="I85" s="507">
        <v>36</v>
      </c>
      <c r="J85" s="401">
        <v>0</v>
      </c>
      <c r="K85" s="507">
        <v>56</v>
      </c>
      <c r="L85" s="401">
        <v>0</v>
      </c>
      <c r="M85" s="507">
        <v>0</v>
      </c>
      <c r="N85" s="401">
        <v>0</v>
      </c>
      <c r="O85" s="407">
        <v>4</v>
      </c>
      <c r="P85" s="399" t="s">
        <v>314</v>
      </c>
      <c r="Q85" s="399" t="s">
        <v>244</v>
      </c>
      <c r="R85" s="399" t="s">
        <v>244</v>
      </c>
      <c r="S85" s="399" t="s">
        <v>244</v>
      </c>
      <c r="T85" s="399" t="s">
        <v>244</v>
      </c>
    </row>
    <row r="86" spans="2:20">
      <c r="B86" s="403">
        <v>8</v>
      </c>
      <c r="C86" s="408"/>
      <c r="D86" s="405" t="s">
        <v>326</v>
      </c>
      <c r="E86" s="399" t="s">
        <v>327</v>
      </c>
      <c r="F86" s="399" t="s">
        <v>256</v>
      </c>
      <c r="G86" s="399" t="s">
        <v>242</v>
      </c>
      <c r="H86" s="400" t="s">
        <v>243</v>
      </c>
      <c r="I86" s="507">
        <v>64</v>
      </c>
      <c r="J86" s="401">
        <v>0</v>
      </c>
      <c r="K86" s="508">
        <v>0</v>
      </c>
      <c r="L86" s="509">
        <v>0</v>
      </c>
      <c r="M86" s="507">
        <v>0</v>
      </c>
      <c r="N86" s="401">
        <v>0</v>
      </c>
      <c r="O86" s="407">
        <v>4</v>
      </c>
      <c r="P86" s="399" t="s">
        <v>316</v>
      </c>
      <c r="Q86" s="399" t="s">
        <v>244</v>
      </c>
      <c r="R86" s="399" t="s">
        <v>244</v>
      </c>
      <c r="S86" s="399" t="s">
        <v>244</v>
      </c>
      <c r="T86" s="399" t="s">
        <v>244</v>
      </c>
    </row>
    <row r="87" spans="2:20">
      <c r="B87" s="403">
        <v>8</v>
      </c>
      <c r="C87" s="408"/>
      <c r="D87" s="405" t="s">
        <v>328</v>
      </c>
      <c r="E87" s="399" t="s">
        <v>329</v>
      </c>
      <c r="F87" s="399" t="s">
        <v>256</v>
      </c>
      <c r="G87" s="470" t="s">
        <v>242</v>
      </c>
      <c r="H87" s="400" t="s">
        <v>243</v>
      </c>
      <c r="I87" s="507">
        <v>4</v>
      </c>
      <c r="J87" s="401">
        <v>0</v>
      </c>
      <c r="K87" s="507">
        <v>120</v>
      </c>
      <c r="L87" s="401">
        <v>0</v>
      </c>
      <c r="M87" s="507">
        <v>0</v>
      </c>
      <c r="N87" s="401">
        <v>0</v>
      </c>
      <c r="O87" s="407">
        <v>4</v>
      </c>
      <c r="P87" s="399" t="s">
        <v>244</v>
      </c>
      <c r="Q87" s="399" t="s">
        <v>244</v>
      </c>
      <c r="R87" s="399" t="s">
        <v>244</v>
      </c>
      <c r="S87" s="399" t="s">
        <v>244</v>
      </c>
      <c r="T87" s="399" t="s">
        <v>244</v>
      </c>
    </row>
    <row r="88" spans="2:20">
      <c r="B88" s="403">
        <v>8</v>
      </c>
      <c r="C88" s="408"/>
      <c r="D88" s="405" t="s">
        <v>244</v>
      </c>
      <c r="E88" s="399" t="s">
        <v>330</v>
      </c>
      <c r="F88" s="399" t="s">
        <v>256</v>
      </c>
      <c r="G88" s="471" t="s">
        <v>151</v>
      </c>
      <c r="H88" s="400" t="s">
        <v>243</v>
      </c>
      <c r="I88" s="507">
        <v>64</v>
      </c>
      <c r="J88" s="401">
        <v>0</v>
      </c>
      <c r="K88" s="507">
        <v>0</v>
      </c>
      <c r="L88" s="401">
        <v>0</v>
      </c>
      <c r="M88" s="507">
        <v>0</v>
      </c>
      <c r="N88" s="401">
        <v>0</v>
      </c>
      <c r="O88" s="407">
        <v>4</v>
      </c>
      <c r="P88" s="399" t="s">
        <v>244</v>
      </c>
      <c r="Q88" s="399" t="s">
        <v>244</v>
      </c>
      <c r="R88" s="399" t="s">
        <v>244</v>
      </c>
      <c r="S88" s="399" t="s">
        <v>244</v>
      </c>
      <c r="T88" s="399" t="s">
        <v>244</v>
      </c>
    </row>
    <row r="89" spans="2:20">
      <c r="B89" s="403">
        <v>8</v>
      </c>
      <c r="C89" s="408"/>
      <c r="D89" s="405" t="s">
        <v>244</v>
      </c>
      <c r="E89" s="399" t="s">
        <v>244</v>
      </c>
      <c r="F89" s="399" t="s">
        <v>244</v>
      </c>
      <c r="G89" s="471" t="s">
        <v>244</v>
      </c>
      <c r="H89" s="400" t="s">
        <v>244</v>
      </c>
      <c r="I89" s="507">
        <v>0</v>
      </c>
      <c r="J89" s="401">
        <v>0</v>
      </c>
      <c r="K89" s="507">
        <v>0</v>
      </c>
      <c r="L89" s="401">
        <v>0</v>
      </c>
      <c r="M89" s="507">
        <v>0</v>
      </c>
      <c r="N89" s="401">
        <v>0</v>
      </c>
      <c r="O89" s="407" t="s">
        <v>244</v>
      </c>
      <c r="P89" s="399" t="s">
        <v>244</v>
      </c>
      <c r="Q89" s="399" t="s">
        <v>244</v>
      </c>
      <c r="R89" s="399" t="s">
        <v>244</v>
      </c>
      <c r="S89" s="399" t="s">
        <v>244</v>
      </c>
      <c r="T89" s="399" t="s">
        <v>244</v>
      </c>
    </row>
    <row r="90" spans="2:20">
      <c r="B90" s="403">
        <v>8</v>
      </c>
      <c r="C90" s="408"/>
      <c r="D90" s="405" t="s">
        <v>244</v>
      </c>
      <c r="E90" s="399" t="s">
        <v>244</v>
      </c>
      <c r="F90" s="399" t="s">
        <v>244</v>
      </c>
      <c r="G90" s="471" t="s">
        <v>244</v>
      </c>
      <c r="H90" s="400" t="s">
        <v>244</v>
      </c>
      <c r="I90" s="507">
        <v>0</v>
      </c>
      <c r="J90" s="401">
        <v>0</v>
      </c>
      <c r="K90" s="507">
        <v>0</v>
      </c>
      <c r="L90" s="401">
        <v>0</v>
      </c>
      <c r="M90" s="507">
        <v>0</v>
      </c>
      <c r="N90" s="401">
        <v>0</v>
      </c>
      <c r="O90" s="407" t="s">
        <v>244</v>
      </c>
      <c r="P90" s="399" t="s">
        <v>244</v>
      </c>
      <c r="Q90" s="399" t="s">
        <v>244</v>
      </c>
      <c r="R90" s="399" t="s">
        <v>244</v>
      </c>
      <c r="S90" s="399" t="s">
        <v>244</v>
      </c>
      <c r="T90" s="399" t="s">
        <v>244</v>
      </c>
    </row>
    <row r="91" spans="2:20">
      <c r="B91" s="403">
        <v>8</v>
      </c>
      <c r="C91" s="408"/>
      <c r="D91" s="405" t="s">
        <v>244</v>
      </c>
      <c r="E91" s="399" t="s">
        <v>244</v>
      </c>
      <c r="F91" s="399" t="s">
        <v>244</v>
      </c>
      <c r="G91" s="471" t="s">
        <v>244</v>
      </c>
      <c r="H91" s="400" t="s">
        <v>244</v>
      </c>
      <c r="I91" s="507">
        <v>0</v>
      </c>
      <c r="J91" s="401">
        <v>0</v>
      </c>
      <c r="K91" s="507">
        <v>0</v>
      </c>
      <c r="L91" s="401">
        <v>0</v>
      </c>
      <c r="M91" s="507">
        <v>0</v>
      </c>
      <c r="N91" s="401">
        <v>0</v>
      </c>
      <c r="O91" s="407" t="s">
        <v>244</v>
      </c>
      <c r="P91" s="399" t="s">
        <v>244</v>
      </c>
      <c r="Q91" s="399" t="s">
        <v>244</v>
      </c>
      <c r="R91" s="399" t="s">
        <v>244</v>
      </c>
      <c r="S91" s="399" t="s">
        <v>244</v>
      </c>
      <c r="T91" s="399" t="s">
        <v>244</v>
      </c>
    </row>
    <row r="92" spans="2:20">
      <c r="B92" s="403">
        <v>8</v>
      </c>
      <c r="C92" s="408"/>
      <c r="D92" s="405" t="s">
        <v>244</v>
      </c>
      <c r="E92" s="399" t="s">
        <v>244</v>
      </c>
      <c r="F92" s="399" t="s">
        <v>244</v>
      </c>
      <c r="G92" s="471" t="s">
        <v>244</v>
      </c>
      <c r="H92" s="400" t="s">
        <v>244</v>
      </c>
      <c r="I92" s="507">
        <v>0</v>
      </c>
      <c r="J92" s="401">
        <v>0</v>
      </c>
      <c r="K92" s="507">
        <v>0</v>
      </c>
      <c r="L92" s="401">
        <v>0</v>
      </c>
      <c r="M92" s="507">
        <v>0</v>
      </c>
      <c r="N92" s="401">
        <v>0</v>
      </c>
      <c r="O92" s="407" t="s">
        <v>244</v>
      </c>
      <c r="P92" s="399" t="s">
        <v>244</v>
      </c>
      <c r="Q92" s="399" t="s">
        <v>244</v>
      </c>
      <c r="R92" s="399" t="s">
        <v>244</v>
      </c>
      <c r="S92" s="399" t="s">
        <v>244</v>
      </c>
      <c r="T92" s="399" t="s">
        <v>244</v>
      </c>
    </row>
    <row r="93" spans="2:20" ht="12" thickBot="1">
      <c r="B93" s="398">
        <v>8</v>
      </c>
      <c r="C93" s="406"/>
      <c r="D93" s="404" t="s">
        <v>244</v>
      </c>
      <c r="E93" s="394" t="s">
        <v>244</v>
      </c>
      <c r="F93" s="394" t="s">
        <v>244</v>
      </c>
      <c r="G93" s="472" t="s">
        <v>244</v>
      </c>
      <c r="H93" s="488" t="s">
        <v>244</v>
      </c>
      <c r="I93" s="510">
        <v>0</v>
      </c>
      <c r="J93" s="396">
        <v>0</v>
      </c>
      <c r="K93" s="510">
        <v>0</v>
      </c>
      <c r="L93" s="396">
        <v>0</v>
      </c>
      <c r="M93" s="510">
        <v>0</v>
      </c>
      <c r="N93" s="396">
        <v>0</v>
      </c>
      <c r="O93" s="489" t="s">
        <v>244</v>
      </c>
      <c r="P93" s="394" t="s">
        <v>244</v>
      </c>
      <c r="Q93" s="394" t="s">
        <v>244</v>
      </c>
      <c r="R93" s="394" t="s">
        <v>244</v>
      </c>
      <c r="S93" s="394" t="s">
        <v>244</v>
      </c>
      <c r="T93" s="394" t="s">
        <v>244</v>
      </c>
    </row>
    <row r="94" spans="2:20" ht="12" thickTop="1">
      <c r="B94" s="403">
        <v>9</v>
      </c>
      <c r="C94" s="408"/>
      <c r="D94" s="405" t="s">
        <v>331</v>
      </c>
      <c r="E94" s="399" t="s">
        <v>332</v>
      </c>
      <c r="F94" s="399" t="s">
        <v>256</v>
      </c>
      <c r="G94" s="399" t="s">
        <v>242</v>
      </c>
      <c r="H94" s="400" t="s">
        <v>243</v>
      </c>
      <c r="I94" s="505">
        <v>36</v>
      </c>
      <c r="J94" s="506">
        <v>0</v>
      </c>
      <c r="K94" s="505">
        <v>56</v>
      </c>
      <c r="L94" s="506">
        <v>0</v>
      </c>
      <c r="M94" s="507">
        <v>0</v>
      </c>
      <c r="N94" s="401">
        <v>0</v>
      </c>
      <c r="O94" s="407">
        <v>4</v>
      </c>
      <c r="P94" s="409" t="s">
        <v>312</v>
      </c>
      <c r="Q94" s="409" t="s">
        <v>244</v>
      </c>
      <c r="R94" s="409" t="s">
        <v>244</v>
      </c>
      <c r="S94" s="409" t="s">
        <v>244</v>
      </c>
      <c r="T94" s="409" t="s">
        <v>244</v>
      </c>
    </row>
    <row r="95" spans="2:20">
      <c r="B95" s="403">
        <v>9</v>
      </c>
      <c r="C95" s="408"/>
      <c r="D95" s="405" t="s">
        <v>333</v>
      </c>
      <c r="E95" s="399" t="s">
        <v>334</v>
      </c>
      <c r="F95" s="399" t="s">
        <v>256</v>
      </c>
      <c r="G95" s="399" t="s">
        <v>242</v>
      </c>
      <c r="H95" s="400" t="s">
        <v>243</v>
      </c>
      <c r="I95" s="507">
        <v>64</v>
      </c>
      <c r="J95" s="401">
        <v>0</v>
      </c>
      <c r="K95" s="507">
        <v>0</v>
      </c>
      <c r="L95" s="401">
        <v>0</v>
      </c>
      <c r="M95" s="507">
        <v>0</v>
      </c>
      <c r="N95" s="401">
        <v>0</v>
      </c>
      <c r="O95" s="407">
        <v>4</v>
      </c>
      <c r="P95" s="399" t="s">
        <v>280</v>
      </c>
      <c r="Q95" s="399" t="s">
        <v>244</v>
      </c>
      <c r="R95" s="399" t="s">
        <v>244</v>
      </c>
      <c r="S95" s="399" t="s">
        <v>244</v>
      </c>
      <c r="T95" s="399" t="s">
        <v>244</v>
      </c>
    </row>
    <row r="96" spans="2:20">
      <c r="B96" s="403">
        <v>9</v>
      </c>
      <c r="C96" s="408"/>
      <c r="D96" s="405" t="s">
        <v>335</v>
      </c>
      <c r="E96" s="399" t="s">
        <v>336</v>
      </c>
      <c r="F96" s="399" t="s">
        <v>256</v>
      </c>
      <c r="G96" s="399" t="s">
        <v>242</v>
      </c>
      <c r="H96" s="400" t="s">
        <v>243</v>
      </c>
      <c r="I96" s="507">
        <v>4</v>
      </c>
      <c r="J96" s="401">
        <v>0</v>
      </c>
      <c r="K96" s="508">
        <v>120</v>
      </c>
      <c r="L96" s="509">
        <v>0</v>
      </c>
      <c r="M96" s="507">
        <v>0</v>
      </c>
      <c r="N96" s="401">
        <v>0</v>
      </c>
      <c r="O96" s="407">
        <v>4</v>
      </c>
      <c r="P96" s="399" t="s">
        <v>329</v>
      </c>
      <c r="Q96" s="399" t="s">
        <v>244</v>
      </c>
      <c r="R96" s="399" t="s">
        <v>244</v>
      </c>
      <c r="S96" s="399" t="s">
        <v>244</v>
      </c>
      <c r="T96" s="399" t="s">
        <v>244</v>
      </c>
    </row>
    <row r="97" spans="2:20">
      <c r="B97" s="403">
        <v>9</v>
      </c>
      <c r="C97" s="408"/>
      <c r="D97" s="405" t="s">
        <v>337</v>
      </c>
      <c r="E97" s="399" t="s">
        <v>338</v>
      </c>
      <c r="F97" s="399" t="s">
        <v>256</v>
      </c>
      <c r="G97" s="470" t="s">
        <v>242</v>
      </c>
      <c r="H97" s="400" t="s">
        <v>243</v>
      </c>
      <c r="I97" s="507">
        <v>2</v>
      </c>
      <c r="J97" s="401">
        <v>0</v>
      </c>
      <c r="K97" s="507">
        <v>60</v>
      </c>
      <c r="L97" s="401">
        <v>0</v>
      </c>
      <c r="M97" s="507">
        <v>0</v>
      </c>
      <c r="N97" s="401">
        <v>0</v>
      </c>
      <c r="O97" s="407">
        <v>2</v>
      </c>
      <c r="P97" s="399" t="s">
        <v>323</v>
      </c>
      <c r="Q97" s="399" t="s">
        <v>244</v>
      </c>
      <c r="R97" s="399" t="s">
        <v>244</v>
      </c>
      <c r="S97" s="399" t="s">
        <v>244</v>
      </c>
      <c r="T97" s="399" t="s">
        <v>244</v>
      </c>
    </row>
    <row r="98" spans="2:20">
      <c r="B98" s="403">
        <v>9</v>
      </c>
      <c r="C98" s="408"/>
      <c r="D98" s="405" t="s">
        <v>339</v>
      </c>
      <c r="E98" s="399" t="s">
        <v>340</v>
      </c>
      <c r="F98" s="399" t="s">
        <v>256</v>
      </c>
      <c r="G98" s="471" t="s">
        <v>242</v>
      </c>
      <c r="H98" s="400" t="s">
        <v>243</v>
      </c>
      <c r="I98" s="507">
        <v>2</v>
      </c>
      <c r="J98" s="401">
        <v>0</v>
      </c>
      <c r="K98" s="507">
        <v>60</v>
      </c>
      <c r="L98" s="401">
        <v>0</v>
      </c>
      <c r="M98" s="507">
        <v>0</v>
      </c>
      <c r="N98" s="401">
        <v>0</v>
      </c>
      <c r="O98" s="407">
        <v>2</v>
      </c>
      <c r="P98" s="399" t="s">
        <v>327</v>
      </c>
      <c r="Q98" s="399" t="s">
        <v>244</v>
      </c>
      <c r="R98" s="399" t="s">
        <v>244</v>
      </c>
      <c r="S98" s="399" t="s">
        <v>244</v>
      </c>
      <c r="T98" s="399" t="s">
        <v>244</v>
      </c>
    </row>
    <row r="99" spans="2:20">
      <c r="B99" s="403">
        <v>9</v>
      </c>
      <c r="C99" s="408"/>
      <c r="D99" s="405" t="s">
        <v>244</v>
      </c>
      <c r="E99" s="399" t="s">
        <v>341</v>
      </c>
      <c r="F99" s="399" t="s">
        <v>256</v>
      </c>
      <c r="G99" s="471" t="s">
        <v>151</v>
      </c>
      <c r="H99" s="400" t="s">
        <v>243</v>
      </c>
      <c r="I99" s="507">
        <v>64</v>
      </c>
      <c r="J99" s="401">
        <v>0</v>
      </c>
      <c r="K99" s="507">
        <v>0</v>
      </c>
      <c r="L99" s="401">
        <v>0</v>
      </c>
      <c r="M99" s="507">
        <v>0</v>
      </c>
      <c r="N99" s="401">
        <v>0</v>
      </c>
      <c r="O99" s="407">
        <v>4</v>
      </c>
      <c r="P99" s="399" t="s">
        <v>244</v>
      </c>
      <c r="Q99" s="399" t="s">
        <v>244</v>
      </c>
      <c r="R99" s="399" t="s">
        <v>244</v>
      </c>
      <c r="S99" s="399" t="s">
        <v>244</v>
      </c>
      <c r="T99" s="399" t="s">
        <v>244</v>
      </c>
    </row>
    <row r="100" spans="2:20">
      <c r="B100" s="403">
        <v>9</v>
      </c>
      <c r="C100" s="408"/>
      <c r="D100" s="405" t="s">
        <v>244</v>
      </c>
      <c r="E100" s="399" t="s">
        <v>244</v>
      </c>
      <c r="F100" s="399" t="s">
        <v>244</v>
      </c>
      <c r="G100" s="471" t="s">
        <v>244</v>
      </c>
      <c r="H100" s="400" t="s">
        <v>244</v>
      </c>
      <c r="I100" s="507">
        <v>0</v>
      </c>
      <c r="J100" s="401">
        <v>0</v>
      </c>
      <c r="K100" s="507">
        <v>0</v>
      </c>
      <c r="L100" s="401">
        <v>0</v>
      </c>
      <c r="M100" s="507">
        <v>0</v>
      </c>
      <c r="N100" s="401">
        <v>0</v>
      </c>
      <c r="O100" s="407" t="s">
        <v>244</v>
      </c>
      <c r="P100" s="399" t="s">
        <v>244</v>
      </c>
      <c r="Q100" s="399" t="s">
        <v>244</v>
      </c>
      <c r="R100" s="399" t="s">
        <v>244</v>
      </c>
      <c r="S100" s="399" t="s">
        <v>244</v>
      </c>
      <c r="T100" s="399" t="s">
        <v>244</v>
      </c>
    </row>
    <row r="101" spans="2:20">
      <c r="B101" s="403">
        <v>9</v>
      </c>
      <c r="C101" s="408"/>
      <c r="D101" s="405" t="s">
        <v>244</v>
      </c>
      <c r="E101" s="399" t="s">
        <v>244</v>
      </c>
      <c r="F101" s="399" t="s">
        <v>244</v>
      </c>
      <c r="G101" s="471" t="s">
        <v>244</v>
      </c>
      <c r="H101" s="400" t="s">
        <v>244</v>
      </c>
      <c r="I101" s="507">
        <v>0</v>
      </c>
      <c r="J101" s="401">
        <v>0</v>
      </c>
      <c r="K101" s="507">
        <v>0</v>
      </c>
      <c r="L101" s="401">
        <v>0</v>
      </c>
      <c r="M101" s="507">
        <v>0</v>
      </c>
      <c r="N101" s="401">
        <v>0</v>
      </c>
      <c r="O101" s="407" t="s">
        <v>244</v>
      </c>
      <c r="P101" s="399" t="s">
        <v>244</v>
      </c>
      <c r="Q101" s="399" t="s">
        <v>244</v>
      </c>
      <c r="R101" s="399" t="s">
        <v>244</v>
      </c>
      <c r="S101" s="399" t="s">
        <v>244</v>
      </c>
      <c r="T101" s="399" t="s">
        <v>244</v>
      </c>
    </row>
    <row r="102" spans="2:20">
      <c r="B102" s="403">
        <v>9</v>
      </c>
      <c r="C102" s="408"/>
      <c r="D102" s="405" t="s">
        <v>244</v>
      </c>
      <c r="E102" s="399" t="s">
        <v>244</v>
      </c>
      <c r="F102" s="399" t="s">
        <v>244</v>
      </c>
      <c r="G102" s="471" t="s">
        <v>244</v>
      </c>
      <c r="H102" s="400" t="s">
        <v>244</v>
      </c>
      <c r="I102" s="507">
        <v>0</v>
      </c>
      <c r="J102" s="401">
        <v>0</v>
      </c>
      <c r="K102" s="507">
        <v>0</v>
      </c>
      <c r="L102" s="401">
        <v>0</v>
      </c>
      <c r="M102" s="507">
        <v>0</v>
      </c>
      <c r="N102" s="401">
        <v>0</v>
      </c>
      <c r="O102" s="407" t="s">
        <v>244</v>
      </c>
      <c r="P102" s="399" t="s">
        <v>244</v>
      </c>
      <c r="Q102" s="399" t="s">
        <v>244</v>
      </c>
      <c r="R102" s="399" t="s">
        <v>244</v>
      </c>
      <c r="S102" s="399" t="s">
        <v>244</v>
      </c>
      <c r="T102" s="399" t="s">
        <v>244</v>
      </c>
    </row>
    <row r="103" spans="2:20" ht="12" thickBot="1">
      <c r="B103" s="398">
        <v>9</v>
      </c>
      <c r="C103" s="406"/>
      <c r="D103" s="404" t="s">
        <v>244</v>
      </c>
      <c r="E103" s="394" t="s">
        <v>244</v>
      </c>
      <c r="F103" s="394" t="s">
        <v>244</v>
      </c>
      <c r="G103" s="472" t="s">
        <v>244</v>
      </c>
      <c r="H103" s="488" t="s">
        <v>244</v>
      </c>
      <c r="I103" s="510">
        <v>0</v>
      </c>
      <c r="J103" s="396">
        <v>0</v>
      </c>
      <c r="K103" s="510">
        <v>0</v>
      </c>
      <c r="L103" s="396">
        <v>0</v>
      </c>
      <c r="M103" s="510">
        <v>0</v>
      </c>
      <c r="N103" s="396">
        <v>0</v>
      </c>
      <c r="O103" s="489" t="s">
        <v>244</v>
      </c>
      <c r="P103" s="394" t="s">
        <v>244</v>
      </c>
      <c r="Q103" s="394" t="s">
        <v>244</v>
      </c>
      <c r="R103" s="394" t="s">
        <v>244</v>
      </c>
      <c r="S103" s="394" t="s">
        <v>244</v>
      </c>
      <c r="T103" s="394" t="s">
        <v>244</v>
      </c>
    </row>
    <row r="104" spans="2:20" ht="12" thickTop="1">
      <c r="B104" s="403">
        <v>10</v>
      </c>
      <c r="C104" s="408"/>
      <c r="D104" s="405" t="s">
        <v>342</v>
      </c>
      <c r="E104" s="399" t="s">
        <v>343</v>
      </c>
      <c r="F104" s="399" t="s">
        <v>256</v>
      </c>
      <c r="G104" s="399" t="s">
        <v>242</v>
      </c>
      <c r="H104" s="400" t="s">
        <v>243</v>
      </c>
      <c r="I104" s="505">
        <v>2</v>
      </c>
      <c r="J104" s="506">
        <v>0</v>
      </c>
      <c r="K104" s="505">
        <v>60</v>
      </c>
      <c r="L104" s="506">
        <v>0</v>
      </c>
      <c r="M104" s="507">
        <v>0</v>
      </c>
      <c r="N104" s="401">
        <v>0</v>
      </c>
      <c r="O104" s="407">
        <v>2</v>
      </c>
      <c r="P104" s="409" t="s">
        <v>306</v>
      </c>
      <c r="Q104" s="409" t="s">
        <v>244</v>
      </c>
      <c r="R104" s="409" t="s">
        <v>244</v>
      </c>
      <c r="S104" s="409" t="s">
        <v>244</v>
      </c>
      <c r="T104" s="409" t="s">
        <v>244</v>
      </c>
    </row>
    <row r="105" spans="2:20">
      <c r="B105" s="403">
        <v>10</v>
      </c>
      <c r="C105" s="408"/>
      <c r="D105" s="405" t="s">
        <v>344</v>
      </c>
      <c r="E105" s="399" t="s">
        <v>345</v>
      </c>
      <c r="F105" s="399" t="s">
        <v>256</v>
      </c>
      <c r="G105" s="399" t="s">
        <v>242</v>
      </c>
      <c r="H105" s="400" t="s">
        <v>243</v>
      </c>
      <c r="I105" s="507">
        <v>4</v>
      </c>
      <c r="J105" s="401">
        <v>0</v>
      </c>
      <c r="K105" s="507">
        <v>120</v>
      </c>
      <c r="L105" s="401">
        <v>0</v>
      </c>
      <c r="M105" s="507">
        <v>0</v>
      </c>
      <c r="N105" s="401">
        <v>0</v>
      </c>
      <c r="O105" s="407">
        <v>4</v>
      </c>
      <c r="P105" s="399" t="s">
        <v>340</v>
      </c>
      <c r="Q105" s="399" t="s">
        <v>244</v>
      </c>
      <c r="R105" s="399" t="s">
        <v>244</v>
      </c>
      <c r="S105" s="399" t="s">
        <v>244</v>
      </c>
      <c r="T105" s="399" t="s">
        <v>244</v>
      </c>
    </row>
    <row r="106" spans="2:20">
      <c r="B106" s="403">
        <v>10</v>
      </c>
      <c r="C106" s="408"/>
      <c r="D106" s="405" t="s">
        <v>346</v>
      </c>
      <c r="E106" s="399" t="s">
        <v>347</v>
      </c>
      <c r="F106" s="399" t="s">
        <v>256</v>
      </c>
      <c r="G106" s="399" t="s">
        <v>242</v>
      </c>
      <c r="H106" s="400" t="s">
        <v>243</v>
      </c>
      <c r="I106" s="507">
        <v>32</v>
      </c>
      <c r="J106" s="401">
        <v>0</v>
      </c>
      <c r="K106" s="508">
        <v>0</v>
      </c>
      <c r="L106" s="509">
        <v>0</v>
      </c>
      <c r="M106" s="507">
        <v>0</v>
      </c>
      <c r="N106" s="401">
        <v>0</v>
      </c>
      <c r="O106" s="407">
        <v>2</v>
      </c>
      <c r="P106" s="399" t="s">
        <v>306</v>
      </c>
      <c r="Q106" s="399" t="s">
        <v>244</v>
      </c>
      <c r="R106" s="399" t="s">
        <v>244</v>
      </c>
      <c r="S106" s="399" t="s">
        <v>244</v>
      </c>
      <c r="T106" s="399" t="s">
        <v>244</v>
      </c>
    </row>
    <row r="107" spans="2:20">
      <c r="B107" s="403">
        <v>10</v>
      </c>
      <c r="C107" s="408"/>
      <c r="D107" s="405" t="s">
        <v>348</v>
      </c>
      <c r="E107" s="399" t="s">
        <v>349</v>
      </c>
      <c r="F107" s="399" t="s">
        <v>256</v>
      </c>
      <c r="G107" s="470" t="s">
        <v>242</v>
      </c>
      <c r="H107" s="400" t="s">
        <v>243</v>
      </c>
      <c r="I107" s="507">
        <v>6</v>
      </c>
      <c r="J107" s="401">
        <v>0</v>
      </c>
      <c r="K107" s="507">
        <v>180</v>
      </c>
      <c r="L107" s="401">
        <v>0</v>
      </c>
      <c r="M107" s="507">
        <v>0</v>
      </c>
      <c r="N107" s="401">
        <v>0</v>
      </c>
      <c r="O107" s="407">
        <v>6</v>
      </c>
      <c r="P107" s="399" t="s">
        <v>336</v>
      </c>
      <c r="Q107" s="399" t="s">
        <v>244</v>
      </c>
      <c r="R107" s="399" t="s">
        <v>244</v>
      </c>
      <c r="S107" s="399" t="s">
        <v>244</v>
      </c>
      <c r="T107" s="399" t="s">
        <v>244</v>
      </c>
    </row>
    <row r="108" spans="2:20">
      <c r="B108" s="403">
        <v>10</v>
      </c>
      <c r="C108" s="408"/>
      <c r="D108" s="405" t="s">
        <v>244</v>
      </c>
      <c r="E108" s="399" t="s">
        <v>350</v>
      </c>
      <c r="F108" s="399" t="s">
        <v>256</v>
      </c>
      <c r="G108" s="471" t="s">
        <v>151</v>
      </c>
      <c r="H108" s="400" t="s">
        <v>243</v>
      </c>
      <c r="I108" s="507">
        <v>64</v>
      </c>
      <c r="J108" s="401">
        <v>0</v>
      </c>
      <c r="K108" s="507">
        <v>0</v>
      </c>
      <c r="L108" s="401">
        <v>0</v>
      </c>
      <c r="M108" s="507">
        <v>0</v>
      </c>
      <c r="N108" s="401">
        <v>0</v>
      </c>
      <c r="O108" s="407">
        <v>4</v>
      </c>
      <c r="P108" s="399" t="s">
        <v>244</v>
      </c>
      <c r="Q108" s="399" t="s">
        <v>244</v>
      </c>
      <c r="R108" s="399" t="s">
        <v>244</v>
      </c>
      <c r="S108" s="399" t="s">
        <v>244</v>
      </c>
      <c r="T108" s="399" t="s">
        <v>244</v>
      </c>
    </row>
    <row r="109" spans="2:20">
      <c r="B109" s="403">
        <v>10</v>
      </c>
      <c r="C109" s="408"/>
      <c r="D109" s="405" t="s">
        <v>244</v>
      </c>
      <c r="E109" s="399" t="s">
        <v>244</v>
      </c>
      <c r="F109" s="399" t="s">
        <v>244</v>
      </c>
      <c r="G109" s="471" t="s">
        <v>244</v>
      </c>
      <c r="H109" s="400" t="s">
        <v>244</v>
      </c>
      <c r="I109" s="507">
        <v>0</v>
      </c>
      <c r="J109" s="401">
        <v>0</v>
      </c>
      <c r="K109" s="507">
        <v>0</v>
      </c>
      <c r="L109" s="401">
        <v>0</v>
      </c>
      <c r="M109" s="507">
        <v>0</v>
      </c>
      <c r="N109" s="401">
        <v>0</v>
      </c>
      <c r="O109" s="407" t="s">
        <v>244</v>
      </c>
      <c r="P109" s="399" t="s">
        <v>244</v>
      </c>
      <c r="Q109" s="399" t="s">
        <v>244</v>
      </c>
      <c r="R109" s="399" t="s">
        <v>244</v>
      </c>
      <c r="S109" s="399" t="s">
        <v>244</v>
      </c>
      <c r="T109" s="399" t="s">
        <v>244</v>
      </c>
    </row>
    <row r="110" spans="2:20">
      <c r="B110" s="403">
        <v>10</v>
      </c>
      <c r="C110" s="408"/>
      <c r="D110" s="405" t="s">
        <v>244</v>
      </c>
      <c r="E110" s="399" t="s">
        <v>244</v>
      </c>
      <c r="F110" s="399" t="s">
        <v>244</v>
      </c>
      <c r="G110" s="471" t="s">
        <v>244</v>
      </c>
      <c r="H110" s="400" t="s">
        <v>244</v>
      </c>
      <c r="I110" s="507">
        <v>0</v>
      </c>
      <c r="J110" s="401">
        <v>0</v>
      </c>
      <c r="K110" s="507">
        <v>0</v>
      </c>
      <c r="L110" s="401">
        <v>0</v>
      </c>
      <c r="M110" s="507">
        <v>0</v>
      </c>
      <c r="N110" s="401">
        <v>0</v>
      </c>
      <c r="O110" s="407" t="s">
        <v>244</v>
      </c>
      <c r="P110" s="399" t="s">
        <v>244</v>
      </c>
      <c r="Q110" s="399" t="s">
        <v>244</v>
      </c>
      <c r="R110" s="399" t="s">
        <v>244</v>
      </c>
      <c r="S110" s="399" t="s">
        <v>244</v>
      </c>
      <c r="T110" s="399" t="s">
        <v>244</v>
      </c>
    </row>
    <row r="111" spans="2:20">
      <c r="B111" s="403">
        <v>10</v>
      </c>
      <c r="C111" s="408"/>
      <c r="D111" s="405" t="s">
        <v>244</v>
      </c>
      <c r="E111" s="399" t="s">
        <v>244</v>
      </c>
      <c r="F111" s="399" t="s">
        <v>244</v>
      </c>
      <c r="G111" s="471" t="s">
        <v>244</v>
      </c>
      <c r="H111" s="400" t="s">
        <v>244</v>
      </c>
      <c r="I111" s="507">
        <v>0</v>
      </c>
      <c r="J111" s="401">
        <v>0</v>
      </c>
      <c r="K111" s="507">
        <v>0</v>
      </c>
      <c r="L111" s="401">
        <v>0</v>
      </c>
      <c r="M111" s="507">
        <v>0</v>
      </c>
      <c r="N111" s="401">
        <v>0</v>
      </c>
      <c r="O111" s="407" t="s">
        <v>244</v>
      </c>
      <c r="P111" s="399" t="s">
        <v>244</v>
      </c>
      <c r="Q111" s="399" t="s">
        <v>244</v>
      </c>
      <c r="R111" s="399" t="s">
        <v>244</v>
      </c>
      <c r="S111" s="399" t="s">
        <v>244</v>
      </c>
      <c r="T111" s="399" t="s">
        <v>244</v>
      </c>
    </row>
    <row r="112" spans="2:20">
      <c r="B112" s="403">
        <v>10</v>
      </c>
      <c r="C112" s="408"/>
      <c r="D112" s="405" t="s">
        <v>244</v>
      </c>
      <c r="E112" s="399" t="s">
        <v>244</v>
      </c>
      <c r="F112" s="399" t="s">
        <v>244</v>
      </c>
      <c r="G112" s="471" t="s">
        <v>244</v>
      </c>
      <c r="H112" s="400" t="s">
        <v>244</v>
      </c>
      <c r="I112" s="507">
        <v>0</v>
      </c>
      <c r="J112" s="401">
        <v>0</v>
      </c>
      <c r="K112" s="507">
        <v>0</v>
      </c>
      <c r="L112" s="401">
        <v>0</v>
      </c>
      <c r="M112" s="507">
        <v>0</v>
      </c>
      <c r="N112" s="401">
        <v>0</v>
      </c>
      <c r="O112" s="407" t="s">
        <v>244</v>
      </c>
      <c r="P112" s="399" t="s">
        <v>244</v>
      </c>
      <c r="Q112" s="399" t="s">
        <v>244</v>
      </c>
      <c r="R112" s="399" t="s">
        <v>244</v>
      </c>
      <c r="S112" s="399" t="s">
        <v>244</v>
      </c>
      <c r="T112" s="399" t="s">
        <v>244</v>
      </c>
    </row>
    <row r="113" spans="2:20" ht="12" thickBot="1">
      <c r="B113" s="398">
        <v>10</v>
      </c>
      <c r="C113" s="406"/>
      <c r="D113" s="404" t="s">
        <v>244</v>
      </c>
      <c r="E113" s="394" t="s">
        <v>244</v>
      </c>
      <c r="F113" s="394" t="s">
        <v>244</v>
      </c>
      <c r="G113" s="472" t="s">
        <v>244</v>
      </c>
      <c r="H113" s="488" t="s">
        <v>244</v>
      </c>
      <c r="I113" s="510">
        <v>0</v>
      </c>
      <c r="J113" s="396">
        <v>0</v>
      </c>
      <c r="K113" s="510">
        <v>0</v>
      </c>
      <c r="L113" s="396">
        <v>0</v>
      </c>
      <c r="M113" s="510">
        <v>0</v>
      </c>
      <c r="N113" s="396">
        <v>0</v>
      </c>
      <c r="O113" s="489" t="s">
        <v>244</v>
      </c>
      <c r="P113" s="394" t="s">
        <v>244</v>
      </c>
      <c r="Q113" s="394" t="s">
        <v>244</v>
      </c>
      <c r="R113" s="394" t="s">
        <v>244</v>
      </c>
      <c r="S113" s="394" t="s">
        <v>244</v>
      </c>
      <c r="T113" s="394" t="s">
        <v>244</v>
      </c>
    </row>
    <row r="114" spans="2:20" ht="12" thickTop="1">
      <c r="B114" s="403">
        <v>11</v>
      </c>
      <c r="C114" s="402"/>
      <c r="D114" s="405" t="s">
        <v>244</v>
      </c>
      <c r="E114" s="399" t="s">
        <v>244</v>
      </c>
      <c r="F114" s="399" t="s">
        <v>244</v>
      </c>
      <c r="G114" s="399" t="s">
        <v>244</v>
      </c>
      <c r="H114" s="400" t="s">
        <v>244</v>
      </c>
      <c r="I114" s="507">
        <v>0</v>
      </c>
      <c r="J114" s="401">
        <v>0</v>
      </c>
      <c r="K114" s="507">
        <v>0</v>
      </c>
      <c r="L114" s="401">
        <v>0</v>
      </c>
      <c r="M114" s="507">
        <v>0</v>
      </c>
      <c r="N114" s="401">
        <v>0</v>
      </c>
      <c r="O114" s="400" t="s">
        <v>244</v>
      </c>
      <c r="P114" s="399" t="s">
        <v>244</v>
      </c>
      <c r="Q114" s="399" t="s">
        <v>244</v>
      </c>
      <c r="R114" s="399" t="s">
        <v>244</v>
      </c>
      <c r="S114" s="399" t="s">
        <v>244</v>
      </c>
      <c r="T114" s="399" t="s">
        <v>244</v>
      </c>
    </row>
    <row r="115" spans="2:20">
      <c r="B115" s="403">
        <v>11</v>
      </c>
      <c r="C115" s="402"/>
      <c r="D115" s="405" t="s">
        <v>244</v>
      </c>
      <c r="E115" s="399" t="s">
        <v>244</v>
      </c>
      <c r="F115" s="399" t="s">
        <v>244</v>
      </c>
      <c r="G115" s="399" t="s">
        <v>244</v>
      </c>
      <c r="H115" s="400" t="s">
        <v>244</v>
      </c>
      <c r="I115" s="507">
        <v>0</v>
      </c>
      <c r="J115" s="401">
        <v>0</v>
      </c>
      <c r="K115" s="507">
        <v>0</v>
      </c>
      <c r="L115" s="401">
        <v>0</v>
      </c>
      <c r="M115" s="507">
        <v>0</v>
      </c>
      <c r="N115" s="401">
        <v>0</v>
      </c>
      <c r="O115" s="400" t="s">
        <v>244</v>
      </c>
      <c r="P115" s="399" t="s">
        <v>244</v>
      </c>
      <c r="Q115" s="399" t="s">
        <v>244</v>
      </c>
      <c r="R115" s="399" t="s">
        <v>244</v>
      </c>
      <c r="S115" s="399" t="s">
        <v>244</v>
      </c>
      <c r="T115" s="399" t="s">
        <v>244</v>
      </c>
    </row>
    <row r="116" spans="2:20">
      <c r="B116" s="403">
        <v>11</v>
      </c>
      <c r="C116" s="402"/>
      <c r="D116" s="405" t="s">
        <v>244</v>
      </c>
      <c r="E116" s="399" t="s">
        <v>244</v>
      </c>
      <c r="F116" s="399" t="s">
        <v>244</v>
      </c>
      <c r="G116" s="399" t="s">
        <v>244</v>
      </c>
      <c r="H116" s="400" t="s">
        <v>244</v>
      </c>
      <c r="I116" s="507">
        <v>0</v>
      </c>
      <c r="J116" s="401">
        <v>0</v>
      </c>
      <c r="K116" s="507">
        <v>0</v>
      </c>
      <c r="L116" s="401">
        <v>0</v>
      </c>
      <c r="M116" s="507">
        <v>0</v>
      </c>
      <c r="N116" s="401">
        <v>0</v>
      </c>
      <c r="O116" s="400" t="s">
        <v>244</v>
      </c>
      <c r="P116" s="399" t="s">
        <v>244</v>
      </c>
      <c r="Q116" s="399" t="s">
        <v>244</v>
      </c>
      <c r="R116" s="399" t="s">
        <v>244</v>
      </c>
      <c r="S116" s="399" t="s">
        <v>244</v>
      </c>
      <c r="T116" s="399" t="s">
        <v>244</v>
      </c>
    </row>
    <row r="117" spans="2:20">
      <c r="B117" s="403">
        <v>11</v>
      </c>
      <c r="C117" s="402"/>
      <c r="D117" s="405" t="s">
        <v>244</v>
      </c>
      <c r="E117" s="399" t="s">
        <v>244</v>
      </c>
      <c r="F117" s="399" t="s">
        <v>244</v>
      </c>
      <c r="G117" s="470" t="s">
        <v>244</v>
      </c>
      <c r="H117" s="400"/>
      <c r="I117" s="507">
        <v>0</v>
      </c>
      <c r="J117" s="401">
        <v>0</v>
      </c>
      <c r="K117" s="507">
        <v>0</v>
      </c>
      <c r="L117" s="401">
        <v>0</v>
      </c>
      <c r="M117" s="507">
        <v>0</v>
      </c>
      <c r="N117" s="401">
        <v>0</v>
      </c>
      <c r="O117" s="400"/>
      <c r="P117" s="399" t="s">
        <v>244</v>
      </c>
      <c r="Q117" s="399" t="s">
        <v>244</v>
      </c>
      <c r="R117" s="399" t="s">
        <v>244</v>
      </c>
      <c r="S117" s="399" t="s">
        <v>244</v>
      </c>
      <c r="T117" s="399" t="s">
        <v>244</v>
      </c>
    </row>
    <row r="118" spans="2:20">
      <c r="B118" s="403">
        <v>11</v>
      </c>
      <c r="C118" s="402"/>
      <c r="D118" s="405" t="s">
        <v>244</v>
      </c>
      <c r="E118" s="399" t="s">
        <v>244</v>
      </c>
      <c r="F118" s="399" t="s">
        <v>244</v>
      </c>
      <c r="G118" s="471" t="s">
        <v>244</v>
      </c>
      <c r="H118" s="400"/>
      <c r="I118" s="507">
        <v>0</v>
      </c>
      <c r="J118" s="401">
        <v>0</v>
      </c>
      <c r="K118" s="507">
        <v>0</v>
      </c>
      <c r="L118" s="401">
        <v>0</v>
      </c>
      <c r="M118" s="507">
        <v>0</v>
      </c>
      <c r="N118" s="401">
        <v>0</v>
      </c>
      <c r="O118" s="400"/>
      <c r="P118" s="399" t="s">
        <v>244</v>
      </c>
      <c r="Q118" s="399" t="s">
        <v>244</v>
      </c>
      <c r="R118" s="399" t="s">
        <v>244</v>
      </c>
      <c r="S118" s="399" t="s">
        <v>244</v>
      </c>
      <c r="T118" s="399" t="s">
        <v>244</v>
      </c>
    </row>
    <row r="119" spans="2:20">
      <c r="B119" s="403">
        <v>11</v>
      </c>
      <c r="C119" s="402"/>
      <c r="D119" s="405" t="s">
        <v>244</v>
      </c>
      <c r="E119" s="399" t="s">
        <v>244</v>
      </c>
      <c r="F119" s="399" t="s">
        <v>244</v>
      </c>
      <c r="G119" s="471" t="s">
        <v>244</v>
      </c>
      <c r="H119" s="400"/>
      <c r="I119" s="507">
        <v>0</v>
      </c>
      <c r="J119" s="401">
        <v>0</v>
      </c>
      <c r="K119" s="507">
        <v>0</v>
      </c>
      <c r="L119" s="401">
        <v>0</v>
      </c>
      <c r="M119" s="507">
        <v>0</v>
      </c>
      <c r="N119" s="401">
        <v>0</v>
      </c>
      <c r="O119" s="400"/>
      <c r="P119" s="399" t="s">
        <v>244</v>
      </c>
      <c r="Q119" s="399" t="s">
        <v>244</v>
      </c>
      <c r="R119" s="399" t="s">
        <v>244</v>
      </c>
      <c r="S119" s="399" t="s">
        <v>244</v>
      </c>
      <c r="T119" s="399" t="s">
        <v>244</v>
      </c>
    </row>
    <row r="120" spans="2:20">
      <c r="B120" s="403">
        <v>11</v>
      </c>
      <c r="C120" s="402"/>
      <c r="D120" s="405" t="s">
        <v>244</v>
      </c>
      <c r="E120" s="399" t="s">
        <v>244</v>
      </c>
      <c r="F120" s="399" t="s">
        <v>244</v>
      </c>
      <c r="G120" s="471" t="s">
        <v>244</v>
      </c>
      <c r="H120" s="400" t="s">
        <v>244</v>
      </c>
      <c r="I120" s="507">
        <v>0</v>
      </c>
      <c r="J120" s="401">
        <v>0</v>
      </c>
      <c r="K120" s="507">
        <v>0</v>
      </c>
      <c r="L120" s="401">
        <v>0</v>
      </c>
      <c r="M120" s="507">
        <v>0</v>
      </c>
      <c r="N120" s="401">
        <v>0</v>
      </c>
      <c r="O120" s="400" t="s">
        <v>244</v>
      </c>
      <c r="P120" s="399" t="s">
        <v>244</v>
      </c>
      <c r="Q120" s="399" t="s">
        <v>244</v>
      </c>
      <c r="R120" s="399" t="s">
        <v>244</v>
      </c>
      <c r="S120" s="399" t="s">
        <v>244</v>
      </c>
      <c r="T120" s="399" t="s">
        <v>244</v>
      </c>
    </row>
    <row r="121" spans="2:20">
      <c r="B121" s="403">
        <v>11</v>
      </c>
      <c r="C121" s="402"/>
      <c r="D121" s="405" t="s">
        <v>244</v>
      </c>
      <c r="E121" s="399" t="s">
        <v>244</v>
      </c>
      <c r="F121" s="399" t="s">
        <v>244</v>
      </c>
      <c r="G121" s="471" t="s">
        <v>244</v>
      </c>
      <c r="H121" s="400" t="s">
        <v>244</v>
      </c>
      <c r="I121" s="507">
        <v>0</v>
      </c>
      <c r="J121" s="401">
        <v>0</v>
      </c>
      <c r="K121" s="507">
        <v>0</v>
      </c>
      <c r="L121" s="401">
        <v>0</v>
      </c>
      <c r="M121" s="507">
        <v>0</v>
      </c>
      <c r="N121" s="401">
        <v>0</v>
      </c>
      <c r="O121" s="400" t="s">
        <v>244</v>
      </c>
      <c r="P121" s="399" t="s">
        <v>244</v>
      </c>
      <c r="Q121" s="399" t="s">
        <v>244</v>
      </c>
      <c r="R121" s="399" t="s">
        <v>244</v>
      </c>
      <c r="S121" s="399" t="s">
        <v>244</v>
      </c>
      <c r="T121" s="399" t="s">
        <v>244</v>
      </c>
    </row>
    <row r="122" spans="2:20">
      <c r="B122" s="403">
        <v>11</v>
      </c>
      <c r="C122" s="402"/>
      <c r="D122" s="405" t="s">
        <v>244</v>
      </c>
      <c r="E122" s="399" t="s">
        <v>244</v>
      </c>
      <c r="F122" s="399" t="s">
        <v>244</v>
      </c>
      <c r="G122" s="471" t="s">
        <v>244</v>
      </c>
      <c r="H122" s="400" t="s">
        <v>244</v>
      </c>
      <c r="I122" s="507">
        <v>0</v>
      </c>
      <c r="J122" s="401">
        <v>0</v>
      </c>
      <c r="K122" s="507">
        <v>0</v>
      </c>
      <c r="L122" s="401">
        <v>0</v>
      </c>
      <c r="M122" s="507">
        <v>0</v>
      </c>
      <c r="N122" s="401">
        <v>0</v>
      </c>
      <c r="O122" s="400" t="s">
        <v>244</v>
      </c>
      <c r="P122" s="399" t="s">
        <v>244</v>
      </c>
      <c r="Q122" s="399" t="s">
        <v>244</v>
      </c>
      <c r="R122" s="399" t="s">
        <v>244</v>
      </c>
      <c r="S122" s="399" t="s">
        <v>244</v>
      </c>
      <c r="T122" s="399" t="s">
        <v>244</v>
      </c>
    </row>
    <row r="123" spans="2:20" ht="12" thickBot="1">
      <c r="B123" s="398">
        <v>11</v>
      </c>
      <c r="C123" s="397"/>
      <c r="D123" s="404" t="s">
        <v>244</v>
      </c>
      <c r="E123" s="394" t="s">
        <v>244</v>
      </c>
      <c r="F123" s="394" t="s">
        <v>244</v>
      </c>
      <c r="G123" s="472" t="s">
        <v>244</v>
      </c>
      <c r="H123" s="395" t="s">
        <v>244</v>
      </c>
      <c r="I123" s="510">
        <v>0</v>
      </c>
      <c r="J123" s="396">
        <v>0</v>
      </c>
      <c r="K123" s="510">
        <v>0</v>
      </c>
      <c r="L123" s="396">
        <v>0</v>
      </c>
      <c r="M123" s="510">
        <v>0</v>
      </c>
      <c r="N123" s="396">
        <v>0</v>
      </c>
      <c r="O123" s="395" t="s">
        <v>244</v>
      </c>
      <c r="P123" s="394" t="s">
        <v>244</v>
      </c>
      <c r="Q123" s="394" t="s">
        <v>244</v>
      </c>
      <c r="R123" s="394" t="s">
        <v>244</v>
      </c>
      <c r="S123" s="394" t="s">
        <v>244</v>
      </c>
      <c r="T123" s="394" t="s">
        <v>244</v>
      </c>
    </row>
    <row r="124" spans="2:20" ht="12" thickTop="1">
      <c r="B124" s="403">
        <v>12</v>
      </c>
      <c r="C124" s="402"/>
      <c r="D124" s="405" t="s">
        <v>244</v>
      </c>
      <c r="E124" s="399" t="s">
        <v>244</v>
      </c>
      <c r="F124" s="399" t="s">
        <v>244</v>
      </c>
      <c r="G124" s="399" t="s">
        <v>244</v>
      </c>
      <c r="H124" s="400" t="s">
        <v>244</v>
      </c>
      <c r="I124" s="507">
        <v>0</v>
      </c>
      <c r="J124" s="401">
        <v>0</v>
      </c>
      <c r="K124" s="507">
        <v>0</v>
      </c>
      <c r="L124" s="401">
        <v>0</v>
      </c>
      <c r="M124" s="507">
        <v>0</v>
      </c>
      <c r="N124" s="401">
        <v>0</v>
      </c>
      <c r="O124" s="400" t="s">
        <v>244</v>
      </c>
      <c r="P124" s="399" t="s">
        <v>244</v>
      </c>
      <c r="Q124" s="399" t="s">
        <v>244</v>
      </c>
      <c r="R124" s="399" t="s">
        <v>244</v>
      </c>
      <c r="S124" s="399" t="s">
        <v>244</v>
      </c>
      <c r="T124" s="399" t="s">
        <v>244</v>
      </c>
    </row>
    <row r="125" spans="2:20">
      <c r="B125" s="403">
        <v>12</v>
      </c>
      <c r="C125" s="402"/>
      <c r="D125" s="405" t="s">
        <v>244</v>
      </c>
      <c r="E125" s="399" t="s">
        <v>244</v>
      </c>
      <c r="F125" s="399" t="s">
        <v>244</v>
      </c>
      <c r="G125" s="399" t="s">
        <v>244</v>
      </c>
      <c r="H125" s="400" t="s">
        <v>244</v>
      </c>
      <c r="I125" s="507">
        <v>0</v>
      </c>
      <c r="J125" s="401">
        <v>0</v>
      </c>
      <c r="K125" s="507">
        <v>0</v>
      </c>
      <c r="L125" s="401">
        <v>0</v>
      </c>
      <c r="M125" s="507">
        <v>0</v>
      </c>
      <c r="N125" s="401">
        <v>0</v>
      </c>
      <c r="O125" s="400" t="s">
        <v>244</v>
      </c>
      <c r="P125" s="399" t="s">
        <v>244</v>
      </c>
      <c r="Q125" s="399" t="s">
        <v>244</v>
      </c>
      <c r="R125" s="399" t="s">
        <v>244</v>
      </c>
      <c r="S125" s="399" t="s">
        <v>244</v>
      </c>
      <c r="T125" s="399" t="s">
        <v>244</v>
      </c>
    </row>
    <row r="126" spans="2:20">
      <c r="B126" s="403">
        <v>12</v>
      </c>
      <c r="C126" s="402"/>
      <c r="D126" s="405" t="s">
        <v>244</v>
      </c>
      <c r="E126" s="399" t="s">
        <v>244</v>
      </c>
      <c r="F126" s="399" t="s">
        <v>244</v>
      </c>
      <c r="G126" s="399" t="s">
        <v>244</v>
      </c>
      <c r="H126" s="400" t="s">
        <v>244</v>
      </c>
      <c r="I126" s="507">
        <v>0</v>
      </c>
      <c r="J126" s="401">
        <v>0</v>
      </c>
      <c r="K126" s="507">
        <v>0</v>
      </c>
      <c r="L126" s="401">
        <v>0</v>
      </c>
      <c r="M126" s="507">
        <v>0</v>
      </c>
      <c r="N126" s="401">
        <v>0</v>
      </c>
      <c r="O126" s="400" t="s">
        <v>244</v>
      </c>
      <c r="P126" s="399" t="s">
        <v>244</v>
      </c>
      <c r="Q126" s="399" t="s">
        <v>244</v>
      </c>
      <c r="R126" s="399" t="s">
        <v>244</v>
      </c>
      <c r="S126" s="399" t="s">
        <v>244</v>
      </c>
      <c r="T126" s="399" t="s">
        <v>244</v>
      </c>
    </row>
    <row r="127" spans="2:20">
      <c r="B127" s="403">
        <v>12</v>
      </c>
      <c r="C127" s="402"/>
      <c r="D127" s="405" t="s">
        <v>244</v>
      </c>
      <c r="E127" s="399" t="s">
        <v>244</v>
      </c>
      <c r="F127" s="399" t="s">
        <v>244</v>
      </c>
      <c r="G127" s="470" t="s">
        <v>244</v>
      </c>
      <c r="H127" s="400" t="s">
        <v>244</v>
      </c>
      <c r="I127" s="507">
        <v>0</v>
      </c>
      <c r="J127" s="401">
        <v>0</v>
      </c>
      <c r="K127" s="507">
        <v>0</v>
      </c>
      <c r="L127" s="401">
        <v>0</v>
      </c>
      <c r="M127" s="507">
        <v>0</v>
      </c>
      <c r="N127" s="401">
        <v>0</v>
      </c>
      <c r="O127" s="400" t="s">
        <v>244</v>
      </c>
      <c r="P127" s="399" t="s">
        <v>244</v>
      </c>
      <c r="Q127" s="399" t="s">
        <v>244</v>
      </c>
      <c r="R127" s="399" t="s">
        <v>244</v>
      </c>
      <c r="S127" s="399" t="s">
        <v>244</v>
      </c>
      <c r="T127" s="399" t="s">
        <v>244</v>
      </c>
    </row>
    <row r="128" spans="2:20">
      <c r="B128" s="403">
        <v>12</v>
      </c>
      <c r="C128" s="402"/>
      <c r="D128" s="405" t="s">
        <v>244</v>
      </c>
      <c r="E128" s="399" t="s">
        <v>244</v>
      </c>
      <c r="F128" s="399" t="s">
        <v>244</v>
      </c>
      <c r="G128" s="471" t="s">
        <v>244</v>
      </c>
      <c r="H128" s="400" t="s">
        <v>244</v>
      </c>
      <c r="I128" s="507">
        <v>0</v>
      </c>
      <c r="J128" s="401">
        <v>0</v>
      </c>
      <c r="K128" s="507">
        <v>0</v>
      </c>
      <c r="L128" s="401">
        <v>0</v>
      </c>
      <c r="M128" s="507">
        <v>0</v>
      </c>
      <c r="N128" s="401">
        <v>0</v>
      </c>
      <c r="O128" s="400" t="s">
        <v>244</v>
      </c>
      <c r="P128" s="399" t="s">
        <v>244</v>
      </c>
      <c r="Q128" s="399" t="s">
        <v>244</v>
      </c>
      <c r="R128" s="399" t="s">
        <v>244</v>
      </c>
      <c r="S128" s="399" t="s">
        <v>244</v>
      </c>
      <c r="T128" s="399" t="s">
        <v>244</v>
      </c>
    </row>
    <row r="129" spans="2:20">
      <c r="B129" s="403">
        <v>12</v>
      </c>
      <c r="C129" s="402"/>
      <c r="D129" s="405" t="s">
        <v>244</v>
      </c>
      <c r="E129" s="399" t="s">
        <v>244</v>
      </c>
      <c r="F129" s="399" t="s">
        <v>244</v>
      </c>
      <c r="G129" s="471" t="s">
        <v>244</v>
      </c>
      <c r="H129" s="400"/>
      <c r="I129" s="507">
        <v>0</v>
      </c>
      <c r="J129" s="401">
        <v>0</v>
      </c>
      <c r="K129" s="507">
        <v>0</v>
      </c>
      <c r="L129" s="401">
        <v>0</v>
      </c>
      <c r="M129" s="507">
        <v>0</v>
      </c>
      <c r="N129" s="401">
        <v>0</v>
      </c>
      <c r="O129" s="400"/>
      <c r="P129" s="399" t="s">
        <v>244</v>
      </c>
      <c r="Q129" s="399" t="s">
        <v>244</v>
      </c>
      <c r="R129" s="399" t="s">
        <v>244</v>
      </c>
      <c r="S129" s="399" t="s">
        <v>244</v>
      </c>
      <c r="T129" s="399" t="s">
        <v>244</v>
      </c>
    </row>
    <row r="130" spans="2:20">
      <c r="B130" s="403">
        <v>12</v>
      </c>
      <c r="C130" s="402"/>
      <c r="D130" s="405" t="s">
        <v>244</v>
      </c>
      <c r="E130" s="399" t="s">
        <v>244</v>
      </c>
      <c r="F130" s="399" t="s">
        <v>244</v>
      </c>
      <c r="G130" s="471" t="s">
        <v>244</v>
      </c>
      <c r="H130" s="400"/>
      <c r="I130" s="507">
        <v>0</v>
      </c>
      <c r="J130" s="401">
        <v>0</v>
      </c>
      <c r="K130" s="507">
        <v>0</v>
      </c>
      <c r="L130" s="401">
        <v>0</v>
      </c>
      <c r="M130" s="507">
        <v>0</v>
      </c>
      <c r="N130" s="401">
        <v>0</v>
      </c>
      <c r="O130" s="400"/>
      <c r="P130" s="399" t="s">
        <v>244</v>
      </c>
      <c r="Q130" s="399" t="s">
        <v>244</v>
      </c>
      <c r="R130" s="399" t="s">
        <v>244</v>
      </c>
      <c r="S130" s="399" t="s">
        <v>244</v>
      </c>
      <c r="T130" s="399" t="s">
        <v>244</v>
      </c>
    </row>
    <row r="131" spans="2:20">
      <c r="B131" s="403">
        <v>12</v>
      </c>
      <c r="C131" s="402"/>
      <c r="D131" s="405" t="s">
        <v>244</v>
      </c>
      <c r="E131" s="399" t="s">
        <v>244</v>
      </c>
      <c r="F131" s="399" t="s">
        <v>244</v>
      </c>
      <c r="G131" s="471" t="s">
        <v>244</v>
      </c>
      <c r="H131" s="400"/>
      <c r="I131" s="507">
        <v>0</v>
      </c>
      <c r="J131" s="401">
        <v>0</v>
      </c>
      <c r="K131" s="507">
        <v>0</v>
      </c>
      <c r="L131" s="401">
        <v>0</v>
      </c>
      <c r="M131" s="507">
        <v>0</v>
      </c>
      <c r="N131" s="401">
        <v>0</v>
      </c>
      <c r="O131" s="400"/>
      <c r="P131" s="399" t="s">
        <v>244</v>
      </c>
      <c r="Q131" s="399" t="s">
        <v>244</v>
      </c>
      <c r="R131" s="399" t="s">
        <v>244</v>
      </c>
      <c r="S131" s="399" t="s">
        <v>244</v>
      </c>
      <c r="T131" s="399" t="s">
        <v>244</v>
      </c>
    </row>
    <row r="132" spans="2:20">
      <c r="B132" s="403">
        <v>12</v>
      </c>
      <c r="C132" s="402"/>
      <c r="D132" s="405" t="s">
        <v>244</v>
      </c>
      <c r="E132" s="399" t="s">
        <v>244</v>
      </c>
      <c r="F132" s="399" t="s">
        <v>244</v>
      </c>
      <c r="G132" s="471" t="s">
        <v>244</v>
      </c>
      <c r="H132" s="400" t="s">
        <v>244</v>
      </c>
      <c r="I132" s="507">
        <v>0</v>
      </c>
      <c r="J132" s="401">
        <v>0</v>
      </c>
      <c r="K132" s="507">
        <v>0</v>
      </c>
      <c r="L132" s="401">
        <v>0</v>
      </c>
      <c r="M132" s="507">
        <v>0</v>
      </c>
      <c r="N132" s="401">
        <v>0</v>
      </c>
      <c r="O132" s="400" t="s">
        <v>244</v>
      </c>
      <c r="P132" s="399" t="s">
        <v>244</v>
      </c>
      <c r="Q132" s="399" t="s">
        <v>244</v>
      </c>
      <c r="R132" s="399" t="s">
        <v>244</v>
      </c>
      <c r="S132" s="399" t="s">
        <v>244</v>
      </c>
      <c r="T132" s="399" t="s">
        <v>244</v>
      </c>
    </row>
    <row r="133" spans="2:20" ht="12" thickBot="1">
      <c r="B133" s="398">
        <v>12</v>
      </c>
      <c r="C133" s="397"/>
      <c r="D133" s="404" t="s">
        <v>244</v>
      </c>
      <c r="E133" s="394" t="s">
        <v>244</v>
      </c>
      <c r="F133" s="394" t="s">
        <v>244</v>
      </c>
      <c r="G133" s="472" t="s">
        <v>244</v>
      </c>
      <c r="H133" s="395" t="s">
        <v>244</v>
      </c>
      <c r="I133" s="510">
        <v>0</v>
      </c>
      <c r="J133" s="396">
        <v>0</v>
      </c>
      <c r="K133" s="510">
        <v>0</v>
      </c>
      <c r="L133" s="396">
        <v>0</v>
      </c>
      <c r="M133" s="510">
        <v>0</v>
      </c>
      <c r="N133" s="396">
        <v>0</v>
      </c>
      <c r="O133" s="395" t="s">
        <v>244</v>
      </c>
      <c r="P133" s="394" t="s">
        <v>244</v>
      </c>
      <c r="Q133" s="394" t="s">
        <v>244</v>
      </c>
      <c r="R133" s="394" t="s">
        <v>244</v>
      </c>
      <c r="S133" s="394" t="s">
        <v>244</v>
      </c>
      <c r="T133" s="394" t="s">
        <v>244</v>
      </c>
    </row>
    <row r="134" spans="2:20" ht="12" thickTop="1">
      <c r="B134" s="403">
        <v>13</v>
      </c>
      <c r="C134" s="402"/>
      <c r="D134" s="401" t="s">
        <v>244</v>
      </c>
      <c r="E134" s="399" t="s">
        <v>244</v>
      </c>
      <c r="F134" s="399" t="s">
        <v>244</v>
      </c>
      <c r="G134" s="399" t="s">
        <v>244</v>
      </c>
      <c r="H134" s="400" t="s">
        <v>244</v>
      </c>
      <c r="I134" s="507">
        <v>0</v>
      </c>
      <c r="J134" s="401">
        <v>0</v>
      </c>
      <c r="K134" s="507">
        <v>0</v>
      </c>
      <c r="L134" s="401">
        <v>0</v>
      </c>
      <c r="M134" s="507">
        <v>0</v>
      </c>
      <c r="N134" s="401">
        <v>0</v>
      </c>
      <c r="O134" s="400" t="s">
        <v>244</v>
      </c>
      <c r="P134" s="399" t="s">
        <v>244</v>
      </c>
      <c r="Q134" s="399" t="s">
        <v>244</v>
      </c>
      <c r="R134" s="399" t="s">
        <v>244</v>
      </c>
      <c r="S134" s="399" t="s">
        <v>244</v>
      </c>
      <c r="T134" s="399" t="s">
        <v>244</v>
      </c>
    </row>
    <row r="135" spans="2:20">
      <c r="B135" s="403">
        <v>13</v>
      </c>
      <c r="C135" s="402"/>
      <c r="D135" s="401" t="s">
        <v>244</v>
      </c>
      <c r="E135" s="399" t="s">
        <v>244</v>
      </c>
      <c r="F135" s="399" t="s">
        <v>244</v>
      </c>
      <c r="G135" s="399" t="s">
        <v>244</v>
      </c>
      <c r="H135" s="400" t="s">
        <v>244</v>
      </c>
      <c r="I135" s="507">
        <v>0</v>
      </c>
      <c r="J135" s="401">
        <v>0</v>
      </c>
      <c r="K135" s="507">
        <v>0</v>
      </c>
      <c r="L135" s="401">
        <v>0</v>
      </c>
      <c r="M135" s="507">
        <v>0</v>
      </c>
      <c r="N135" s="401">
        <v>0</v>
      </c>
      <c r="O135" s="400" t="s">
        <v>244</v>
      </c>
      <c r="P135" s="399" t="s">
        <v>244</v>
      </c>
      <c r="Q135" s="399" t="s">
        <v>244</v>
      </c>
      <c r="R135" s="399" t="s">
        <v>244</v>
      </c>
      <c r="S135" s="399" t="s">
        <v>244</v>
      </c>
      <c r="T135" s="399" t="s">
        <v>244</v>
      </c>
    </row>
    <row r="136" spans="2:20">
      <c r="B136" s="403">
        <v>13</v>
      </c>
      <c r="C136" s="402"/>
      <c r="D136" s="401" t="s">
        <v>244</v>
      </c>
      <c r="E136" s="399" t="s">
        <v>244</v>
      </c>
      <c r="F136" s="399" t="s">
        <v>244</v>
      </c>
      <c r="G136" s="399" t="s">
        <v>244</v>
      </c>
      <c r="H136" s="400" t="s">
        <v>244</v>
      </c>
      <c r="I136" s="507">
        <v>0</v>
      </c>
      <c r="J136" s="401">
        <v>0</v>
      </c>
      <c r="K136" s="507">
        <v>0</v>
      </c>
      <c r="L136" s="401">
        <v>0</v>
      </c>
      <c r="M136" s="507">
        <v>0</v>
      </c>
      <c r="N136" s="401">
        <v>0</v>
      </c>
      <c r="O136" s="400" t="s">
        <v>244</v>
      </c>
      <c r="P136" s="399" t="s">
        <v>244</v>
      </c>
      <c r="Q136" s="399" t="s">
        <v>244</v>
      </c>
      <c r="R136" s="399" t="s">
        <v>244</v>
      </c>
      <c r="S136" s="399" t="s">
        <v>244</v>
      </c>
      <c r="T136" s="399" t="s">
        <v>244</v>
      </c>
    </row>
    <row r="137" spans="2:20">
      <c r="B137" s="403">
        <v>13</v>
      </c>
      <c r="C137" s="402"/>
      <c r="D137" s="401" t="s">
        <v>244</v>
      </c>
      <c r="E137" s="399" t="s">
        <v>244</v>
      </c>
      <c r="F137" s="399" t="s">
        <v>244</v>
      </c>
      <c r="G137" s="470" t="s">
        <v>244</v>
      </c>
      <c r="H137" s="400" t="s">
        <v>244</v>
      </c>
      <c r="I137" s="507">
        <v>0</v>
      </c>
      <c r="J137" s="401">
        <v>0</v>
      </c>
      <c r="K137" s="507">
        <v>0</v>
      </c>
      <c r="L137" s="401">
        <v>0</v>
      </c>
      <c r="M137" s="507">
        <v>0</v>
      </c>
      <c r="N137" s="401">
        <v>0</v>
      </c>
      <c r="O137" s="400" t="s">
        <v>244</v>
      </c>
      <c r="P137" s="399" t="s">
        <v>244</v>
      </c>
      <c r="Q137" s="399" t="s">
        <v>244</v>
      </c>
      <c r="R137" s="399" t="s">
        <v>244</v>
      </c>
      <c r="S137" s="399" t="s">
        <v>244</v>
      </c>
      <c r="T137" s="399" t="s">
        <v>244</v>
      </c>
    </row>
    <row r="138" spans="2:20">
      <c r="B138" s="403">
        <v>13</v>
      </c>
      <c r="C138" s="402"/>
      <c r="D138" s="401" t="s">
        <v>244</v>
      </c>
      <c r="E138" s="399" t="s">
        <v>244</v>
      </c>
      <c r="F138" s="399" t="s">
        <v>244</v>
      </c>
      <c r="G138" s="471" t="s">
        <v>244</v>
      </c>
      <c r="H138" s="400"/>
      <c r="I138" s="507">
        <v>0</v>
      </c>
      <c r="J138" s="401">
        <v>0</v>
      </c>
      <c r="K138" s="507">
        <v>0</v>
      </c>
      <c r="L138" s="401">
        <v>0</v>
      </c>
      <c r="M138" s="507">
        <v>0</v>
      </c>
      <c r="N138" s="401">
        <v>0</v>
      </c>
      <c r="O138" s="400"/>
      <c r="P138" s="399" t="s">
        <v>244</v>
      </c>
      <c r="Q138" s="399" t="s">
        <v>244</v>
      </c>
      <c r="R138" s="399" t="s">
        <v>244</v>
      </c>
      <c r="S138" s="399" t="s">
        <v>244</v>
      </c>
      <c r="T138" s="399" t="s">
        <v>244</v>
      </c>
    </row>
    <row r="139" spans="2:20">
      <c r="B139" s="403">
        <v>13</v>
      </c>
      <c r="C139" s="402"/>
      <c r="D139" s="401" t="s">
        <v>244</v>
      </c>
      <c r="E139" s="399" t="s">
        <v>244</v>
      </c>
      <c r="F139" s="399" t="s">
        <v>244</v>
      </c>
      <c r="G139" s="471" t="s">
        <v>244</v>
      </c>
      <c r="H139" s="400"/>
      <c r="I139" s="507">
        <v>0</v>
      </c>
      <c r="J139" s="401">
        <v>0</v>
      </c>
      <c r="K139" s="507">
        <v>0</v>
      </c>
      <c r="L139" s="401">
        <v>0</v>
      </c>
      <c r="M139" s="507">
        <v>0</v>
      </c>
      <c r="N139" s="401">
        <v>0</v>
      </c>
      <c r="O139" s="400"/>
      <c r="P139" s="399" t="s">
        <v>244</v>
      </c>
      <c r="Q139" s="399" t="s">
        <v>244</v>
      </c>
      <c r="R139" s="399" t="s">
        <v>244</v>
      </c>
      <c r="S139" s="399" t="s">
        <v>244</v>
      </c>
      <c r="T139" s="399" t="s">
        <v>244</v>
      </c>
    </row>
    <row r="140" spans="2:20">
      <c r="B140" s="403">
        <v>13</v>
      </c>
      <c r="C140" s="402"/>
      <c r="D140" s="401" t="s">
        <v>244</v>
      </c>
      <c r="E140" s="399" t="s">
        <v>244</v>
      </c>
      <c r="F140" s="399" t="s">
        <v>244</v>
      </c>
      <c r="G140" s="471" t="s">
        <v>244</v>
      </c>
      <c r="H140" s="400"/>
      <c r="I140" s="507">
        <v>0</v>
      </c>
      <c r="J140" s="401">
        <v>0</v>
      </c>
      <c r="K140" s="507">
        <v>0</v>
      </c>
      <c r="L140" s="401">
        <v>0</v>
      </c>
      <c r="M140" s="507">
        <v>0</v>
      </c>
      <c r="N140" s="401">
        <v>0</v>
      </c>
      <c r="O140" s="400"/>
      <c r="P140" s="399" t="s">
        <v>244</v>
      </c>
      <c r="Q140" s="399" t="s">
        <v>244</v>
      </c>
      <c r="R140" s="399" t="s">
        <v>244</v>
      </c>
      <c r="S140" s="399" t="s">
        <v>244</v>
      </c>
      <c r="T140" s="399" t="s">
        <v>244</v>
      </c>
    </row>
    <row r="141" spans="2:20">
      <c r="B141" s="403">
        <v>13</v>
      </c>
      <c r="C141" s="402"/>
      <c r="D141" s="401" t="s">
        <v>244</v>
      </c>
      <c r="E141" s="399" t="s">
        <v>244</v>
      </c>
      <c r="F141" s="399" t="s">
        <v>244</v>
      </c>
      <c r="G141" s="471" t="s">
        <v>244</v>
      </c>
      <c r="H141" s="400" t="s">
        <v>244</v>
      </c>
      <c r="I141" s="507">
        <v>0</v>
      </c>
      <c r="J141" s="401">
        <v>0</v>
      </c>
      <c r="K141" s="507">
        <v>0</v>
      </c>
      <c r="L141" s="401">
        <v>0</v>
      </c>
      <c r="M141" s="507">
        <v>0</v>
      </c>
      <c r="N141" s="401">
        <v>0</v>
      </c>
      <c r="O141" s="400" t="s">
        <v>244</v>
      </c>
      <c r="P141" s="399" t="s">
        <v>244</v>
      </c>
      <c r="Q141" s="399" t="s">
        <v>244</v>
      </c>
      <c r="R141" s="399" t="s">
        <v>244</v>
      </c>
      <c r="S141" s="399" t="s">
        <v>244</v>
      </c>
      <c r="T141" s="399" t="s">
        <v>244</v>
      </c>
    </row>
    <row r="142" spans="2:20">
      <c r="B142" s="403">
        <v>13</v>
      </c>
      <c r="C142" s="402"/>
      <c r="D142" s="401" t="s">
        <v>244</v>
      </c>
      <c r="E142" s="399" t="s">
        <v>244</v>
      </c>
      <c r="F142" s="399" t="s">
        <v>244</v>
      </c>
      <c r="G142" s="471" t="s">
        <v>244</v>
      </c>
      <c r="H142" s="400" t="s">
        <v>244</v>
      </c>
      <c r="I142" s="507">
        <v>0</v>
      </c>
      <c r="J142" s="401">
        <v>0</v>
      </c>
      <c r="K142" s="507">
        <v>0</v>
      </c>
      <c r="L142" s="401">
        <v>0</v>
      </c>
      <c r="M142" s="507">
        <v>0</v>
      </c>
      <c r="N142" s="401">
        <v>0</v>
      </c>
      <c r="O142" s="400" t="s">
        <v>244</v>
      </c>
      <c r="P142" s="399" t="s">
        <v>244</v>
      </c>
      <c r="Q142" s="399" t="s">
        <v>244</v>
      </c>
      <c r="R142" s="399" t="s">
        <v>244</v>
      </c>
      <c r="S142" s="399" t="s">
        <v>244</v>
      </c>
      <c r="T142" s="399" t="s">
        <v>244</v>
      </c>
    </row>
    <row r="143" spans="2:20" ht="12" thickBot="1">
      <c r="B143" s="398">
        <v>13</v>
      </c>
      <c r="C143" s="397"/>
      <c r="D143" s="396" t="s">
        <v>244</v>
      </c>
      <c r="E143" s="394" t="s">
        <v>244</v>
      </c>
      <c r="F143" s="394" t="s">
        <v>244</v>
      </c>
      <c r="G143" s="472" t="s">
        <v>244</v>
      </c>
      <c r="H143" s="395" t="s">
        <v>244</v>
      </c>
      <c r="I143" s="510">
        <v>0</v>
      </c>
      <c r="J143" s="396">
        <v>0</v>
      </c>
      <c r="K143" s="510">
        <v>0</v>
      </c>
      <c r="L143" s="396">
        <v>0</v>
      </c>
      <c r="M143" s="510">
        <v>0</v>
      </c>
      <c r="N143" s="396">
        <v>0</v>
      </c>
      <c r="O143" s="395" t="s">
        <v>244</v>
      </c>
      <c r="P143" s="394" t="s">
        <v>244</v>
      </c>
      <c r="Q143" s="394" t="s">
        <v>244</v>
      </c>
      <c r="R143" s="394" t="s">
        <v>244</v>
      </c>
      <c r="S143" s="394" t="s">
        <v>244</v>
      </c>
      <c r="T143" s="394" t="s">
        <v>244</v>
      </c>
    </row>
    <row r="144" spans="2:20" ht="12" thickTop="1">
      <c r="B144" s="403">
        <v>14</v>
      </c>
      <c r="C144" s="402"/>
      <c r="D144" s="401" t="s">
        <v>244</v>
      </c>
      <c r="E144" s="399" t="s">
        <v>244</v>
      </c>
      <c r="F144" s="399" t="s">
        <v>244</v>
      </c>
      <c r="G144" s="399" t="s">
        <v>244</v>
      </c>
      <c r="H144" s="400" t="s">
        <v>244</v>
      </c>
      <c r="I144" s="507">
        <v>0</v>
      </c>
      <c r="J144" s="401">
        <v>0</v>
      </c>
      <c r="K144" s="507">
        <v>0</v>
      </c>
      <c r="L144" s="401">
        <v>0</v>
      </c>
      <c r="M144" s="507">
        <v>0</v>
      </c>
      <c r="N144" s="401">
        <v>0</v>
      </c>
      <c r="O144" s="400" t="s">
        <v>244</v>
      </c>
      <c r="P144" s="399" t="s">
        <v>244</v>
      </c>
      <c r="Q144" s="399" t="s">
        <v>244</v>
      </c>
      <c r="R144" s="399" t="s">
        <v>244</v>
      </c>
      <c r="S144" s="399" t="s">
        <v>244</v>
      </c>
      <c r="T144" s="399" t="s">
        <v>244</v>
      </c>
    </row>
    <row r="145" spans="2:20">
      <c r="B145" s="403">
        <v>14</v>
      </c>
      <c r="C145" s="402"/>
      <c r="D145" s="401" t="s">
        <v>244</v>
      </c>
      <c r="E145" s="399" t="s">
        <v>244</v>
      </c>
      <c r="F145" s="399" t="s">
        <v>244</v>
      </c>
      <c r="G145" s="399" t="s">
        <v>244</v>
      </c>
      <c r="H145" s="400" t="s">
        <v>244</v>
      </c>
      <c r="I145" s="507">
        <v>0</v>
      </c>
      <c r="J145" s="401">
        <v>0</v>
      </c>
      <c r="K145" s="507">
        <v>0</v>
      </c>
      <c r="L145" s="401">
        <v>0</v>
      </c>
      <c r="M145" s="507">
        <v>0</v>
      </c>
      <c r="N145" s="401">
        <v>0</v>
      </c>
      <c r="O145" s="400" t="s">
        <v>244</v>
      </c>
      <c r="P145" s="399" t="s">
        <v>244</v>
      </c>
      <c r="Q145" s="399" t="s">
        <v>244</v>
      </c>
      <c r="R145" s="399" t="s">
        <v>244</v>
      </c>
      <c r="S145" s="399" t="s">
        <v>244</v>
      </c>
      <c r="T145" s="399" t="s">
        <v>244</v>
      </c>
    </row>
    <row r="146" spans="2:20">
      <c r="B146" s="403">
        <v>14</v>
      </c>
      <c r="C146" s="402"/>
      <c r="D146" s="401" t="s">
        <v>244</v>
      </c>
      <c r="E146" s="399" t="s">
        <v>244</v>
      </c>
      <c r="F146" s="399" t="s">
        <v>244</v>
      </c>
      <c r="G146" s="399" t="s">
        <v>244</v>
      </c>
      <c r="H146" s="400" t="s">
        <v>244</v>
      </c>
      <c r="I146" s="507">
        <v>0</v>
      </c>
      <c r="J146" s="401">
        <v>0</v>
      </c>
      <c r="K146" s="507">
        <v>0</v>
      </c>
      <c r="L146" s="401">
        <v>0</v>
      </c>
      <c r="M146" s="507">
        <v>0</v>
      </c>
      <c r="N146" s="401">
        <v>0</v>
      </c>
      <c r="O146" s="400" t="s">
        <v>244</v>
      </c>
      <c r="P146" s="399" t="s">
        <v>244</v>
      </c>
      <c r="Q146" s="399" t="s">
        <v>244</v>
      </c>
      <c r="R146" s="399" t="s">
        <v>244</v>
      </c>
      <c r="S146" s="399" t="s">
        <v>244</v>
      </c>
      <c r="T146" s="399" t="s">
        <v>244</v>
      </c>
    </row>
    <row r="147" spans="2:20">
      <c r="B147" s="403">
        <v>14</v>
      </c>
      <c r="C147" s="402"/>
      <c r="D147" s="401" t="s">
        <v>244</v>
      </c>
      <c r="E147" s="399" t="s">
        <v>244</v>
      </c>
      <c r="F147" s="399" t="s">
        <v>244</v>
      </c>
      <c r="G147" s="470" t="s">
        <v>244</v>
      </c>
      <c r="H147" s="400"/>
      <c r="I147" s="507">
        <v>0</v>
      </c>
      <c r="J147" s="401">
        <v>0</v>
      </c>
      <c r="K147" s="507">
        <v>0</v>
      </c>
      <c r="L147" s="401">
        <v>0</v>
      </c>
      <c r="M147" s="507">
        <v>0</v>
      </c>
      <c r="N147" s="401">
        <v>0</v>
      </c>
      <c r="O147" s="400"/>
      <c r="P147" s="399" t="s">
        <v>244</v>
      </c>
      <c r="Q147" s="399" t="s">
        <v>244</v>
      </c>
      <c r="R147" s="399" t="s">
        <v>244</v>
      </c>
      <c r="S147" s="399" t="s">
        <v>244</v>
      </c>
      <c r="T147" s="399" t="s">
        <v>244</v>
      </c>
    </row>
    <row r="148" spans="2:20">
      <c r="B148" s="403">
        <v>14</v>
      </c>
      <c r="C148" s="402"/>
      <c r="D148" s="401" t="s">
        <v>244</v>
      </c>
      <c r="E148" s="399" t="s">
        <v>244</v>
      </c>
      <c r="F148" s="399" t="s">
        <v>244</v>
      </c>
      <c r="G148" s="471" t="s">
        <v>244</v>
      </c>
      <c r="H148" s="400"/>
      <c r="I148" s="507">
        <v>0</v>
      </c>
      <c r="J148" s="401">
        <v>0</v>
      </c>
      <c r="K148" s="507">
        <v>0</v>
      </c>
      <c r="L148" s="401">
        <v>0</v>
      </c>
      <c r="M148" s="507">
        <v>0</v>
      </c>
      <c r="N148" s="401">
        <v>0</v>
      </c>
      <c r="O148" s="400"/>
      <c r="P148" s="399" t="s">
        <v>244</v>
      </c>
      <c r="Q148" s="399" t="s">
        <v>244</v>
      </c>
      <c r="R148" s="399" t="s">
        <v>244</v>
      </c>
      <c r="S148" s="399" t="s">
        <v>244</v>
      </c>
      <c r="T148" s="399" t="s">
        <v>244</v>
      </c>
    </row>
    <row r="149" spans="2:20">
      <c r="B149" s="403">
        <v>14</v>
      </c>
      <c r="C149" s="402"/>
      <c r="D149" s="401" t="s">
        <v>244</v>
      </c>
      <c r="E149" s="399" t="s">
        <v>244</v>
      </c>
      <c r="F149" s="399" t="s">
        <v>244</v>
      </c>
      <c r="G149" s="471" t="s">
        <v>244</v>
      </c>
      <c r="H149" s="400"/>
      <c r="I149" s="507">
        <v>0</v>
      </c>
      <c r="J149" s="401">
        <v>0</v>
      </c>
      <c r="K149" s="507">
        <v>0</v>
      </c>
      <c r="L149" s="401">
        <v>0</v>
      </c>
      <c r="M149" s="507">
        <v>0</v>
      </c>
      <c r="N149" s="401">
        <v>0</v>
      </c>
      <c r="O149" s="400"/>
      <c r="P149" s="399" t="s">
        <v>244</v>
      </c>
      <c r="Q149" s="399" t="s">
        <v>244</v>
      </c>
      <c r="R149" s="399" t="s">
        <v>244</v>
      </c>
      <c r="S149" s="399" t="s">
        <v>244</v>
      </c>
      <c r="T149" s="399" t="s">
        <v>244</v>
      </c>
    </row>
    <row r="150" spans="2:20">
      <c r="B150" s="403">
        <v>14</v>
      </c>
      <c r="C150" s="402"/>
      <c r="D150" s="401" t="s">
        <v>244</v>
      </c>
      <c r="E150" s="399" t="s">
        <v>244</v>
      </c>
      <c r="F150" s="399" t="s">
        <v>244</v>
      </c>
      <c r="G150" s="471" t="s">
        <v>244</v>
      </c>
      <c r="H150" s="400" t="s">
        <v>244</v>
      </c>
      <c r="I150" s="507">
        <v>0</v>
      </c>
      <c r="J150" s="401">
        <v>0</v>
      </c>
      <c r="K150" s="507">
        <v>0</v>
      </c>
      <c r="L150" s="401">
        <v>0</v>
      </c>
      <c r="M150" s="507">
        <v>0</v>
      </c>
      <c r="N150" s="401">
        <v>0</v>
      </c>
      <c r="O150" s="400" t="s">
        <v>244</v>
      </c>
      <c r="P150" s="399" t="s">
        <v>244</v>
      </c>
      <c r="Q150" s="399" t="s">
        <v>244</v>
      </c>
      <c r="R150" s="399" t="s">
        <v>244</v>
      </c>
      <c r="S150" s="399" t="s">
        <v>244</v>
      </c>
      <c r="T150" s="399" t="s">
        <v>244</v>
      </c>
    </row>
    <row r="151" spans="2:20">
      <c r="B151" s="403">
        <v>14</v>
      </c>
      <c r="C151" s="402"/>
      <c r="D151" s="401" t="s">
        <v>244</v>
      </c>
      <c r="E151" s="399" t="s">
        <v>244</v>
      </c>
      <c r="F151" s="399" t="s">
        <v>244</v>
      </c>
      <c r="G151" s="471" t="s">
        <v>244</v>
      </c>
      <c r="H151" s="400" t="s">
        <v>244</v>
      </c>
      <c r="I151" s="507">
        <v>0</v>
      </c>
      <c r="J151" s="401">
        <v>0</v>
      </c>
      <c r="K151" s="507">
        <v>0</v>
      </c>
      <c r="L151" s="401">
        <v>0</v>
      </c>
      <c r="M151" s="507">
        <v>0</v>
      </c>
      <c r="N151" s="401">
        <v>0</v>
      </c>
      <c r="O151" s="400" t="s">
        <v>244</v>
      </c>
      <c r="P151" s="399" t="s">
        <v>244</v>
      </c>
      <c r="Q151" s="399" t="s">
        <v>244</v>
      </c>
      <c r="R151" s="399" t="s">
        <v>244</v>
      </c>
      <c r="S151" s="399" t="s">
        <v>244</v>
      </c>
      <c r="T151" s="399" t="s">
        <v>244</v>
      </c>
    </row>
    <row r="152" spans="2:20">
      <c r="B152" s="403">
        <v>14</v>
      </c>
      <c r="C152" s="402"/>
      <c r="D152" s="401" t="s">
        <v>244</v>
      </c>
      <c r="E152" s="399" t="s">
        <v>244</v>
      </c>
      <c r="F152" s="399" t="s">
        <v>244</v>
      </c>
      <c r="G152" s="471" t="s">
        <v>244</v>
      </c>
      <c r="H152" s="400" t="s">
        <v>244</v>
      </c>
      <c r="I152" s="507">
        <v>0</v>
      </c>
      <c r="J152" s="401">
        <v>0</v>
      </c>
      <c r="K152" s="507">
        <v>0</v>
      </c>
      <c r="L152" s="401">
        <v>0</v>
      </c>
      <c r="M152" s="507">
        <v>0</v>
      </c>
      <c r="N152" s="401">
        <v>0</v>
      </c>
      <c r="O152" s="400" t="s">
        <v>244</v>
      </c>
      <c r="P152" s="399" t="s">
        <v>244</v>
      </c>
      <c r="Q152" s="399" t="s">
        <v>244</v>
      </c>
      <c r="R152" s="399" t="s">
        <v>244</v>
      </c>
      <c r="S152" s="399" t="s">
        <v>244</v>
      </c>
      <c r="T152" s="399" t="s">
        <v>244</v>
      </c>
    </row>
    <row r="153" spans="2:20" ht="12" thickBot="1">
      <c r="B153" s="398">
        <v>14</v>
      </c>
      <c r="C153" s="397"/>
      <c r="D153" s="396" t="s">
        <v>244</v>
      </c>
      <c r="E153" s="394" t="s">
        <v>244</v>
      </c>
      <c r="F153" s="394" t="s">
        <v>244</v>
      </c>
      <c r="G153" s="472" t="s">
        <v>244</v>
      </c>
      <c r="H153" s="395" t="s">
        <v>244</v>
      </c>
      <c r="I153" s="510">
        <v>0</v>
      </c>
      <c r="J153" s="396">
        <v>0</v>
      </c>
      <c r="K153" s="510">
        <v>0</v>
      </c>
      <c r="L153" s="396">
        <v>0</v>
      </c>
      <c r="M153" s="510">
        <v>0</v>
      </c>
      <c r="N153" s="396">
        <v>0</v>
      </c>
      <c r="O153" s="395" t="s">
        <v>244</v>
      </c>
      <c r="P153" s="394" t="s">
        <v>244</v>
      </c>
      <c r="Q153" s="394" t="s">
        <v>244</v>
      </c>
      <c r="R153" s="394" t="s">
        <v>244</v>
      </c>
      <c r="S153" s="394" t="s">
        <v>244</v>
      </c>
      <c r="T153" s="394" t="s">
        <v>244</v>
      </c>
    </row>
    <row r="154" spans="2:20" ht="12.75" thickTop="1" thickBot="1">
      <c r="I154" s="393">
        <v>2217</v>
      </c>
      <c r="J154" s="393">
        <v>0</v>
      </c>
      <c r="K154" s="393">
        <v>1938</v>
      </c>
      <c r="L154" s="393">
        <v>0</v>
      </c>
      <c r="M154" s="393">
        <v>28</v>
      </c>
      <c r="N154" s="393">
        <v>0</v>
      </c>
      <c r="O154" s="393">
        <v>200</v>
      </c>
      <c r="P154" s="393">
        <v>100</v>
      </c>
      <c r="Q154" s="393">
        <v>100</v>
      </c>
      <c r="R154" s="393">
        <v>100</v>
      </c>
      <c r="S154" s="393">
        <v>100</v>
      </c>
      <c r="T154" s="393">
        <v>100</v>
      </c>
    </row>
    <row r="155" spans="2:20" ht="12" thickTop="1"/>
  </sheetData>
  <mergeCells count="12">
    <mergeCell ref="B1:T2"/>
    <mergeCell ref="N4:O4"/>
    <mergeCell ref="N6:O6"/>
    <mergeCell ref="M12:N12"/>
    <mergeCell ref="N8:O8"/>
    <mergeCell ref="N10:O10"/>
    <mergeCell ref="E6:F6"/>
    <mergeCell ref="E4:F4"/>
    <mergeCell ref="E8:F8"/>
    <mergeCell ref="I12:J12"/>
    <mergeCell ref="K12:L12"/>
    <mergeCell ref="E10:F10"/>
  </mergeCells>
  <conditionalFormatting sqref="N10">
    <cfRule type="containsText" dxfId="1297" priority="1" operator="containsText" text="No disponible">
      <formula>NOT(ISERROR(SEARCH("No disponible",N10)))</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1EDB3905-6A0F-4887-86F0-F5380E064A0C}">
          <x14:formula1>
            <xm:f>DATOS!$A$3:$A$5</xm:f>
          </x14:formula1>
          <xm:sqref>E6</xm:sqref>
        </x14:dataValidation>
        <x14:dataValidation type="list" allowBlank="1" showInputMessage="1" showErrorMessage="1" xr:uid="{68ACFF56-B839-4845-8981-0344B7630CF8}">
          <x14:formula1>
            <xm:f>DATOS!$C$8:$C$9</xm:f>
          </x14:formula1>
          <xm:sqref>G15:G17 G45:G53 G55:G63 G65:G73 G75:G83 G85:G93 G95:G103 G105:G113 G115:G123 G125:G133 G135:G143 G145:G153</xm:sqref>
        </x14:dataValidation>
        <x14:dataValidation type="list" allowBlank="1" showInputMessage="1" showErrorMessage="1" xr:uid="{502CBCA8-65FC-420D-8D9D-1503E2D95E36}">
          <x14:formula1>
            <xm:f>INDIRECT('1.Fundamentos'!$D$6)</xm:f>
          </x14:formula1>
          <xm:sqref>E4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pageSetUpPr fitToPage="1"/>
  </sheetPr>
  <dimension ref="A1:WXA174"/>
  <sheetViews>
    <sheetView showGridLines="0" topLeftCell="K88" zoomScale="85" zoomScaleNormal="85" zoomScaleSheetLayoutView="89" workbookViewId="0">
      <selection activeCell="AA86" sqref="AA86"/>
    </sheetView>
  </sheetViews>
  <sheetFormatPr defaultColWidth="0" defaultRowHeight="12"/>
  <cols>
    <col min="1" max="1" width="4.85546875" style="2" customWidth="1"/>
    <col min="2" max="2" width="4.85546875" style="3" customWidth="1"/>
    <col min="3" max="3" width="9.7109375" style="3" customWidth="1"/>
    <col min="4" max="4" width="8.85546875" style="3" customWidth="1"/>
    <col min="5" max="5" width="27.42578125" style="2" customWidth="1"/>
    <col min="6" max="6" width="17" style="2" customWidth="1"/>
    <col min="7" max="7" width="13" style="143" customWidth="1"/>
    <col min="8" max="8" width="11" style="2" customWidth="1"/>
    <col min="9" max="9" width="13.5703125" style="3" customWidth="1"/>
    <col min="10" max="11" width="11" style="2" customWidth="1"/>
    <col min="12" max="12" width="11.140625" style="2" customWidth="1"/>
    <col min="13" max="13" width="10.85546875" style="2" customWidth="1"/>
    <col min="14" max="14" width="10.7109375" style="2" customWidth="1"/>
    <col min="15" max="15" width="10.85546875" style="2" customWidth="1"/>
    <col min="16" max="16" width="13.5703125" style="2" customWidth="1"/>
    <col min="17" max="17" width="13.42578125" style="2" customWidth="1"/>
    <col min="18" max="18" width="25.42578125" style="2" customWidth="1"/>
    <col min="19" max="19" width="23.140625" style="2" customWidth="1"/>
    <col min="20" max="20" width="20.42578125" style="2" customWidth="1"/>
    <col min="21" max="23" width="14.5703125" style="2" customWidth="1"/>
    <col min="24" max="24" width="9" style="3" customWidth="1"/>
    <col min="25" max="25" width="17" style="3" customWidth="1"/>
    <col min="26" max="26" width="2" style="3" customWidth="1"/>
    <col min="27" max="27" width="24.28515625" style="3" customWidth="1"/>
    <col min="28" max="28" width="6.5703125" style="3" customWidth="1"/>
    <col min="29" max="29" width="24.28515625" style="3" customWidth="1"/>
    <col min="30" max="30" width="9" style="3" customWidth="1"/>
    <col min="31" max="31" width="24.28515625" style="3" customWidth="1"/>
    <col min="32" max="32" width="7" style="3" customWidth="1"/>
    <col min="33" max="33" width="24.28515625" style="3" customWidth="1"/>
    <col min="34" max="34" width="6.85546875" style="3" customWidth="1"/>
    <col min="35" max="35" width="24.28515625" style="3" customWidth="1"/>
    <col min="36" max="36" width="6.7109375" style="3" customWidth="1"/>
    <col min="37" max="281" width="11.42578125" style="2" hidden="1"/>
    <col min="282" max="282" width="5.140625" style="2" hidden="1"/>
    <col min="283" max="283" width="5.7109375" style="2" hidden="1"/>
    <col min="284" max="284" width="4.7109375" style="2" hidden="1"/>
    <col min="285" max="285" width="50.7109375" style="2" hidden="1"/>
    <col min="286" max="287" width="9.7109375" style="2" hidden="1"/>
    <col min="288" max="288" width="50.7109375" style="2" hidden="1"/>
    <col min="289" max="291" width="9.7109375" style="2" hidden="1"/>
    <col min="292" max="537" width="11.42578125" style="2" hidden="1"/>
    <col min="538" max="538" width="5.140625" style="2" hidden="1"/>
    <col min="539" max="539" width="5.7109375" style="2" hidden="1"/>
    <col min="540" max="540" width="4.7109375" style="2" hidden="1"/>
    <col min="541" max="541" width="50.7109375" style="2" hidden="1"/>
    <col min="542" max="543" width="9.7109375" style="2" hidden="1"/>
    <col min="544" max="544" width="50.7109375" style="2" hidden="1"/>
    <col min="545" max="547" width="9.7109375" style="2" hidden="1"/>
    <col min="548" max="793" width="11.42578125" style="2" hidden="1"/>
    <col min="794" max="794" width="5.140625" style="2" hidden="1"/>
    <col min="795" max="795" width="5.7109375" style="2" hidden="1"/>
    <col min="796" max="796" width="4.7109375" style="2" hidden="1"/>
    <col min="797" max="797" width="50.7109375" style="2" hidden="1"/>
    <col min="798" max="799" width="9.7109375" style="2" hidden="1"/>
    <col min="800" max="800" width="50.7109375" style="2" hidden="1"/>
    <col min="801" max="803" width="9.7109375" style="2" hidden="1"/>
    <col min="804" max="1049" width="11.42578125" style="2" hidden="1"/>
    <col min="1050" max="1050" width="5.140625" style="2" hidden="1"/>
    <col min="1051" max="1051" width="5.7109375" style="2" hidden="1"/>
    <col min="1052" max="1052" width="4.7109375" style="2" hidden="1"/>
    <col min="1053" max="1053" width="50.7109375" style="2" hidden="1"/>
    <col min="1054" max="1055" width="9.7109375" style="2" hidden="1"/>
    <col min="1056" max="1056" width="50.7109375" style="2" hidden="1"/>
    <col min="1057" max="1059" width="9.7109375" style="2" hidden="1"/>
    <col min="1060" max="1305" width="11.42578125" style="2" hidden="1"/>
    <col min="1306" max="1306" width="5.140625" style="2" hidden="1"/>
    <col min="1307" max="1307" width="5.7109375" style="2" hidden="1"/>
    <col min="1308" max="1308" width="4.7109375" style="2" hidden="1"/>
    <col min="1309" max="1309" width="50.7109375" style="2" hidden="1"/>
    <col min="1310" max="1311" width="9.7109375" style="2" hidden="1"/>
    <col min="1312" max="1312" width="50.7109375" style="2" hidden="1"/>
    <col min="1313" max="1315" width="9.7109375" style="2" hidden="1"/>
    <col min="1316" max="1561" width="11.42578125" style="2" hidden="1"/>
    <col min="1562" max="1562" width="5.140625" style="2" hidden="1"/>
    <col min="1563" max="1563" width="5.7109375" style="2" hidden="1"/>
    <col min="1564" max="1564" width="4.7109375" style="2" hidden="1"/>
    <col min="1565" max="1565" width="50.7109375" style="2" hidden="1"/>
    <col min="1566" max="1567" width="9.7109375" style="2" hidden="1"/>
    <col min="1568" max="1568" width="50.7109375" style="2" hidden="1"/>
    <col min="1569" max="1571" width="9.7109375" style="2" hidden="1"/>
    <col min="1572" max="1817" width="11.42578125" style="2" hidden="1"/>
    <col min="1818" max="1818" width="5.140625" style="2" hidden="1"/>
    <col min="1819" max="1819" width="5.7109375" style="2" hidden="1"/>
    <col min="1820" max="1820" width="4.7109375" style="2" hidden="1"/>
    <col min="1821" max="1821" width="50.7109375" style="2" hidden="1"/>
    <col min="1822" max="1823" width="9.7109375" style="2" hidden="1"/>
    <col min="1824" max="1824" width="50.7109375" style="2" hidden="1"/>
    <col min="1825" max="1827" width="9.7109375" style="2" hidden="1"/>
    <col min="1828" max="2073" width="11.42578125" style="2" hidden="1"/>
    <col min="2074" max="2074" width="5.140625" style="2" hidden="1"/>
    <col min="2075" max="2075" width="5.7109375" style="2" hidden="1"/>
    <col min="2076" max="2076" width="4.7109375" style="2" hidden="1"/>
    <col min="2077" max="2077" width="50.7109375" style="2" hidden="1"/>
    <col min="2078" max="2079" width="9.7109375" style="2" hidden="1"/>
    <col min="2080" max="2080" width="50.7109375" style="2" hidden="1"/>
    <col min="2081" max="2083" width="9.7109375" style="2" hidden="1"/>
    <col min="2084" max="2329" width="11.42578125" style="2" hidden="1"/>
    <col min="2330" max="2330" width="5.140625" style="2" hidden="1"/>
    <col min="2331" max="2331" width="5.7109375" style="2" hidden="1"/>
    <col min="2332" max="2332" width="4.7109375" style="2" hidden="1"/>
    <col min="2333" max="2333" width="50.7109375" style="2" hidden="1"/>
    <col min="2334" max="2335" width="9.7109375" style="2" hidden="1"/>
    <col min="2336" max="2336" width="50.7109375" style="2" hidden="1"/>
    <col min="2337" max="2339" width="9.7109375" style="2" hidden="1"/>
    <col min="2340" max="2585" width="11.42578125" style="2" hidden="1"/>
    <col min="2586" max="2586" width="5.140625" style="2" hidden="1"/>
    <col min="2587" max="2587" width="5.7109375" style="2" hidden="1"/>
    <col min="2588" max="2588" width="4.7109375" style="2" hidden="1"/>
    <col min="2589" max="2589" width="50.7109375" style="2" hidden="1"/>
    <col min="2590" max="2591" width="9.7109375" style="2" hidden="1"/>
    <col min="2592" max="2592" width="50.7109375" style="2" hidden="1"/>
    <col min="2593" max="2595" width="9.7109375" style="2" hidden="1"/>
    <col min="2596" max="2841" width="11.42578125" style="2" hidden="1"/>
    <col min="2842" max="2842" width="5.140625" style="2" hidden="1"/>
    <col min="2843" max="2843" width="5.7109375" style="2" hidden="1"/>
    <col min="2844" max="2844" width="4.7109375" style="2" hidden="1"/>
    <col min="2845" max="2845" width="50.7109375" style="2" hidden="1"/>
    <col min="2846" max="2847" width="9.7109375" style="2" hidden="1"/>
    <col min="2848" max="2848" width="50.7109375" style="2" hidden="1"/>
    <col min="2849" max="2851" width="9.7109375" style="2" hidden="1"/>
    <col min="2852" max="3097" width="11.42578125" style="2" hidden="1"/>
    <col min="3098" max="3098" width="5.140625" style="2" hidden="1"/>
    <col min="3099" max="3099" width="5.7109375" style="2" hidden="1"/>
    <col min="3100" max="3100" width="4.7109375" style="2" hidden="1"/>
    <col min="3101" max="3101" width="50.7109375" style="2" hidden="1"/>
    <col min="3102" max="3103" width="9.7109375" style="2" hidden="1"/>
    <col min="3104" max="3104" width="50.7109375" style="2" hidden="1"/>
    <col min="3105" max="3107" width="9.7109375" style="2" hidden="1"/>
    <col min="3108" max="3353" width="11.42578125" style="2" hidden="1"/>
    <col min="3354" max="3354" width="5.140625" style="2" hidden="1"/>
    <col min="3355" max="3355" width="5.7109375" style="2" hidden="1"/>
    <col min="3356" max="3356" width="4.7109375" style="2" hidden="1"/>
    <col min="3357" max="3357" width="50.7109375" style="2" hidden="1"/>
    <col min="3358" max="3359" width="9.7109375" style="2" hidden="1"/>
    <col min="3360" max="3360" width="50.7109375" style="2" hidden="1"/>
    <col min="3361" max="3363" width="9.7109375" style="2" hidden="1"/>
    <col min="3364" max="3609" width="11.42578125" style="2" hidden="1"/>
    <col min="3610" max="3610" width="5.140625" style="2" hidden="1"/>
    <col min="3611" max="3611" width="5.7109375" style="2" hidden="1"/>
    <col min="3612" max="3612" width="4.7109375" style="2" hidden="1"/>
    <col min="3613" max="3613" width="50.7109375" style="2" hidden="1"/>
    <col min="3614" max="3615" width="9.7109375" style="2" hidden="1"/>
    <col min="3616" max="3616" width="50.7109375" style="2" hidden="1"/>
    <col min="3617" max="3619" width="9.7109375" style="2" hidden="1"/>
    <col min="3620" max="3865" width="11.42578125" style="2" hidden="1"/>
    <col min="3866" max="3866" width="5.140625" style="2" hidden="1"/>
    <col min="3867" max="3867" width="5.7109375" style="2" hidden="1"/>
    <col min="3868" max="3868" width="4.7109375" style="2" hidden="1"/>
    <col min="3869" max="3869" width="50.7109375" style="2" hidden="1"/>
    <col min="3870" max="3871" width="9.7109375" style="2" hidden="1"/>
    <col min="3872" max="3872" width="50.7109375" style="2" hidden="1"/>
    <col min="3873" max="3875" width="9.7109375" style="2" hidden="1"/>
    <col min="3876" max="4121" width="11.42578125" style="2" hidden="1"/>
    <col min="4122" max="4122" width="5.140625" style="2" hidden="1"/>
    <col min="4123" max="4123" width="5.7109375" style="2" hidden="1"/>
    <col min="4124" max="4124" width="4.7109375" style="2" hidden="1"/>
    <col min="4125" max="4125" width="50.7109375" style="2" hidden="1"/>
    <col min="4126" max="4127" width="9.7109375" style="2" hidden="1"/>
    <col min="4128" max="4128" width="50.7109375" style="2" hidden="1"/>
    <col min="4129" max="4131" width="9.7109375" style="2" hidden="1"/>
    <col min="4132" max="4377" width="11.42578125" style="2" hidden="1"/>
    <col min="4378" max="4378" width="5.140625" style="2" hidden="1"/>
    <col min="4379" max="4379" width="5.7109375" style="2" hidden="1"/>
    <col min="4380" max="4380" width="4.7109375" style="2" hidden="1"/>
    <col min="4381" max="4381" width="50.7109375" style="2" hidden="1"/>
    <col min="4382" max="4383" width="9.7109375" style="2" hidden="1"/>
    <col min="4384" max="4384" width="50.7109375" style="2" hidden="1"/>
    <col min="4385" max="4387" width="9.7109375" style="2" hidden="1"/>
    <col min="4388" max="4633" width="11.42578125" style="2" hidden="1"/>
    <col min="4634" max="4634" width="5.140625" style="2" hidden="1"/>
    <col min="4635" max="4635" width="5.7109375" style="2" hidden="1"/>
    <col min="4636" max="4636" width="4.7109375" style="2" hidden="1"/>
    <col min="4637" max="4637" width="50.7109375" style="2" hidden="1"/>
    <col min="4638" max="4639" width="9.7109375" style="2" hidden="1"/>
    <col min="4640" max="4640" width="50.7109375" style="2" hidden="1"/>
    <col min="4641" max="4643" width="9.7109375" style="2" hidden="1"/>
    <col min="4644" max="4889" width="11.42578125" style="2" hidden="1"/>
    <col min="4890" max="4890" width="5.140625" style="2" hidden="1"/>
    <col min="4891" max="4891" width="5.7109375" style="2" hidden="1"/>
    <col min="4892" max="4892" width="4.7109375" style="2" hidden="1"/>
    <col min="4893" max="4893" width="50.7109375" style="2" hidden="1"/>
    <col min="4894" max="4895" width="9.7109375" style="2" hidden="1"/>
    <col min="4896" max="4896" width="50.7109375" style="2" hidden="1"/>
    <col min="4897" max="4899" width="9.7109375" style="2" hidden="1"/>
    <col min="4900" max="5145" width="11.42578125" style="2" hidden="1"/>
    <col min="5146" max="5146" width="5.140625" style="2" hidden="1"/>
    <col min="5147" max="5147" width="5.7109375" style="2" hidden="1"/>
    <col min="5148" max="5148" width="4.7109375" style="2" hidden="1"/>
    <col min="5149" max="5149" width="50.7109375" style="2" hidden="1"/>
    <col min="5150" max="5151" width="9.7109375" style="2" hidden="1"/>
    <col min="5152" max="5152" width="50.7109375" style="2" hidden="1"/>
    <col min="5153" max="5155" width="9.7109375" style="2" hidden="1"/>
    <col min="5156" max="5401" width="11.42578125" style="2" hidden="1"/>
    <col min="5402" max="5402" width="5.140625" style="2" hidden="1"/>
    <col min="5403" max="5403" width="5.7109375" style="2" hidden="1"/>
    <col min="5404" max="5404" width="4.7109375" style="2" hidden="1"/>
    <col min="5405" max="5405" width="50.7109375" style="2" hidden="1"/>
    <col min="5406" max="5407" width="9.7109375" style="2" hidden="1"/>
    <col min="5408" max="5408" width="50.7109375" style="2" hidden="1"/>
    <col min="5409" max="5411" width="9.7109375" style="2" hidden="1"/>
    <col min="5412" max="5657" width="11.42578125" style="2" hidden="1"/>
    <col min="5658" max="5658" width="5.140625" style="2" hidden="1"/>
    <col min="5659" max="5659" width="5.7109375" style="2" hidden="1"/>
    <col min="5660" max="5660" width="4.7109375" style="2" hidden="1"/>
    <col min="5661" max="5661" width="50.7109375" style="2" hidden="1"/>
    <col min="5662" max="5663" width="9.7109375" style="2" hidden="1"/>
    <col min="5664" max="5664" width="50.7109375" style="2" hidden="1"/>
    <col min="5665" max="5667" width="9.7109375" style="2" hidden="1"/>
    <col min="5668" max="5913" width="11.42578125" style="2" hidden="1"/>
    <col min="5914" max="5914" width="5.140625" style="2" hidden="1"/>
    <col min="5915" max="5915" width="5.7109375" style="2" hidden="1"/>
    <col min="5916" max="5916" width="4.7109375" style="2" hidden="1"/>
    <col min="5917" max="5917" width="50.7109375" style="2" hidden="1"/>
    <col min="5918" max="5919" width="9.7109375" style="2" hidden="1"/>
    <col min="5920" max="5920" width="50.7109375" style="2" hidden="1"/>
    <col min="5921" max="5923" width="9.7109375" style="2" hidden="1"/>
    <col min="5924" max="6169" width="11.42578125" style="2" hidden="1"/>
    <col min="6170" max="6170" width="5.140625" style="2" hidden="1"/>
    <col min="6171" max="6171" width="5.7109375" style="2" hidden="1"/>
    <col min="6172" max="6172" width="4.7109375" style="2" hidden="1"/>
    <col min="6173" max="6173" width="50.7109375" style="2" hidden="1"/>
    <col min="6174" max="6175" width="9.7109375" style="2" hidden="1"/>
    <col min="6176" max="6176" width="50.7109375" style="2" hidden="1"/>
    <col min="6177" max="6179" width="9.7109375" style="2" hidden="1"/>
    <col min="6180" max="6425" width="11.42578125" style="2" hidden="1"/>
    <col min="6426" max="6426" width="5.140625" style="2" hidden="1"/>
    <col min="6427" max="6427" width="5.7109375" style="2" hidden="1"/>
    <col min="6428" max="6428" width="4.7109375" style="2" hidden="1"/>
    <col min="6429" max="6429" width="50.7109375" style="2" hidden="1"/>
    <col min="6430" max="6431" width="9.7109375" style="2" hidden="1"/>
    <col min="6432" max="6432" width="50.7109375" style="2" hidden="1"/>
    <col min="6433" max="6435" width="9.7109375" style="2" hidden="1"/>
    <col min="6436" max="6681" width="11.42578125" style="2" hidden="1"/>
    <col min="6682" max="6682" width="5.140625" style="2" hidden="1"/>
    <col min="6683" max="6683" width="5.7109375" style="2" hidden="1"/>
    <col min="6684" max="6684" width="4.7109375" style="2" hidden="1"/>
    <col min="6685" max="6685" width="50.7109375" style="2" hidden="1"/>
    <col min="6686" max="6687" width="9.7109375" style="2" hidden="1"/>
    <col min="6688" max="6688" width="50.7109375" style="2" hidden="1"/>
    <col min="6689" max="6691" width="9.7109375" style="2" hidden="1"/>
    <col min="6692" max="6937" width="11.42578125" style="2" hidden="1"/>
    <col min="6938" max="6938" width="5.140625" style="2" hidden="1"/>
    <col min="6939" max="6939" width="5.7109375" style="2" hidden="1"/>
    <col min="6940" max="6940" width="4.7109375" style="2" hidden="1"/>
    <col min="6941" max="6941" width="50.7109375" style="2" hidden="1"/>
    <col min="6942" max="6943" width="9.7109375" style="2" hidden="1"/>
    <col min="6944" max="6944" width="50.7109375" style="2" hidden="1"/>
    <col min="6945" max="6947" width="9.7109375" style="2" hidden="1"/>
    <col min="6948" max="7193" width="11.42578125" style="2" hidden="1"/>
    <col min="7194" max="7194" width="5.140625" style="2" hidden="1"/>
    <col min="7195" max="7195" width="5.7109375" style="2" hidden="1"/>
    <col min="7196" max="7196" width="4.7109375" style="2" hidden="1"/>
    <col min="7197" max="7197" width="50.7109375" style="2" hidden="1"/>
    <col min="7198" max="7199" width="9.7109375" style="2" hidden="1"/>
    <col min="7200" max="7200" width="50.7109375" style="2" hidden="1"/>
    <col min="7201" max="7203" width="9.7109375" style="2" hidden="1"/>
    <col min="7204" max="7449" width="11.42578125" style="2" hidden="1"/>
    <col min="7450" max="7450" width="5.140625" style="2" hidden="1"/>
    <col min="7451" max="7451" width="5.7109375" style="2" hidden="1"/>
    <col min="7452" max="7452" width="4.7109375" style="2" hidden="1"/>
    <col min="7453" max="7453" width="50.7109375" style="2" hidden="1"/>
    <col min="7454" max="7455" width="9.7109375" style="2" hidden="1"/>
    <col min="7456" max="7456" width="50.7109375" style="2" hidden="1"/>
    <col min="7457" max="7459" width="9.7109375" style="2" hidden="1"/>
    <col min="7460" max="7705" width="11.42578125" style="2" hidden="1"/>
    <col min="7706" max="7706" width="5.140625" style="2" hidden="1"/>
    <col min="7707" max="7707" width="5.7109375" style="2" hidden="1"/>
    <col min="7708" max="7708" width="4.7109375" style="2" hidden="1"/>
    <col min="7709" max="7709" width="50.7109375" style="2" hidden="1"/>
    <col min="7710" max="7711" width="9.7109375" style="2" hidden="1"/>
    <col min="7712" max="7712" width="50.7109375" style="2" hidden="1"/>
    <col min="7713" max="7715" width="9.7109375" style="2" hidden="1"/>
    <col min="7716" max="7961" width="11.42578125" style="2" hidden="1"/>
    <col min="7962" max="7962" width="5.140625" style="2" hidden="1"/>
    <col min="7963" max="7963" width="5.7109375" style="2" hidden="1"/>
    <col min="7964" max="7964" width="4.7109375" style="2" hidden="1"/>
    <col min="7965" max="7965" width="50.7109375" style="2" hidden="1"/>
    <col min="7966" max="7967" width="9.7109375" style="2" hidden="1"/>
    <col min="7968" max="7968" width="50.7109375" style="2" hidden="1"/>
    <col min="7969" max="7971" width="9.7109375" style="2" hidden="1"/>
    <col min="7972" max="8217" width="11.42578125" style="2" hidden="1"/>
    <col min="8218" max="8218" width="5.140625" style="2" hidden="1"/>
    <col min="8219" max="8219" width="5.7109375" style="2" hidden="1"/>
    <col min="8220" max="8220" width="4.7109375" style="2" hidden="1"/>
    <col min="8221" max="8221" width="50.7109375" style="2" hidden="1"/>
    <col min="8222" max="8223" width="9.7109375" style="2" hidden="1"/>
    <col min="8224" max="8224" width="50.7109375" style="2" hidden="1"/>
    <col min="8225" max="8227" width="9.7109375" style="2" hidden="1"/>
    <col min="8228" max="8473" width="11.42578125" style="2" hidden="1"/>
    <col min="8474" max="8474" width="5.140625" style="2" hidden="1"/>
    <col min="8475" max="8475" width="5.7109375" style="2" hidden="1"/>
    <col min="8476" max="8476" width="4.7109375" style="2" hidden="1"/>
    <col min="8477" max="8477" width="50.7109375" style="2" hidden="1"/>
    <col min="8478" max="8479" width="9.7109375" style="2" hidden="1"/>
    <col min="8480" max="8480" width="50.7109375" style="2" hidden="1"/>
    <col min="8481" max="8483" width="9.7109375" style="2" hidden="1"/>
    <col min="8484" max="8729" width="11.42578125" style="2" hidden="1"/>
    <col min="8730" max="8730" width="5.140625" style="2" hidden="1"/>
    <col min="8731" max="8731" width="5.7109375" style="2" hidden="1"/>
    <col min="8732" max="8732" width="4.7109375" style="2" hidden="1"/>
    <col min="8733" max="8733" width="50.7109375" style="2" hidden="1"/>
    <col min="8734" max="8735" width="9.7109375" style="2" hidden="1"/>
    <col min="8736" max="8736" width="50.7109375" style="2" hidden="1"/>
    <col min="8737" max="8739" width="9.7109375" style="2" hidden="1"/>
    <col min="8740" max="8985" width="11.42578125" style="2" hidden="1"/>
    <col min="8986" max="8986" width="5.140625" style="2" hidden="1"/>
    <col min="8987" max="8987" width="5.7109375" style="2" hidden="1"/>
    <col min="8988" max="8988" width="4.7109375" style="2" hidden="1"/>
    <col min="8989" max="8989" width="50.7109375" style="2" hidden="1"/>
    <col min="8990" max="8991" width="9.7109375" style="2" hidden="1"/>
    <col min="8992" max="8992" width="50.7109375" style="2" hidden="1"/>
    <col min="8993" max="8995" width="9.7109375" style="2" hidden="1"/>
    <col min="8996" max="9241" width="11.42578125" style="2" hidden="1"/>
    <col min="9242" max="9242" width="5.140625" style="2" hidden="1"/>
    <col min="9243" max="9243" width="5.7109375" style="2" hidden="1"/>
    <col min="9244" max="9244" width="4.7109375" style="2" hidden="1"/>
    <col min="9245" max="9245" width="50.7109375" style="2" hidden="1"/>
    <col min="9246" max="9247" width="9.7109375" style="2" hidden="1"/>
    <col min="9248" max="9248" width="50.7109375" style="2" hidden="1"/>
    <col min="9249" max="9251" width="9.7109375" style="2" hidden="1"/>
    <col min="9252" max="9497" width="11.42578125" style="2" hidden="1"/>
    <col min="9498" max="9498" width="5.140625" style="2" hidden="1"/>
    <col min="9499" max="9499" width="5.7109375" style="2" hidden="1"/>
    <col min="9500" max="9500" width="4.7109375" style="2" hidden="1"/>
    <col min="9501" max="9501" width="50.7109375" style="2" hidden="1"/>
    <col min="9502" max="9503" width="9.7109375" style="2" hidden="1"/>
    <col min="9504" max="9504" width="50.7109375" style="2" hidden="1"/>
    <col min="9505" max="9507" width="9.7109375" style="2" hidden="1"/>
    <col min="9508" max="9753" width="11.42578125" style="2" hidden="1"/>
    <col min="9754" max="9754" width="5.140625" style="2" hidden="1"/>
    <col min="9755" max="9755" width="5.7109375" style="2" hidden="1"/>
    <col min="9756" max="9756" width="4.7109375" style="2" hidden="1"/>
    <col min="9757" max="9757" width="50.7109375" style="2" hidden="1"/>
    <col min="9758" max="9759" width="9.7109375" style="2" hidden="1"/>
    <col min="9760" max="9760" width="50.7109375" style="2" hidden="1"/>
    <col min="9761" max="9763" width="9.7109375" style="2" hidden="1"/>
    <col min="9764" max="10009" width="11.42578125" style="2" hidden="1"/>
    <col min="10010" max="10010" width="5.140625" style="2" hidden="1"/>
    <col min="10011" max="10011" width="5.7109375" style="2" hidden="1"/>
    <col min="10012" max="10012" width="4.7109375" style="2" hidden="1"/>
    <col min="10013" max="10013" width="50.7109375" style="2" hidden="1"/>
    <col min="10014" max="10015" width="9.7109375" style="2" hidden="1"/>
    <col min="10016" max="10016" width="50.7109375" style="2" hidden="1"/>
    <col min="10017" max="10019" width="9.7109375" style="2" hidden="1"/>
    <col min="10020" max="10265" width="11.42578125" style="2" hidden="1"/>
    <col min="10266" max="10266" width="5.140625" style="2" hidden="1"/>
    <col min="10267" max="10267" width="5.7109375" style="2" hidden="1"/>
    <col min="10268" max="10268" width="4.7109375" style="2" hidden="1"/>
    <col min="10269" max="10269" width="50.7109375" style="2" hidden="1"/>
    <col min="10270" max="10271" width="9.7109375" style="2" hidden="1"/>
    <col min="10272" max="10272" width="50.7109375" style="2" hidden="1"/>
    <col min="10273" max="10275" width="9.7109375" style="2" hidden="1"/>
    <col min="10276" max="10521" width="11.42578125" style="2" hidden="1"/>
    <col min="10522" max="10522" width="5.140625" style="2" hidden="1"/>
    <col min="10523" max="10523" width="5.7109375" style="2" hidden="1"/>
    <col min="10524" max="10524" width="4.7109375" style="2" hidden="1"/>
    <col min="10525" max="10525" width="50.7109375" style="2" hidden="1"/>
    <col min="10526" max="10527" width="9.7109375" style="2" hidden="1"/>
    <col min="10528" max="10528" width="50.7109375" style="2" hidden="1"/>
    <col min="10529" max="10531" width="9.7109375" style="2" hidden="1"/>
    <col min="10532" max="10777" width="11.42578125" style="2" hidden="1"/>
    <col min="10778" max="10778" width="5.140625" style="2" hidden="1"/>
    <col min="10779" max="10779" width="5.7109375" style="2" hidden="1"/>
    <col min="10780" max="10780" width="4.7109375" style="2" hidden="1"/>
    <col min="10781" max="10781" width="50.7109375" style="2" hidden="1"/>
    <col min="10782" max="10783" width="9.7109375" style="2" hidden="1"/>
    <col min="10784" max="10784" width="50.7109375" style="2" hidden="1"/>
    <col min="10785" max="10787" width="9.7109375" style="2" hidden="1"/>
    <col min="10788" max="11033" width="11.42578125" style="2" hidden="1"/>
    <col min="11034" max="11034" width="5.140625" style="2" hidden="1"/>
    <col min="11035" max="11035" width="5.7109375" style="2" hidden="1"/>
    <col min="11036" max="11036" width="4.7109375" style="2" hidden="1"/>
    <col min="11037" max="11037" width="50.7109375" style="2" hidden="1"/>
    <col min="11038" max="11039" width="9.7109375" style="2" hidden="1"/>
    <col min="11040" max="11040" width="50.7109375" style="2" hidden="1"/>
    <col min="11041" max="11043" width="9.7109375" style="2" hidden="1"/>
    <col min="11044" max="11289" width="11.42578125" style="2" hidden="1"/>
    <col min="11290" max="11290" width="5.140625" style="2" hidden="1"/>
    <col min="11291" max="11291" width="5.7109375" style="2" hidden="1"/>
    <col min="11292" max="11292" width="4.7109375" style="2" hidden="1"/>
    <col min="11293" max="11293" width="50.7109375" style="2" hidden="1"/>
    <col min="11294" max="11295" width="9.7109375" style="2" hidden="1"/>
    <col min="11296" max="11296" width="50.7109375" style="2" hidden="1"/>
    <col min="11297" max="11299" width="9.7109375" style="2" hidden="1"/>
    <col min="11300" max="11545" width="11.42578125" style="2" hidden="1"/>
    <col min="11546" max="11546" width="5.140625" style="2" hidden="1"/>
    <col min="11547" max="11547" width="5.7109375" style="2" hidden="1"/>
    <col min="11548" max="11548" width="4.7109375" style="2" hidden="1"/>
    <col min="11549" max="11549" width="50.7109375" style="2" hidden="1"/>
    <col min="11550" max="11551" width="9.7109375" style="2" hidden="1"/>
    <col min="11552" max="11552" width="50.7109375" style="2" hidden="1"/>
    <col min="11553" max="11555" width="9.7109375" style="2" hidden="1"/>
    <col min="11556" max="11801" width="11.42578125" style="2" hidden="1"/>
    <col min="11802" max="11802" width="5.140625" style="2" hidden="1"/>
    <col min="11803" max="11803" width="5.7109375" style="2" hidden="1"/>
    <col min="11804" max="11804" width="4.7109375" style="2" hidden="1"/>
    <col min="11805" max="11805" width="50.7109375" style="2" hidden="1"/>
    <col min="11806" max="11807" width="9.7109375" style="2" hidden="1"/>
    <col min="11808" max="11808" width="50.7109375" style="2" hidden="1"/>
    <col min="11809" max="11811" width="9.7109375" style="2" hidden="1"/>
    <col min="11812" max="12057" width="11.42578125" style="2" hidden="1"/>
    <col min="12058" max="12058" width="5.140625" style="2" hidden="1"/>
    <col min="12059" max="12059" width="5.7109375" style="2" hidden="1"/>
    <col min="12060" max="12060" width="4.7109375" style="2" hidden="1"/>
    <col min="12061" max="12061" width="50.7109375" style="2" hidden="1"/>
    <col min="12062" max="12063" width="9.7109375" style="2" hidden="1"/>
    <col min="12064" max="12064" width="50.7109375" style="2" hidden="1"/>
    <col min="12065" max="12067" width="9.7109375" style="2" hidden="1"/>
    <col min="12068" max="12313" width="11.42578125" style="2" hidden="1"/>
    <col min="12314" max="12314" width="5.140625" style="2" hidden="1"/>
    <col min="12315" max="12315" width="5.7109375" style="2" hidden="1"/>
    <col min="12316" max="12316" width="4.7109375" style="2" hidden="1"/>
    <col min="12317" max="12317" width="50.7109375" style="2" hidden="1"/>
    <col min="12318" max="12319" width="9.7109375" style="2" hidden="1"/>
    <col min="12320" max="12320" width="50.7109375" style="2" hidden="1"/>
    <col min="12321" max="12323" width="9.7109375" style="2" hidden="1"/>
    <col min="12324" max="12569" width="11.42578125" style="2" hidden="1"/>
    <col min="12570" max="12570" width="5.140625" style="2" hidden="1"/>
    <col min="12571" max="12571" width="5.7109375" style="2" hidden="1"/>
    <col min="12572" max="12572" width="4.7109375" style="2" hidden="1"/>
    <col min="12573" max="12573" width="50.7109375" style="2" hidden="1"/>
    <col min="12574" max="12575" width="9.7109375" style="2" hidden="1"/>
    <col min="12576" max="12576" width="50.7109375" style="2" hidden="1"/>
    <col min="12577" max="12579" width="9.7109375" style="2" hidden="1"/>
    <col min="12580" max="12825" width="11.42578125" style="2" hidden="1"/>
    <col min="12826" max="12826" width="5.140625" style="2" hidden="1"/>
    <col min="12827" max="12827" width="5.7109375" style="2" hidden="1"/>
    <col min="12828" max="12828" width="4.7109375" style="2" hidden="1"/>
    <col min="12829" max="12829" width="50.7109375" style="2" hidden="1"/>
    <col min="12830" max="12831" width="9.7109375" style="2" hidden="1"/>
    <col min="12832" max="12832" width="50.7109375" style="2" hidden="1"/>
    <col min="12833" max="12835" width="9.7109375" style="2" hidden="1"/>
    <col min="12836" max="13081" width="11.42578125" style="2" hidden="1"/>
    <col min="13082" max="13082" width="5.140625" style="2" hidden="1"/>
    <col min="13083" max="13083" width="5.7109375" style="2" hidden="1"/>
    <col min="13084" max="13084" width="4.7109375" style="2" hidden="1"/>
    <col min="13085" max="13085" width="50.7109375" style="2" hidden="1"/>
    <col min="13086" max="13087" width="9.7109375" style="2" hidden="1"/>
    <col min="13088" max="13088" width="50.7109375" style="2" hidden="1"/>
    <col min="13089" max="13091" width="9.7109375" style="2" hidden="1"/>
    <col min="13092" max="13337" width="11.42578125" style="2" hidden="1"/>
    <col min="13338" max="13338" width="5.140625" style="2" hidden="1"/>
    <col min="13339" max="13339" width="5.7109375" style="2" hidden="1"/>
    <col min="13340" max="13340" width="4.7109375" style="2" hidden="1"/>
    <col min="13341" max="13341" width="50.7109375" style="2" hidden="1"/>
    <col min="13342" max="13343" width="9.7109375" style="2" hidden="1"/>
    <col min="13344" max="13344" width="50.7109375" style="2" hidden="1"/>
    <col min="13345" max="13347" width="9.7109375" style="2" hidden="1"/>
    <col min="13348" max="13593" width="11.42578125" style="2" hidden="1"/>
    <col min="13594" max="13594" width="5.140625" style="2" hidden="1"/>
    <col min="13595" max="13595" width="5.7109375" style="2" hidden="1"/>
    <col min="13596" max="13596" width="4.7109375" style="2" hidden="1"/>
    <col min="13597" max="13597" width="50.7109375" style="2" hidden="1"/>
    <col min="13598" max="13599" width="9.7109375" style="2" hidden="1"/>
    <col min="13600" max="13600" width="50.7109375" style="2" hidden="1"/>
    <col min="13601" max="13603" width="9.7109375" style="2" hidden="1"/>
    <col min="13604" max="13849" width="11.42578125" style="2" hidden="1"/>
    <col min="13850" max="13850" width="5.140625" style="2" hidden="1"/>
    <col min="13851" max="13851" width="5.7109375" style="2" hidden="1"/>
    <col min="13852" max="13852" width="4.7109375" style="2" hidden="1"/>
    <col min="13853" max="13853" width="50.7109375" style="2" hidden="1"/>
    <col min="13854" max="13855" width="9.7109375" style="2" hidden="1"/>
    <col min="13856" max="13856" width="50.7109375" style="2" hidden="1"/>
    <col min="13857" max="13859" width="9.7109375" style="2" hidden="1"/>
    <col min="13860" max="14105" width="11.42578125" style="2" hidden="1"/>
    <col min="14106" max="14106" width="5.140625" style="2" hidden="1"/>
    <col min="14107" max="14107" width="5.7109375" style="2" hidden="1"/>
    <col min="14108" max="14108" width="4.7109375" style="2" hidden="1"/>
    <col min="14109" max="14109" width="50.7109375" style="2" hidden="1"/>
    <col min="14110" max="14111" width="9.7109375" style="2" hidden="1"/>
    <col min="14112" max="14112" width="50.7109375" style="2" hidden="1"/>
    <col min="14113" max="14115" width="9.7109375" style="2" hidden="1"/>
    <col min="14116" max="14361" width="11.42578125" style="2" hidden="1"/>
    <col min="14362" max="14362" width="5.140625" style="2" hidden="1"/>
    <col min="14363" max="14363" width="5.7109375" style="2" hidden="1"/>
    <col min="14364" max="14364" width="4.7109375" style="2" hidden="1"/>
    <col min="14365" max="14365" width="50.7109375" style="2" hidden="1"/>
    <col min="14366" max="14367" width="9.7109375" style="2" hidden="1"/>
    <col min="14368" max="14368" width="50.7109375" style="2" hidden="1"/>
    <col min="14369" max="14371" width="9.7109375" style="2" hidden="1"/>
    <col min="14372" max="14617" width="11.42578125" style="2" hidden="1"/>
    <col min="14618" max="14618" width="5.140625" style="2" hidden="1"/>
    <col min="14619" max="14619" width="5.7109375" style="2" hidden="1"/>
    <col min="14620" max="14620" width="4.7109375" style="2" hidden="1"/>
    <col min="14621" max="14621" width="50.7109375" style="2" hidden="1"/>
    <col min="14622" max="14623" width="9.7109375" style="2" hidden="1"/>
    <col min="14624" max="14624" width="50.7109375" style="2" hidden="1"/>
    <col min="14625" max="14627" width="9.7109375" style="2" hidden="1"/>
    <col min="14628" max="14873" width="11.42578125" style="2" hidden="1"/>
    <col min="14874" max="14874" width="5.140625" style="2" hidden="1"/>
    <col min="14875" max="14875" width="5.7109375" style="2" hidden="1"/>
    <col min="14876" max="14876" width="4.7109375" style="2" hidden="1"/>
    <col min="14877" max="14877" width="50.7109375" style="2" hidden="1"/>
    <col min="14878" max="14879" width="9.7109375" style="2" hidden="1"/>
    <col min="14880" max="14880" width="50.7109375" style="2" hidden="1"/>
    <col min="14881" max="14883" width="9.7109375" style="2" hidden="1"/>
    <col min="14884" max="15129" width="11.42578125" style="2" hidden="1"/>
    <col min="15130" max="15130" width="5.140625" style="2" hidden="1"/>
    <col min="15131" max="15131" width="5.7109375" style="2" hidden="1"/>
    <col min="15132" max="15132" width="4.7109375" style="2" hidden="1"/>
    <col min="15133" max="15133" width="50.7109375" style="2" hidden="1"/>
    <col min="15134" max="15135" width="9.7109375" style="2" hidden="1"/>
    <col min="15136" max="15136" width="50.7109375" style="2" hidden="1"/>
    <col min="15137" max="15139" width="9.7109375" style="2" hidden="1"/>
    <col min="15140" max="15385" width="11.42578125" style="2" hidden="1"/>
    <col min="15386" max="15386" width="5.140625" style="2" hidden="1"/>
    <col min="15387" max="15387" width="5.7109375" style="2" hidden="1"/>
    <col min="15388" max="15388" width="4.7109375" style="2" hidden="1"/>
    <col min="15389" max="15389" width="50.7109375" style="2" hidden="1"/>
    <col min="15390" max="15391" width="9.7109375" style="2" hidden="1"/>
    <col min="15392" max="15392" width="50.7109375" style="2" hidden="1"/>
    <col min="15393" max="15395" width="9.7109375" style="2" hidden="1"/>
    <col min="15396" max="15641" width="11.42578125" style="2" hidden="1"/>
    <col min="15642" max="15642" width="5.140625" style="2" hidden="1"/>
    <col min="15643" max="15643" width="5.7109375" style="2" hidden="1"/>
    <col min="15644" max="15644" width="4.7109375" style="2" hidden="1"/>
    <col min="15645" max="15645" width="50.7109375" style="2" hidden="1"/>
    <col min="15646" max="15647" width="9.7109375" style="2" hidden="1"/>
    <col min="15648" max="15648" width="50.7109375" style="2" hidden="1"/>
    <col min="15649" max="15651" width="9.7109375" style="2" hidden="1"/>
    <col min="15652" max="15897" width="11.42578125" style="2" hidden="1"/>
    <col min="15898" max="15898" width="5.140625" style="2" hidden="1"/>
    <col min="15899" max="15899" width="5.7109375" style="2" hidden="1"/>
    <col min="15900" max="15900" width="4.7109375" style="2" hidden="1"/>
    <col min="15901" max="15901" width="50.7109375" style="2" hidden="1"/>
    <col min="15902" max="15903" width="9.7109375" style="2" hidden="1"/>
    <col min="15904" max="15904" width="50.7109375" style="2" hidden="1"/>
    <col min="15905" max="15907" width="9.7109375" style="2" hidden="1"/>
    <col min="15908" max="16153" width="11.42578125" style="2" hidden="1"/>
    <col min="16154" max="16154" width="5.140625" style="2" hidden="1"/>
    <col min="16155" max="16155" width="5.7109375" style="2" hidden="1"/>
    <col min="16156" max="16156" width="4.7109375" style="2" hidden="1"/>
    <col min="16157" max="16157" width="50.7109375" style="2" hidden="1"/>
    <col min="16158" max="16159" width="9.7109375" style="2" hidden="1"/>
    <col min="16160" max="16160" width="50.7109375" style="2" hidden="1"/>
    <col min="16161" max="16173" width="9.7109375" style="2" hidden="1"/>
    <col min="16174" max="16384" width="11.42578125" style="2" hidden="1"/>
  </cols>
  <sheetData>
    <row r="1" spans="2:36" ht="11.25" customHeight="1">
      <c r="B1" s="383"/>
      <c r="C1" s="91"/>
      <c r="D1" s="91"/>
      <c r="E1" s="383"/>
      <c r="F1" s="383"/>
      <c r="G1" s="383"/>
      <c r="H1" s="383"/>
      <c r="I1" s="383"/>
      <c r="J1" s="383"/>
      <c r="K1" s="383"/>
      <c r="L1" s="383"/>
      <c r="M1" s="383"/>
      <c r="N1" s="383"/>
      <c r="O1" s="383"/>
      <c r="P1" s="383"/>
      <c r="Q1" s="383"/>
      <c r="R1" s="383"/>
      <c r="S1" s="383"/>
      <c r="T1" s="383"/>
      <c r="U1" s="383"/>
      <c r="V1" s="383"/>
      <c r="W1" s="383"/>
      <c r="X1" s="383"/>
      <c r="Y1" s="91"/>
      <c r="Z1" s="92"/>
      <c r="AA1" s="92"/>
      <c r="AB1" s="92"/>
      <c r="AC1" s="92"/>
      <c r="AD1" s="92"/>
      <c r="AE1" s="92"/>
      <c r="AF1" s="92"/>
      <c r="AG1" s="92"/>
      <c r="AH1" s="92"/>
      <c r="AI1" s="92"/>
      <c r="AJ1" s="92"/>
    </row>
    <row r="2" spans="2:36" ht="18.75" customHeight="1">
      <c r="E2" s="617" t="str">
        <f>+CONCATENATE("16. PLAN DE ESTUDIOS DEL PROGRAMA DE ESTUDIOS DE ",": ",'1.Fundamentos'!F6)</f>
        <v>16. PLAN DE ESTUDIOS DEL PROGRAMA DE ESTUDIOS DE : EDUCACIÓN SECUNDARIA CON ESPECIALIDAD EN INGLÉS</v>
      </c>
      <c r="F2" s="617"/>
      <c r="G2" s="617"/>
      <c r="H2" s="617"/>
      <c r="I2" s="617"/>
      <c r="J2" s="617"/>
      <c r="K2" s="617"/>
      <c r="L2" s="617"/>
      <c r="M2" s="617"/>
      <c r="N2" s="617"/>
      <c r="O2" s="617"/>
      <c r="P2" s="617"/>
      <c r="Q2" s="617"/>
      <c r="R2" s="617"/>
      <c r="S2" s="617"/>
      <c r="T2" s="617"/>
      <c r="U2" s="617"/>
      <c r="V2" s="617"/>
      <c r="W2" s="617"/>
      <c r="X2" s="617"/>
      <c r="Y2" s="617"/>
      <c r="Z2" s="92"/>
      <c r="AA2" s="92"/>
      <c r="AB2" s="92"/>
      <c r="AC2" s="92"/>
      <c r="AD2" s="92"/>
      <c r="AE2" s="92"/>
      <c r="AF2" s="92"/>
      <c r="AG2" s="92"/>
      <c r="AH2" s="92"/>
      <c r="AI2" s="92"/>
      <c r="AJ2" s="92"/>
    </row>
    <row r="3" spans="2:36" ht="9.75" customHeight="1">
      <c r="B3" s="91"/>
      <c r="C3" s="91"/>
      <c r="D3" s="91"/>
      <c r="E3" s="91"/>
      <c r="F3" s="91"/>
      <c r="G3" s="91"/>
      <c r="H3" s="91"/>
      <c r="I3" s="91"/>
      <c r="J3" s="91"/>
      <c r="K3" s="91"/>
      <c r="L3" s="91"/>
      <c r="M3" s="91"/>
      <c r="N3" s="91"/>
      <c r="O3" s="91"/>
      <c r="P3" s="91"/>
      <c r="Q3" s="91"/>
      <c r="R3" s="91"/>
      <c r="S3" s="91"/>
      <c r="T3" s="91"/>
      <c r="U3" s="91"/>
      <c r="V3" s="91"/>
      <c r="W3" s="91"/>
      <c r="X3" s="91"/>
      <c r="Y3" s="91"/>
      <c r="Z3" s="92"/>
      <c r="AA3" s="92"/>
      <c r="AB3" s="92"/>
      <c r="AC3" s="92"/>
      <c r="AD3" s="92"/>
      <c r="AE3" s="92"/>
      <c r="AF3" s="92"/>
      <c r="AG3" s="92"/>
      <c r="AH3" s="92"/>
      <c r="AI3" s="92"/>
      <c r="AJ3" s="92"/>
    </row>
    <row r="4" spans="2:36" ht="16.5" customHeight="1">
      <c r="B4" s="93"/>
      <c r="C4" s="97"/>
      <c r="D4" s="97"/>
      <c r="E4" s="792" t="s">
        <v>351</v>
      </c>
      <c r="F4" s="792"/>
      <c r="G4" s="240">
        <v>16</v>
      </c>
      <c r="H4" s="93"/>
      <c r="I4" s="805" t="s">
        <v>352</v>
      </c>
      <c r="J4" s="805"/>
      <c r="K4" s="805"/>
      <c r="L4" s="805"/>
      <c r="M4" s="240">
        <v>32</v>
      </c>
      <c r="N4" s="94"/>
      <c r="O4" s="286" t="s">
        <v>353</v>
      </c>
      <c r="P4" s="241" t="str">
        <f>+IF(P13&lt;=20%,"PRESENCIAL",IF(P13&lt;=60%,"SEMIPRESENCIAL",IF(P13&lt;=80%,"A DISTANCIA","Error")))</f>
        <v>PRESENCIAL</v>
      </c>
      <c r="Q4" s="93"/>
      <c r="T4" s="91"/>
      <c r="U4" s="91"/>
      <c r="V4" s="91"/>
      <c r="W4" s="95"/>
      <c r="X4" s="95"/>
      <c r="Y4" s="96"/>
      <c r="Z4" s="96"/>
      <c r="AA4" s="96"/>
      <c r="AB4" s="96"/>
      <c r="AC4" s="96"/>
      <c r="AD4" s="96"/>
      <c r="AE4" s="96"/>
      <c r="AF4" s="96"/>
      <c r="AG4" s="96"/>
      <c r="AH4" s="96"/>
      <c r="AI4" s="96"/>
      <c r="AJ4" s="2"/>
    </row>
    <row r="5" spans="2:36" ht="5.25" customHeight="1">
      <c r="B5" s="95"/>
      <c r="C5" s="108"/>
      <c r="D5" s="108"/>
      <c r="E5" s="95"/>
      <c r="F5" s="95"/>
      <c r="G5" s="95"/>
      <c r="H5" s="97"/>
      <c r="I5" s="97"/>
      <c r="J5" s="95"/>
      <c r="K5" s="95"/>
      <c r="L5" s="95"/>
      <c r="M5" s="95"/>
      <c r="N5" s="95"/>
      <c r="O5" s="95"/>
      <c r="P5" s="95"/>
      <c r="Q5" s="95"/>
      <c r="R5" s="95"/>
      <c r="S5" s="95"/>
      <c r="T5" s="95"/>
      <c r="U5" s="91"/>
      <c r="V5" s="91"/>
      <c r="W5" s="91"/>
      <c r="X5" s="95"/>
      <c r="Y5" s="95"/>
      <c r="Z5" s="96"/>
      <c r="AA5" s="96"/>
      <c r="AB5" s="96"/>
      <c r="AC5" s="96"/>
      <c r="AD5" s="96"/>
      <c r="AE5" s="96"/>
      <c r="AF5" s="96"/>
      <c r="AG5" s="96"/>
      <c r="AH5" s="96"/>
      <c r="AI5" s="96"/>
      <c r="AJ5" s="96"/>
    </row>
    <row r="6" spans="2:36" ht="14.25" customHeight="1">
      <c r="B6" s="95"/>
      <c r="C6" s="108"/>
      <c r="D6" s="108"/>
      <c r="E6" s="93"/>
      <c r="F6" s="93"/>
      <c r="G6" s="793" t="s">
        <v>354</v>
      </c>
      <c r="H6" s="794"/>
      <c r="I6" s="794"/>
      <c r="J6" s="794"/>
      <c r="K6" s="804"/>
      <c r="L6" s="793" t="s">
        <v>355</v>
      </c>
      <c r="M6" s="794"/>
      <c r="N6" s="794"/>
      <c r="O6" s="794"/>
      <c r="P6" s="794"/>
      <c r="S6" s="91"/>
      <c r="T6" s="91"/>
      <c r="U6" s="91"/>
      <c r="V6" s="91"/>
      <c r="W6" s="95"/>
      <c r="X6" s="95"/>
      <c r="Y6" s="96"/>
      <c r="Z6" s="96"/>
      <c r="AA6" s="96"/>
      <c r="AB6" s="96"/>
      <c r="AC6" s="96"/>
      <c r="AD6" s="96"/>
      <c r="AE6" s="96"/>
      <c r="AF6" s="96"/>
      <c r="AG6" s="96"/>
      <c r="AH6" s="96"/>
      <c r="AI6" s="96"/>
      <c r="AJ6" s="2"/>
    </row>
    <row r="7" spans="2:36" ht="12.75" customHeight="1">
      <c r="B7" s="95"/>
      <c r="C7" s="108"/>
      <c r="D7" s="108"/>
      <c r="E7" s="95"/>
      <c r="F7" s="283" t="s">
        <v>356</v>
      </c>
      <c r="G7" s="283" t="s">
        <v>357</v>
      </c>
      <c r="H7" s="283" t="s">
        <v>358</v>
      </c>
      <c r="I7" s="279" t="s">
        <v>359</v>
      </c>
      <c r="J7" s="279" t="s">
        <v>360</v>
      </c>
      <c r="K7" s="283" t="s">
        <v>361</v>
      </c>
      <c r="L7" s="279" t="s">
        <v>357</v>
      </c>
      <c r="M7" s="283" t="s">
        <v>358</v>
      </c>
      <c r="N7" s="283" t="s">
        <v>359</v>
      </c>
      <c r="O7" s="283" t="s">
        <v>360</v>
      </c>
      <c r="P7" s="283" t="s">
        <v>362</v>
      </c>
      <c r="T7" s="91"/>
      <c r="U7" s="91"/>
      <c r="V7" s="91"/>
      <c r="W7" s="95"/>
      <c r="X7" s="95"/>
      <c r="Y7" s="96"/>
      <c r="Z7" s="96"/>
      <c r="AA7" s="96"/>
      <c r="AB7" s="96"/>
      <c r="AC7" s="96"/>
      <c r="AD7" s="96"/>
      <c r="AE7" s="96"/>
      <c r="AF7" s="96"/>
      <c r="AG7" s="96"/>
      <c r="AH7" s="96"/>
      <c r="AI7" s="96"/>
      <c r="AJ7" s="2"/>
    </row>
    <row r="8" spans="2:36" ht="12.75" customHeight="1">
      <c r="B8" s="787" t="s">
        <v>363</v>
      </c>
      <c r="C8" s="787"/>
      <c r="D8" s="787"/>
      <c r="E8" s="787"/>
      <c r="F8" s="283">
        <f>SUM(F9:F11)</f>
        <v>55</v>
      </c>
      <c r="G8" s="283">
        <f>SUM(G9:G11)</f>
        <v>2278</v>
      </c>
      <c r="H8" s="283">
        <f>SUM(H9:H11)</f>
        <v>1828</v>
      </c>
      <c r="I8" s="279">
        <f>SUM(I9:I11)</f>
        <v>16</v>
      </c>
      <c r="J8" s="279">
        <f t="shared" ref="J8:J15" si="0">SUM(G8:I8)</f>
        <v>4122</v>
      </c>
      <c r="K8" s="98">
        <f>IFERROR(SUM(K9:K11),"")</f>
        <v>1</v>
      </c>
      <c r="L8" s="266">
        <f>SUM(L9:L11)</f>
        <v>142.375</v>
      </c>
      <c r="M8" s="231">
        <f>SUM(M9:M11)</f>
        <v>57.125</v>
      </c>
      <c r="N8" s="231">
        <f>SUM(N9:N11)</f>
        <v>0.5</v>
      </c>
      <c r="O8" s="231">
        <f t="shared" ref="O8:O15" si="1">SUM(L8:N8)</f>
        <v>200</v>
      </c>
      <c r="P8" s="232">
        <f>IFERROR(SUM(P9:P11),0)</f>
        <v>1</v>
      </c>
      <c r="T8" s="91"/>
      <c r="U8" s="91"/>
      <c r="V8" s="91"/>
      <c r="W8" s="95"/>
      <c r="X8" s="95"/>
      <c r="Y8" s="99"/>
      <c r="Z8" s="99"/>
      <c r="AA8" s="99"/>
      <c r="AB8" s="99"/>
      <c r="AC8" s="99"/>
      <c r="AD8" s="99"/>
      <c r="AE8" s="99"/>
      <c r="AF8" s="99"/>
      <c r="AG8" s="99"/>
      <c r="AH8" s="99"/>
      <c r="AI8" s="99"/>
      <c r="AJ8" s="2"/>
    </row>
    <row r="9" spans="2:36" ht="12.75">
      <c r="B9" s="795" t="s">
        <v>364</v>
      </c>
      <c r="C9" s="796"/>
      <c r="D9" s="797"/>
      <c r="E9" s="100" t="s">
        <v>247</v>
      </c>
      <c r="F9" s="284">
        <f>COUNTIF($G$19:$G$171,E9)</f>
        <v>9</v>
      </c>
      <c r="G9" s="265" cm="1">
        <f t="array" ref="G9" xml:space="preserve"> SUM(($J$19:$J$171+$K$19:$K$171)*(--($G$19:$G$171=E9)))</f>
        <v>502</v>
      </c>
      <c r="H9" s="233" cm="1">
        <f t="array" ref="H9" xml:space="preserve"> SUM(($L$19:$L$171+$M$19:$M$171)*(--($G$19:$G$171=E9)))</f>
        <v>100</v>
      </c>
      <c r="I9" s="280" cm="1">
        <f t="array" ref="I9" xml:space="preserve"> SUM(($N$19:$N$171+$O$19:$O$171)*(--($G$19:$G$171=E9)))</f>
        <v>16</v>
      </c>
      <c r="J9" s="280">
        <f t="shared" si="0"/>
        <v>618</v>
      </c>
      <c r="K9" s="101">
        <f>IFERROR(+J9/J8,"0")</f>
        <v>0.14992721979621543</v>
      </c>
      <c r="L9" s="267">
        <f>G9/$G$4</f>
        <v>31.375</v>
      </c>
      <c r="M9" s="234">
        <f t="shared" ref="M9:N15" si="2">+H9/$M$4</f>
        <v>3.125</v>
      </c>
      <c r="N9" s="234">
        <f t="shared" si="2"/>
        <v>0.5</v>
      </c>
      <c r="O9" s="234">
        <f t="shared" si="1"/>
        <v>35</v>
      </c>
      <c r="P9" s="102">
        <f>IFERROR(+O9/O8,0)</f>
        <v>0.17499999999999999</v>
      </c>
      <c r="Q9" s="103" t="str">
        <f>+IF(O9&lt;35,"El programa debe tener como mínimo 35 créditos de estudios Generales","")</f>
        <v/>
      </c>
      <c r="U9" s="103"/>
      <c r="V9" s="103"/>
      <c r="W9" s="95"/>
      <c r="X9" s="95"/>
      <c r="Y9" s="99"/>
      <c r="Z9" s="99"/>
      <c r="AA9" s="99"/>
      <c r="AB9" s="99"/>
      <c r="AC9" s="99"/>
      <c r="AD9" s="99"/>
      <c r="AE9" s="99"/>
      <c r="AF9" s="99"/>
      <c r="AG9" s="99"/>
      <c r="AH9" s="99"/>
      <c r="AI9" s="99"/>
      <c r="AJ9" s="2"/>
    </row>
    <row r="10" spans="2:36" ht="12.75">
      <c r="B10" s="798"/>
      <c r="C10" s="799"/>
      <c r="D10" s="800"/>
      <c r="E10" s="104" t="s">
        <v>241</v>
      </c>
      <c r="F10" s="235">
        <f>COUNTIF($G$19:$G$171,E10)</f>
        <v>10</v>
      </c>
      <c r="G10" s="265" cm="1">
        <f t="array" ref="G10" xml:space="preserve"> SUM(($J$19:$J$171+$K$19:$K$171)*(--($G$19:$G$171=E10)))</f>
        <v>488</v>
      </c>
      <c r="H10" s="236" cm="1">
        <f t="array" ref="H10" xml:space="preserve"> SUM(($L$19:$L$171+$M$19:$M$171)*(--($G$19:$G$171=E10)))</f>
        <v>272</v>
      </c>
      <c r="I10" s="281" cm="1">
        <f t="array" ref="I10" xml:space="preserve"> SUM(($N$19:$N$171+$O$19:$O$171)*(--($G$19:$G$171=E10)))</f>
        <v>0</v>
      </c>
      <c r="J10" s="281">
        <f t="shared" si="0"/>
        <v>760</v>
      </c>
      <c r="K10" s="105">
        <f>IFERROR(+J10/J8,"0")</f>
        <v>0.1843765162542455</v>
      </c>
      <c r="L10" s="268">
        <f t="shared" ref="L10:L15" si="3">+G10/$G$4</f>
        <v>30.5</v>
      </c>
      <c r="M10" s="237">
        <f t="shared" si="2"/>
        <v>8.5</v>
      </c>
      <c r="N10" s="237">
        <f t="shared" si="2"/>
        <v>0</v>
      </c>
      <c r="O10" s="237">
        <f t="shared" si="1"/>
        <v>39</v>
      </c>
      <c r="P10" s="105">
        <f>IFERROR(+O10/O8,0)</f>
        <v>0.19500000000000001</v>
      </c>
      <c r="Q10" s="103" t="str">
        <f>+IF(O10+O11&lt;65,"El programa debe tener como mínimo 65 créditos de estudios especifícos y de especialidad","")</f>
        <v/>
      </c>
      <c r="U10" s="103"/>
      <c r="V10" s="103"/>
      <c r="W10" s="95"/>
      <c r="X10" s="95"/>
      <c r="Y10" s="99"/>
      <c r="Z10" s="99"/>
      <c r="AA10" s="99"/>
      <c r="AB10" s="99"/>
      <c r="AC10" s="99"/>
      <c r="AD10" s="99"/>
      <c r="AE10" s="99"/>
      <c r="AF10" s="99"/>
      <c r="AG10" s="99"/>
      <c r="AH10" s="99"/>
      <c r="AI10" s="99"/>
      <c r="AJ10" s="2"/>
    </row>
    <row r="11" spans="2:36" ht="12.75" customHeight="1">
      <c r="B11" s="801"/>
      <c r="C11" s="802"/>
      <c r="D11" s="803"/>
      <c r="E11" s="106" t="s">
        <v>256</v>
      </c>
      <c r="F11" s="285">
        <f>COUNTIF($G$19:$G$171,E11)</f>
        <v>36</v>
      </c>
      <c r="G11" s="265" cm="1">
        <f t="array" ref="G11" xml:space="preserve"> SUM(($J$19:$J$171+$K$19:$K$171)*(--($G$19:$G$171=E11)))</f>
        <v>1288</v>
      </c>
      <c r="H11" s="238" cm="1">
        <f t="array" ref="H11" xml:space="preserve"> SUM(($L$19:$L$171+$M$19:$M$171)*(--($G$19:$G$171=E11)))</f>
        <v>1456</v>
      </c>
      <c r="I11" s="282" cm="1">
        <f t="array" ref="I11" xml:space="preserve"> SUM(($N$19:$N$171+$O$19:$O$171)*(--($G$19:$G$171=E11)))</f>
        <v>0</v>
      </c>
      <c r="J11" s="282">
        <f t="shared" si="0"/>
        <v>2744</v>
      </c>
      <c r="K11" s="107">
        <f>IFERROR(+J11/J8,"0")</f>
        <v>0.66569626394953907</v>
      </c>
      <c r="L11" s="269">
        <f t="shared" si="3"/>
        <v>80.5</v>
      </c>
      <c r="M11" s="239">
        <f t="shared" si="2"/>
        <v>45.5</v>
      </c>
      <c r="N11" s="239">
        <f t="shared" si="2"/>
        <v>0</v>
      </c>
      <c r="O11" s="239">
        <f t="shared" si="1"/>
        <v>126</v>
      </c>
      <c r="P11" s="107">
        <f>IFERROR(+O11/O8,0)</f>
        <v>0.63</v>
      </c>
      <c r="T11" s="91"/>
      <c r="U11" s="91"/>
      <c r="V11" s="91"/>
      <c r="W11" s="108"/>
      <c r="X11" s="108"/>
      <c r="Y11" s="99"/>
      <c r="Z11" s="99"/>
      <c r="AA11" s="99"/>
      <c r="AB11" s="99"/>
      <c r="AC11" s="99"/>
      <c r="AD11" s="99"/>
      <c r="AE11" s="99"/>
      <c r="AF11" s="99"/>
      <c r="AG11" s="99"/>
      <c r="AH11" s="99"/>
      <c r="AI11" s="99"/>
      <c r="AJ11" s="2"/>
    </row>
    <row r="12" spans="2:36" ht="12.75" customHeight="1">
      <c r="B12" s="795" t="s">
        <v>353</v>
      </c>
      <c r="C12" s="796"/>
      <c r="D12" s="797"/>
      <c r="E12" s="100" t="s">
        <v>243</v>
      </c>
      <c r="F12" s="788"/>
      <c r="G12" s="233">
        <f>+J29+J40+J51+J62+J73+J84+J95+J106+J117+J128+J139+J150+J161+J172</f>
        <v>2278</v>
      </c>
      <c r="H12" s="233">
        <f>+L29+L40+L51+L62+L73+L84+L95+L106+L117+L128+L139+L150+L161+L172</f>
        <v>1828</v>
      </c>
      <c r="I12" s="280">
        <f>+N29+N40+N51+N62+N73+N84+N95+N106+N117+N128+N139+N150+N161+N172</f>
        <v>16</v>
      </c>
      <c r="J12" s="280">
        <f t="shared" si="0"/>
        <v>4122</v>
      </c>
      <c r="K12" s="101">
        <f>IFERROR(+J12/J8,"0")</f>
        <v>1</v>
      </c>
      <c r="L12" s="267">
        <f t="shared" si="3"/>
        <v>142.375</v>
      </c>
      <c r="M12" s="234">
        <f t="shared" si="2"/>
        <v>57.125</v>
      </c>
      <c r="N12" s="234">
        <f t="shared" si="2"/>
        <v>0.5</v>
      </c>
      <c r="O12" s="234">
        <f t="shared" si="1"/>
        <v>200</v>
      </c>
      <c r="P12" s="101">
        <f>IFERROR(+O12/O8,0)</f>
        <v>1</v>
      </c>
      <c r="T12" s="91"/>
      <c r="U12" s="91"/>
      <c r="V12" s="91"/>
      <c r="W12" s="108"/>
      <c r="X12" s="108"/>
      <c r="Y12" s="99"/>
      <c r="Z12" s="99"/>
      <c r="AA12" s="99"/>
      <c r="AB12" s="99"/>
      <c r="AC12" s="99"/>
      <c r="AD12" s="99"/>
      <c r="AE12" s="99"/>
      <c r="AF12" s="99"/>
      <c r="AG12" s="99"/>
      <c r="AH12" s="99"/>
      <c r="AI12" s="99"/>
      <c r="AJ12" s="2"/>
    </row>
    <row r="13" spans="2:36" ht="12.75" customHeight="1">
      <c r="B13" s="801"/>
      <c r="C13" s="802"/>
      <c r="D13" s="803"/>
      <c r="E13" s="106" t="s">
        <v>365</v>
      </c>
      <c r="F13" s="789"/>
      <c r="G13" s="238">
        <f>+K29+K40+K51+K62+K73+K84+K95+K106+K117+K128+K139+K150+K161+K172</f>
        <v>0</v>
      </c>
      <c r="H13" s="238">
        <f>+M29+M40+M51+M62+M73+M84+M95+M106+M117+M128+M139+M150+M161+M172</f>
        <v>0</v>
      </c>
      <c r="I13" s="282">
        <f>+O29+O40+O51+O62+O73+O84+O95+O106+O117+O128+O139+O150+O161+O172</f>
        <v>0</v>
      </c>
      <c r="J13" s="282">
        <f t="shared" si="0"/>
        <v>0</v>
      </c>
      <c r="K13" s="107">
        <f>IFERROR(+J13/J8,"0")</f>
        <v>0</v>
      </c>
      <c r="L13" s="269">
        <f t="shared" si="3"/>
        <v>0</v>
      </c>
      <c r="M13" s="239">
        <f t="shared" si="2"/>
        <v>0</v>
      </c>
      <c r="N13" s="239">
        <f t="shared" si="2"/>
        <v>0</v>
      </c>
      <c r="O13" s="239">
        <f t="shared" si="1"/>
        <v>0</v>
      </c>
      <c r="P13" s="107">
        <f>IFERROR(+O13/O8,0)</f>
        <v>0</v>
      </c>
      <c r="T13" s="91"/>
      <c r="U13" s="91"/>
      <c r="V13" s="91"/>
      <c r="W13" s="108"/>
      <c r="X13" s="108"/>
      <c r="Y13" s="99"/>
      <c r="Z13" s="99"/>
      <c r="AA13" s="99"/>
      <c r="AB13" s="99"/>
      <c r="AC13" s="99"/>
      <c r="AD13" s="99"/>
      <c r="AE13" s="99"/>
      <c r="AF13" s="99"/>
      <c r="AG13" s="99"/>
      <c r="AH13" s="99"/>
      <c r="AI13" s="99"/>
      <c r="AJ13" s="2"/>
    </row>
    <row r="14" spans="2:36" ht="12.75" customHeight="1">
      <c r="B14" s="795" t="s">
        <v>149</v>
      </c>
      <c r="C14" s="796"/>
      <c r="D14" s="797"/>
      <c r="E14" s="100" t="s">
        <v>242</v>
      </c>
      <c r="F14" s="284">
        <f>COUNTIF($H$19:$H$171,E14)</f>
        <v>51</v>
      </c>
      <c r="G14" s="233" cm="1">
        <f t="array" ref="G14" xml:space="preserve"> SUM(($J$19:$J$171+$K$19:$K$171)*(--($H$19:$H$171=E14)))</f>
        <v>2022</v>
      </c>
      <c r="H14" s="233" cm="1">
        <f t="array" ref="H14" xml:space="preserve"> SUM(($L$19:$L$171+$M$19:$M$171)*(--($H$19:$H$171=E14)))</f>
        <v>1828</v>
      </c>
      <c r="I14" s="280" cm="1">
        <f t="array" ref="I14" xml:space="preserve"> SUM(($N$19:$N$171+$O$19:$O$171)*(--($H$19:$H$171=E14)))</f>
        <v>16</v>
      </c>
      <c r="J14" s="280">
        <f t="shared" si="0"/>
        <v>3866</v>
      </c>
      <c r="K14" s="101">
        <f>IFERROR(+J14/J8,"0")</f>
        <v>0.93789422610383311</v>
      </c>
      <c r="L14" s="267">
        <f t="shared" si="3"/>
        <v>126.375</v>
      </c>
      <c r="M14" s="234">
        <f t="shared" si="2"/>
        <v>57.125</v>
      </c>
      <c r="N14" s="234">
        <f t="shared" si="2"/>
        <v>0.5</v>
      </c>
      <c r="O14" s="234">
        <f t="shared" si="1"/>
        <v>184</v>
      </c>
      <c r="P14" s="101">
        <f>IFERROR(+O14/O8,0)</f>
        <v>0.92</v>
      </c>
      <c r="T14" s="91"/>
      <c r="U14" s="91"/>
      <c r="V14" s="91"/>
      <c r="W14" s="108"/>
      <c r="X14" s="108"/>
      <c r="Y14" s="99"/>
      <c r="Z14" s="99"/>
      <c r="AA14" s="99"/>
      <c r="AB14" s="99"/>
      <c r="AC14" s="99"/>
      <c r="AD14" s="99"/>
      <c r="AE14" s="99"/>
      <c r="AF14" s="99"/>
      <c r="AG14" s="99"/>
      <c r="AH14" s="99"/>
      <c r="AI14" s="99"/>
      <c r="AJ14" s="2"/>
    </row>
    <row r="15" spans="2:36" ht="12.75" customHeight="1">
      <c r="B15" s="801"/>
      <c r="C15" s="802"/>
      <c r="D15" s="803"/>
      <c r="E15" s="106" t="s">
        <v>151</v>
      </c>
      <c r="F15" s="285">
        <f>COUNTIF($H$19:$H$171,E15)</f>
        <v>4</v>
      </c>
      <c r="G15" s="238" cm="1">
        <f t="array" ref="G15" xml:space="preserve"> SUM(($J$19:$J$171+$K$19:$K$171)*(--($H$19:$H$171=E15)))</f>
        <v>256</v>
      </c>
      <c r="H15" s="238" cm="1">
        <f t="array" ref="H15" xml:space="preserve"> SUM(($L$19:$L$171+$M$19:$M$171)*(--($H$19:$H$171=E15)))</f>
        <v>0</v>
      </c>
      <c r="I15" s="282" cm="1">
        <f t="array" ref="I15" xml:space="preserve"> SUM(($N$19:$N$171+$O$19:$O$171)*(--($H$19:$H$171=E15)))</f>
        <v>0</v>
      </c>
      <c r="J15" s="282">
        <f t="shared" si="0"/>
        <v>256</v>
      </c>
      <c r="K15" s="107">
        <f>IFERROR(+J15/J8,"0")</f>
        <v>6.2105773896166908E-2</v>
      </c>
      <c r="L15" s="269">
        <f t="shared" si="3"/>
        <v>16</v>
      </c>
      <c r="M15" s="239">
        <f t="shared" si="2"/>
        <v>0</v>
      </c>
      <c r="N15" s="239">
        <f t="shared" si="2"/>
        <v>0</v>
      </c>
      <c r="O15" s="239">
        <f t="shared" si="1"/>
        <v>16</v>
      </c>
      <c r="P15" s="107">
        <f>IFERROR(+O15/O8,0)</f>
        <v>0.08</v>
      </c>
      <c r="T15" s="91"/>
      <c r="U15" s="91"/>
      <c r="V15" s="91"/>
      <c r="W15" s="108"/>
      <c r="X15" s="108"/>
      <c r="Y15" s="99"/>
      <c r="Z15" s="99"/>
      <c r="AA15" s="99"/>
      <c r="AB15" s="99"/>
      <c r="AC15" s="99"/>
      <c r="AD15" s="99"/>
      <c r="AE15" s="99"/>
      <c r="AF15" s="99"/>
      <c r="AG15" s="99"/>
      <c r="AH15" s="99"/>
      <c r="AI15" s="99"/>
      <c r="AJ15" s="2"/>
    </row>
    <row r="16" spans="2:36" ht="6.75" customHeight="1" thickBot="1">
      <c r="B16" s="108"/>
      <c r="C16" s="108"/>
      <c r="D16" s="108"/>
      <c r="E16" s="108"/>
      <c r="F16" s="108"/>
      <c r="G16" s="108"/>
      <c r="H16" s="108"/>
      <c r="I16" s="108"/>
      <c r="J16" s="108"/>
      <c r="K16" s="108"/>
      <c r="L16" s="108"/>
      <c r="M16" s="108"/>
      <c r="N16" s="108"/>
      <c r="O16" s="108"/>
      <c r="P16" s="108"/>
      <c r="Q16" s="108"/>
      <c r="R16" s="108"/>
      <c r="S16" s="108"/>
      <c r="T16" s="108"/>
      <c r="U16" s="91"/>
      <c r="V16" s="91"/>
      <c r="W16" s="91"/>
      <c r="X16" s="108"/>
      <c r="Y16" s="108"/>
      <c r="Z16" s="99"/>
      <c r="AA16" s="99"/>
      <c r="AB16" s="99"/>
      <c r="AC16" s="99"/>
      <c r="AD16" s="99"/>
      <c r="AE16" s="99"/>
      <c r="AF16" s="99"/>
      <c r="AG16" s="99"/>
      <c r="AH16" s="99"/>
      <c r="AI16" s="99"/>
      <c r="AJ16" s="99"/>
    </row>
    <row r="17" spans="2:36" ht="30" customHeight="1" thickBot="1">
      <c r="B17" s="109"/>
      <c r="C17" s="110"/>
      <c r="D17" s="110"/>
      <c r="E17" s="93"/>
      <c r="F17" s="93"/>
      <c r="G17" s="111"/>
      <c r="H17" s="93"/>
      <c r="I17" s="110"/>
      <c r="J17" s="791" t="s">
        <v>366</v>
      </c>
      <c r="K17" s="791"/>
      <c r="L17" s="791" t="s">
        <v>367</v>
      </c>
      <c r="M17" s="791"/>
      <c r="N17" s="791" t="s">
        <v>368</v>
      </c>
      <c r="O17" s="791"/>
      <c r="P17" s="93"/>
      <c r="Q17" s="93"/>
      <c r="R17" s="93"/>
      <c r="S17" s="93"/>
      <c r="T17" s="93"/>
      <c r="U17" s="93"/>
      <c r="V17" s="93"/>
      <c r="W17" s="93"/>
      <c r="X17" s="110"/>
      <c r="Y17" s="110"/>
      <c r="Z17" s="112"/>
      <c r="AA17" s="783" t="s">
        <v>369</v>
      </c>
      <c r="AB17" s="784"/>
      <c r="AC17" s="784"/>
      <c r="AD17" s="784"/>
      <c r="AE17" s="784"/>
      <c r="AF17" s="784"/>
      <c r="AG17" s="784"/>
      <c r="AH17" s="784"/>
      <c r="AI17" s="785"/>
      <c r="AJ17" s="112"/>
    </row>
    <row r="18" spans="2:36" ht="27" customHeight="1" thickBot="1">
      <c r="B18" s="595" t="s">
        <v>224</v>
      </c>
      <c r="C18" s="596" t="s">
        <v>226</v>
      </c>
      <c r="D18" s="596" t="s">
        <v>370</v>
      </c>
      <c r="E18" s="597" t="s">
        <v>371</v>
      </c>
      <c r="F18" s="597" t="s">
        <v>372</v>
      </c>
      <c r="G18" s="597" t="s">
        <v>228</v>
      </c>
      <c r="H18" s="597" t="s">
        <v>229</v>
      </c>
      <c r="I18" s="597" t="s">
        <v>373</v>
      </c>
      <c r="J18" s="597" t="s">
        <v>243</v>
      </c>
      <c r="K18" s="597" t="s">
        <v>365</v>
      </c>
      <c r="L18" s="597" t="s">
        <v>243</v>
      </c>
      <c r="M18" s="597" t="s">
        <v>365</v>
      </c>
      <c r="N18" s="597" t="s">
        <v>243</v>
      </c>
      <c r="O18" s="597" t="s">
        <v>365</v>
      </c>
      <c r="P18" s="597" t="s">
        <v>233</v>
      </c>
      <c r="Q18" s="597" t="s">
        <v>374</v>
      </c>
      <c r="R18" s="790" t="s">
        <v>375</v>
      </c>
      <c r="S18" s="790"/>
      <c r="T18" s="790"/>
      <c r="U18" s="790"/>
      <c r="V18" s="790"/>
      <c r="W18" s="790"/>
      <c r="X18" s="597" t="s">
        <v>376</v>
      </c>
      <c r="Y18" s="597" t="s">
        <v>377</v>
      </c>
      <c r="Z18" s="598"/>
      <c r="AA18" s="782" t="s">
        <v>378</v>
      </c>
      <c r="AB18" s="782"/>
      <c r="AC18" s="782" t="s">
        <v>379</v>
      </c>
      <c r="AD18" s="782"/>
      <c r="AE18" s="782" t="s">
        <v>380</v>
      </c>
      <c r="AF18" s="782"/>
      <c r="AG18" s="782" t="s">
        <v>381</v>
      </c>
      <c r="AH18" s="782"/>
      <c r="AI18" s="782" t="s">
        <v>382</v>
      </c>
      <c r="AJ18" s="782"/>
    </row>
    <row r="19" spans="2:36" ht="24.95" customHeight="1">
      <c r="B19" s="119">
        <v>1</v>
      </c>
      <c r="C19" s="119" t="s">
        <v>239</v>
      </c>
      <c r="D19" s="119">
        <v>91615</v>
      </c>
      <c r="E19" s="199" t="s">
        <v>240</v>
      </c>
      <c r="F19" s="199" t="s">
        <v>383</v>
      </c>
      <c r="G19" s="287" t="s">
        <v>241</v>
      </c>
      <c r="H19" s="287" t="s">
        <v>242</v>
      </c>
      <c r="I19" s="306" t="str">
        <f>IFERROR(IF(E19="","",IF((K19+M19+O19)/SUM(J19:O19)&lt;=0.2,"Presencial",IF((K19+M19+O19)/SUM(J19:O19)&lt;=0.7,"Semipresencial","A distancia"))),"")</f>
        <v>Presencial</v>
      </c>
      <c r="J19" s="255">
        <v>64</v>
      </c>
      <c r="K19" s="256">
        <v>0</v>
      </c>
      <c r="L19" s="255">
        <v>0</v>
      </c>
      <c r="M19" s="256">
        <v>0</v>
      </c>
      <c r="N19" s="255">
        <v>0</v>
      </c>
      <c r="O19" s="256">
        <v>0</v>
      </c>
      <c r="P19" s="600">
        <f t="shared" ref="P19:P28" si="4">+SUM(J19:K19)/$G$4+SUM(L19:M19)/$M$4+SUM(N19:O19)/$M$4</f>
        <v>4</v>
      </c>
      <c r="Q19" s="288">
        <f>IF(P19=0,"",P19*32)</f>
        <v>128</v>
      </c>
      <c r="R19" s="199"/>
      <c r="S19" s="199"/>
      <c r="T19" s="199"/>
      <c r="U19" s="199"/>
      <c r="V19" s="199"/>
      <c r="W19" s="199"/>
      <c r="X19" s="119"/>
      <c r="Y19" s="119"/>
      <c r="Z19" s="120"/>
      <c r="AA19" s="196" t="s">
        <v>384</v>
      </c>
      <c r="AB19" s="196"/>
      <c r="AC19" s="196"/>
      <c r="AD19" s="196"/>
      <c r="AE19" s="196"/>
      <c r="AF19" s="196"/>
      <c r="AG19" s="196"/>
      <c r="AH19" s="196"/>
      <c r="AI19" s="196"/>
      <c r="AJ19" s="120"/>
    </row>
    <row r="20" spans="2:36" ht="24.95" customHeight="1">
      <c r="B20" s="121">
        <v>1</v>
      </c>
      <c r="C20" s="121" t="s">
        <v>245</v>
      </c>
      <c r="D20" s="121">
        <v>91627</v>
      </c>
      <c r="E20" s="122" t="s">
        <v>246</v>
      </c>
      <c r="F20" s="122" t="s">
        <v>385</v>
      </c>
      <c r="G20" s="123" t="s">
        <v>247</v>
      </c>
      <c r="H20" s="123" t="s">
        <v>242</v>
      </c>
      <c r="I20" s="306" t="str">
        <f t="shared" ref="I20:I28" si="5">IFERROR(IF(E20="","",IF((K20+M20+O20)/SUM(J20:O20)&lt;=0.2,"Presencial",IF((K20+M20+O20)/SUM(J20:O20)&lt;=0.7,"Semipresencial","A distancia"))),"")</f>
        <v>Presencial</v>
      </c>
      <c r="J20" s="124">
        <v>64</v>
      </c>
      <c r="K20" s="125">
        <v>0</v>
      </c>
      <c r="L20" s="124">
        <v>0</v>
      </c>
      <c r="M20" s="125">
        <v>0</v>
      </c>
      <c r="N20" s="124">
        <v>0</v>
      </c>
      <c r="O20" s="125">
        <v>0</v>
      </c>
      <c r="P20" s="601">
        <f t="shared" si="4"/>
        <v>4</v>
      </c>
      <c r="Q20" s="252">
        <f t="shared" ref="Q20:Q28" si="6">IF(P20=0,"",P20*32)</f>
        <v>128</v>
      </c>
      <c r="R20" s="122"/>
      <c r="S20" s="122"/>
      <c r="T20" s="122"/>
      <c r="U20" s="122"/>
      <c r="V20" s="122"/>
      <c r="W20" s="122"/>
      <c r="X20" s="121"/>
      <c r="Y20" s="119"/>
      <c r="Z20" s="120"/>
      <c r="AA20" s="197" t="s">
        <v>386</v>
      </c>
      <c r="AB20" s="197"/>
      <c r="AC20" s="197"/>
      <c r="AD20" s="197"/>
      <c r="AE20" s="197"/>
      <c r="AF20" s="197"/>
      <c r="AG20" s="197"/>
      <c r="AH20" s="197"/>
      <c r="AI20" s="197"/>
      <c r="AJ20" s="120"/>
    </row>
    <row r="21" spans="2:36" ht="24.95" customHeight="1">
      <c r="B21" s="121">
        <v>1</v>
      </c>
      <c r="C21" s="121" t="s">
        <v>248</v>
      </c>
      <c r="D21" s="121">
        <v>91643</v>
      </c>
      <c r="E21" s="122" t="s">
        <v>249</v>
      </c>
      <c r="F21" s="122" t="s">
        <v>387</v>
      </c>
      <c r="G21" s="123" t="s">
        <v>241</v>
      </c>
      <c r="H21" s="123" t="s">
        <v>242</v>
      </c>
      <c r="I21" s="306" t="str">
        <f t="shared" si="5"/>
        <v>Presencial</v>
      </c>
      <c r="J21" s="124">
        <v>36</v>
      </c>
      <c r="K21" s="125">
        <v>0</v>
      </c>
      <c r="L21" s="124">
        <v>56</v>
      </c>
      <c r="M21" s="125">
        <v>0</v>
      </c>
      <c r="N21" s="124">
        <v>0</v>
      </c>
      <c r="O21" s="125">
        <v>0</v>
      </c>
      <c r="P21" s="601">
        <f t="shared" si="4"/>
        <v>4</v>
      </c>
      <c r="Q21" s="252">
        <f t="shared" si="6"/>
        <v>128</v>
      </c>
      <c r="R21" s="122" t="s">
        <v>388</v>
      </c>
      <c r="S21" s="122"/>
      <c r="T21" s="122"/>
      <c r="U21" s="122"/>
      <c r="V21" s="122"/>
      <c r="W21" s="122"/>
      <c r="X21" s="121"/>
      <c r="Y21" s="119"/>
      <c r="Z21" s="120"/>
      <c r="AA21" s="197" t="s">
        <v>389</v>
      </c>
      <c r="AB21" s="197"/>
      <c r="AC21" s="197"/>
      <c r="AD21" s="197"/>
      <c r="AE21" s="197"/>
      <c r="AF21" s="197"/>
      <c r="AG21" s="197"/>
      <c r="AH21" s="197"/>
      <c r="AI21" s="197"/>
      <c r="AJ21" s="120"/>
    </row>
    <row r="22" spans="2:36" ht="24.95" customHeight="1">
      <c r="B22" s="121">
        <v>1</v>
      </c>
      <c r="C22" s="121" t="s">
        <v>250</v>
      </c>
      <c r="D22" s="121">
        <v>91630</v>
      </c>
      <c r="E22" s="122" t="s">
        <v>251</v>
      </c>
      <c r="F22" s="122" t="s">
        <v>390</v>
      </c>
      <c r="G22" s="123" t="s">
        <v>247</v>
      </c>
      <c r="H22" s="123" t="s">
        <v>242</v>
      </c>
      <c r="I22" s="306" t="str">
        <f t="shared" si="5"/>
        <v>Presencial</v>
      </c>
      <c r="J22" s="124">
        <v>64</v>
      </c>
      <c r="K22" s="125">
        <v>0</v>
      </c>
      <c r="L22" s="124">
        <v>0</v>
      </c>
      <c r="M22" s="125">
        <v>0</v>
      </c>
      <c r="N22" s="124">
        <v>0</v>
      </c>
      <c r="O22" s="125">
        <v>0</v>
      </c>
      <c r="P22" s="601">
        <f t="shared" si="4"/>
        <v>4</v>
      </c>
      <c r="Q22" s="252">
        <f t="shared" si="6"/>
        <v>128</v>
      </c>
      <c r="R22" s="122" t="s">
        <v>391</v>
      </c>
      <c r="S22" s="122"/>
      <c r="T22" s="122"/>
      <c r="U22" s="122"/>
      <c r="V22" s="122"/>
      <c r="W22" s="122"/>
      <c r="X22" s="121"/>
      <c r="Y22" s="119"/>
      <c r="Z22" s="120"/>
      <c r="AA22" s="197" t="s">
        <v>392</v>
      </c>
      <c r="AB22" s="197"/>
      <c r="AC22" s="197"/>
      <c r="AD22" s="197"/>
      <c r="AE22" s="197"/>
      <c r="AF22" s="197"/>
      <c r="AG22" s="197"/>
      <c r="AH22" s="197"/>
      <c r="AI22" s="197"/>
      <c r="AJ22" s="120"/>
    </row>
    <row r="23" spans="2:36" ht="24.95" customHeight="1">
      <c r="B23" s="121">
        <v>1</v>
      </c>
      <c r="C23" s="130" t="s">
        <v>252</v>
      </c>
      <c r="D23" s="130">
        <v>91631</v>
      </c>
      <c r="E23" s="127" t="s">
        <v>253</v>
      </c>
      <c r="F23" s="122" t="s">
        <v>393</v>
      </c>
      <c r="G23" s="123" t="s">
        <v>247</v>
      </c>
      <c r="H23" s="123" t="s">
        <v>242</v>
      </c>
      <c r="I23" s="306" t="str">
        <f t="shared" si="5"/>
        <v>Presencial</v>
      </c>
      <c r="J23" s="124">
        <v>64</v>
      </c>
      <c r="K23" s="125">
        <v>0</v>
      </c>
      <c r="L23" s="124">
        <v>0</v>
      </c>
      <c r="M23" s="125">
        <v>0</v>
      </c>
      <c r="N23" s="124">
        <v>0</v>
      </c>
      <c r="O23" s="125">
        <v>0</v>
      </c>
      <c r="P23" s="601">
        <f t="shared" si="4"/>
        <v>4</v>
      </c>
      <c r="Q23" s="253">
        <f t="shared" si="6"/>
        <v>128</v>
      </c>
      <c r="R23" s="122" t="s">
        <v>394</v>
      </c>
      <c r="S23" s="122"/>
      <c r="T23" s="122"/>
      <c r="U23" s="122"/>
      <c r="V23" s="127"/>
      <c r="W23" s="127"/>
      <c r="X23" s="130"/>
      <c r="Y23" s="119"/>
      <c r="Z23" s="120"/>
      <c r="AA23" s="197" t="s">
        <v>392</v>
      </c>
      <c r="AB23" s="197"/>
      <c r="AC23" s="197"/>
      <c r="AD23" s="197"/>
      <c r="AE23" s="197"/>
      <c r="AF23" s="197"/>
      <c r="AG23" s="197"/>
      <c r="AH23" s="197"/>
      <c r="AI23" s="197"/>
      <c r="AJ23" s="120"/>
    </row>
    <row r="24" spans="2:36" ht="24.95" hidden="1" customHeight="1">
      <c r="B24" s="130">
        <v>1</v>
      </c>
      <c r="C24" s="130"/>
      <c r="D24" s="130" t="s">
        <v>244</v>
      </c>
      <c r="E24" s="127"/>
      <c r="F24" s="122"/>
      <c r="G24" s="126"/>
      <c r="H24" s="126"/>
      <c r="I24" s="306" t="str">
        <f t="shared" si="5"/>
        <v/>
      </c>
      <c r="J24" s="124"/>
      <c r="K24" s="125"/>
      <c r="L24" s="124"/>
      <c r="M24" s="125"/>
      <c r="N24" s="124"/>
      <c r="O24" s="125"/>
      <c r="P24" s="602">
        <f t="shared" si="4"/>
        <v>0</v>
      </c>
      <c r="Q24" s="253" t="str">
        <f>IF(P24=0,"",P24*32)</f>
        <v/>
      </c>
      <c r="R24" s="122"/>
      <c r="S24" s="122"/>
      <c r="T24" s="122"/>
      <c r="U24" s="122"/>
      <c r="V24" s="127"/>
      <c r="W24" s="127"/>
      <c r="X24" s="130"/>
      <c r="Y24" s="119"/>
      <c r="Z24" s="120"/>
      <c r="AA24" s="197"/>
      <c r="AB24" s="197"/>
      <c r="AC24" s="197"/>
      <c r="AD24" s="197"/>
      <c r="AE24" s="197"/>
      <c r="AF24" s="197"/>
      <c r="AG24" s="197"/>
      <c r="AH24" s="197"/>
      <c r="AI24" s="197"/>
      <c r="AJ24" s="120"/>
    </row>
    <row r="25" spans="2:36" ht="24.95" hidden="1" customHeight="1">
      <c r="B25" s="130">
        <v>1</v>
      </c>
      <c r="C25" s="130"/>
      <c r="D25" s="130" t="s">
        <v>244</v>
      </c>
      <c r="E25" s="127"/>
      <c r="F25" s="127"/>
      <c r="G25" s="123"/>
      <c r="H25" s="126"/>
      <c r="I25" s="306" t="str">
        <f t="shared" si="5"/>
        <v/>
      </c>
      <c r="J25" s="124"/>
      <c r="K25" s="125"/>
      <c r="L25" s="124"/>
      <c r="M25" s="125"/>
      <c r="N25" s="124"/>
      <c r="O25" s="125"/>
      <c r="P25" s="602">
        <f t="shared" si="4"/>
        <v>0</v>
      </c>
      <c r="Q25" s="253" t="str">
        <f>IF(P25=0,"",P25*32)</f>
        <v/>
      </c>
      <c r="R25" s="122"/>
      <c r="S25" s="122"/>
      <c r="T25" s="122"/>
      <c r="U25" s="122"/>
      <c r="V25" s="127"/>
      <c r="W25" s="127"/>
      <c r="X25" s="130"/>
      <c r="Y25" s="119"/>
      <c r="Z25" s="120"/>
      <c r="AA25" s="197"/>
      <c r="AB25" s="197"/>
      <c r="AC25" s="197"/>
      <c r="AD25" s="197"/>
      <c r="AE25" s="197"/>
      <c r="AF25" s="197"/>
      <c r="AG25" s="197"/>
      <c r="AH25" s="197"/>
      <c r="AI25" s="197"/>
      <c r="AJ25" s="120"/>
    </row>
    <row r="26" spans="2:36" ht="24.95" hidden="1" customHeight="1">
      <c r="B26" s="130">
        <v>1</v>
      </c>
      <c r="C26" s="130"/>
      <c r="D26" s="130" t="s">
        <v>244</v>
      </c>
      <c r="E26" s="127"/>
      <c r="F26" s="127"/>
      <c r="G26" s="123"/>
      <c r="H26" s="126"/>
      <c r="I26" s="306" t="str">
        <f t="shared" si="5"/>
        <v/>
      </c>
      <c r="J26" s="255"/>
      <c r="K26" s="256"/>
      <c r="L26" s="255"/>
      <c r="M26" s="256"/>
      <c r="N26" s="255"/>
      <c r="O26" s="256"/>
      <c r="P26" s="601">
        <f t="shared" si="4"/>
        <v>0</v>
      </c>
      <c r="Q26" s="253" t="str">
        <f>IF(P26=0,"",P26*32)</f>
        <v/>
      </c>
      <c r="R26" s="122"/>
      <c r="S26" s="122"/>
      <c r="T26" s="122"/>
      <c r="U26" s="122"/>
      <c r="V26" s="127"/>
      <c r="W26" s="127"/>
      <c r="X26" s="130"/>
      <c r="Y26" s="119"/>
      <c r="Z26" s="120"/>
      <c r="AA26" s="197"/>
      <c r="AB26" s="197"/>
      <c r="AC26" s="197"/>
      <c r="AD26" s="197"/>
      <c r="AE26" s="197"/>
      <c r="AF26" s="197"/>
      <c r="AG26" s="197"/>
      <c r="AH26" s="197"/>
      <c r="AI26" s="197"/>
      <c r="AJ26" s="120"/>
    </row>
    <row r="27" spans="2:36" ht="24.95" hidden="1" customHeight="1">
      <c r="B27" s="130">
        <v>1</v>
      </c>
      <c r="C27" s="130"/>
      <c r="D27" s="130" t="s">
        <v>244</v>
      </c>
      <c r="E27" s="127"/>
      <c r="F27" s="127"/>
      <c r="G27" s="123"/>
      <c r="H27" s="126"/>
      <c r="I27" s="306" t="str">
        <f t="shared" si="5"/>
        <v/>
      </c>
      <c r="J27" s="124"/>
      <c r="K27" s="125"/>
      <c r="L27" s="124"/>
      <c r="M27" s="125"/>
      <c r="N27" s="124"/>
      <c r="O27" s="125"/>
      <c r="P27" s="601">
        <f t="shared" si="4"/>
        <v>0</v>
      </c>
      <c r="Q27" s="253" t="str">
        <f>IF(P27=0,"",P27*32)</f>
        <v/>
      </c>
      <c r="R27" s="122"/>
      <c r="S27" s="122"/>
      <c r="T27" s="122"/>
      <c r="U27" s="122"/>
      <c r="V27" s="127"/>
      <c r="W27" s="127"/>
      <c r="X27" s="130"/>
      <c r="Y27" s="119"/>
      <c r="Z27" s="120"/>
      <c r="AA27" s="197"/>
      <c r="AB27" s="197"/>
      <c r="AC27" s="197"/>
      <c r="AD27" s="197"/>
      <c r="AE27" s="197"/>
      <c r="AF27" s="197"/>
      <c r="AG27" s="197"/>
      <c r="AH27" s="197"/>
      <c r="AI27" s="197"/>
      <c r="AJ27" s="120"/>
    </row>
    <row r="28" spans="2:36" ht="24.95" customHeight="1" thickBot="1">
      <c r="B28" s="131">
        <v>1</v>
      </c>
      <c r="C28" s="131"/>
      <c r="D28" s="131" t="s">
        <v>244</v>
      </c>
      <c r="E28" s="133"/>
      <c r="F28" s="133"/>
      <c r="G28" s="132"/>
      <c r="H28" s="132"/>
      <c r="I28" s="306" t="str">
        <f t="shared" si="5"/>
        <v/>
      </c>
      <c r="J28" s="124"/>
      <c r="K28" s="125"/>
      <c r="L28" s="124"/>
      <c r="M28" s="125"/>
      <c r="N28" s="124"/>
      <c r="O28" s="125"/>
      <c r="P28" s="603">
        <f t="shared" si="4"/>
        <v>0</v>
      </c>
      <c r="Q28" s="254" t="str">
        <f t="shared" si="6"/>
        <v/>
      </c>
      <c r="R28" s="133"/>
      <c r="S28" s="133"/>
      <c r="T28" s="133"/>
      <c r="U28" s="133"/>
      <c r="V28" s="133"/>
      <c r="W28" s="133"/>
      <c r="X28" s="131"/>
      <c r="Y28" s="119"/>
      <c r="Z28" s="120"/>
      <c r="AA28" s="197"/>
      <c r="AB28" s="197"/>
      <c r="AC28" s="197"/>
      <c r="AD28" s="197"/>
      <c r="AE28" s="197"/>
      <c r="AF28" s="197"/>
      <c r="AG28" s="197"/>
      <c r="AH28" s="197"/>
      <c r="AI28" s="197"/>
      <c r="AJ28" s="120"/>
    </row>
    <row r="29" spans="2:36" s="136" customFormat="1" ht="15.6" customHeight="1" thickTop="1" thickBot="1">
      <c r="B29" s="242"/>
      <c r="C29" s="244"/>
      <c r="D29" s="244" t="s">
        <v>244</v>
      </c>
      <c r="E29" s="244"/>
      <c r="F29" s="244"/>
      <c r="G29" s="245"/>
      <c r="H29" s="245"/>
      <c r="I29" s="244"/>
      <c r="J29" s="244">
        <f t="shared" ref="J29:P29" si="7">SUM(J19:J28)</f>
        <v>292</v>
      </c>
      <c r="K29" s="244">
        <f t="shared" si="7"/>
        <v>0</v>
      </c>
      <c r="L29" s="244">
        <f t="shared" si="7"/>
        <v>56</v>
      </c>
      <c r="M29" s="244">
        <f t="shared" si="7"/>
        <v>0</v>
      </c>
      <c r="N29" s="244">
        <f t="shared" si="7"/>
        <v>0</v>
      </c>
      <c r="O29" s="244">
        <f t="shared" si="7"/>
        <v>0</v>
      </c>
      <c r="P29" s="604">
        <f t="shared" si="7"/>
        <v>20</v>
      </c>
      <c r="Q29" s="243"/>
      <c r="R29" s="243"/>
      <c r="S29" s="243"/>
      <c r="T29" s="243"/>
      <c r="U29" s="243"/>
      <c r="V29" s="243"/>
      <c r="W29" s="243"/>
      <c r="X29" s="244"/>
      <c r="Y29" s="244"/>
      <c r="Z29" s="113"/>
      <c r="AA29" s="198"/>
      <c r="AB29" s="198"/>
      <c r="AC29" s="198"/>
      <c r="AD29" s="198"/>
      <c r="AE29" s="198"/>
      <c r="AF29" s="198"/>
      <c r="AG29" s="198"/>
      <c r="AH29" s="198"/>
      <c r="AI29" s="198"/>
      <c r="AJ29" s="113"/>
    </row>
    <row r="30" spans="2:36" ht="24.75" customHeight="1" thickTop="1">
      <c r="B30" s="114">
        <v>2</v>
      </c>
      <c r="C30" s="114" t="s">
        <v>254</v>
      </c>
      <c r="D30" s="114">
        <v>103117</v>
      </c>
      <c r="E30" s="257" t="s">
        <v>255</v>
      </c>
      <c r="F30" s="115" t="s">
        <v>393</v>
      </c>
      <c r="G30" s="116" t="s">
        <v>256</v>
      </c>
      <c r="H30" s="116" t="s">
        <v>242</v>
      </c>
      <c r="I30" s="306" t="str">
        <f>IFERROR(IF(E30="","",IF((K30+M30+O30)/SUM(J30:O30)&lt;=0.2,"Presencial",IF((K30+M30+O30)/SUM(J30:O30)&lt;=0.7,"Semipresencial","A distancia"))),"")</f>
        <v>Presencial</v>
      </c>
      <c r="J30" s="308">
        <v>32</v>
      </c>
      <c r="K30" s="309">
        <v>0</v>
      </c>
      <c r="L30" s="308">
        <v>0</v>
      </c>
      <c r="M30" s="309">
        <v>0</v>
      </c>
      <c r="N30" s="137">
        <v>0</v>
      </c>
      <c r="O30" s="138">
        <v>0</v>
      </c>
      <c r="P30" s="605">
        <f t="shared" ref="P30:P39" si="8">+SUM(J30:K30)/$G$4+SUM(L30:M30)/$M$4+SUM(N30:O30)/$M$4</f>
        <v>2</v>
      </c>
      <c r="Q30" s="251">
        <f>IF(P30=0,"",P30*32)</f>
        <v>64</v>
      </c>
      <c r="R30" s="122"/>
      <c r="S30" s="139"/>
      <c r="T30" s="139"/>
      <c r="U30" s="139"/>
      <c r="V30" s="139"/>
      <c r="W30" s="139"/>
      <c r="X30" s="114"/>
      <c r="Y30" s="119"/>
      <c r="Z30" s="120"/>
      <c r="AA30" s="196" t="s">
        <v>395</v>
      </c>
      <c r="AB30" s="196"/>
      <c r="AC30" s="196"/>
      <c r="AD30" s="196"/>
      <c r="AE30" s="196"/>
      <c r="AF30" s="196"/>
      <c r="AG30" s="196"/>
      <c r="AH30" s="196"/>
      <c r="AI30" s="196"/>
      <c r="AJ30" s="120"/>
    </row>
    <row r="31" spans="2:36" ht="24.75" customHeight="1">
      <c r="B31" s="121">
        <v>2</v>
      </c>
      <c r="C31" s="121" t="s">
        <v>257</v>
      </c>
      <c r="D31" s="121">
        <v>91644</v>
      </c>
      <c r="E31" s="258" t="s">
        <v>258</v>
      </c>
      <c r="F31" s="122" t="s">
        <v>387</v>
      </c>
      <c r="G31" s="123" t="s">
        <v>241</v>
      </c>
      <c r="H31" s="123" t="s">
        <v>242</v>
      </c>
      <c r="I31" s="306" t="str">
        <f t="shared" ref="I31:I39" si="9">IFERROR(IF(E31="","",IF((K31+M31+O31)/SUM(J31:O31)&lt;=0.2,"Presencial",IF((K31+M31+O31)/SUM(J31:O31)&lt;=0.7,"Semipresencial","A distancia"))),"")</f>
        <v>Presencial</v>
      </c>
      <c r="J31" s="310">
        <v>36</v>
      </c>
      <c r="K31" s="311">
        <v>0</v>
      </c>
      <c r="L31" s="310">
        <v>56</v>
      </c>
      <c r="M31" s="311">
        <v>0</v>
      </c>
      <c r="N31" s="310">
        <v>0</v>
      </c>
      <c r="O31" s="125">
        <v>0</v>
      </c>
      <c r="P31" s="601">
        <f t="shared" si="8"/>
        <v>4</v>
      </c>
      <c r="Q31" s="252">
        <f t="shared" ref="Q31:Q39" si="10">IF(P31=0,"",P31*32)</f>
        <v>128</v>
      </c>
      <c r="R31" s="122" t="s">
        <v>249</v>
      </c>
      <c r="S31" s="122"/>
      <c r="T31" s="122"/>
      <c r="U31" s="122"/>
      <c r="V31" s="122"/>
      <c r="W31" s="122"/>
      <c r="X31" s="121"/>
      <c r="Y31" s="119"/>
      <c r="Z31" s="120"/>
      <c r="AA31" s="197" t="s">
        <v>389</v>
      </c>
      <c r="AB31" s="197"/>
      <c r="AC31" s="197"/>
      <c r="AD31" s="197"/>
      <c r="AE31" s="197"/>
      <c r="AF31" s="197"/>
      <c r="AG31" s="197"/>
      <c r="AH31" s="197"/>
      <c r="AI31" s="197"/>
      <c r="AJ31" s="120"/>
    </row>
    <row r="32" spans="2:36" ht="24.75" customHeight="1">
      <c r="B32" s="121">
        <v>2</v>
      </c>
      <c r="C32" s="121" t="s">
        <v>259</v>
      </c>
      <c r="D32" s="121">
        <v>103116</v>
      </c>
      <c r="E32" s="258" t="s">
        <v>260</v>
      </c>
      <c r="F32" s="122" t="s">
        <v>393</v>
      </c>
      <c r="G32" s="123" t="s">
        <v>256</v>
      </c>
      <c r="H32" s="123" t="s">
        <v>242</v>
      </c>
      <c r="I32" s="306" t="str">
        <f t="shared" si="9"/>
        <v>Presencial</v>
      </c>
      <c r="J32" s="312">
        <v>64</v>
      </c>
      <c r="K32" s="313">
        <v>0</v>
      </c>
      <c r="L32" s="312">
        <v>0</v>
      </c>
      <c r="M32" s="313">
        <v>0</v>
      </c>
      <c r="N32" s="128">
        <v>0</v>
      </c>
      <c r="O32" s="129">
        <v>0</v>
      </c>
      <c r="P32" s="601">
        <f t="shared" si="8"/>
        <v>4</v>
      </c>
      <c r="Q32" s="252">
        <f t="shared" si="10"/>
        <v>128</v>
      </c>
      <c r="R32" s="122"/>
      <c r="S32" s="122"/>
      <c r="T32" s="122"/>
      <c r="U32" s="122"/>
      <c r="V32" s="122"/>
      <c r="W32" s="122"/>
      <c r="X32" s="121"/>
      <c r="Y32" s="119"/>
      <c r="Z32" s="120"/>
      <c r="AA32" s="197" t="s">
        <v>396</v>
      </c>
      <c r="AB32" s="197"/>
      <c r="AC32" s="197"/>
      <c r="AD32" s="197"/>
      <c r="AE32" s="197"/>
      <c r="AF32" s="197"/>
      <c r="AG32" s="197"/>
      <c r="AH32" s="197"/>
      <c r="AI32" s="197"/>
      <c r="AJ32" s="120"/>
    </row>
    <row r="33" spans="2:36" ht="24.75" customHeight="1">
      <c r="B33" s="121">
        <v>2</v>
      </c>
      <c r="C33" s="121" t="s">
        <v>261</v>
      </c>
      <c r="D33" s="121">
        <v>91781</v>
      </c>
      <c r="E33" s="258" t="s">
        <v>262</v>
      </c>
      <c r="F33" s="122" t="s">
        <v>390</v>
      </c>
      <c r="G33" s="123" t="s">
        <v>247</v>
      </c>
      <c r="H33" s="123" t="s">
        <v>242</v>
      </c>
      <c r="I33" s="306" t="str">
        <f t="shared" si="9"/>
        <v>Presencial</v>
      </c>
      <c r="J33" s="310">
        <v>64</v>
      </c>
      <c r="K33" s="311">
        <v>0</v>
      </c>
      <c r="L33" s="314">
        <v>0</v>
      </c>
      <c r="M33" s="315">
        <v>0</v>
      </c>
      <c r="N33" s="128">
        <v>0</v>
      </c>
      <c r="O33" s="129">
        <v>0</v>
      </c>
      <c r="P33" s="601">
        <f t="shared" si="8"/>
        <v>4</v>
      </c>
      <c r="Q33" s="252">
        <f t="shared" si="10"/>
        <v>128</v>
      </c>
      <c r="R33" s="122" t="s">
        <v>251</v>
      </c>
      <c r="S33" s="122"/>
      <c r="T33" s="122"/>
      <c r="U33" s="122"/>
      <c r="V33" s="122"/>
      <c r="W33" s="122"/>
      <c r="X33" s="121"/>
      <c r="Y33" s="119"/>
      <c r="Z33" s="120"/>
      <c r="AA33" s="197" t="s">
        <v>392</v>
      </c>
      <c r="AB33" s="197"/>
      <c r="AC33" s="197"/>
      <c r="AD33" s="197"/>
      <c r="AE33" s="197"/>
      <c r="AF33" s="197"/>
      <c r="AG33" s="197"/>
      <c r="AH33" s="197"/>
      <c r="AI33" s="197"/>
      <c r="AJ33" s="120"/>
    </row>
    <row r="34" spans="2:36" ht="24.75" customHeight="1">
      <c r="B34" s="121">
        <v>2</v>
      </c>
      <c r="C34" s="130" t="s">
        <v>263</v>
      </c>
      <c r="D34" s="130">
        <v>92131</v>
      </c>
      <c r="E34" s="258" t="s">
        <v>264</v>
      </c>
      <c r="F34" s="122" t="s">
        <v>264</v>
      </c>
      <c r="G34" s="123" t="s">
        <v>241</v>
      </c>
      <c r="H34" s="123" t="s">
        <v>242</v>
      </c>
      <c r="I34" s="306" t="str">
        <f t="shared" si="9"/>
        <v>Presencial</v>
      </c>
      <c r="J34" s="124">
        <v>64</v>
      </c>
      <c r="K34" s="125">
        <v>0</v>
      </c>
      <c r="L34" s="124">
        <v>0</v>
      </c>
      <c r="M34" s="125">
        <v>0</v>
      </c>
      <c r="N34" s="124">
        <v>0</v>
      </c>
      <c r="O34" s="125">
        <v>0</v>
      </c>
      <c r="P34" s="601">
        <f t="shared" si="8"/>
        <v>4</v>
      </c>
      <c r="Q34" s="253">
        <f t="shared" si="10"/>
        <v>128</v>
      </c>
      <c r="R34" s="122"/>
      <c r="S34" s="122"/>
      <c r="T34" s="122"/>
      <c r="U34" s="122"/>
      <c r="V34" s="122"/>
      <c r="W34" s="122"/>
      <c r="X34" s="130"/>
      <c r="Y34" s="119"/>
      <c r="Z34" s="120"/>
      <c r="AA34" s="196" t="s">
        <v>384</v>
      </c>
      <c r="AB34" s="197"/>
      <c r="AC34" s="197"/>
      <c r="AD34" s="197"/>
      <c r="AE34" s="197"/>
      <c r="AF34" s="197"/>
      <c r="AG34" s="197"/>
      <c r="AH34" s="197"/>
      <c r="AI34" s="197"/>
      <c r="AJ34" s="120"/>
    </row>
    <row r="35" spans="2:36" ht="24.75" customHeight="1">
      <c r="B35" s="130">
        <v>2</v>
      </c>
      <c r="C35" s="130" t="s">
        <v>265</v>
      </c>
      <c r="D35" s="130">
        <v>99628</v>
      </c>
      <c r="E35" s="258" t="s">
        <v>266</v>
      </c>
      <c r="F35" s="122" t="s">
        <v>393</v>
      </c>
      <c r="G35" s="126" t="s">
        <v>256</v>
      </c>
      <c r="H35" s="126" t="s">
        <v>242</v>
      </c>
      <c r="I35" s="306" t="str">
        <f t="shared" si="9"/>
        <v>Presencial</v>
      </c>
      <c r="J35" s="124">
        <v>32</v>
      </c>
      <c r="K35" s="125">
        <v>0</v>
      </c>
      <c r="L35" s="124">
        <v>0</v>
      </c>
      <c r="M35" s="125">
        <v>0</v>
      </c>
      <c r="N35" s="124">
        <v>0</v>
      </c>
      <c r="O35" s="125">
        <v>0</v>
      </c>
      <c r="P35" s="601">
        <f t="shared" si="8"/>
        <v>2</v>
      </c>
      <c r="Q35" s="253">
        <f t="shared" si="10"/>
        <v>64</v>
      </c>
      <c r="R35" s="122"/>
      <c r="S35" s="122"/>
      <c r="T35" s="122"/>
      <c r="U35" s="122"/>
      <c r="V35" s="122"/>
      <c r="W35" s="122"/>
      <c r="X35" s="130"/>
      <c r="Y35" s="119"/>
      <c r="Z35" s="120"/>
      <c r="AA35" s="197" t="s">
        <v>396</v>
      </c>
      <c r="AB35" s="197"/>
      <c r="AC35" s="197"/>
      <c r="AD35" s="197"/>
      <c r="AE35" s="197"/>
      <c r="AF35" s="197"/>
      <c r="AG35" s="197"/>
      <c r="AH35" s="197"/>
      <c r="AI35" s="197"/>
      <c r="AJ35" s="120"/>
    </row>
    <row r="36" spans="2:36" ht="24.75" hidden="1" customHeight="1">
      <c r="B36" s="130">
        <v>2</v>
      </c>
      <c r="C36" s="130"/>
      <c r="D36" s="130" t="s">
        <v>244</v>
      </c>
      <c r="E36" s="258"/>
      <c r="F36" s="127"/>
      <c r="G36" s="123"/>
      <c r="H36" s="126"/>
      <c r="I36" s="306" t="str">
        <f t="shared" si="9"/>
        <v/>
      </c>
      <c r="J36" s="124"/>
      <c r="K36" s="125"/>
      <c r="L36" s="124"/>
      <c r="M36" s="125"/>
      <c r="N36" s="124"/>
      <c r="O36" s="125"/>
      <c r="P36" s="601">
        <f t="shared" si="8"/>
        <v>0</v>
      </c>
      <c r="Q36" s="253" t="str">
        <f>IF(P36=0,"",P36*32)</f>
        <v/>
      </c>
      <c r="R36" s="122"/>
      <c r="S36" s="122"/>
      <c r="T36" s="122"/>
      <c r="U36" s="122"/>
      <c r="V36" s="122"/>
      <c r="W36" s="122"/>
      <c r="X36" s="130"/>
      <c r="Y36" s="119"/>
      <c r="Z36" s="120"/>
      <c r="AA36" s="197"/>
      <c r="AB36" s="197"/>
      <c r="AC36" s="197"/>
      <c r="AD36" s="197"/>
      <c r="AE36" s="197"/>
      <c r="AF36" s="197"/>
      <c r="AG36" s="197"/>
      <c r="AH36" s="197"/>
      <c r="AI36" s="197"/>
      <c r="AJ36" s="120"/>
    </row>
    <row r="37" spans="2:36" ht="24.75" hidden="1" customHeight="1">
      <c r="B37" s="130">
        <v>2</v>
      </c>
      <c r="C37" s="130"/>
      <c r="D37" s="130" t="s">
        <v>244</v>
      </c>
      <c r="E37" s="258"/>
      <c r="F37" s="127"/>
      <c r="G37" s="123"/>
      <c r="H37" s="126"/>
      <c r="I37" s="306" t="str">
        <f t="shared" si="9"/>
        <v/>
      </c>
      <c r="J37" s="255"/>
      <c r="K37" s="256"/>
      <c r="L37" s="255"/>
      <c r="M37" s="256"/>
      <c r="N37" s="255"/>
      <c r="O37" s="256"/>
      <c r="P37" s="601">
        <f t="shared" si="8"/>
        <v>0</v>
      </c>
      <c r="Q37" s="253" t="str">
        <f>IF(P37=0,"",P37*32)</f>
        <v/>
      </c>
      <c r="R37" s="122"/>
      <c r="S37" s="122"/>
      <c r="T37" s="122"/>
      <c r="U37" s="122"/>
      <c r="V37" s="122"/>
      <c r="W37" s="122"/>
      <c r="X37" s="130"/>
      <c r="Y37" s="119"/>
      <c r="Z37" s="120"/>
      <c r="AA37" s="197"/>
      <c r="AB37" s="197"/>
      <c r="AC37" s="197"/>
      <c r="AD37" s="197"/>
      <c r="AE37" s="197"/>
      <c r="AF37" s="197"/>
      <c r="AG37" s="197"/>
      <c r="AH37" s="197"/>
      <c r="AI37" s="197"/>
      <c r="AJ37" s="120"/>
    </row>
    <row r="38" spans="2:36" ht="24.75" hidden="1" customHeight="1">
      <c r="B38" s="130">
        <v>2</v>
      </c>
      <c r="C38" s="130"/>
      <c r="D38" s="130" t="s">
        <v>244</v>
      </c>
      <c r="E38" s="258"/>
      <c r="F38" s="127"/>
      <c r="G38" s="123"/>
      <c r="H38" s="126"/>
      <c r="I38" s="306" t="str">
        <f t="shared" si="9"/>
        <v/>
      </c>
      <c r="J38" s="124"/>
      <c r="K38" s="125"/>
      <c r="L38" s="124"/>
      <c r="M38" s="125"/>
      <c r="N38" s="124"/>
      <c r="O38" s="125"/>
      <c r="P38" s="601">
        <f t="shared" si="8"/>
        <v>0</v>
      </c>
      <c r="Q38" s="253" t="str">
        <f>IF(P38=0,"",P38*32)</f>
        <v/>
      </c>
      <c r="R38" s="122"/>
      <c r="S38" s="122"/>
      <c r="T38" s="122"/>
      <c r="U38" s="122"/>
      <c r="V38" s="122"/>
      <c r="W38" s="122"/>
      <c r="X38" s="130"/>
      <c r="Y38" s="119"/>
      <c r="Z38" s="120"/>
      <c r="AA38" s="197"/>
      <c r="AB38" s="197"/>
      <c r="AC38" s="197"/>
      <c r="AD38" s="197"/>
      <c r="AE38" s="197"/>
      <c r="AF38" s="197"/>
      <c r="AG38" s="197"/>
      <c r="AH38" s="197"/>
      <c r="AI38" s="197"/>
      <c r="AJ38" s="120"/>
    </row>
    <row r="39" spans="2:36" ht="24.75" customHeight="1" thickBot="1">
      <c r="B39" s="131">
        <v>2</v>
      </c>
      <c r="C39" s="131"/>
      <c r="D39" s="131" t="s">
        <v>244</v>
      </c>
      <c r="E39" s="259"/>
      <c r="F39" s="133"/>
      <c r="G39" s="132"/>
      <c r="H39" s="132"/>
      <c r="I39" s="306" t="str">
        <f t="shared" si="9"/>
        <v/>
      </c>
      <c r="J39" s="124"/>
      <c r="K39" s="125"/>
      <c r="L39" s="124"/>
      <c r="M39" s="125"/>
      <c r="N39" s="124"/>
      <c r="O39" s="125"/>
      <c r="P39" s="603">
        <f t="shared" si="8"/>
        <v>0</v>
      </c>
      <c r="Q39" s="254" t="str">
        <f t="shared" si="10"/>
        <v/>
      </c>
      <c r="R39" s="133"/>
      <c r="S39" s="133"/>
      <c r="T39" s="133"/>
      <c r="U39" s="133"/>
      <c r="V39" s="133"/>
      <c r="W39" s="133"/>
      <c r="X39" s="131"/>
      <c r="Y39" s="119"/>
      <c r="Z39" s="120"/>
      <c r="AA39" s="197"/>
      <c r="AB39" s="197"/>
      <c r="AC39" s="197"/>
      <c r="AD39" s="197"/>
      <c r="AE39" s="197"/>
      <c r="AF39" s="197"/>
      <c r="AG39" s="197"/>
      <c r="AH39" s="197"/>
      <c r="AI39" s="197"/>
      <c r="AJ39" s="120"/>
    </row>
    <row r="40" spans="2:36" s="136" customFormat="1" ht="15.6" customHeight="1" thickTop="1" thickBot="1">
      <c r="B40" s="242"/>
      <c r="C40" s="244"/>
      <c r="D40" s="244" t="s">
        <v>244</v>
      </c>
      <c r="E40" s="244"/>
      <c r="F40" s="244"/>
      <c r="G40" s="245"/>
      <c r="H40" s="245"/>
      <c r="I40" s="244"/>
      <c r="J40" s="244">
        <f t="shared" ref="J40:P40" si="11">SUM(J30:J39)</f>
        <v>292</v>
      </c>
      <c r="K40" s="244">
        <f t="shared" si="11"/>
        <v>0</v>
      </c>
      <c r="L40" s="244">
        <f t="shared" si="11"/>
        <v>56</v>
      </c>
      <c r="M40" s="244">
        <f t="shared" si="11"/>
        <v>0</v>
      </c>
      <c r="N40" s="244">
        <f t="shared" si="11"/>
        <v>0</v>
      </c>
      <c r="O40" s="244">
        <f t="shared" si="11"/>
        <v>0</v>
      </c>
      <c r="P40" s="604">
        <f t="shared" si="11"/>
        <v>20</v>
      </c>
      <c r="Q40" s="243"/>
      <c r="R40" s="243"/>
      <c r="S40" s="243"/>
      <c r="T40" s="243"/>
      <c r="U40" s="243"/>
      <c r="V40" s="243"/>
      <c r="W40" s="243"/>
      <c r="X40" s="244"/>
      <c r="Y40" s="244"/>
      <c r="Z40" s="113"/>
      <c r="AA40" s="198"/>
      <c r="AB40" s="198"/>
      <c r="AC40" s="198"/>
      <c r="AD40" s="198"/>
      <c r="AE40" s="198"/>
      <c r="AF40" s="198"/>
      <c r="AG40" s="198"/>
      <c r="AH40" s="198"/>
      <c r="AI40" s="198"/>
      <c r="AJ40" s="113"/>
    </row>
    <row r="41" spans="2:36" ht="24.75" customHeight="1">
      <c r="B41" s="114">
        <v>3</v>
      </c>
      <c r="C41" s="585" t="s">
        <v>397</v>
      </c>
      <c r="D41" s="585">
        <v>148946</v>
      </c>
      <c r="E41" s="586" t="s">
        <v>268</v>
      </c>
      <c r="F41" s="587" t="s">
        <v>387</v>
      </c>
      <c r="G41" s="588" t="s">
        <v>241</v>
      </c>
      <c r="H41" s="588" t="s">
        <v>242</v>
      </c>
      <c r="I41" s="306" t="str">
        <f>IFERROR(IF(E41="","",IF((K41+M41+O41)/SUM(J41:O41)&lt;=0.2,"Presencial",IF((K41+M41+O41)/SUM(J41:O41)&lt;=0.7,"Semipresencial","A distancia"))),"")</f>
        <v>Presencial</v>
      </c>
      <c r="J41" s="117">
        <v>48</v>
      </c>
      <c r="K41" s="118">
        <v>0</v>
      </c>
      <c r="L41" s="117">
        <v>32</v>
      </c>
      <c r="M41" s="118">
        <v>0</v>
      </c>
      <c r="N41" s="117">
        <v>0</v>
      </c>
      <c r="O41" s="118">
        <v>0</v>
      </c>
      <c r="P41" s="605">
        <f t="shared" ref="P41:P50" si="12">+SUM(J41:K41)/$G$4+SUM(L41:M41)/$M$4+SUM(N41:O41)/$M$4</f>
        <v>4</v>
      </c>
      <c r="Q41" s="251">
        <f>IF(P41=0,"",P41*32)</f>
        <v>128</v>
      </c>
      <c r="R41" s="139" t="s">
        <v>258</v>
      </c>
      <c r="S41" s="139"/>
      <c r="T41" s="139"/>
      <c r="U41" s="139"/>
      <c r="V41" s="139"/>
      <c r="W41" s="139"/>
      <c r="X41" s="114"/>
      <c r="Y41" s="119"/>
      <c r="Z41" s="120"/>
      <c r="AA41" s="196" t="s">
        <v>389</v>
      </c>
      <c r="AB41" s="196"/>
      <c r="AC41" s="196"/>
      <c r="AD41" s="196"/>
      <c r="AE41" s="196"/>
      <c r="AF41" s="196"/>
      <c r="AG41" s="196"/>
      <c r="AH41" s="196"/>
      <c r="AI41" s="196"/>
      <c r="AJ41" s="120"/>
    </row>
    <row r="42" spans="2:36" ht="24.75" customHeight="1">
      <c r="B42" s="121">
        <v>3</v>
      </c>
      <c r="C42" s="589" t="s">
        <v>398</v>
      </c>
      <c r="D42" s="589">
        <v>148963</v>
      </c>
      <c r="E42" s="590" t="s">
        <v>270</v>
      </c>
      <c r="F42" s="591" t="s">
        <v>393</v>
      </c>
      <c r="G42" s="592" t="s">
        <v>247</v>
      </c>
      <c r="H42" s="592" t="s">
        <v>242</v>
      </c>
      <c r="I42" s="306" t="str">
        <f t="shared" ref="I42:I50" si="13">IFERROR(IF(E42="","",IF((K42+M42+O42)/SUM(J42:O42)&lt;=0.2,"Presencial",IF((K42+M42+O42)/SUM(J42:O42)&lt;=0.7,"Semipresencial","A distancia"))),"")</f>
        <v>Presencial</v>
      </c>
      <c r="J42" s="124">
        <v>48</v>
      </c>
      <c r="K42" s="125">
        <v>0</v>
      </c>
      <c r="L42" s="124">
        <v>16</v>
      </c>
      <c r="M42" s="125">
        <v>0</v>
      </c>
      <c r="N42" s="124">
        <v>16</v>
      </c>
      <c r="O42" s="125">
        <v>0</v>
      </c>
      <c r="P42" s="601">
        <f t="shared" si="12"/>
        <v>4</v>
      </c>
      <c r="Q42" s="252">
        <f t="shared" ref="Q42:Q50" si="14">IF(P42=0,"",P42*32)</f>
        <v>128</v>
      </c>
      <c r="R42" s="122" t="s">
        <v>253</v>
      </c>
      <c r="S42" s="122"/>
      <c r="T42" s="122"/>
      <c r="U42" s="122"/>
      <c r="V42" s="122"/>
      <c r="W42" s="122"/>
      <c r="X42" s="121"/>
      <c r="Y42" s="119"/>
      <c r="Z42" s="120"/>
      <c r="AA42" s="197" t="s">
        <v>399</v>
      </c>
      <c r="AB42" s="197"/>
      <c r="AC42" s="197"/>
      <c r="AD42" s="197"/>
      <c r="AE42" s="197"/>
      <c r="AF42" s="197"/>
      <c r="AG42" s="197"/>
      <c r="AH42" s="197"/>
      <c r="AI42" s="197"/>
      <c r="AJ42" s="120"/>
    </row>
    <row r="43" spans="2:36" ht="24.75" customHeight="1">
      <c r="B43" s="121">
        <v>3</v>
      </c>
      <c r="C43" s="121" t="s">
        <v>271</v>
      </c>
      <c r="D43" s="121">
        <v>103671</v>
      </c>
      <c r="E43" s="258" t="s">
        <v>272</v>
      </c>
      <c r="F43" s="122" t="s">
        <v>393</v>
      </c>
      <c r="G43" s="123" t="s">
        <v>256</v>
      </c>
      <c r="H43" s="123" t="s">
        <v>242</v>
      </c>
      <c r="I43" s="306" t="str">
        <f t="shared" si="13"/>
        <v>Presencial</v>
      </c>
      <c r="J43" s="124">
        <v>2</v>
      </c>
      <c r="K43" s="125">
        <v>0</v>
      </c>
      <c r="L43" s="124">
        <v>60</v>
      </c>
      <c r="M43" s="125">
        <v>0</v>
      </c>
      <c r="N43" s="124">
        <v>0</v>
      </c>
      <c r="O43" s="125">
        <v>0</v>
      </c>
      <c r="P43" s="601">
        <f t="shared" si="12"/>
        <v>2</v>
      </c>
      <c r="Q43" s="252">
        <f t="shared" si="14"/>
        <v>64</v>
      </c>
      <c r="R43" s="122"/>
      <c r="S43" s="122"/>
      <c r="T43" s="122"/>
      <c r="U43" s="122"/>
      <c r="V43" s="122"/>
      <c r="W43" s="122"/>
      <c r="X43" s="121"/>
      <c r="Y43" s="119"/>
      <c r="Z43" s="120"/>
      <c r="AA43" s="197" t="s">
        <v>400</v>
      </c>
      <c r="AB43" s="197"/>
      <c r="AC43" s="196" t="s">
        <v>384</v>
      </c>
      <c r="AD43" s="197"/>
      <c r="AE43" s="197"/>
      <c r="AF43" s="197"/>
      <c r="AG43" s="197"/>
      <c r="AH43" s="197"/>
      <c r="AI43" s="197"/>
      <c r="AJ43" s="120"/>
    </row>
    <row r="44" spans="2:36" ht="24.75" customHeight="1">
      <c r="B44" s="121">
        <v>3</v>
      </c>
      <c r="C44" s="121" t="s">
        <v>273</v>
      </c>
      <c r="D44" s="121">
        <v>102823</v>
      </c>
      <c r="E44" s="258" t="s">
        <v>274</v>
      </c>
      <c r="F44" s="122" t="s">
        <v>393</v>
      </c>
      <c r="G44" s="123" t="s">
        <v>247</v>
      </c>
      <c r="H44" s="123" t="s">
        <v>242</v>
      </c>
      <c r="I44" s="306" t="str">
        <f t="shared" si="13"/>
        <v>Presencial</v>
      </c>
      <c r="J44" s="124">
        <v>36</v>
      </c>
      <c r="K44" s="125">
        <v>0</v>
      </c>
      <c r="L44" s="124">
        <v>56</v>
      </c>
      <c r="M44" s="125">
        <v>0</v>
      </c>
      <c r="N44" s="124">
        <v>0</v>
      </c>
      <c r="O44" s="125">
        <v>0</v>
      </c>
      <c r="P44" s="601">
        <f t="shared" si="12"/>
        <v>4</v>
      </c>
      <c r="Q44" s="252">
        <f t="shared" si="14"/>
        <v>128</v>
      </c>
      <c r="R44" s="122" t="s">
        <v>262</v>
      </c>
      <c r="S44" s="122"/>
      <c r="T44" s="122"/>
      <c r="U44" s="122"/>
      <c r="V44" s="122"/>
      <c r="W44" s="122"/>
      <c r="X44" s="121"/>
      <c r="Y44" s="119"/>
      <c r="Z44" s="120"/>
      <c r="AA44" s="197" t="s">
        <v>401</v>
      </c>
      <c r="AB44" s="197"/>
      <c r="AC44" s="197"/>
      <c r="AD44" s="197"/>
      <c r="AE44" s="197"/>
      <c r="AF44" s="197"/>
      <c r="AG44" s="197"/>
      <c r="AH44" s="197"/>
      <c r="AI44" s="197"/>
      <c r="AJ44" s="120"/>
    </row>
    <row r="45" spans="2:36" ht="24.75" customHeight="1">
      <c r="B45" s="121">
        <v>3</v>
      </c>
      <c r="C45" s="130" t="s">
        <v>275</v>
      </c>
      <c r="D45" s="130">
        <v>92124</v>
      </c>
      <c r="E45" s="258" t="s">
        <v>276</v>
      </c>
      <c r="F45" s="122" t="s">
        <v>393</v>
      </c>
      <c r="G45" s="123" t="s">
        <v>247</v>
      </c>
      <c r="H45" s="123" t="s">
        <v>242</v>
      </c>
      <c r="I45" s="306" t="str">
        <f t="shared" si="13"/>
        <v>Presencial</v>
      </c>
      <c r="J45" s="124">
        <v>64</v>
      </c>
      <c r="K45" s="125">
        <v>0</v>
      </c>
      <c r="L45" s="124">
        <v>0</v>
      </c>
      <c r="M45" s="125">
        <v>0</v>
      </c>
      <c r="N45" s="124">
        <v>0</v>
      </c>
      <c r="O45" s="125">
        <v>0</v>
      </c>
      <c r="P45" s="601">
        <f t="shared" si="12"/>
        <v>4</v>
      </c>
      <c r="Q45" s="253">
        <f t="shared" si="14"/>
        <v>128</v>
      </c>
      <c r="R45" s="122"/>
      <c r="S45" s="122"/>
      <c r="T45" s="122"/>
      <c r="U45" s="122"/>
      <c r="V45" s="122"/>
      <c r="W45" s="122"/>
      <c r="X45" s="130"/>
      <c r="Y45" s="119"/>
      <c r="Z45" s="120"/>
      <c r="AA45" s="197" t="s">
        <v>396</v>
      </c>
      <c r="AB45" s="197"/>
      <c r="AC45" s="197" t="s">
        <v>386</v>
      </c>
      <c r="AD45" s="197"/>
      <c r="AE45" s="197"/>
      <c r="AF45" s="197"/>
      <c r="AG45" s="197"/>
      <c r="AH45" s="197"/>
      <c r="AI45" s="197"/>
      <c r="AJ45" s="120"/>
    </row>
    <row r="46" spans="2:36" ht="24.75" customHeight="1">
      <c r="B46" s="130">
        <v>3</v>
      </c>
      <c r="C46" s="130" t="s">
        <v>277</v>
      </c>
      <c r="D46" s="130">
        <v>99202</v>
      </c>
      <c r="E46" s="258" t="s">
        <v>278</v>
      </c>
      <c r="F46" s="122" t="s">
        <v>393</v>
      </c>
      <c r="G46" s="126" t="s">
        <v>256</v>
      </c>
      <c r="H46" s="126" t="s">
        <v>242</v>
      </c>
      <c r="I46" s="306" t="str">
        <f t="shared" si="13"/>
        <v>Presencial</v>
      </c>
      <c r="J46" s="124">
        <v>32</v>
      </c>
      <c r="K46" s="125">
        <v>0</v>
      </c>
      <c r="L46" s="124">
        <v>0</v>
      </c>
      <c r="M46" s="125">
        <v>0</v>
      </c>
      <c r="N46" s="124">
        <v>0</v>
      </c>
      <c r="O46" s="125">
        <v>0</v>
      </c>
      <c r="P46" s="601">
        <f t="shared" si="12"/>
        <v>2</v>
      </c>
      <c r="Q46" s="253">
        <f t="shared" si="14"/>
        <v>64</v>
      </c>
      <c r="R46" s="122" t="s">
        <v>260</v>
      </c>
      <c r="S46" s="122"/>
      <c r="T46" s="122"/>
      <c r="U46" s="122"/>
      <c r="V46" s="122"/>
      <c r="W46" s="122"/>
      <c r="X46" s="130"/>
      <c r="Y46" s="119"/>
      <c r="Z46" s="120"/>
      <c r="AA46" s="197" t="s">
        <v>395</v>
      </c>
      <c r="AB46" s="197"/>
      <c r="AC46" s="197"/>
      <c r="AD46" s="197"/>
      <c r="AE46" s="197"/>
      <c r="AF46" s="197"/>
      <c r="AG46" s="197"/>
      <c r="AH46" s="197"/>
      <c r="AI46" s="197"/>
      <c r="AJ46" s="120"/>
    </row>
    <row r="47" spans="2:36" ht="24.75" hidden="1" customHeight="1">
      <c r="B47" s="130">
        <v>3</v>
      </c>
      <c r="C47" s="130"/>
      <c r="D47" s="130" t="s">
        <v>244</v>
      </c>
      <c r="E47" s="258"/>
      <c r="F47" s="127"/>
      <c r="G47" s="123"/>
      <c r="H47" s="126"/>
      <c r="I47" s="306" t="str">
        <f t="shared" si="13"/>
        <v/>
      </c>
      <c r="J47" s="124"/>
      <c r="K47" s="125"/>
      <c r="L47" s="124"/>
      <c r="M47" s="125"/>
      <c r="N47" s="124"/>
      <c r="O47" s="125"/>
      <c r="P47" s="601">
        <f t="shared" si="12"/>
        <v>0</v>
      </c>
      <c r="Q47" s="253" t="str">
        <f t="shared" si="14"/>
        <v/>
      </c>
      <c r="R47" s="122"/>
      <c r="S47" s="122"/>
      <c r="T47" s="122"/>
      <c r="U47" s="122"/>
      <c r="V47" s="122"/>
      <c r="W47" s="122"/>
      <c r="X47" s="130"/>
      <c r="Y47" s="119"/>
      <c r="Z47" s="120"/>
      <c r="AA47" s="197"/>
      <c r="AB47" s="197"/>
      <c r="AC47" s="197"/>
      <c r="AD47" s="197"/>
      <c r="AE47" s="197"/>
      <c r="AF47" s="197"/>
      <c r="AG47" s="197"/>
      <c r="AH47" s="197"/>
      <c r="AI47" s="197"/>
      <c r="AJ47" s="120"/>
    </row>
    <row r="48" spans="2:36" ht="24.75" hidden="1" customHeight="1">
      <c r="B48" s="130">
        <v>3</v>
      </c>
      <c r="C48" s="130"/>
      <c r="D48" s="130" t="s">
        <v>244</v>
      </c>
      <c r="E48" s="258"/>
      <c r="F48" s="127"/>
      <c r="G48" s="123"/>
      <c r="H48" s="126"/>
      <c r="I48" s="306" t="str">
        <f t="shared" si="13"/>
        <v/>
      </c>
      <c r="J48" s="255"/>
      <c r="K48" s="256"/>
      <c r="L48" s="255"/>
      <c r="M48" s="256"/>
      <c r="N48" s="255"/>
      <c r="O48" s="256"/>
      <c r="P48" s="601">
        <f t="shared" si="12"/>
        <v>0</v>
      </c>
      <c r="Q48" s="253" t="str">
        <f t="shared" si="14"/>
        <v/>
      </c>
      <c r="R48" s="122"/>
      <c r="S48" s="122"/>
      <c r="T48" s="122"/>
      <c r="U48" s="122"/>
      <c r="V48" s="122"/>
      <c r="W48" s="122"/>
      <c r="X48" s="130"/>
      <c r="Y48" s="119"/>
      <c r="Z48" s="120"/>
      <c r="AA48" s="197"/>
      <c r="AB48" s="197"/>
      <c r="AC48" s="197"/>
      <c r="AD48" s="197"/>
      <c r="AE48" s="197"/>
      <c r="AF48" s="197"/>
      <c r="AG48" s="197"/>
      <c r="AH48" s="197"/>
      <c r="AI48" s="197"/>
      <c r="AJ48" s="120"/>
    </row>
    <row r="49" spans="2:36" ht="24.75" hidden="1" customHeight="1">
      <c r="B49" s="130">
        <v>3</v>
      </c>
      <c r="C49" s="130"/>
      <c r="D49" s="130" t="s">
        <v>244</v>
      </c>
      <c r="E49" s="258"/>
      <c r="F49" s="127"/>
      <c r="G49" s="123"/>
      <c r="H49" s="126"/>
      <c r="I49" s="306" t="str">
        <f t="shared" si="13"/>
        <v/>
      </c>
      <c r="J49" s="124"/>
      <c r="K49" s="125"/>
      <c r="L49" s="124"/>
      <c r="M49" s="125"/>
      <c r="N49" s="124"/>
      <c r="O49" s="125"/>
      <c r="P49" s="601">
        <f t="shared" si="12"/>
        <v>0</v>
      </c>
      <c r="Q49" s="253" t="str">
        <f t="shared" si="14"/>
        <v/>
      </c>
      <c r="R49" s="122"/>
      <c r="S49" s="122"/>
      <c r="T49" s="122"/>
      <c r="U49" s="122"/>
      <c r="V49" s="122"/>
      <c r="W49" s="122"/>
      <c r="X49" s="130"/>
      <c r="Y49" s="119"/>
      <c r="Z49" s="120"/>
      <c r="AA49" s="197"/>
      <c r="AB49" s="197"/>
      <c r="AC49" s="197"/>
      <c r="AD49" s="197"/>
      <c r="AE49" s="197"/>
      <c r="AF49" s="197"/>
      <c r="AG49" s="197"/>
      <c r="AH49" s="197"/>
      <c r="AI49" s="197"/>
      <c r="AJ49" s="120"/>
    </row>
    <row r="50" spans="2:36" ht="24.75" customHeight="1" thickBot="1">
      <c r="B50" s="131">
        <v>3</v>
      </c>
      <c r="C50" s="131"/>
      <c r="D50" s="131" t="s">
        <v>244</v>
      </c>
      <c r="E50" s="259"/>
      <c r="F50" s="133"/>
      <c r="G50" s="132"/>
      <c r="H50" s="132"/>
      <c r="I50" s="306" t="str">
        <f t="shared" si="13"/>
        <v/>
      </c>
      <c r="J50" s="124"/>
      <c r="K50" s="125"/>
      <c r="L50" s="124"/>
      <c r="M50" s="125"/>
      <c r="N50" s="124"/>
      <c r="O50" s="125"/>
      <c r="P50" s="603">
        <f t="shared" si="12"/>
        <v>0</v>
      </c>
      <c r="Q50" s="254" t="str">
        <f t="shared" si="14"/>
        <v/>
      </c>
      <c r="R50" s="133"/>
      <c r="S50" s="133"/>
      <c r="T50" s="133"/>
      <c r="U50" s="133"/>
      <c r="V50" s="133"/>
      <c r="W50" s="133"/>
      <c r="X50" s="131"/>
      <c r="Y50" s="119"/>
      <c r="Z50" s="120"/>
      <c r="AA50" s="197"/>
      <c r="AB50" s="197"/>
      <c r="AC50" s="197"/>
      <c r="AD50" s="197"/>
      <c r="AE50" s="197"/>
      <c r="AF50" s="197"/>
      <c r="AG50" s="197"/>
      <c r="AH50" s="197"/>
      <c r="AI50" s="197"/>
      <c r="AJ50" s="120"/>
    </row>
    <row r="51" spans="2:36" s="136" customFormat="1" ht="15.6" customHeight="1" thickTop="1" thickBot="1">
      <c r="B51" s="242"/>
      <c r="C51" s="244"/>
      <c r="D51" s="244" t="s">
        <v>244</v>
      </c>
      <c r="E51" s="244"/>
      <c r="F51" s="244"/>
      <c r="G51" s="245"/>
      <c r="H51" s="245"/>
      <c r="I51" s="244"/>
      <c r="J51" s="244">
        <f>SUM(J41:J50)</f>
        <v>230</v>
      </c>
      <c r="K51" s="244">
        <f t="shared" ref="K51:P51" si="15">SUM(K41:K50)</f>
        <v>0</v>
      </c>
      <c r="L51" s="244">
        <f t="shared" si="15"/>
        <v>164</v>
      </c>
      <c r="M51" s="244">
        <f t="shared" si="15"/>
        <v>0</v>
      </c>
      <c r="N51" s="244">
        <f t="shared" si="15"/>
        <v>16</v>
      </c>
      <c r="O51" s="244">
        <f t="shared" si="15"/>
        <v>0</v>
      </c>
      <c r="P51" s="604">
        <f t="shared" si="15"/>
        <v>20</v>
      </c>
      <c r="Q51" s="243"/>
      <c r="R51" s="243"/>
      <c r="S51" s="243"/>
      <c r="T51" s="243"/>
      <c r="U51" s="243"/>
      <c r="V51" s="243"/>
      <c r="W51" s="243"/>
      <c r="X51" s="244"/>
      <c r="Y51" s="244"/>
      <c r="Z51" s="113"/>
      <c r="AA51" s="198"/>
      <c r="AB51" s="198"/>
      <c r="AC51" s="198"/>
      <c r="AD51" s="198"/>
      <c r="AE51" s="198"/>
      <c r="AF51" s="198"/>
      <c r="AG51" s="198"/>
      <c r="AH51" s="198"/>
      <c r="AI51" s="198"/>
      <c r="AJ51" s="113"/>
    </row>
    <row r="52" spans="2:36" ht="24.75" customHeight="1" thickTop="1">
      <c r="B52" s="114">
        <v>4</v>
      </c>
      <c r="C52" s="114" t="s">
        <v>279</v>
      </c>
      <c r="D52" s="114">
        <v>102886</v>
      </c>
      <c r="E52" s="257" t="s">
        <v>280</v>
      </c>
      <c r="F52" s="115" t="s">
        <v>393</v>
      </c>
      <c r="G52" s="116" t="s">
        <v>256</v>
      </c>
      <c r="H52" s="116" t="s">
        <v>242</v>
      </c>
      <c r="I52" s="306" t="str">
        <f>IFERROR(IF(E52="","",IF((K52+M52+O52)/SUM(J52:O52)&lt;=0.2,"Presencial",IF((K52+M52+O52)/SUM(J52:O52)&lt;=0.7,"Semipresencial","A distancia"))),"")</f>
        <v>Presencial</v>
      </c>
      <c r="J52" s="117">
        <v>36</v>
      </c>
      <c r="K52" s="118">
        <v>0</v>
      </c>
      <c r="L52" s="117">
        <v>56</v>
      </c>
      <c r="M52" s="118">
        <v>0</v>
      </c>
      <c r="N52" s="117">
        <v>0</v>
      </c>
      <c r="O52" s="118">
        <v>0</v>
      </c>
      <c r="P52" s="605">
        <f t="shared" ref="P52:P61" si="16">+SUM(J52:K52)/$G$4+SUM(L52:M52)/$M$4+SUM(N52:O52)/$M$4</f>
        <v>4</v>
      </c>
      <c r="Q52" s="251">
        <f>IF(P52=0,"",P52*32)</f>
        <v>128</v>
      </c>
      <c r="R52" s="139"/>
      <c r="S52" s="139"/>
      <c r="T52" s="139"/>
      <c r="U52" s="139"/>
      <c r="V52" s="139"/>
      <c r="W52" s="139"/>
      <c r="X52" s="114"/>
      <c r="Y52" s="119"/>
      <c r="Z52" s="120"/>
      <c r="AA52" s="196" t="s">
        <v>400</v>
      </c>
      <c r="AB52" s="196"/>
      <c r="AC52" s="196" t="s">
        <v>395</v>
      </c>
      <c r="AD52" s="196"/>
      <c r="AE52" s="196"/>
      <c r="AF52" s="196"/>
      <c r="AG52" s="196"/>
      <c r="AH52" s="196"/>
      <c r="AI52" s="196"/>
      <c r="AJ52" s="120"/>
    </row>
    <row r="53" spans="2:36" ht="24.75" customHeight="1">
      <c r="B53" s="121">
        <v>4</v>
      </c>
      <c r="C53" s="589" t="s">
        <v>402</v>
      </c>
      <c r="D53" s="589">
        <v>148948</v>
      </c>
      <c r="E53" s="590" t="s">
        <v>282</v>
      </c>
      <c r="F53" s="591" t="s">
        <v>387</v>
      </c>
      <c r="G53" s="592" t="s">
        <v>241</v>
      </c>
      <c r="H53" s="592" t="s">
        <v>242</v>
      </c>
      <c r="I53" s="306" t="str">
        <f t="shared" ref="I53:I61" si="17">IFERROR(IF(E53="","",IF((K53+M53+O53)/SUM(J53:O53)&lt;=0.2,"Presencial",IF((K53+M53+O53)/SUM(J53:O53)&lt;=0.7,"Semipresencial","A distancia"))),"")</f>
        <v>Presencial</v>
      </c>
      <c r="J53" s="124">
        <v>48</v>
      </c>
      <c r="K53" s="125">
        <v>0</v>
      </c>
      <c r="L53" s="124">
        <v>32</v>
      </c>
      <c r="M53" s="125">
        <v>0</v>
      </c>
      <c r="N53" s="124">
        <v>0</v>
      </c>
      <c r="O53" s="125">
        <v>0</v>
      </c>
      <c r="P53" s="601">
        <f t="shared" si="16"/>
        <v>4</v>
      </c>
      <c r="Q53" s="252">
        <f t="shared" ref="Q53:Q61" si="18">IF(P53=0,"",P53*32)</f>
        <v>128</v>
      </c>
      <c r="R53" s="122" t="s">
        <v>268</v>
      </c>
      <c r="S53" s="122"/>
      <c r="T53" s="122"/>
      <c r="U53" s="122"/>
      <c r="V53" s="122"/>
      <c r="W53" s="122"/>
      <c r="X53" s="121"/>
      <c r="Y53" s="119"/>
      <c r="Z53" s="120"/>
      <c r="AA53" s="197" t="s">
        <v>403</v>
      </c>
      <c r="AB53" s="197"/>
      <c r="AC53" s="197"/>
      <c r="AD53" s="197"/>
      <c r="AE53" s="197"/>
      <c r="AF53" s="197"/>
      <c r="AG53" s="197"/>
      <c r="AH53" s="197"/>
      <c r="AI53" s="197"/>
      <c r="AJ53" s="120"/>
    </row>
    <row r="54" spans="2:36" ht="24.75" customHeight="1">
      <c r="B54" s="121">
        <v>4</v>
      </c>
      <c r="C54" s="121" t="s">
        <v>283</v>
      </c>
      <c r="D54" s="121">
        <v>103615</v>
      </c>
      <c r="E54" s="258" t="s">
        <v>284</v>
      </c>
      <c r="F54" s="122" t="s">
        <v>393</v>
      </c>
      <c r="G54" s="123" t="s">
        <v>256</v>
      </c>
      <c r="H54" s="123" t="s">
        <v>242</v>
      </c>
      <c r="I54" s="306" t="str">
        <f t="shared" si="17"/>
        <v>Presencial</v>
      </c>
      <c r="J54" s="124">
        <v>36</v>
      </c>
      <c r="K54" s="125">
        <v>0</v>
      </c>
      <c r="L54" s="124">
        <v>56</v>
      </c>
      <c r="M54" s="125">
        <v>0</v>
      </c>
      <c r="N54" s="124">
        <v>0</v>
      </c>
      <c r="O54" s="125">
        <v>0</v>
      </c>
      <c r="P54" s="601">
        <f t="shared" si="16"/>
        <v>4</v>
      </c>
      <c r="Q54" s="252">
        <f t="shared" si="18"/>
        <v>128</v>
      </c>
      <c r="R54" s="122"/>
      <c r="S54" s="122"/>
      <c r="T54" s="122"/>
      <c r="U54" s="122"/>
      <c r="V54" s="122"/>
      <c r="W54" s="122"/>
      <c r="X54" s="121"/>
      <c r="Y54" s="119"/>
      <c r="Z54" s="120"/>
      <c r="AA54" s="197" t="s">
        <v>401</v>
      </c>
      <c r="AB54" s="197"/>
      <c r="AC54" s="197"/>
      <c r="AD54" s="197"/>
      <c r="AE54" s="197"/>
      <c r="AF54" s="197"/>
      <c r="AG54" s="197"/>
      <c r="AH54" s="197"/>
      <c r="AI54" s="197"/>
      <c r="AJ54" s="120"/>
    </row>
    <row r="55" spans="2:36" ht="24.75" customHeight="1">
      <c r="B55" s="121">
        <v>4</v>
      </c>
      <c r="C55" s="121" t="s">
        <v>285</v>
      </c>
      <c r="D55" s="121">
        <v>92137</v>
      </c>
      <c r="E55" s="258" t="s">
        <v>286</v>
      </c>
      <c r="F55" s="122" t="s">
        <v>385</v>
      </c>
      <c r="G55" s="123" t="s">
        <v>247</v>
      </c>
      <c r="H55" s="123" t="s">
        <v>242</v>
      </c>
      <c r="I55" s="306" t="str">
        <f t="shared" si="17"/>
        <v>Presencial</v>
      </c>
      <c r="J55" s="124">
        <v>64</v>
      </c>
      <c r="K55" s="125">
        <v>0</v>
      </c>
      <c r="L55" s="124">
        <v>0</v>
      </c>
      <c r="M55" s="125">
        <v>0</v>
      </c>
      <c r="N55" s="124">
        <v>0</v>
      </c>
      <c r="O55" s="125">
        <v>0</v>
      </c>
      <c r="P55" s="601">
        <f t="shared" si="16"/>
        <v>4</v>
      </c>
      <c r="Q55" s="252">
        <f t="shared" si="18"/>
        <v>128</v>
      </c>
      <c r="R55" s="122" t="s">
        <v>270</v>
      </c>
      <c r="S55" s="122"/>
      <c r="T55" s="122"/>
      <c r="U55" s="122"/>
      <c r="V55" s="122"/>
      <c r="W55" s="122"/>
      <c r="X55" s="121"/>
      <c r="Y55" s="119"/>
      <c r="Z55" s="120"/>
      <c r="AA55" s="197" t="s">
        <v>404</v>
      </c>
      <c r="AB55" s="197"/>
      <c r="AC55" s="197" t="s">
        <v>399</v>
      </c>
      <c r="AD55" s="197"/>
      <c r="AE55" s="197"/>
      <c r="AF55" s="197"/>
      <c r="AG55" s="197"/>
      <c r="AH55" s="197"/>
      <c r="AI55" s="197"/>
      <c r="AJ55" s="120"/>
    </row>
    <row r="56" spans="2:36" ht="24.75" customHeight="1">
      <c r="B56" s="121">
        <v>4</v>
      </c>
      <c r="C56" s="130" t="s">
        <v>287</v>
      </c>
      <c r="D56" s="130">
        <v>99632</v>
      </c>
      <c r="E56" s="258" t="s">
        <v>288</v>
      </c>
      <c r="F56" s="122" t="s">
        <v>393</v>
      </c>
      <c r="G56" s="123" t="s">
        <v>241</v>
      </c>
      <c r="H56" s="123" t="s">
        <v>242</v>
      </c>
      <c r="I56" s="306" t="str">
        <f t="shared" si="17"/>
        <v>Presencial</v>
      </c>
      <c r="J56" s="124">
        <v>64</v>
      </c>
      <c r="K56" s="125">
        <v>0</v>
      </c>
      <c r="L56" s="124">
        <v>0</v>
      </c>
      <c r="M56" s="125">
        <v>0</v>
      </c>
      <c r="N56" s="124">
        <v>0</v>
      </c>
      <c r="O56" s="125">
        <v>0</v>
      </c>
      <c r="P56" s="601">
        <f t="shared" si="16"/>
        <v>4</v>
      </c>
      <c r="Q56" s="253">
        <f t="shared" si="18"/>
        <v>128</v>
      </c>
      <c r="R56" s="122"/>
      <c r="S56" s="122"/>
      <c r="T56" s="122"/>
      <c r="U56" s="122"/>
      <c r="V56" s="122"/>
      <c r="W56" s="122"/>
      <c r="X56" s="130"/>
      <c r="Y56" s="119"/>
      <c r="Z56" s="120"/>
      <c r="AA56" s="196" t="s">
        <v>384</v>
      </c>
      <c r="AB56" s="197"/>
      <c r="AC56" s="197"/>
      <c r="AD56" s="197"/>
      <c r="AE56" s="197"/>
      <c r="AF56" s="197"/>
      <c r="AG56" s="197"/>
      <c r="AH56" s="197"/>
      <c r="AI56" s="197"/>
      <c r="AJ56" s="120"/>
    </row>
    <row r="57" spans="2:36" ht="24.75" hidden="1" customHeight="1">
      <c r="B57" s="130">
        <v>4</v>
      </c>
      <c r="C57" s="130"/>
      <c r="D57" s="130" t="s">
        <v>244</v>
      </c>
      <c r="E57" s="258"/>
      <c r="F57" s="122"/>
      <c r="G57" s="126"/>
      <c r="H57" s="126"/>
      <c r="I57" s="306" t="str">
        <f t="shared" si="17"/>
        <v/>
      </c>
      <c r="J57" s="124"/>
      <c r="K57" s="125"/>
      <c r="L57" s="124"/>
      <c r="M57" s="125"/>
      <c r="N57" s="124"/>
      <c r="O57" s="125"/>
      <c r="P57" s="601">
        <f t="shared" si="16"/>
        <v>0</v>
      </c>
      <c r="Q57" s="253" t="str">
        <f t="shared" si="18"/>
        <v/>
      </c>
      <c r="R57" s="122"/>
      <c r="S57" s="122"/>
      <c r="T57" s="122"/>
      <c r="U57" s="122"/>
      <c r="V57" s="122"/>
      <c r="W57" s="122"/>
      <c r="X57" s="130"/>
      <c r="Y57" s="119"/>
      <c r="Z57" s="120"/>
      <c r="AA57" s="197"/>
      <c r="AB57" s="197"/>
      <c r="AC57" s="197"/>
      <c r="AD57" s="197"/>
      <c r="AE57" s="197"/>
      <c r="AF57" s="197"/>
      <c r="AG57" s="197"/>
      <c r="AH57" s="197"/>
      <c r="AI57" s="197"/>
      <c r="AJ57" s="120"/>
    </row>
    <row r="58" spans="2:36" ht="24.75" hidden="1" customHeight="1">
      <c r="B58" s="130">
        <v>4</v>
      </c>
      <c r="C58" s="130"/>
      <c r="D58" s="130" t="s">
        <v>244</v>
      </c>
      <c r="E58" s="258"/>
      <c r="F58" s="127"/>
      <c r="G58" s="123"/>
      <c r="H58" s="126"/>
      <c r="I58" s="306" t="str">
        <f t="shared" si="17"/>
        <v/>
      </c>
      <c r="J58" s="124"/>
      <c r="K58" s="125"/>
      <c r="L58" s="124"/>
      <c r="M58" s="125"/>
      <c r="N58" s="124"/>
      <c r="O58" s="125"/>
      <c r="P58" s="601">
        <f t="shared" si="16"/>
        <v>0</v>
      </c>
      <c r="Q58" s="253" t="str">
        <f>IF(P58=0,"",P58*32)</f>
        <v/>
      </c>
      <c r="R58" s="122"/>
      <c r="S58" s="122"/>
      <c r="T58" s="122"/>
      <c r="U58" s="122"/>
      <c r="V58" s="122"/>
      <c r="W58" s="122"/>
      <c r="X58" s="130"/>
      <c r="Y58" s="119"/>
      <c r="Z58" s="120"/>
      <c r="AA58" s="197"/>
      <c r="AB58" s="197"/>
      <c r="AC58" s="197"/>
      <c r="AD58" s="197"/>
      <c r="AE58" s="197"/>
      <c r="AF58" s="197"/>
      <c r="AG58" s="197"/>
      <c r="AH58" s="197"/>
      <c r="AI58" s="197"/>
      <c r="AJ58" s="120"/>
    </row>
    <row r="59" spans="2:36" ht="24.75" hidden="1" customHeight="1">
      <c r="B59" s="130">
        <v>4</v>
      </c>
      <c r="C59" s="130"/>
      <c r="D59" s="130" t="s">
        <v>244</v>
      </c>
      <c r="E59" s="258"/>
      <c r="F59" s="127"/>
      <c r="G59" s="123"/>
      <c r="H59" s="126"/>
      <c r="I59" s="306" t="str">
        <f t="shared" si="17"/>
        <v/>
      </c>
      <c r="J59" s="255"/>
      <c r="K59" s="256"/>
      <c r="L59" s="255"/>
      <c r="M59" s="256"/>
      <c r="N59" s="255"/>
      <c r="O59" s="256"/>
      <c r="P59" s="601">
        <f t="shared" si="16"/>
        <v>0</v>
      </c>
      <c r="Q59" s="253" t="str">
        <f>IF(P59=0,"",P59*32)</f>
        <v/>
      </c>
      <c r="R59" s="122"/>
      <c r="S59" s="122"/>
      <c r="T59" s="122"/>
      <c r="U59" s="122"/>
      <c r="V59" s="122"/>
      <c r="W59" s="122"/>
      <c r="X59" s="130"/>
      <c r="Y59" s="119"/>
      <c r="Z59" s="120"/>
      <c r="AA59" s="197"/>
      <c r="AB59" s="197"/>
      <c r="AC59" s="197"/>
      <c r="AD59" s="197"/>
      <c r="AE59" s="197"/>
      <c r="AF59" s="197"/>
      <c r="AG59" s="197"/>
      <c r="AH59" s="197"/>
      <c r="AI59" s="197"/>
      <c r="AJ59" s="120"/>
    </row>
    <row r="60" spans="2:36" ht="24.75" hidden="1" customHeight="1">
      <c r="B60" s="130">
        <v>4</v>
      </c>
      <c r="C60" s="130"/>
      <c r="D60" s="130" t="s">
        <v>244</v>
      </c>
      <c r="E60" s="258"/>
      <c r="F60" s="127"/>
      <c r="G60" s="123"/>
      <c r="H60" s="126"/>
      <c r="I60" s="306" t="str">
        <f t="shared" si="17"/>
        <v/>
      </c>
      <c r="J60" s="124"/>
      <c r="K60" s="125"/>
      <c r="L60" s="124"/>
      <c r="M60" s="125"/>
      <c r="N60" s="124"/>
      <c r="O60" s="125"/>
      <c r="P60" s="601">
        <f t="shared" si="16"/>
        <v>0</v>
      </c>
      <c r="Q60" s="253" t="str">
        <f>IF(P60=0,"",P60*32)</f>
        <v/>
      </c>
      <c r="R60" s="122"/>
      <c r="S60" s="122"/>
      <c r="T60" s="122"/>
      <c r="U60" s="122"/>
      <c r="V60" s="122"/>
      <c r="W60" s="122"/>
      <c r="X60" s="130"/>
      <c r="Y60" s="119"/>
      <c r="Z60" s="120"/>
      <c r="AA60" s="197"/>
      <c r="AB60" s="197"/>
      <c r="AC60" s="197"/>
      <c r="AD60" s="197"/>
      <c r="AE60" s="197"/>
      <c r="AF60" s="197"/>
      <c r="AG60" s="197"/>
      <c r="AH60" s="197"/>
      <c r="AI60" s="197"/>
      <c r="AJ60" s="120"/>
    </row>
    <row r="61" spans="2:36" ht="24.75" customHeight="1" thickBot="1">
      <c r="B61" s="131">
        <v>4</v>
      </c>
      <c r="C61" s="131"/>
      <c r="D61" s="131" t="s">
        <v>244</v>
      </c>
      <c r="E61" s="259"/>
      <c r="F61" s="133"/>
      <c r="G61" s="132"/>
      <c r="H61" s="132"/>
      <c r="I61" s="306" t="str">
        <f t="shared" si="17"/>
        <v/>
      </c>
      <c r="J61" s="124"/>
      <c r="K61" s="125"/>
      <c r="L61" s="124"/>
      <c r="M61" s="125"/>
      <c r="N61" s="124"/>
      <c r="O61" s="125"/>
      <c r="P61" s="603">
        <f t="shared" si="16"/>
        <v>0</v>
      </c>
      <c r="Q61" s="254" t="str">
        <f t="shared" si="18"/>
        <v/>
      </c>
      <c r="R61" s="133"/>
      <c r="S61" s="133"/>
      <c r="T61" s="133"/>
      <c r="U61" s="133"/>
      <c r="V61" s="133"/>
      <c r="W61" s="133"/>
      <c r="X61" s="131"/>
      <c r="Y61" s="119"/>
      <c r="Z61" s="120"/>
      <c r="AA61" s="197"/>
      <c r="AB61" s="197"/>
      <c r="AC61" s="197"/>
      <c r="AD61" s="197"/>
      <c r="AE61" s="197"/>
      <c r="AF61" s="197"/>
      <c r="AG61" s="197"/>
      <c r="AH61" s="197"/>
      <c r="AI61" s="197"/>
      <c r="AJ61" s="120"/>
    </row>
    <row r="62" spans="2:36" s="136" customFormat="1" ht="15.6" customHeight="1" thickTop="1" thickBot="1">
      <c r="B62" s="242"/>
      <c r="C62" s="244"/>
      <c r="D62" s="244" t="s">
        <v>244</v>
      </c>
      <c r="E62" s="244"/>
      <c r="F62" s="244"/>
      <c r="G62" s="245"/>
      <c r="H62" s="245"/>
      <c r="I62" s="244"/>
      <c r="J62" s="244">
        <f t="shared" ref="J62:P62" si="19">SUM(J52:J61)</f>
        <v>248</v>
      </c>
      <c r="K62" s="244">
        <f t="shared" si="19"/>
        <v>0</v>
      </c>
      <c r="L62" s="244">
        <f t="shared" si="19"/>
        <v>144</v>
      </c>
      <c r="M62" s="244">
        <f t="shared" si="19"/>
        <v>0</v>
      </c>
      <c r="N62" s="244">
        <f t="shared" si="19"/>
        <v>0</v>
      </c>
      <c r="O62" s="244">
        <f t="shared" si="19"/>
        <v>0</v>
      </c>
      <c r="P62" s="604">
        <f t="shared" si="19"/>
        <v>20</v>
      </c>
      <c r="Q62" s="243"/>
      <c r="R62" s="243"/>
      <c r="S62" s="243"/>
      <c r="T62" s="243"/>
      <c r="U62" s="243"/>
      <c r="V62" s="243"/>
      <c r="W62" s="243"/>
      <c r="X62" s="244"/>
      <c r="Y62" s="244"/>
      <c r="Z62" s="113"/>
      <c r="AA62" s="198"/>
      <c r="AB62" s="198"/>
      <c r="AC62" s="198"/>
      <c r="AD62" s="198"/>
      <c r="AE62" s="198"/>
      <c r="AF62" s="198"/>
      <c r="AG62" s="198"/>
      <c r="AH62" s="198"/>
      <c r="AI62" s="198"/>
      <c r="AJ62" s="113"/>
    </row>
    <row r="63" spans="2:36" ht="24.75" customHeight="1">
      <c r="B63" s="114">
        <v>5</v>
      </c>
      <c r="C63" s="585" t="s">
        <v>405</v>
      </c>
      <c r="D63" s="585">
        <v>148953</v>
      </c>
      <c r="E63" s="586" t="s">
        <v>290</v>
      </c>
      <c r="F63" s="587" t="s">
        <v>387</v>
      </c>
      <c r="G63" s="588" t="s">
        <v>241</v>
      </c>
      <c r="H63" s="588" t="s">
        <v>242</v>
      </c>
      <c r="I63" s="306" t="str">
        <f>IFERROR(IF(E63="","",IF((K63+M63+O63)/SUM(J63:O63)&lt;=0.2,"Presencial",IF((K63+M63+O63)/SUM(J63:O63)&lt;=0.7,"Semipresencial","A distancia"))),"")</f>
        <v>Presencial</v>
      </c>
      <c r="J63" s="117">
        <v>48</v>
      </c>
      <c r="K63" s="118">
        <v>0</v>
      </c>
      <c r="L63" s="117">
        <v>32</v>
      </c>
      <c r="M63" s="118">
        <v>0</v>
      </c>
      <c r="N63" s="117">
        <v>0</v>
      </c>
      <c r="O63" s="118">
        <v>0</v>
      </c>
      <c r="P63" s="605">
        <f t="shared" ref="P63:P72" si="20">+SUM(J63:K63)/$G$4+SUM(L63:M63)/$M$4+SUM(N63:O63)/$M$4</f>
        <v>4</v>
      </c>
      <c r="Q63" s="251">
        <f>IF(P63=0,"",P63*32)</f>
        <v>128</v>
      </c>
      <c r="R63" s="139" t="s">
        <v>282</v>
      </c>
      <c r="S63" s="139"/>
      <c r="T63" s="139"/>
      <c r="U63" s="139"/>
      <c r="V63" s="139"/>
      <c r="W63" s="139"/>
      <c r="X63" s="114"/>
      <c r="Y63" s="119"/>
      <c r="Z63" s="120"/>
      <c r="AA63" s="196" t="s">
        <v>403</v>
      </c>
      <c r="AB63" s="196"/>
      <c r="AC63" s="196"/>
      <c r="AD63" s="196"/>
      <c r="AE63" s="196"/>
      <c r="AF63" s="196"/>
      <c r="AG63" s="196"/>
      <c r="AH63" s="196"/>
      <c r="AI63" s="196"/>
      <c r="AJ63" s="120"/>
    </row>
    <row r="64" spans="2:36" ht="24.75" customHeight="1">
      <c r="B64" s="121">
        <v>5</v>
      </c>
      <c r="C64" s="121" t="s">
        <v>291</v>
      </c>
      <c r="D64" s="121">
        <v>103119</v>
      </c>
      <c r="E64" s="258" t="s">
        <v>292</v>
      </c>
      <c r="F64" s="122" t="s">
        <v>393</v>
      </c>
      <c r="G64" s="123" t="s">
        <v>256</v>
      </c>
      <c r="H64" s="123" t="s">
        <v>242</v>
      </c>
      <c r="I64" s="306" t="str">
        <f t="shared" ref="I64:I72" si="21">IFERROR(IF(E64="","",IF((K64+M64+O64)/SUM(J64:O64)&lt;=0.2,"Presencial",IF((K64+M64+O64)/SUM(J64:O64)&lt;=0.7,"Semipresencial","A distancia"))),"")</f>
        <v>Presencial</v>
      </c>
      <c r="J64" s="124">
        <v>36</v>
      </c>
      <c r="K64" s="125">
        <v>0</v>
      </c>
      <c r="L64" s="124">
        <v>56</v>
      </c>
      <c r="M64" s="125">
        <v>0</v>
      </c>
      <c r="N64" s="124">
        <v>0</v>
      </c>
      <c r="O64" s="125">
        <v>0</v>
      </c>
      <c r="P64" s="601">
        <f t="shared" si="20"/>
        <v>4</v>
      </c>
      <c r="Q64" s="252">
        <f t="shared" ref="Q64:Q72" si="22">IF(P64=0,"",P64*32)</f>
        <v>128</v>
      </c>
      <c r="R64" s="122" t="s">
        <v>280</v>
      </c>
      <c r="S64" s="122"/>
      <c r="T64" s="122"/>
      <c r="U64" s="122"/>
      <c r="V64" s="122"/>
      <c r="W64" s="122"/>
      <c r="X64" s="121"/>
      <c r="Y64" s="119"/>
      <c r="Z64" s="120"/>
      <c r="AA64" s="197" t="s">
        <v>406</v>
      </c>
      <c r="AB64" s="197"/>
      <c r="AC64" s="197"/>
      <c r="AD64" s="197"/>
      <c r="AE64" s="197"/>
      <c r="AF64" s="197"/>
      <c r="AG64" s="197"/>
      <c r="AH64" s="197"/>
      <c r="AI64" s="197"/>
      <c r="AJ64" s="120"/>
    </row>
    <row r="65" spans="2:36" ht="24.75" customHeight="1">
      <c r="B65" s="121">
        <v>5</v>
      </c>
      <c r="C65" s="121" t="s">
        <v>293</v>
      </c>
      <c r="D65" s="121">
        <v>102820</v>
      </c>
      <c r="E65" s="258" t="s">
        <v>294</v>
      </c>
      <c r="F65" s="122" t="s">
        <v>407</v>
      </c>
      <c r="G65" s="123" t="s">
        <v>247</v>
      </c>
      <c r="H65" s="123" t="s">
        <v>242</v>
      </c>
      <c r="I65" s="306" t="str">
        <f t="shared" si="21"/>
        <v>Presencial</v>
      </c>
      <c r="J65" s="124">
        <v>34</v>
      </c>
      <c r="K65" s="125">
        <v>0</v>
      </c>
      <c r="L65" s="124">
        <v>28</v>
      </c>
      <c r="M65" s="125">
        <v>0</v>
      </c>
      <c r="N65" s="124">
        <v>0</v>
      </c>
      <c r="O65" s="125">
        <v>0</v>
      </c>
      <c r="P65" s="601">
        <f t="shared" si="20"/>
        <v>3</v>
      </c>
      <c r="Q65" s="252">
        <f t="shared" si="22"/>
        <v>96</v>
      </c>
      <c r="R65" s="122"/>
      <c r="S65" s="122"/>
      <c r="T65" s="122"/>
      <c r="U65" s="122"/>
      <c r="V65" s="122"/>
      <c r="W65" s="122"/>
      <c r="X65" s="121"/>
      <c r="Y65" s="119"/>
      <c r="Z65" s="120"/>
      <c r="AA65" s="197" t="s">
        <v>408</v>
      </c>
      <c r="AB65" s="197"/>
      <c r="AC65" s="197"/>
      <c r="AD65" s="197"/>
      <c r="AE65" s="197"/>
      <c r="AF65" s="197"/>
      <c r="AG65" s="197"/>
      <c r="AH65" s="197"/>
      <c r="AI65" s="197"/>
      <c r="AJ65" s="120"/>
    </row>
    <row r="66" spans="2:36" ht="24.75" customHeight="1">
      <c r="B66" s="121">
        <v>5</v>
      </c>
      <c r="C66" s="121" t="s">
        <v>295</v>
      </c>
      <c r="D66" s="121">
        <v>103614</v>
      </c>
      <c r="E66" s="258" t="s">
        <v>296</v>
      </c>
      <c r="F66" s="122" t="s">
        <v>393</v>
      </c>
      <c r="G66" s="123" t="s">
        <v>256</v>
      </c>
      <c r="H66" s="123" t="s">
        <v>242</v>
      </c>
      <c r="I66" s="306" t="str">
        <f t="shared" si="21"/>
        <v>Presencial</v>
      </c>
      <c r="J66" s="124">
        <v>36</v>
      </c>
      <c r="K66" s="125">
        <v>0</v>
      </c>
      <c r="L66" s="124">
        <v>56</v>
      </c>
      <c r="M66" s="125">
        <v>0</v>
      </c>
      <c r="N66" s="124">
        <v>0</v>
      </c>
      <c r="O66" s="125">
        <v>0</v>
      </c>
      <c r="P66" s="601">
        <f t="shared" si="20"/>
        <v>4</v>
      </c>
      <c r="Q66" s="252">
        <f t="shared" si="22"/>
        <v>128</v>
      </c>
      <c r="R66" s="122"/>
      <c r="S66" s="122"/>
      <c r="T66" s="122"/>
      <c r="U66" s="122"/>
      <c r="V66" s="122"/>
      <c r="W66" s="122"/>
      <c r="X66" s="121"/>
      <c r="Y66" s="119"/>
      <c r="Z66" s="120"/>
      <c r="AA66" s="197" t="s">
        <v>409</v>
      </c>
      <c r="AB66" s="197"/>
      <c r="AC66" s="197"/>
      <c r="AD66" s="197"/>
      <c r="AE66" s="197"/>
      <c r="AF66" s="197"/>
      <c r="AG66" s="197"/>
      <c r="AH66" s="197"/>
      <c r="AI66" s="197"/>
      <c r="AJ66" s="120"/>
    </row>
    <row r="67" spans="2:36" ht="24.75" customHeight="1">
      <c r="B67" s="121">
        <v>5</v>
      </c>
      <c r="C67" s="130" t="s">
        <v>297</v>
      </c>
      <c r="D67" s="130">
        <v>92344</v>
      </c>
      <c r="E67" s="258" t="s">
        <v>298</v>
      </c>
      <c r="F67" s="122" t="s">
        <v>393</v>
      </c>
      <c r="G67" s="123" t="s">
        <v>241</v>
      </c>
      <c r="H67" s="123" t="s">
        <v>242</v>
      </c>
      <c r="I67" s="306" t="str">
        <f t="shared" si="21"/>
        <v>Presencial</v>
      </c>
      <c r="J67" s="124">
        <v>64</v>
      </c>
      <c r="K67" s="125">
        <v>0</v>
      </c>
      <c r="L67" s="124">
        <v>0</v>
      </c>
      <c r="M67" s="125">
        <v>0</v>
      </c>
      <c r="N67" s="124">
        <v>0</v>
      </c>
      <c r="O67" s="125">
        <v>0</v>
      </c>
      <c r="P67" s="601">
        <f t="shared" si="20"/>
        <v>4</v>
      </c>
      <c r="Q67" s="253">
        <f t="shared" si="22"/>
        <v>128</v>
      </c>
      <c r="R67" s="122" t="s">
        <v>288</v>
      </c>
      <c r="S67" s="122"/>
      <c r="T67" s="122"/>
      <c r="U67" s="122"/>
      <c r="V67" s="122"/>
      <c r="W67" s="122"/>
      <c r="X67" s="130"/>
      <c r="Y67" s="119"/>
      <c r="Z67" s="120"/>
      <c r="AA67" s="197" t="s">
        <v>410</v>
      </c>
      <c r="AB67" s="197"/>
      <c r="AC67" s="197"/>
      <c r="AD67" s="197"/>
      <c r="AE67" s="197"/>
      <c r="AF67" s="197"/>
      <c r="AG67" s="197"/>
      <c r="AH67" s="197"/>
      <c r="AI67" s="197"/>
      <c r="AJ67" s="120"/>
    </row>
    <row r="68" spans="2:36" ht="24.75" customHeight="1">
      <c r="B68" s="130">
        <v>5</v>
      </c>
      <c r="C68" s="130" t="s">
        <v>299</v>
      </c>
      <c r="D68" s="130">
        <v>103737</v>
      </c>
      <c r="E68" s="258" t="s">
        <v>300</v>
      </c>
      <c r="F68" s="122" t="s">
        <v>393</v>
      </c>
      <c r="G68" s="126" t="s">
        <v>256</v>
      </c>
      <c r="H68" s="126" t="s">
        <v>242</v>
      </c>
      <c r="I68" s="306" t="str">
        <f t="shared" si="21"/>
        <v>Presencial</v>
      </c>
      <c r="J68" s="124">
        <v>32</v>
      </c>
      <c r="K68" s="125">
        <v>0</v>
      </c>
      <c r="L68" s="124">
        <v>0</v>
      </c>
      <c r="M68" s="125">
        <v>0</v>
      </c>
      <c r="N68" s="124">
        <v>0</v>
      </c>
      <c r="O68" s="125">
        <v>0</v>
      </c>
      <c r="P68" s="601">
        <f t="shared" si="20"/>
        <v>2</v>
      </c>
      <c r="Q68" s="253">
        <f t="shared" si="22"/>
        <v>64</v>
      </c>
      <c r="R68" s="122" t="s">
        <v>266</v>
      </c>
      <c r="S68" s="122"/>
      <c r="T68" s="122"/>
      <c r="U68" s="122"/>
      <c r="V68" s="122"/>
      <c r="W68" s="122"/>
      <c r="X68" s="130"/>
      <c r="Y68" s="119"/>
      <c r="Z68" s="120"/>
      <c r="AA68" s="197" t="s">
        <v>411</v>
      </c>
      <c r="AB68" s="197"/>
      <c r="AC68" s="197" t="s">
        <v>412</v>
      </c>
      <c r="AD68" s="197"/>
      <c r="AE68" s="197"/>
      <c r="AF68" s="197"/>
      <c r="AG68" s="197"/>
      <c r="AH68" s="197"/>
      <c r="AI68" s="197"/>
      <c r="AJ68" s="120"/>
    </row>
    <row r="69" spans="2:36" ht="24.75" hidden="1" customHeight="1">
      <c r="B69" s="130">
        <v>5</v>
      </c>
      <c r="C69" s="130"/>
      <c r="D69" s="130" t="s">
        <v>244</v>
      </c>
      <c r="E69" s="258"/>
      <c r="F69" s="127"/>
      <c r="G69" s="123"/>
      <c r="H69" s="126"/>
      <c r="I69" s="306" t="str">
        <f t="shared" si="21"/>
        <v/>
      </c>
      <c r="J69" s="124"/>
      <c r="K69" s="125"/>
      <c r="L69" s="124"/>
      <c r="M69" s="125"/>
      <c r="N69" s="124"/>
      <c r="O69" s="125"/>
      <c r="P69" s="601">
        <f t="shared" si="20"/>
        <v>0</v>
      </c>
      <c r="Q69" s="253" t="str">
        <f>IF(P69=0,"",P69*32)</f>
        <v/>
      </c>
      <c r="R69" s="122"/>
      <c r="S69" s="122"/>
      <c r="T69" s="122"/>
      <c r="U69" s="122"/>
      <c r="V69" s="122"/>
      <c r="W69" s="122"/>
      <c r="X69" s="130"/>
      <c r="Y69" s="119"/>
      <c r="Z69" s="120"/>
      <c r="AA69" s="197"/>
      <c r="AB69" s="197"/>
      <c r="AC69" s="197"/>
      <c r="AD69" s="197"/>
      <c r="AE69" s="197"/>
      <c r="AF69" s="197"/>
      <c r="AG69" s="197"/>
      <c r="AH69" s="197"/>
      <c r="AI69" s="197"/>
      <c r="AJ69" s="120"/>
    </row>
    <row r="70" spans="2:36" ht="24.75" hidden="1" customHeight="1">
      <c r="B70" s="130">
        <v>5</v>
      </c>
      <c r="C70" s="130"/>
      <c r="D70" s="130" t="s">
        <v>244</v>
      </c>
      <c r="E70" s="258"/>
      <c r="F70" s="127"/>
      <c r="G70" s="123"/>
      <c r="H70" s="126"/>
      <c r="I70" s="306" t="str">
        <f t="shared" si="21"/>
        <v/>
      </c>
      <c r="J70" s="255"/>
      <c r="K70" s="256"/>
      <c r="L70" s="255"/>
      <c r="M70" s="256"/>
      <c r="N70" s="255"/>
      <c r="O70" s="256"/>
      <c r="P70" s="601">
        <f t="shared" si="20"/>
        <v>0</v>
      </c>
      <c r="Q70" s="253" t="str">
        <f>IF(P70=0,"",P70*32)</f>
        <v/>
      </c>
      <c r="R70" s="122"/>
      <c r="S70" s="122"/>
      <c r="T70" s="122"/>
      <c r="U70" s="122"/>
      <c r="V70" s="122"/>
      <c r="W70" s="122"/>
      <c r="X70" s="130"/>
      <c r="Y70" s="119"/>
      <c r="Z70" s="120"/>
      <c r="AA70" s="197"/>
      <c r="AB70" s="197"/>
      <c r="AC70" s="197"/>
      <c r="AD70" s="197"/>
      <c r="AE70" s="197"/>
      <c r="AF70" s="197"/>
      <c r="AG70" s="197"/>
      <c r="AH70" s="197"/>
      <c r="AI70" s="197"/>
      <c r="AJ70" s="120"/>
    </row>
    <row r="71" spans="2:36" ht="24.75" hidden="1" customHeight="1">
      <c r="B71" s="130">
        <v>5</v>
      </c>
      <c r="C71" s="130"/>
      <c r="D71" s="130" t="s">
        <v>244</v>
      </c>
      <c r="E71" s="258"/>
      <c r="F71" s="127"/>
      <c r="G71" s="123"/>
      <c r="H71" s="126"/>
      <c r="I71" s="306" t="str">
        <f t="shared" si="21"/>
        <v/>
      </c>
      <c r="J71" s="124"/>
      <c r="K71" s="125"/>
      <c r="L71" s="124"/>
      <c r="M71" s="125"/>
      <c r="N71" s="124"/>
      <c r="O71" s="125"/>
      <c r="P71" s="601">
        <f t="shared" si="20"/>
        <v>0</v>
      </c>
      <c r="Q71" s="253" t="str">
        <f>IF(P71=0,"",P71*32)</f>
        <v/>
      </c>
      <c r="R71" s="122"/>
      <c r="S71" s="122"/>
      <c r="T71" s="122"/>
      <c r="U71" s="122"/>
      <c r="V71" s="122"/>
      <c r="W71" s="122"/>
      <c r="X71" s="130"/>
      <c r="Y71" s="119"/>
      <c r="Z71" s="120"/>
      <c r="AA71" s="197"/>
      <c r="AB71" s="197"/>
      <c r="AC71" s="197"/>
      <c r="AD71" s="197"/>
      <c r="AE71" s="197"/>
      <c r="AF71" s="197"/>
      <c r="AG71" s="197"/>
      <c r="AH71" s="197"/>
      <c r="AI71" s="197"/>
      <c r="AJ71" s="120"/>
    </row>
    <row r="72" spans="2:36" ht="24.75" customHeight="1" thickBot="1">
      <c r="B72" s="131">
        <v>5</v>
      </c>
      <c r="C72" s="131"/>
      <c r="D72" s="131" t="s">
        <v>244</v>
      </c>
      <c r="E72" s="259"/>
      <c r="F72" s="133"/>
      <c r="G72" s="132"/>
      <c r="H72" s="132"/>
      <c r="I72" s="306" t="str">
        <f t="shared" si="21"/>
        <v/>
      </c>
      <c r="J72" s="124"/>
      <c r="K72" s="125"/>
      <c r="L72" s="124"/>
      <c r="M72" s="125"/>
      <c r="N72" s="124"/>
      <c r="O72" s="125"/>
      <c r="P72" s="603">
        <f t="shared" si="20"/>
        <v>0</v>
      </c>
      <c r="Q72" s="254" t="str">
        <f t="shared" si="22"/>
        <v/>
      </c>
      <c r="R72" s="133"/>
      <c r="S72" s="133"/>
      <c r="T72" s="133"/>
      <c r="U72" s="133"/>
      <c r="V72" s="133"/>
      <c r="W72" s="133"/>
      <c r="X72" s="131"/>
      <c r="Y72" s="119"/>
      <c r="Z72" s="120"/>
      <c r="AA72" s="197"/>
      <c r="AB72" s="197"/>
      <c r="AC72" s="197"/>
      <c r="AD72" s="197"/>
      <c r="AE72" s="197"/>
      <c r="AF72" s="197"/>
      <c r="AG72" s="197"/>
      <c r="AH72" s="197"/>
      <c r="AI72" s="197"/>
      <c r="AJ72" s="120"/>
    </row>
    <row r="73" spans="2:36" s="136" customFormat="1" ht="15.6" customHeight="1" thickTop="1" thickBot="1">
      <c r="B73" s="242"/>
      <c r="C73" s="244"/>
      <c r="D73" s="244" t="s">
        <v>244</v>
      </c>
      <c r="E73" s="244"/>
      <c r="F73" s="244"/>
      <c r="G73" s="245"/>
      <c r="H73" s="245"/>
      <c r="I73" s="244"/>
      <c r="J73" s="244">
        <f>SUM(J63:J72)</f>
        <v>250</v>
      </c>
      <c r="K73" s="244">
        <f t="shared" ref="K73:P73" si="23">SUM(K63:K72)</f>
        <v>0</v>
      </c>
      <c r="L73" s="244">
        <f t="shared" si="23"/>
        <v>172</v>
      </c>
      <c r="M73" s="244">
        <f t="shared" si="23"/>
        <v>0</v>
      </c>
      <c r="N73" s="244">
        <f t="shared" si="23"/>
        <v>0</v>
      </c>
      <c r="O73" s="244">
        <f t="shared" si="23"/>
        <v>0</v>
      </c>
      <c r="P73" s="604">
        <f t="shared" si="23"/>
        <v>21</v>
      </c>
      <c r="Q73" s="243"/>
      <c r="R73" s="243"/>
      <c r="S73" s="243"/>
      <c r="T73" s="243"/>
      <c r="U73" s="243"/>
      <c r="V73" s="243"/>
      <c r="W73" s="243"/>
      <c r="X73" s="244"/>
      <c r="Y73" s="244"/>
      <c r="Z73" s="113"/>
      <c r="AA73" s="198"/>
      <c r="AB73" s="198"/>
      <c r="AC73" s="198"/>
      <c r="AD73" s="198"/>
      <c r="AE73" s="198"/>
      <c r="AF73" s="198"/>
      <c r="AG73" s="198"/>
      <c r="AH73" s="198"/>
      <c r="AI73" s="198"/>
      <c r="AJ73" s="113"/>
    </row>
    <row r="74" spans="2:36" ht="24.75" customHeight="1" thickTop="1">
      <c r="B74" s="114">
        <v>6</v>
      </c>
      <c r="C74" s="114" t="s">
        <v>301</v>
      </c>
      <c r="D74" s="114">
        <v>103617</v>
      </c>
      <c r="E74" s="257" t="s">
        <v>302</v>
      </c>
      <c r="F74" s="115" t="s">
        <v>393</v>
      </c>
      <c r="G74" s="116" t="s">
        <v>256</v>
      </c>
      <c r="H74" s="116" t="s">
        <v>242</v>
      </c>
      <c r="I74" s="306" t="str">
        <f>IFERROR(IF(E74="","",IF((K74+M74+O74)/SUM(J74:O74)&lt;=0.2,"Presencial",IF((K74+M74+O74)/SUM(J74:O74)&lt;=0.7,"Semipresencial","A distancia"))),"")</f>
        <v>Presencial</v>
      </c>
      <c r="J74" s="117">
        <v>36</v>
      </c>
      <c r="K74" s="118">
        <v>0</v>
      </c>
      <c r="L74" s="117">
        <v>56</v>
      </c>
      <c r="M74" s="118">
        <v>0</v>
      </c>
      <c r="N74" s="117">
        <v>0</v>
      </c>
      <c r="O74" s="118">
        <v>0</v>
      </c>
      <c r="P74" s="605">
        <f t="shared" ref="P74:P83" si="24">+SUM(J74:K74)/$G$4+SUM(L74:M74)/$M$4+SUM(N74:O74)/$M$4</f>
        <v>4</v>
      </c>
      <c r="Q74" s="251">
        <f>IF(P74=0,"",P74*32)</f>
        <v>128</v>
      </c>
      <c r="R74" s="139" t="s">
        <v>296</v>
      </c>
      <c r="S74" s="139"/>
      <c r="T74" s="139"/>
      <c r="U74" s="139"/>
      <c r="V74" s="139"/>
      <c r="W74" s="139"/>
      <c r="X74" s="114"/>
      <c r="Y74" s="119"/>
      <c r="Z74" s="120"/>
      <c r="AA74" s="196" t="s">
        <v>409</v>
      </c>
      <c r="AB74" s="196"/>
      <c r="AC74" s="196"/>
      <c r="AD74" s="196"/>
      <c r="AE74" s="196"/>
      <c r="AF74" s="196"/>
      <c r="AG74" s="196"/>
      <c r="AH74" s="196"/>
      <c r="AI74" s="196"/>
      <c r="AJ74" s="120"/>
    </row>
    <row r="75" spans="2:36" ht="24.75" customHeight="1">
      <c r="B75" s="121">
        <v>6</v>
      </c>
      <c r="C75" s="589" t="s">
        <v>413</v>
      </c>
      <c r="D75" s="589">
        <v>148958</v>
      </c>
      <c r="E75" s="590" t="s">
        <v>304</v>
      </c>
      <c r="F75" s="591" t="s">
        <v>387</v>
      </c>
      <c r="G75" s="592" t="s">
        <v>241</v>
      </c>
      <c r="H75" s="592" t="s">
        <v>242</v>
      </c>
      <c r="I75" s="306" t="str">
        <f t="shared" ref="I75:I83" si="25">IFERROR(IF(E75="","",IF((K75+M75+O75)/SUM(J75:O75)&lt;=0.2,"Presencial",IF((K75+M75+O75)/SUM(J75:O75)&lt;=0.7,"Semipresencial","A distancia"))),"")</f>
        <v>Presencial</v>
      </c>
      <c r="J75" s="124">
        <v>16</v>
      </c>
      <c r="K75" s="125">
        <v>0</v>
      </c>
      <c r="L75" s="124">
        <v>64</v>
      </c>
      <c r="M75" s="125">
        <v>0</v>
      </c>
      <c r="N75" s="124">
        <v>0</v>
      </c>
      <c r="O75" s="125">
        <v>0</v>
      </c>
      <c r="P75" s="601">
        <f t="shared" si="24"/>
        <v>3</v>
      </c>
      <c r="Q75" s="252">
        <f t="shared" ref="Q75:Q83" si="26">IF(P75=0,"",P75*32)</f>
        <v>96</v>
      </c>
      <c r="R75" s="122" t="s">
        <v>290</v>
      </c>
      <c r="S75" s="122"/>
      <c r="T75" s="122"/>
      <c r="U75" s="122"/>
      <c r="V75" s="122"/>
      <c r="W75" s="122"/>
      <c r="X75" s="121"/>
      <c r="Y75" s="119"/>
      <c r="Z75" s="120"/>
      <c r="AA75" s="197" t="s">
        <v>414</v>
      </c>
      <c r="AB75" s="197"/>
      <c r="AC75" s="197"/>
      <c r="AD75" s="197"/>
      <c r="AE75" s="197"/>
      <c r="AF75" s="197"/>
      <c r="AG75" s="197"/>
      <c r="AH75" s="197"/>
      <c r="AI75" s="197"/>
      <c r="AJ75" s="120"/>
    </row>
    <row r="76" spans="2:36" ht="24.75" customHeight="1">
      <c r="B76" s="121">
        <v>6</v>
      </c>
      <c r="C76" s="121" t="s">
        <v>305</v>
      </c>
      <c r="D76" s="121">
        <v>103580</v>
      </c>
      <c r="E76" s="258" t="s">
        <v>306</v>
      </c>
      <c r="F76" s="122" t="s">
        <v>393</v>
      </c>
      <c r="G76" s="123" t="s">
        <v>256</v>
      </c>
      <c r="H76" s="123" t="s">
        <v>242</v>
      </c>
      <c r="I76" s="306" t="str">
        <f t="shared" si="25"/>
        <v>Presencial</v>
      </c>
      <c r="J76" s="124">
        <v>64</v>
      </c>
      <c r="K76" s="125">
        <v>0</v>
      </c>
      <c r="L76" s="124">
        <v>0</v>
      </c>
      <c r="M76" s="125">
        <v>0</v>
      </c>
      <c r="N76" s="124">
        <v>0</v>
      </c>
      <c r="O76" s="125">
        <v>0</v>
      </c>
      <c r="P76" s="601">
        <f t="shared" si="24"/>
        <v>4</v>
      </c>
      <c r="Q76" s="252">
        <f t="shared" si="26"/>
        <v>128</v>
      </c>
      <c r="R76" s="122"/>
      <c r="S76" s="122"/>
      <c r="T76" s="122"/>
      <c r="U76" s="122"/>
      <c r="V76" s="122"/>
      <c r="W76" s="122"/>
      <c r="X76" s="121"/>
      <c r="Y76" s="119"/>
      <c r="Z76" s="120"/>
      <c r="AA76" s="197" t="s">
        <v>415</v>
      </c>
      <c r="AB76" s="197"/>
      <c r="AC76" s="197" t="s">
        <v>416</v>
      </c>
      <c r="AD76" s="197"/>
      <c r="AE76" s="197"/>
      <c r="AF76" s="197"/>
      <c r="AG76" s="197"/>
      <c r="AH76" s="197"/>
      <c r="AI76" s="197"/>
      <c r="AJ76" s="120"/>
    </row>
    <row r="77" spans="2:36" ht="24.75" customHeight="1">
      <c r="B77" s="121">
        <v>6</v>
      </c>
      <c r="C77" s="121" t="s">
        <v>307</v>
      </c>
      <c r="D77" s="121">
        <v>95829</v>
      </c>
      <c r="E77" s="258" t="s">
        <v>308</v>
      </c>
      <c r="F77" s="122" t="s">
        <v>393</v>
      </c>
      <c r="G77" s="123" t="s">
        <v>256</v>
      </c>
      <c r="H77" s="123" t="s">
        <v>242</v>
      </c>
      <c r="I77" s="306" t="str">
        <f t="shared" si="25"/>
        <v>Presencial</v>
      </c>
      <c r="J77" s="124">
        <v>64</v>
      </c>
      <c r="K77" s="125">
        <v>0</v>
      </c>
      <c r="L77" s="124">
        <v>0</v>
      </c>
      <c r="M77" s="125">
        <v>0</v>
      </c>
      <c r="N77" s="124">
        <v>0</v>
      </c>
      <c r="O77" s="125">
        <v>0</v>
      </c>
      <c r="P77" s="601">
        <f t="shared" si="24"/>
        <v>4</v>
      </c>
      <c r="Q77" s="252">
        <f t="shared" si="26"/>
        <v>128</v>
      </c>
      <c r="R77" s="122"/>
      <c r="S77" s="122"/>
      <c r="T77" s="122"/>
      <c r="U77" s="122"/>
      <c r="V77" s="122"/>
      <c r="W77" s="122"/>
      <c r="X77" s="121"/>
      <c r="Y77" s="119"/>
      <c r="Z77" s="120"/>
      <c r="AA77" s="197" t="s">
        <v>409</v>
      </c>
      <c r="AB77" s="197"/>
      <c r="AC77" s="197"/>
      <c r="AD77" s="197"/>
      <c r="AE77" s="197"/>
      <c r="AF77" s="197"/>
      <c r="AG77" s="197"/>
      <c r="AH77" s="197"/>
      <c r="AI77" s="197"/>
      <c r="AJ77" s="120"/>
    </row>
    <row r="78" spans="2:36" ht="24.75" customHeight="1">
      <c r="B78" s="121">
        <v>6</v>
      </c>
      <c r="C78" s="130" t="s">
        <v>309</v>
      </c>
      <c r="D78" s="130">
        <v>103121</v>
      </c>
      <c r="E78" s="258" t="s">
        <v>310</v>
      </c>
      <c r="F78" s="122" t="s">
        <v>393</v>
      </c>
      <c r="G78" s="123" t="s">
        <v>256</v>
      </c>
      <c r="H78" s="123" t="s">
        <v>242</v>
      </c>
      <c r="I78" s="306" t="str">
        <f t="shared" si="25"/>
        <v>Presencial</v>
      </c>
      <c r="J78" s="124">
        <v>2</v>
      </c>
      <c r="K78" s="125">
        <v>0</v>
      </c>
      <c r="L78" s="124">
        <v>60</v>
      </c>
      <c r="M78" s="125">
        <v>0</v>
      </c>
      <c r="N78" s="124">
        <v>0</v>
      </c>
      <c r="O78" s="125">
        <v>0</v>
      </c>
      <c r="P78" s="601">
        <f t="shared" si="24"/>
        <v>2</v>
      </c>
      <c r="Q78" s="253">
        <f t="shared" si="26"/>
        <v>64</v>
      </c>
      <c r="R78" s="122" t="s">
        <v>272</v>
      </c>
      <c r="S78" s="122"/>
      <c r="T78" s="122"/>
      <c r="U78" s="122"/>
      <c r="V78" s="122"/>
      <c r="W78" s="122"/>
      <c r="X78" s="130"/>
      <c r="Y78" s="119"/>
      <c r="Z78" s="120"/>
      <c r="AA78" s="197" t="s">
        <v>415</v>
      </c>
      <c r="AB78" s="197"/>
      <c r="AC78" s="197" t="s">
        <v>410</v>
      </c>
      <c r="AD78" s="197"/>
      <c r="AE78" s="197"/>
      <c r="AF78" s="197"/>
      <c r="AG78" s="197"/>
      <c r="AH78" s="197"/>
      <c r="AI78" s="197"/>
      <c r="AJ78" s="120"/>
    </row>
    <row r="79" spans="2:36" ht="24.75" customHeight="1">
      <c r="B79" s="130">
        <v>6</v>
      </c>
      <c r="C79" s="130" t="s">
        <v>311</v>
      </c>
      <c r="D79" s="130">
        <v>103619</v>
      </c>
      <c r="E79" s="258" t="s">
        <v>312</v>
      </c>
      <c r="F79" s="122" t="s">
        <v>393</v>
      </c>
      <c r="G79" s="126" t="s">
        <v>256</v>
      </c>
      <c r="H79" s="126" t="s">
        <v>242</v>
      </c>
      <c r="I79" s="306" t="str">
        <f t="shared" si="25"/>
        <v>Presencial</v>
      </c>
      <c r="J79" s="124">
        <v>36</v>
      </c>
      <c r="K79" s="125">
        <v>0</v>
      </c>
      <c r="L79" s="124">
        <v>56</v>
      </c>
      <c r="M79" s="125">
        <v>0</v>
      </c>
      <c r="N79" s="124">
        <v>0</v>
      </c>
      <c r="O79" s="125">
        <v>0</v>
      </c>
      <c r="P79" s="601">
        <f t="shared" si="24"/>
        <v>4</v>
      </c>
      <c r="Q79" s="253">
        <f t="shared" si="26"/>
        <v>128</v>
      </c>
      <c r="R79" s="122"/>
      <c r="S79" s="122"/>
      <c r="T79" s="122"/>
      <c r="U79" s="122"/>
      <c r="V79" s="122"/>
      <c r="W79" s="122"/>
      <c r="X79" s="130"/>
      <c r="Y79" s="119"/>
      <c r="Z79" s="120"/>
      <c r="AA79" s="197" t="s">
        <v>409</v>
      </c>
      <c r="AB79" s="197"/>
      <c r="AC79" s="197"/>
      <c r="AD79" s="197"/>
      <c r="AE79" s="197"/>
      <c r="AF79" s="197"/>
      <c r="AG79" s="197"/>
      <c r="AH79" s="197"/>
      <c r="AI79" s="197"/>
      <c r="AJ79" s="120"/>
    </row>
    <row r="80" spans="2:36" ht="24.75" hidden="1" customHeight="1">
      <c r="B80" s="130">
        <v>6</v>
      </c>
      <c r="C80" s="130"/>
      <c r="D80" s="130" t="s">
        <v>244</v>
      </c>
      <c r="E80" s="258"/>
      <c r="F80" s="127"/>
      <c r="G80" s="123"/>
      <c r="H80" s="126"/>
      <c r="I80" s="306" t="str">
        <f t="shared" si="25"/>
        <v/>
      </c>
      <c r="J80" s="124"/>
      <c r="K80" s="125"/>
      <c r="L80" s="124"/>
      <c r="M80" s="125"/>
      <c r="N80" s="124"/>
      <c r="O80" s="125"/>
      <c r="P80" s="601">
        <f t="shared" si="24"/>
        <v>0</v>
      </c>
      <c r="Q80" s="253" t="str">
        <f>IF(P80=0,"",P80*32)</f>
        <v/>
      </c>
      <c r="R80" s="122"/>
      <c r="S80" s="122"/>
      <c r="T80" s="122"/>
      <c r="U80" s="122"/>
      <c r="V80" s="122"/>
      <c r="W80" s="122"/>
      <c r="X80" s="130"/>
      <c r="Y80" s="119"/>
      <c r="Z80" s="120"/>
      <c r="AA80" s="197"/>
      <c r="AB80" s="197"/>
      <c r="AC80" s="197"/>
      <c r="AD80" s="197"/>
      <c r="AE80" s="197"/>
      <c r="AF80" s="197"/>
      <c r="AG80" s="197"/>
      <c r="AH80" s="197"/>
      <c r="AI80" s="197"/>
      <c r="AJ80" s="120"/>
    </row>
    <row r="81" spans="2:36" ht="24.75" hidden="1" customHeight="1">
      <c r="B81" s="130">
        <v>6</v>
      </c>
      <c r="C81" s="130"/>
      <c r="D81" s="130" t="s">
        <v>244</v>
      </c>
      <c r="E81" s="258"/>
      <c r="F81" s="127"/>
      <c r="G81" s="123"/>
      <c r="H81" s="126"/>
      <c r="I81" s="306" t="str">
        <f t="shared" si="25"/>
        <v/>
      </c>
      <c r="J81" s="255"/>
      <c r="K81" s="256"/>
      <c r="L81" s="255"/>
      <c r="M81" s="256"/>
      <c r="N81" s="255"/>
      <c r="O81" s="256"/>
      <c r="P81" s="601">
        <f t="shared" si="24"/>
        <v>0</v>
      </c>
      <c r="Q81" s="253" t="str">
        <f>IF(P81=0,"",P81*32)</f>
        <v/>
      </c>
      <c r="R81" s="122"/>
      <c r="S81" s="122"/>
      <c r="T81" s="122"/>
      <c r="U81" s="122"/>
      <c r="V81" s="122"/>
      <c r="W81" s="122"/>
      <c r="X81" s="130"/>
      <c r="Y81" s="119"/>
      <c r="Z81" s="120"/>
      <c r="AA81" s="197"/>
      <c r="AB81" s="197"/>
      <c r="AC81" s="197"/>
      <c r="AD81" s="197"/>
      <c r="AE81" s="197"/>
      <c r="AF81" s="197"/>
      <c r="AG81" s="197"/>
      <c r="AH81" s="197"/>
      <c r="AI81" s="197"/>
      <c r="AJ81" s="120"/>
    </row>
    <row r="82" spans="2:36" ht="24.75" hidden="1" customHeight="1">
      <c r="B82" s="130">
        <v>6</v>
      </c>
      <c r="C82" s="130"/>
      <c r="D82" s="130" t="s">
        <v>244</v>
      </c>
      <c r="E82" s="258"/>
      <c r="F82" s="127"/>
      <c r="G82" s="123"/>
      <c r="H82" s="126"/>
      <c r="I82" s="306" t="str">
        <f t="shared" si="25"/>
        <v/>
      </c>
      <c r="J82" s="124"/>
      <c r="K82" s="125"/>
      <c r="L82" s="124"/>
      <c r="M82" s="125"/>
      <c r="N82" s="124"/>
      <c r="O82" s="125"/>
      <c r="P82" s="601">
        <f t="shared" si="24"/>
        <v>0</v>
      </c>
      <c r="Q82" s="253" t="str">
        <f>IF(P82=0,"",P82*32)</f>
        <v/>
      </c>
      <c r="R82" s="122"/>
      <c r="S82" s="122"/>
      <c r="T82" s="122"/>
      <c r="U82" s="122"/>
      <c r="V82" s="122"/>
      <c r="W82" s="122"/>
      <c r="X82" s="130"/>
      <c r="Y82" s="119"/>
      <c r="Z82" s="120"/>
      <c r="AA82" s="197"/>
      <c r="AB82" s="197"/>
      <c r="AC82" s="197"/>
      <c r="AD82" s="197"/>
      <c r="AE82" s="197"/>
      <c r="AF82" s="197"/>
      <c r="AG82" s="197"/>
      <c r="AH82" s="197"/>
      <c r="AI82" s="197"/>
      <c r="AJ82" s="120"/>
    </row>
    <row r="83" spans="2:36" ht="24.75" customHeight="1" thickBot="1">
      <c r="B83" s="131">
        <v>6</v>
      </c>
      <c r="C83" s="131"/>
      <c r="D83" s="131" t="s">
        <v>244</v>
      </c>
      <c r="E83" s="259"/>
      <c r="F83" s="133"/>
      <c r="G83" s="132"/>
      <c r="H83" s="132"/>
      <c r="I83" s="306" t="str">
        <f t="shared" si="25"/>
        <v/>
      </c>
      <c r="J83" s="124"/>
      <c r="K83" s="125"/>
      <c r="L83" s="124"/>
      <c r="M83" s="125"/>
      <c r="N83" s="124"/>
      <c r="O83" s="125"/>
      <c r="P83" s="603">
        <f t="shared" si="24"/>
        <v>0</v>
      </c>
      <c r="Q83" s="254" t="str">
        <f t="shared" si="26"/>
        <v/>
      </c>
      <c r="R83" s="133"/>
      <c r="S83" s="133"/>
      <c r="T83" s="133"/>
      <c r="U83" s="133"/>
      <c r="V83" s="133"/>
      <c r="W83" s="133"/>
      <c r="X83" s="131"/>
      <c r="Y83" s="119"/>
      <c r="Z83" s="120"/>
      <c r="AA83" s="197"/>
      <c r="AB83" s="197"/>
      <c r="AC83" s="197"/>
      <c r="AD83" s="197"/>
      <c r="AE83" s="197"/>
      <c r="AF83" s="197"/>
      <c r="AG83" s="197"/>
      <c r="AH83" s="197"/>
      <c r="AI83" s="197"/>
      <c r="AJ83" s="120"/>
    </row>
    <row r="84" spans="2:36" s="136" customFormat="1" ht="15.6" customHeight="1" thickTop="1" thickBot="1">
      <c r="B84" s="242"/>
      <c r="C84" s="244"/>
      <c r="D84" s="244" t="s">
        <v>244</v>
      </c>
      <c r="E84" s="244"/>
      <c r="F84" s="244"/>
      <c r="G84" s="245"/>
      <c r="H84" s="245"/>
      <c r="I84" s="244"/>
      <c r="J84" s="244">
        <f t="shared" ref="J84:P84" si="27">SUM(J74:J83)</f>
        <v>218</v>
      </c>
      <c r="K84" s="244">
        <f t="shared" si="27"/>
        <v>0</v>
      </c>
      <c r="L84" s="244">
        <f t="shared" si="27"/>
        <v>236</v>
      </c>
      <c r="M84" s="244">
        <f t="shared" si="27"/>
        <v>0</v>
      </c>
      <c r="N84" s="244">
        <f t="shared" si="27"/>
        <v>0</v>
      </c>
      <c r="O84" s="244">
        <f t="shared" si="27"/>
        <v>0</v>
      </c>
      <c r="P84" s="604">
        <f t="shared" si="27"/>
        <v>21</v>
      </c>
      <c r="Q84" s="243"/>
      <c r="R84" s="243"/>
      <c r="S84" s="243"/>
      <c r="T84" s="243"/>
      <c r="U84" s="243"/>
      <c r="V84" s="243"/>
      <c r="W84" s="243"/>
      <c r="X84" s="244"/>
      <c r="Y84" s="244"/>
      <c r="Z84" s="113"/>
      <c r="AA84" s="198"/>
      <c r="AB84" s="198"/>
      <c r="AC84" s="198"/>
      <c r="AD84" s="198"/>
      <c r="AE84" s="198"/>
      <c r="AF84" s="198"/>
      <c r="AG84" s="198"/>
      <c r="AH84" s="198"/>
      <c r="AI84" s="198"/>
      <c r="AJ84" s="113"/>
    </row>
    <row r="85" spans="2:36" ht="24.75" customHeight="1" thickTop="1">
      <c r="B85" s="114">
        <v>7</v>
      </c>
      <c r="C85" s="114" t="s">
        <v>313</v>
      </c>
      <c r="D85" s="114">
        <v>95826</v>
      </c>
      <c r="E85" s="257" t="s">
        <v>314</v>
      </c>
      <c r="F85" s="115" t="s">
        <v>393</v>
      </c>
      <c r="G85" s="116" t="s">
        <v>256</v>
      </c>
      <c r="H85" s="116" t="s">
        <v>242</v>
      </c>
      <c r="I85" s="306" t="str">
        <f>IFERROR(IF(E85="","",IF((K85+M85+O85)/SUM(J85:O85)&lt;=0.2,"Presencial",IF((K85+M85+O85)/SUM(J85:O85)&lt;=0.7,"Semipresencial","A distancia"))),"")</f>
        <v>Presencial</v>
      </c>
      <c r="J85" s="117">
        <v>64</v>
      </c>
      <c r="K85" s="118">
        <v>0</v>
      </c>
      <c r="L85" s="117">
        <v>0</v>
      </c>
      <c r="M85" s="118">
        <v>0</v>
      </c>
      <c r="N85" s="117">
        <v>0</v>
      </c>
      <c r="O85" s="118">
        <v>0</v>
      </c>
      <c r="P85" s="605">
        <f t="shared" ref="P85:P94" si="28">+SUM(J85:K85)/$G$4+SUM(L85:M85)/$M$4+SUM(N85:O85)/$M$4</f>
        <v>4</v>
      </c>
      <c r="Q85" s="251">
        <f>IF(P85=0,"",P85*32)</f>
        <v>128</v>
      </c>
      <c r="R85" s="139" t="s">
        <v>308</v>
      </c>
      <c r="S85" s="139"/>
      <c r="T85" s="139"/>
      <c r="U85" s="139"/>
      <c r="V85" s="139"/>
      <c r="W85" s="139"/>
      <c r="X85" s="114"/>
      <c r="Y85" s="119"/>
      <c r="Z85" s="120"/>
      <c r="AA85" s="196" t="s">
        <v>409</v>
      </c>
      <c r="AB85" s="196"/>
      <c r="AC85" s="196" t="s">
        <v>414</v>
      </c>
      <c r="AD85" s="196"/>
      <c r="AE85" s="196"/>
      <c r="AF85" s="196"/>
      <c r="AG85" s="196"/>
      <c r="AH85" s="196"/>
      <c r="AI85" s="196"/>
      <c r="AJ85" s="120"/>
    </row>
    <row r="86" spans="2:36" ht="24.75" customHeight="1">
      <c r="B86" s="121">
        <v>7</v>
      </c>
      <c r="C86" s="121" t="s">
        <v>315</v>
      </c>
      <c r="D86" s="121">
        <v>103123</v>
      </c>
      <c r="E86" s="258" t="s">
        <v>316</v>
      </c>
      <c r="F86" s="122" t="s">
        <v>393</v>
      </c>
      <c r="G86" s="123" t="s">
        <v>256</v>
      </c>
      <c r="H86" s="123" t="s">
        <v>242</v>
      </c>
      <c r="I86" s="306" t="str">
        <f t="shared" ref="I86:I94" si="29">IFERROR(IF(E86="","",IF((K86+M86+O86)/SUM(J86:O86)&lt;=0.2,"Presencial",IF((K86+M86+O86)/SUM(J86:O86)&lt;=0.7,"Semipresencial","A distancia"))),"")</f>
        <v>Presencial</v>
      </c>
      <c r="J86" s="124">
        <v>36</v>
      </c>
      <c r="K86" s="125">
        <v>0</v>
      </c>
      <c r="L86" s="124">
        <v>56</v>
      </c>
      <c r="M86" s="125">
        <v>0</v>
      </c>
      <c r="N86" s="124">
        <v>0</v>
      </c>
      <c r="O86" s="125">
        <v>0</v>
      </c>
      <c r="P86" s="601">
        <f t="shared" si="28"/>
        <v>4</v>
      </c>
      <c r="Q86" s="252">
        <f t="shared" ref="Q86:Q94" si="30">IF(P86=0,"",P86*32)</f>
        <v>128</v>
      </c>
      <c r="R86" s="122" t="s">
        <v>286</v>
      </c>
      <c r="S86" s="122"/>
      <c r="T86" s="122"/>
      <c r="U86" s="122"/>
      <c r="V86" s="122"/>
      <c r="W86" s="122"/>
      <c r="X86" s="121"/>
      <c r="Y86" s="119"/>
      <c r="Z86" s="120"/>
      <c r="AA86" s="197" t="s">
        <v>417</v>
      </c>
      <c r="AB86" s="197"/>
      <c r="AC86" s="197" t="s">
        <v>418</v>
      </c>
      <c r="AD86" s="197"/>
      <c r="AE86" s="197"/>
      <c r="AF86" s="197"/>
      <c r="AG86" s="197"/>
      <c r="AH86" s="197"/>
      <c r="AI86" s="197"/>
      <c r="AJ86" s="120"/>
    </row>
    <row r="87" spans="2:36" ht="24.75" customHeight="1">
      <c r="B87" s="121">
        <v>7</v>
      </c>
      <c r="C87" s="121" t="s">
        <v>317</v>
      </c>
      <c r="D87" s="121">
        <v>99889</v>
      </c>
      <c r="E87" s="258" t="s">
        <v>318</v>
      </c>
      <c r="F87" s="122" t="s">
        <v>393</v>
      </c>
      <c r="G87" s="123" t="s">
        <v>256</v>
      </c>
      <c r="H87" s="123" t="s">
        <v>242</v>
      </c>
      <c r="I87" s="306" t="str">
        <f t="shared" si="29"/>
        <v>Presencial</v>
      </c>
      <c r="J87" s="124">
        <v>64</v>
      </c>
      <c r="K87" s="125">
        <v>0</v>
      </c>
      <c r="L87" s="124">
        <v>0</v>
      </c>
      <c r="M87" s="125">
        <v>0</v>
      </c>
      <c r="N87" s="124">
        <v>0</v>
      </c>
      <c r="O87" s="125">
        <v>0</v>
      </c>
      <c r="P87" s="601">
        <f t="shared" si="28"/>
        <v>4</v>
      </c>
      <c r="Q87" s="252">
        <f t="shared" si="30"/>
        <v>128</v>
      </c>
      <c r="R87" s="122" t="s">
        <v>306</v>
      </c>
      <c r="S87" s="122"/>
      <c r="T87" s="122"/>
      <c r="U87" s="122"/>
      <c r="V87" s="122"/>
      <c r="W87" s="122"/>
      <c r="X87" s="121"/>
      <c r="Y87" s="119"/>
      <c r="Z87" s="120"/>
      <c r="AA87" s="197" t="s">
        <v>417</v>
      </c>
      <c r="AB87" s="197"/>
      <c r="AC87" s="197" t="s">
        <v>416</v>
      </c>
      <c r="AD87" s="197"/>
      <c r="AE87" s="197"/>
      <c r="AF87" s="197"/>
      <c r="AG87" s="197"/>
      <c r="AH87" s="197"/>
      <c r="AI87" s="197"/>
      <c r="AJ87" s="120"/>
    </row>
    <row r="88" spans="2:36" ht="24.75" customHeight="1">
      <c r="B88" s="121">
        <v>7</v>
      </c>
      <c r="C88" s="121" t="s">
        <v>319</v>
      </c>
      <c r="D88" s="121">
        <v>103621</v>
      </c>
      <c r="E88" s="258" t="s">
        <v>320</v>
      </c>
      <c r="F88" s="122" t="s">
        <v>393</v>
      </c>
      <c r="G88" s="123" t="s">
        <v>256</v>
      </c>
      <c r="H88" s="123" t="s">
        <v>242</v>
      </c>
      <c r="I88" s="306" t="str">
        <f t="shared" si="29"/>
        <v>Presencial</v>
      </c>
      <c r="J88" s="124">
        <v>36</v>
      </c>
      <c r="K88" s="125">
        <v>0</v>
      </c>
      <c r="L88" s="124">
        <v>56</v>
      </c>
      <c r="M88" s="125">
        <v>0</v>
      </c>
      <c r="N88" s="124">
        <v>0</v>
      </c>
      <c r="O88" s="125">
        <v>0</v>
      </c>
      <c r="P88" s="601">
        <f t="shared" si="28"/>
        <v>4</v>
      </c>
      <c r="Q88" s="252">
        <f t="shared" si="30"/>
        <v>128</v>
      </c>
      <c r="R88" s="122" t="s">
        <v>312</v>
      </c>
      <c r="S88" s="122"/>
      <c r="T88" s="122"/>
      <c r="U88" s="122"/>
      <c r="V88" s="122"/>
      <c r="W88" s="122"/>
      <c r="X88" s="121"/>
      <c r="Y88" s="119"/>
      <c r="Z88" s="120"/>
      <c r="AA88" s="197" t="s">
        <v>406</v>
      </c>
      <c r="AB88" s="197"/>
      <c r="AC88" s="197"/>
      <c r="AD88" s="197"/>
      <c r="AE88" s="197"/>
      <c r="AF88" s="197"/>
      <c r="AG88" s="197"/>
      <c r="AH88" s="197"/>
      <c r="AI88" s="197"/>
      <c r="AJ88" s="120"/>
    </row>
    <row r="89" spans="2:36" ht="24.75" customHeight="1">
      <c r="B89" s="121">
        <v>7</v>
      </c>
      <c r="C89" s="130"/>
      <c r="D89" s="130" t="s">
        <v>244</v>
      </c>
      <c r="E89" s="258" t="s">
        <v>321</v>
      </c>
      <c r="F89" s="122" t="s">
        <v>393</v>
      </c>
      <c r="G89" s="123" t="s">
        <v>256</v>
      </c>
      <c r="H89" s="123" t="s">
        <v>151</v>
      </c>
      <c r="I89" s="306" t="str">
        <f t="shared" si="29"/>
        <v>Presencial</v>
      </c>
      <c r="J89" s="124">
        <v>64</v>
      </c>
      <c r="K89" s="125">
        <v>0</v>
      </c>
      <c r="L89" s="124">
        <v>0</v>
      </c>
      <c r="M89" s="125">
        <v>0</v>
      </c>
      <c r="N89" s="124">
        <v>0</v>
      </c>
      <c r="O89" s="125">
        <v>0</v>
      </c>
      <c r="P89" s="601">
        <f t="shared" si="28"/>
        <v>4</v>
      </c>
      <c r="Q89" s="253">
        <f t="shared" si="30"/>
        <v>128</v>
      </c>
      <c r="R89" s="122"/>
      <c r="S89" s="122"/>
      <c r="T89" s="122"/>
      <c r="U89" s="122"/>
      <c r="V89" s="122"/>
      <c r="W89" s="122"/>
      <c r="X89" s="130"/>
      <c r="Y89" s="119"/>
      <c r="Z89" s="120"/>
      <c r="AA89" s="197"/>
      <c r="AB89" s="197"/>
      <c r="AC89" s="197"/>
      <c r="AD89" s="197"/>
      <c r="AE89" s="197"/>
      <c r="AF89" s="197"/>
      <c r="AG89" s="197"/>
      <c r="AH89" s="197"/>
      <c r="AI89" s="197"/>
      <c r="AJ89" s="120"/>
    </row>
    <row r="90" spans="2:36" ht="24.75" hidden="1" customHeight="1">
      <c r="B90" s="130">
        <v>7</v>
      </c>
      <c r="C90" s="130"/>
      <c r="D90" s="130" t="s">
        <v>244</v>
      </c>
      <c r="E90" s="258"/>
      <c r="F90" s="122"/>
      <c r="G90" s="126"/>
      <c r="H90" s="126"/>
      <c r="I90" s="306" t="str">
        <f t="shared" si="29"/>
        <v/>
      </c>
      <c r="J90" s="124"/>
      <c r="K90" s="125"/>
      <c r="L90" s="124"/>
      <c r="M90" s="125"/>
      <c r="N90" s="124"/>
      <c r="O90" s="125"/>
      <c r="P90" s="601">
        <f t="shared" si="28"/>
        <v>0</v>
      </c>
      <c r="Q90" s="253" t="str">
        <f t="shared" si="30"/>
        <v/>
      </c>
      <c r="R90" s="122"/>
      <c r="S90" s="122"/>
      <c r="T90" s="122"/>
      <c r="U90" s="122"/>
      <c r="V90" s="122"/>
      <c r="W90" s="122"/>
      <c r="X90" s="130"/>
      <c r="Y90" s="119"/>
      <c r="Z90" s="120"/>
      <c r="AA90" s="197"/>
      <c r="AB90" s="197"/>
      <c r="AC90" s="197"/>
      <c r="AD90" s="197"/>
      <c r="AE90" s="197"/>
      <c r="AF90" s="197"/>
      <c r="AG90" s="197"/>
      <c r="AH90" s="197"/>
      <c r="AI90" s="197"/>
      <c r="AJ90" s="120"/>
    </row>
    <row r="91" spans="2:36" ht="24.75" hidden="1" customHeight="1">
      <c r="B91" s="130">
        <v>7</v>
      </c>
      <c r="C91" s="130"/>
      <c r="D91" s="130" t="s">
        <v>244</v>
      </c>
      <c r="E91" s="258"/>
      <c r="F91" s="127"/>
      <c r="G91" s="123"/>
      <c r="H91" s="126"/>
      <c r="I91" s="306" t="str">
        <f t="shared" si="29"/>
        <v/>
      </c>
      <c r="J91" s="124"/>
      <c r="K91" s="125"/>
      <c r="L91" s="124"/>
      <c r="M91" s="125"/>
      <c r="N91" s="124"/>
      <c r="O91" s="125"/>
      <c r="P91" s="601">
        <f t="shared" si="28"/>
        <v>0</v>
      </c>
      <c r="Q91" s="253" t="str">
        <f t="shared" si="30"/>
        <v/>
      </c>
      <c r="R91" s="122"/>
      <c r="S91" s="122"/>
      <c r="T91" s="122"/>
      <c r="U91" s="122"/>
      <c r="V91" s="122"/>
      <c r="W91" s="122"/>
      <c r="X91" s="130"/>
      <c r="Y91" s="119"/>
      <c r="Z91" s="120"/>
      <c r="AA91" s="197"/>
      <c r="AB91" s="197"/>
      <c r="AC91" s="197"/>
      <c r="AD91" s="197"/>
      <c r="AE91" s="197"/>
      <c r="AF91" s="197"/>
      <c r="AG91" s="197"/>
      <c r="AH91" s="197"/>
      <c r="AI91" s="197"/>
      <c r="AJ91" s="120"/>
    </row>
    <row r="92" spans="2:36" ht="24.75" hidden="1" customHeight="1">
      <c r="B92" s="130">
        <v>7</v>
      </c>
      <c r="C92" s="130"/>
      <c r="D92" s="130" t="s">
        <v>244</v>
      </c>
      <c r="E92" s="258"/>
      <c r="F92" s="127"/>
      <c r="G92" s="123"/>
      <c r="H92" s="126"/>
      <c r="I92" s="306" t="str">
        <f t="shared" si="29"/>
        <v/>
      </c>
      <c r="J92" s="255"/>
      <c r="K92" s="256"/>
      <c r="L92" s="255"/>
      <c r="M92" s="256"/>
      <c r="N92" s="255"/>
      <c r="O92" s="256"/>
      <c r="P92" s="601">
        <f t="shared" si="28"/>
        <v>0</v>
      </c>
      <c r="Q92" s="253" t="str">
        <f t="shared" si="30"/>
        <v/>
      </c>
      <c r="R92" s="122"/>
      <c r="S92" s="122"/>
      <c r="T92" s="122"/>
      <c r="U92" s="122"/>
      <c r="V92" s="122"/>
      <c r="W92" s="122"/>
      <c r="X92" s="130"/>
      <c r="Y92" s="119"/>
      <c r="Z92" s="120"/>
      <c r="AA92" s="197"/>
      <c r="AB92" s="197"/>
      <c r="AC92" s="197"/>
      <c r="AD92" s="197"/>
      <c r="AE92" s="197"/>
      <c r="AF92" s="197"/>
      <c r="AG92" s="197"/>
      <c r="AH92" s="197"/>
      <c r="AI92" s="197"/>
      <c r="AJ92" s="120"/>
    </row>
    <row r="93" spans="2:36" ht="24.75" hidden="1" customHeight="1">
      <c r="B93" s="130">
        <v>7</v>
      </c>
      <c r="C93" s="130"/>
      <c r="D93" s="130" t="s">
        <v>244</v>
      </c>
      <c r="E93" s="258"/>
      <c r="F93" s="127"/>
      <c r="G93" s="123"/>
      <c r="H93" s="126"/>
      <c r="I93" s="306" t="str">
        <f t="shared" si="29"/>
        <v/>
      </c>
      <c r="J93" s="124"/>
      <c r="K93" s="125"/>
      <c r="L93" s="124"/>
      <c r="M93" s="125"/>
      <c r="N93" s="124"/>
      <c r="O93" s="125"/>
      <c r="P93" s="601">
        <f t="shared" si="28"/>
        <v>0</v>
      </c>
      <c r="Q93" s="253" t="str">
        <f t="shared" si="30"/>
        <v/>
      </c>
      <c r="R93" s="122"/>
      <c r="S93" s="122"/>
      <c r="T93" s="122"/>
      <c r="U93" s="122"/>
      <c r="V93" s="122"/>
      <c r="W93" s="122"/>
      <c r="X93" s="130"/>
      <c r="Y93" s="119"/>
      <c r="Z93" s="120"/>
      <c r="AA93" s="197"/>
      <c r="AB93" s="197"/>
      <c r="AC93" s="197"/>
      <c r="AD93" s="197"/>
      <c r="AE93" s="197"/>
      <c r="AF93" s="197"/>
      <c r="AG93" s="197"/>
      <c r="AH93" s="197"/>
      <c r="AI93" s="197"/>
      <c r="AJ93" s="120"/>
    </row>
    <row r="94" spans="2:36" ht="24.75" customHeight="1" thickBot="1">
      <c r="B94" s="131">
        <v>7</v>
      </c>
      <c r="C94" s="131"/>
      <c r="D94" s="131" t="s">
        <v>244</v>
      </c>
      <c r="E94" s="259"/>
      <c r="F94" s="133"/>
      <c r="G94" s="132"/>
      <c r="H94" s="132"/>
      <c r="I94" s="306" t="str">
        <f t="shared" si="29"/>
        <v/>
      </c>
      <c r="J94" s="124"/>
      <c r="K94" s="125"/>
      <c r="L94" s="124"/>
      <c r="M94" s="125"/>
      <c r="N94" s="124"/>
      <c r="O94" s="125"/>
      <c r="P94" s="603">
        <f t="shared" si="28"/>
        <v>0</v>
      </c>
      <c r="Q94" s="254" t="str">
        <f t="shared" si="30"/>
        <v/>
      </c>
      <c r="R94" s="133"/>
      <c r="S94" s="133"/>
      <c r="T94" s="133"/>
      <c r="U94" s="133"/>
      <c r="V94" s="133"/>
      <c r="W94" s="133"/>
      <c r="X94" s="131"/>
      <c r="Y94" s="119"/>
      <c r="Z94" s="120"/>
      <c r="AA94" s="197"/>
      <c r="AB94" s="197"/>
      <c r="AC94" s="197"/>
      <c r="AD94" s="197"/>
      <c r="AE94" s="197"/>
      <c r="AF94" s="197"/>
      <c r="AG94" s="197"/>
      <c r="AH94" s="197"/>
      <c r="AI94" s="197"/>
      <c r="AJ94" s="120"/>
    </row>
    <row r="95" spans="2:36" s="136" customFormat="1" ht="15.6" customHeight="1" thickTop="1" thickBot="1">
      <c r="B95" s="242"/>
      <c r="C95" s="244"/>
      <c r="D95" s="244" t="s">
        <v>244</v>
      </c>
      <c r="E95" s="244"/>
      <c r="F95" s="244"/>
      <c r="G95" s="245"/>
      <c r="H95" s="245"/>
      <c r="I95" s="244"/>
      <c r="J95" s="244">
        <f>SUM(J85:J94)</f>
        <v>264</v>
      </c>
      <c r="K95" s="244">
        <f t="shared" ref="K95:P95" si="31">SUM(K85:K94)</f>
        <v>0</v>
      </c>
      <c r="L95" s="244">
        <f t="shared" si="31"/>
        <v>112</v>
      </c>
      <c r="M95" s="244">
        <f t="shared" si="31"/>
        <v>0</v>
      </c>
      <c r="N95" s="244">
        <f t="shared" si="31"/>
        <v>0</v>
      </c>
      <c r="O95" s="244">
        <f t="shared" si="31"/>
        <v>0</v>
      </c>
      <c r="P95" s="604">
        <f t="shared" si="31"/>
        <v>20</v>
      </c>
      <c r="Q95" s="243"/>
      <c r="R95" s="243"/>
      <c r="S95" s="243"/>
      <c r="T95" s="243"/>
      <c r="U95" s="243"/>
      <c r="V95" s="243"/>
      <c r="W95" s="243"/>
      <c r="X95" s="244"/>
      <c r="Y95" s="244"/>
      <c r="Z95" s="113"/>
      <c r="AA95" s="198"/>
      <c r="AB95" s="198"/>
      <c r="AC95" s="198"/>
      <c r="AD95" s="198"/>
      <c r="AE95" s="198"/>
      <c r="AF95" s="198"/>
      <c r="AG95" s="198"/>
      <c r="AH95" s="198"/>
      <c r="AI95" s="198"/>
      <c r="AJ95" s="113"/>
    </row>
    <row r="96" spans="2:36" ht="24.75" customHeight="1" thickTop="1">
      <c r="B96" s="114">
        <v>8</v>
      </c>
      <c r="C96" s="140" t="s">
        <v>322</v>
      </c>
      <c r="D96" s="119">
        <v>103626</v>
      </c>
      <c r="E96" s="258" t="s">
        <v>323</v>
      </c>
      <c r="F96" s="115" t="s">
        <v>393</v>
      </c>
      <c r="G96" s="116" t="s">
        <v>256</v>
      </c>
      <c r="H96" s="116" t="s">
        <v>242</v>
      </c>
      <c r="I96" s="306" t="str">
        <f>IFERROR(IF(E96="","",IF((K96+M96+O96)/SUM(J96:O96)&lt;=0.2,"Presencial",IF((K96+M96+O96)/SUM(J96:O96)&lt;=0.7,"Semipresencial","A distancia"))),"")</f>
        <v>Presencial</v>
      </c>
      <c r="J96" s="137">
        <v>36</v>
      </c>
      <c r="K96" s="138">
        <v>0</v>
      </c>
      <c r="L96" s="137">
        <v>56</v>
      </c>
      <c r="M96" s="138">
        <v>0</v>
      </c>
      <c r="N96" s="137">
        <v>0</v>
      </c>
      <c r="O96" s="138">
        <v>0</v>
      </c>
      <c r="P96" s="605">
        <f t="shared" ref="P96:P105" si="32">+SUM(J96:K96)/$G$4+SUM(L96:M96)/$M$4+SUM(N96:O96)/$M$4</f>
        <v>4</v>
      </c>
      <c r="Q96" s="251">
        <f>IF(P96=0,"",P96*32)</f>
        <v>128</v>
      </c>
      <c r="R96" s="139"/>
      <c r="S96" s="139"/>
      <c r="T96" s="139"/>
      <c r="U96" s="139"/>
      <c r="V96" s="139"/>
      <c r="W96" s="139"/>
      <c r="X96" s="140"/>
      <c r="Y96" s="119"/>
      <c r="Z96" s="120"/>
      <c r="AA96" s="196" t="s">
        <v>419</v>
      </c>
      <c r="AB96" s="196"/>
      <c r="AC96" s="196"/>
      <c r="AD96" s="196"/>
      <c r="AE96" s="196"/>
      <c r="AF96" s="196"/>
      <c r="AG96" s="196"/>
      <c r="AH96" s="196"/>
      <c r="AI96" s="196"/>
      <c r="AJ96" s="120"/>
    </row>
    <row r="97" spans="2:36" ht="24.75" customHeight="1">
      <c r="B97" s="121">
        <v>8</v>
      </c>
      <c r="C97" s="121" t="s">
        <v>324</v>
      </c>
      <c r="D97" s="121">
        <v>103625</v>
      </c>
      <c r="E97" s="258" t="s">
        <v>325</v>
      </c>
      <c r="F97" s="122" t="s">
        <v>393</v>
      </c>
      <c r="G97" s="123" t="s">
        <v>256</v>
      </c>
      <c r="H97" s="123" t="s">
        <v>242</v>
      </c>
      <c r="I97" s="306" t="str">
        <f t="shared" ref="I97:I105" si="33">IFERROR(IF(E97="","",IF((K97+M97+O97)/SUM(J97:O97)&lt;=0.2,"Presencial",IF((K97+M97+O97)/SUM(J97:O97)&lt;=0.7,"Semipresencial","A distancia"))),"")</f>
        <v>Presencial</v>
      </c>
      <c r="J97" s="124">
        <v>36</v>
      </c>
      <c r="K97" s="125">
        <v>0</v>
      </c>
      <c r="L97" s="124">
        <v>56</v>
      </c>
      <c r="M97" s="125">
        <v>0</v>
      </c>
      <c r="N97" s="124">
        <v>0</v>
      </c>
      <c r="O97" s="125">
        <v>0</v>
      </c>
      <c r="P97" s="601">
        <f t="shared" si="32"/>
        <v>4</v>
      </c>
      <c r="Q97" s="252">
        <f t="shared" ref="Q97:Q105" si="34">IF(P97=0,"",P97*32)</f>
        <v>128</v>
      </c>
      <c r="R97" s="122" t="s">
        <v>314</v>
      </c>
      <c r="S97" s="122"/>
      <c r="T97" s="122"/>
      <c r="U97" s="122"/>
      <c r="V97" s="122"/>
      <c r="W97" s="122"/>
      <c r="X97" s="121"/>
      <c r="Y97" s="119"/>
      <c r="Z97" s="120"/>
      <c r="AA97" s="197" t="s">
        <v>419</v>
      </c>
      <c r="AB97" s="197"/>
      <c r="AC97" s="197" t="s">
        <v>414</v>
      </c>
      <c r="AD97" s="197"/>
      <c r="AE97" s="197"/>
      <c r="AF97" s="197"/>
      <c r="AG97" s="197"/>
      <c r="AH97" s="197"/>
      <c r="AI97" s="197"/>
      <c r="AJ97" s="120"/>
    </row>
    <row r="98" spans="2:36" ht="24.75" customHeight="1">
      <c r="B98" s="121">
        <v>8</v>
      </c>
      <c r="C98" s="121" t="s">
        <v>326</v>
      </c>
      <c r="D98" s="121">
        <v>99902</v>
      </c>
      <c r="E98" s="258" t="s">
        <v>327</v>
      </c>
      <c r="F98" s="122" t="s">
        <v>393</v>
      </c>
      <c r="G98" s="123" t="s">
        <v>256</v>
      </c>
      <c r="H98" s="123" t="s">
        <v>242</v>
      </c>
      <c r="I98" s="306" t="str">
        <f t="shared" si="33"/>
        <v>Presencial</v>
      </c>
      <c r="J98" s="124">
        <v>64</v>
      </c>
      <c r="K98" s="125">
        <v>0</v>
      </c>
      <c r="L98" s="124">
        <v>0</v>
      </c>
      <c r="M98" s="125">
        <v>0</v>
      </c>
      <c r="N98" s="124">
        <v>0</v>
      </c>
      <c r="O98" s="125">
        <v>0</v>
      </c>
      <c r="P98" s="601">
        <f t="shared" si="32"/>
        <v>4</v>
      </c>
      <c r="Q98" s="252">
        <f t="shared" si="34"/>
        <v>128</v>
      </c>
      <c r="R98" s="122" t="s">
        <v>316</v>
      </c>
      <c r="S98" s="122"/>
      <c r="T98" s="122"/>
      <c r="U98" s="122"/>
      <c r="V98" s="122"/>
      <c r="W98" s="122"/>
      <c r="X98" s="121"/>
      <c r="Y98" s="119"/>
      <c r="Z98" s="120"/>
      <c r="AA98" s="197" t="s">
        <v>420</v>
      </c>
      <c r="AB98" s="197"/>
      <c r="AC98" s="197" t="s">
        <v>418</v>
      </c>
      <c r="AD98" s="197"/>
      <c r="AE98" s="197"/>
      <c r="AF98" s="197"/>
      <c r="AG98" s="197"/>
      <c r="AH98" s="197"/>
      <c r="AI98" s="197"/>
      <c r="AJ98" s="120"/>
    </row>
    <row r="99" spans="2:36" ht="24.75" customHeight="1">
      <c r="B99" s="121">
        <v>8</v>
      </c>
      <c r="C99" s="121" t="s">
        <v>328</v>
      </c>
      <c r="D99" s="121">
        <v>99880</v>
      </c>
      <c r="E99" s="258" t="s">
        <v>329</v>
      </c>
      <c r="F99" s="122" t="s">
        <v>393</v>
      </c>
      <c r="G99" s="123" t="s">
        <v>256</v>
      </c>
      <c r="H99" s="123" t="s">
        <v>242</v>
      </c>
      <c r="I99" s="306" t="str">
        <f t="shared" si="33"/>
        <v>Presencial</v>
      </c>
      <c r="J99" s="124">
        <v>4</v>
      </c>
      <c r="K99" s="125">
        <v>0</v>
      </c>
      <c r="L99" s="124">
        <v>120</v>
      </c>
      <c r="M99" s="125">
        <v>0</v>
      </c>
      <c r="N99" s="124">
        <v>0</v>
      </c>
      <c r="O99" s="125">
        <v>0</v>
      </c>
      <c r="P99" s="601">
        <f t="shared" si="32"/>
        <v>4</v>
      </c>
      <c r="Q99" s="252">
        <f t="shared" si="34"/>
        <v>128</v>
      </c>
      <c r="R99" s="122"/>
      <c r="S99" s="122"/>
      <c r="T99" s="122"/>
      <c r="U99" s="122"/>
      <c r="V99" s="122"/>
      <c r="W99" s="122"/>
      <c r="X99" s="121"/>
      <c r="Y99" s="119"/>
      <c r="Z99" s="120"/>
      <c r="AA99" s="197" t="s">
        <v>420</v>
      </c>
      <c r="AB99" s="197"/>
      <c r="AC99" s="197" t="s">
        <v>421</v>
      </c>
      <c r="AD99" s="197"/>
      <c r="AE99" s="197"/>
      <c r="AF99" s="197"/>
      <c r="AG99" s="197"/>
      <c r="AH99" s="197"/>
      <c r="AI99" s="197"/>
      <c r="AJ99" s="120"/>
    </row>
    <row r="100" spans="2:36" ht="24.75" customHeight="1">
      <c r="B100" s="121">
        <v>8</v>
      </c>
      <c r="C100" s="121"/>
      <c r="D100" s="121" t="s">
        <v>244</v>
      </c>
      <c r="E100" s="258" t="s">
        <v>330</v>
      </c>
      <c r="F100" s="122" t="s">
        <v>393</v>
      </c>
      <c r="G100" s="123" t="s">
        <v>256</v>
      </c>
      <c r="H100" s="123" t="s">
        <v>151</v>
      </c>
      <c r="I100" s="306" t="str">
        <f t="shared" si="33"/>
        <v>Presencial</v>
      </c>
      <c r="J100" s="128">
        <v>64</v>
      </c>
      <c r="K100" s="129">
        <v>0</v>
      </c>
      <c r="L100" s="128">
        <v>0</v>
      </c>
      <c r="M100" s="129">
        <v>0</v>
      </c>
      <c r="N100" s="128">
        <v>0</v>
      </c>
      <c r="O100" s="129">
        <v>0</v>
      </c>
      <c r="P100" s="601">
        <f t="shared" si="32"/>
        <v>4</v>
      </c>
      <c r="Q100" s="253">
        <f t="shared" si="34"/>
        <v>128</v>
      </c>
      <c r="R100" s="122"/>
      <c r="S100" s="122"/>
      <c r="T100" s="122"/>
      <c r="U100" s="122"/>
      <c r="V100" s="122"/>
      <c r="W100" s="122"/>
      <c r="X100" s="121"/>
      <c r="Y100" s="119"/>
      <c r="Z100" s="120"/>
      <c r="AA100" s="197"/>
      <c r="AB100" s="197"/>
      <c r="AC100" s="197"/>
      <c r="AD100" s="197"/>
      <c r="AE100" s="197"/>
      <c r="AF100" s="197"/>
      <c r="AG100" s="197"/>
      <c r="AH100" s="197"/>
      <c r="AI100" s="197"/>
      <c r="AJ100" s="120"/>
    </row>
    <row r="101" spans="2:36" ht="24.75" hidden="1" customHeight="1">
      <c r="B101" s="130">
        <v>8</v>
      </c>
      <c r="C101" s="130"/>
      <c r="D101" s="130" t="s">
        <v>244</v>
      </c>
      <c r="E101" s="258"/>
      <c r="F101" s="122"/>
      <c r="G101" s="126"/>
      <c r="H101" s="126"/>
      <c r="I101" s="306" t="str">
        <f t="shared" si="33"/>
        <v/>
      </c>
      <c r="J101" s="128"/>
      <c r="K101" s="129"/>
      <c r="L101" s="128"/>
      <c r="M101" s="129"/>
      <c r="N101" s="128"/>
      <c r="O101" s="129"/>
      <c r="P101" s="601">
        <f t="shared" si="32"/>
        <v>0</v>
      </c>
      <c r="Q101" s="253" t="str">
        <f t="shared" si="34"/>
        <v/>
      </c>
      <c r="R101" s="122"/>
      <c r="S101" s="122"/>
      <c r="T101" s="122"/>
      <c r="U101" s="122"/>
      <c r="V101" s="122"/>
      <c r="W101" s="122"/>
      <c r="X101" s="130"/>
      <c r="Y101" s="119"/>
      <c r="Z101" s="120"/>
      <c r="AA101" s="197"/>
      <c r="AB101" s="197"/>
      <c r="AC101" s="197"/>
      <c r="AD101" s="197"/>
      <c r="AE101" s="197"/>
      <c r="AF101" s="197"/>
      <c r="AG101" s="197"/>
      <c r="AH101" s="197"/>
      <c r="AI101" s="197"/>
      <c r="AJ101" s="120"/>
    </row>
    <row r="102" spans="2:36" ht="24.75" hidden="1" customHeight="1">
      <c r="B102" s="130">
        <v>8</v>
      </c>
      <c r="C102" s="130"/>
      <c r="D102" s="130" t="s">
        <v>244</v>
      </c>
      <c r="E102" s="258"/>
      <c r="F102" s="127"/>
      <c r="G102" s="123"/>
      <c r="H102" s="126"/>
      <c r="I102" s="306" t="str">
        <f t="shared" si="33"/>
        <v/>
      </c>
      <c r="J102" s="128"/>
      <c r="K102" s="129"/>
      <c r="L102" s="128"/>
      <c r="M102" s="129"/>
      <c r="N102" s="128"/>
      <c r="O102" s="129"/>
      <c r="P102" s="601">
        <f t="shared" si="32"/>
        <v>0</v>
      </c>
      <c r="Q102" s="253" t="str">
        <f>IF(P102=0,"",P102*32)</f>
        <v/>
      </c>
      <c r="R102" s="122"/>
      <c r="S102" s="122"/>
      <c r="T102" s="122"/>
      <c r="U102" s="122"/>
      <c r="V102" s="122"/>
      <c r="W102" s="122"/>
      <c r="X102" s="130"/>
      <c r="Y102" s="119"/>
      <c r="Z102" s="120"/>
      <c r="AA102" s="197"/>
      <c r="AB102" s="197"/>
      <c r="AC102" s="197"/>
      <c r="AD102" s="197"/>
      <c r="AE102" s="197"/>
      <c r="AF102" s="197"/>
      <c r="AG102" s="197"/>
      <c r="AH102" s="197"/>
      <c r="AI102" s="197"/>
      <c r="AJ102" s="120"/>
    </row>
    <row r="103" spans="2:36" ht="24.75" hidden="1" customHeight="1">
      <c r="B103" s="130">
        <v>8</v>
      </c>
      <c r="C103" s="130"/>
      <c r="D103" s="130" t="s">
        <v>244</v>
      </c>
      <c r="E103" s="258"/>
      <c r="F103" s="127"/>
      <c r="G103" s="123"/>
      <c r="H103" s="126"/>
      <c r="I103" s="306" t="str">
        <f t="shared" si="33"/>
        <v/>
      </c>
      <c r="J103" s="128"/>
      <c r="K103" s="129"/>
      <c r="L103" s="128"/>
      <c r="M103" s="129"/>
      <c r="N103" s="128"/>
      <c r="O103" s="129"/>
      <c r="P103" s="601">
        <f t="shared" si="32"/>
        <v>0</v>
      </c>
      <c r="Q103" s="253" t="str">
        <f>IF(P103=0,"",P103*32)</f>
        <v/>
      </c>
      <c r="R103" s="122"/>
      <c r="S103" s="122"/>
      <c r="T103" s="122"/>
      <c r="U103" s="122"/>
      <c r="V103" s="122"/>
      <c r="W103" s="122"/>
      <c r="X103" s="130"/>
      <c r="Y103" s="119"/>
      <c r="Z103" s="120"/>
      <c r="AA103" s="197"/>
      <c r="AB103" s="197"/>
      <c r="AC103" s="197"/>
      <c r="AD103" s="197"/>
      <c r="AE103" s="197"/>
      <c r="AF103" s="197"/>
      <c r="AG103" s="197"/>
      <c r="AH103" s="197"/>
      <c r="AI103" s="197"/>
      <c r="AJ103" s="120"/>
    </row>
    <row r="104" spans="2:36" ht="24.75" hidden="1" customHeight="1">
      <c r="B104" s="130">
        <v>8</v>
      </c>
      <c r="C104" s="130"/>
      <c r="D104" s="130" t="s">
        <v>244</v>
      </c>
      <c r="E104" s="258"/>
      <c r="F104" s="127"/>
      <c r="G104" s="123"/>
      <c r="H104" s="126"/>
      <c r="I104" s="306" t="str">
        <f t="shared" si="33"/>
        <v/>
      </c>
      <c r="J104" s="128"/>
      <c r="K104" s="129"/>
      <c r="L104" s="128"/>
      <c r="M104" s="129"/>
      <c r="N104" s="128"/>
      <c r="O104" s="129"/>
      <c r="P104" s="601">
        <f t="shared" si="32"/>
        <v>0</v>
      </c>
      <c r="Q104" s="253" t="str">
        <f>IF(P104=0,"",P104*32)</f>
        <v/>
      </c>
      <c r="R104" s="122"/>
      <c r="S104" s="122"/>
      <c r="T104" s="122"/>
      <c r="U104" s="122"/>
      <c r="V104" s="122"/>
      <c r="W104" s="122"/>
      <c r="X104" s="130"/>
      <c r="Y104" s="119"/>
      <c r="Z104" s="120"/>
      <c r="AA104" s="197"/>
      <c r="AB104" s="197"/>
      <c r="AC104" s="197"/>
      <c r="AD104" s="197"/>
      <c r="AE104" s="197"/>
      <c r="AF104" s="197"/>
      <c r="AG104" s="197"/>
      <c r="AH104" s="197"/>
      <c r="AI104" s="197"/>
      <c r="AJ104" s="120"/>
    </row>
    <row r="105" spans="2:36" ht="24.75" customHeight="1" thickBot="1">
      <c r="B105" s="131">
        <v>8</v>
      </c>
      <c r="C105" s="131"/>
      <c r="D105" s="131" t="s">
        <v>244</v>
      </c>
      <c r="E105" s="259"/>
      <c r="F105" s="133"/>
      <c r="G105" s="132"/>
      <c r="H105" s="132"/>
      <c r="I105" s="306" t="str">
        <f t="shared" si="33"/>
        <v/>
      </c>
      <c r="J105" s="134"/>
      <c r="K105" s="135"/>
      <c r="L105" s="134"/>
      <c r="M105" s="135"/>
      <c r="N105" s="134"/>
      <c r="O105" s="135"/>
      <c r="P105" s="603">
        <f t="shared" si="32"/>
        <v>0</v>
      </c>
      <c r="Q105" s="254" t="str">
        <f t="shared" si="34"/>
        <v/>
      </c>
      <c r="R105" s="133"/>
      <c r="S105" s="133"/>
      <c r="T105" s="133"/>
      <c r="U105" s="133"/>
      <c r="V105" s="133"/>
      <c r="W105" s="133"/>
      <c r="X105" s="131"/>
      <c r="Y105" s="119"/>
      <c r="Z105" s="120"/>
      <c r="AA105" s="197"/>
      <c r="AB105" s="197"/>
      <c r="AC105" s="197"/>
      <c r="AD105" s="197"/>
      <c r="AE105" s="197"/>
      <c r="AF105" s="197"/>
      <c r="AG105" s="197"/>
      <c r="AH105" s="197"/>
      <c r="AI105" s="197"/>
      <c r="AJ105" s="120"/>
    </row>
    <row r="106" spans="2:36" s="136" customFormat="1" ht="15.6" customHeight="1" thickTop="1" thickBot="1">
      <c r="B106" s="242"/>
      <c r="C106" s="244"/>
      <c r="D106" s="244" t="s">
        <v>244</v>
      </c>
      <c r="E106" s="244"/>
      <c r="F106" s="244"/>
      <c r="G106" s="245"/>
      <c r="H106" s="245"/>
      <c r="I106" s="244"/>
      <c r="J106" s="244">
        <f t="shared" ref="J106:P106" si="35">SUM(J96:J105)</f>
        <v>204</v>
      </c>
      <c r="K106" s="244">
        <f t="shared" si="35"/>
        <v>0</v>
      </c>
      <c r="L106" s="244">
        <f t="shared" si="35"/>
        <v>232</v>
      </c>
      <c r="M106" s="244">
        <f t="shared" si="35"/>
        <v>0</v>
      </c>
      <c r="N106" s="244">
        <f t="shared" si="35"/>
        <v>0</v>
      </c>
      <c r="O106" s="244">
        <f t="shared" si="35"/>
        <v>0</v>
      </c>
      <c r="P106" s="604">
        <f t="shared" si="35"/>
        <v>20</v>
      </c>
      <c r="Q106" s="243"/>
      <c r="R106" s="243"/>
      <c r="S106" s="243"/>
      <c r="T106" s="243"/>
      <c r="U106" s="243"/>
      <c r="V106" s="243"/>
      <c r="W106" s="243"/>
      <c r="X106" s="244"/>
      <c r="Y106" s="244"/>
      <c r="Z106" s="113"/>
      <c r="AA106" s="198"/>
      <c r="AB106" s="198"/>
      <c r="AC106" s="198"/>
      <c r="AD106" s="198"/>
      <c r="AE106" s="198"/>
      <c r="AF106" s="198"/>
      <c r="AG106" s="198"/>
      <c r="AH106" s="198"/>
      <c r="AI106" s="198"/>
      <c r="AJ106" s="113"/>
    </row>
    <row r="107" spans="2:36" ht="24.75" customHeight="1" thickTop="1">
      <c r="B107" s="114">
        <v>9</v>
      </c>
      <c r="C107" s="114" t="s">
        <v>331</v>
      </c>
      <c r="D107" s="114">
        <v>103620</v>
      </c>
      <c r="E107" s="257" t="s">
        <v>332</v>
      </c>
      <c r="F107" s="115" t="s">
        <v>393</v>
      </c>
      <c r="G107" s="116" t="s">
        <v>256</v>
      </c>
      <c r="H107" s="116" t="s">
        <v>242</v>
      </c>
      <c r="I107" s="306" t="str">
        <f>IFERROR(IF(E107="","",IF((K107+M107+O107)/SUM(J107:O107)&lt;=0.2,"Presencial",IF((K107+M107+O107)/SUM(J107:O107)&lt;=0.7,"Semipresencial","A distancia"))),"")</f>
        <v>Presencial</v>
      </c>
      <c r="J107" s="137">
        <v>36</v>
      </c>
      <c r="K107" s="138">
        <v>0</v>
      </c>
      <c r="L107" s="137">
        <v>56</v>
      </c>
      <c r="M107" s="138">
        <v>0</v>
      </c>
      <c r="N107" s="137">
        <v>0</v>
      </c>
      <c r="O107" s="138">
        <v>0</v>
      </c>
      <c r="P107" s="605">
        <f t="shared" ref="P107:P116" si="36">+SUM(J107:K107)/$G$4+SUM(L107:M107)/$M$4+SUM(N107:O107)/$M$4</f>
        <v>4</v>
      </c>
      <c r="Q107" s="251">
        <f>IF(P107=0,"",P107*32)</f>
        <v>128</v>
      </c>
      <c r="R107" s="139" t="s">
        <v>312</v>
      </c>
      <c r="S107" s="139"/>
      <c r="T107" s="139"/>
      <c r="U107" s="139"/>
      <c r="V107" s="139"/>
      <c r="W107" s="139"/>
      <c r="X107" s="114"/>
      <c r="Y107" s="119"/>
      <c r="Z107" s="120"/>
      <c r="AA107" s="196" t="s">
        <v>421</v>
      </c>
      <c r="AB107" s="196"/>
      <c r="AC107" s="196" t="s">
        <v>422</v>
      </c>
      <c r="AD107" s="196"/>
      <c r="AE107" s="196"/>
      <c r="AF107" s="196"/>
      <c r="AG107" s="196"/>
      <c r="AH107" s="196"/>
      <c r="AI107" s="196"/>
      <c r="AJ107" s="120"/>
    </row>
    <row r="108" spans="2:36" ht="24.75" customHeight="1">
      <c r="B108" s="121">
        <v>9</v>
      </c>
      <c r="C108" s="121" t="s">
        <v>333</v>
      </c>
      <c r="D108" s="121">
        <v>99879</v>
      </c>
      <c r="E108" s="258" t="s">
        <v>334</v>
      </c>
      <c r="F108" s="122" t="s">
        <v>393</v>
      </c>
      <c r="G108" s="123" t="s">
        <v>256</v>
      </c>
      <c r="H108" s="123" t="s">
        <v>242</v>
      </c>
      <c r="I108" s="306" t="str">
        <f t="shared" ref="I108:I116" si="37">IFERROR(IF(E108="","",IF((K108+M108+O108)/SUM(J108:O108)&lt;=0.2,"Presencial",IF((K108+M108+O108)/SUM(J108:O108)&lt;=0.7,"Semipresencial","A distancia"))),"")</f>
        <v>Presencial</v>
      </c>
      <c r="J108" s="124">
        <v>64</v>
      </c>
      <c r="K108" s="125">
        <v>0</v>
      </c>
      <c r="L108" s="124">
        <v>0</v>
      </c>
      <c r="M108" s="125">
        <v>0</v>
      </c>
      <c r="N108" s="124">
        <v>0</v>
      </c>
      <c r="O108" s="125">
        <v>0</v>
      </c>
      <c r="P108" s="601">
        <f t="shared" si="36"/>
        <v>4</v>
      </c>
      <c r="Q108" s="252">
        <f t="shared" ref="Q108:Q116" si="38">IF(P108=0,"",P108*32)</f>
        <v>128</v>
      </c>
      <c r="R108" s="122" t="s">
        <v>280</v>
      </c>
      <c r="S108" s="122"/>
      <c r="T108" s="122"/>
      <c r="U108" s="122"/>
      <c r="V108" s="122"/>
      <c r="W108" s="122"/>
      <c r="X108" s="121"/>
      <c r="Y108" s="119"/>
      <c r="Z108" s="120"/>
      <c r="AA108" s="197" t="s">
        <v>423</v>
      </c>
      <c r="AB108" s="197"/>
      <c r="AC108" s="197" t="s">
        <v>424</v>
      </c>
      <c r="AD108" s="197"/>
      <c r="AE108" s="197"/>
      <c r="AF108" s="197"/>
      <c r="AG108" s="197"/>
      <c r="AH108" s="197"/>
      <c r="AI108" s="197"/>
      <c r="AJ108" s="120"/>
    </row>
    <row r="109" spans="2:36" ht="24.75" customHeight="1">
      <c r="B109" s="121">
        <v>9</v>
      </c>
      <c r="C109" s="121" t="s">
        <v>335</v>
      </c>
      <c r="D109" s="121">
        <v>103704</v>
      </c>
      <c r="E109" s="258" t="s">
        <v>336</v>
      </c>
      <c r="F109" s="122" t="s">
        <v>393</v>
      </c>
      <c r="G109" s="123" t="s">
        <v>256</v>
      </c>
      <c r="H109" s="123" t="s">
        <v>242</v>
      </c>
      <c r="I109" s="306" t="str">
        <f t="shared" si="37"/>
        <v>Presencial</v>
      </c>
      <c r="J109" s="124">
        <v>4</v>
      </c>
      <c r="K109" s="125">
        <v>0</v>
      </c>
      <c r="L109" s="124">
        <v>120</v>
      </c>
      <c r="M109" s="125">
        <v>0</v>
      </c>
      <c r="N109" s="124">
        <v>0</v>
      </c>
      <c r="O109" s="125">
        <v>0</v>
      </c>
      <c r="P109" s="601">
        <f t="shared" si="36"/>
        <v>4</v>
      </c>
      <c r="Q109" s="252">
        <f t="shared" si="38"/>
        <v>128</v>
      </c>
      <c r="R109" s="122" t="s">
        <v>329</v>
      </c>
      <c r="S109" s="122"/>
      <c r="T109" s="122"/>
      <c r="U109" s="122"/>
      <c r="V109" s="122"/>
      <c r="W109" s="122"/>
      <c r="X109" s="121"/>
      <c r="Y109" s="119"/>
      <c r="Z109" s="120"/>
      <c r="AA109" s="197" t="s">
        <v>421</v>
      </c>
      <c r="AB109" s="197"/>
      <c r="AC109" s="197"/>
      <c r="AD109" s="197"/>
      <c r="AE109" s="197"/>
      <c r="AF109" s="197"/>
      <c r="AG109" s="197"/>
      <c r="AH109" s="197"/>
      <c r="AI109" s="197"/>
      <c r="AJ109" s="120"/>
    </row>
    <row r="110" spans="2:36" ht="24.75" customHeight="1">
      <c r="B110" s="121">
        <v>9</v>
      </c>
      <c r="C110" s="121" t="s">
        <v>337</v>
      </c>
      <c r="D110" s="121">
        <v>103750</v>
      </c>
      <c r="E110" s="258" t="s">
        <v>338</v>
      </c>
      <c r="F110" s="122" t="s">
        <v>393</v>
      </c>
      <c r="G110" s="123" t="s">
        <v>256</v>
      </c>
      <c r="H110" s="123" t="s">
        <v>242</v>
      </c>
      <c r="I110" s="306" t="str">
        <f t="shared" si="37"/>
        <v>Presencial</v>
      </c>
      <c r="J110" s="124">
        <v>2</v>
      </c>
      <c r="K110" s="125">
        <v>0</v>
      </c>
      <c r="L110" s="124">
        <v>60</v>
      </c>
      <c r="M110" s="125">
        <v>0</v>
      </c>
      <c r="N110" s="124">
        <v>0</v>
      </c>
      <c r="O110" s="125">
        <v>0</v>
      </c>
      <c r="P110" s="601">
        <f t="shared" si="36"/>
        <v>2</v>
      </c>
      <c r="Q110" s="252">
        <f t="shared" si="38"/>
        <v>64</v>
      </c>
      <c r="R110" s="122" t="s">
        <v>323</v>
      </c>
      <c r="S110" s="122"/>
      <c r="T110" s="122"/>
      <c r="U110" s="122"/>
      <c r="V110" s="122"/>
      <c r="W110" s="122"/>
      <c r="X110" s="121"/>
      <c r="Y110" s="119"/>
      <c r="Z110" s="120"/>
      <c r="AA110" s="197" t="s">
        <v>421</v>
      </c>
      <c r="AB110" s="197"/>
      <c r="AC110" s="197"/>
      <c r="AD110" s="197"/>
      <c r="AE110" s="197"/>
      <c r="AF110" s="197"/>
      <c r="AG110" s="197"/>
      <c r="AH110" s="197"/>
      <c r="AI110" s="197"/>
      <c r="AJ110" s="120"/>
    </row>
    <row r="111" spans="2:36" ht="24.75" customHeight="1">
      <c r="B111" s="121">
        <v>9</v>
      </c>
      <c r="C111" s="121" t="s">
        <v>339</v>
      </c>
      <c r="D111" s="121">
        <v>103128</v>
      </c>
      <c r="E111" s="258" t="s">
        <v>340</v>
      </c>
      <c r="F111" s="122" t="s">
        <v>393</v>
      </c>
      <c r="G111" s="123" t="s">
        <v>256</v>
      </c>
      <c r="H111" s="123" t="s">
        <v>242</v>
      </c>
      <c r="I111" s="306" t="str">
        <f t="shared" si="37"/>
        <v>Presencial</v>
      </c>
      <c r="J111" s="128">
        <v>2</v>
      </c>
      <c r="K111" s="129">
        <v>0</v>
      </c>
      <c r="L111" s="128">
        <v>60</v>
      </c>
      <c r="M111" s="129">
        <v>0</v>
      </c>
      <c r="N111" s="128">
        <v>0</v>
      </c>
      <c r="O111" s="129">
        <v>0</v>
      </c>
      <c r="P111" s="601">
        <f t="shared" si="36"/>
        <v>2</v>
      </c>
      <c r="Q111" s="253">
        <f t="shared" si="38"/>
        <v>64</v>
      </c>
      <c r="R111" s="122" t="s">
        <v>327</v>
      </c>
      <c r="S111" s="122"/>
      <c r="T111" s="122"/>
      <c r="U111" s="122"/>
      <c r="V111" s="122"/>
      <c r="W111" s="122"/>
      <c r="X111" s="121"/>
      <c r="Y111" s="119"/>
      <c r="Z111" s="120"/>
      <c r="AA111" s="197" t="s">
        <v>420</v>
      </c>
      <c r="AB111" s="197"/>
      <c r="AC111" s="197" t="s">
        <v>425</v>
      </c>
      <c r="AD111" s="197"/>
      <c r="AE111" s="197" t="s">
        <v>424</v>
      </c>
      <c r="AF111" s="197"/>
      <c r="AG111" s="197"/>
      <c r="AH111" s="197"/>
      <c r="AI111" s="197"/>
      <c r="AJ111" s="120"/>
    </row>
    <row r="112" spans="2:36" ht="24.75" customHeight="1">
      <c r="B112" s="130">
        <v>9</v>
      </c>
      <c r="C112" s="130"/>
      <c r="D112" s="130" t="s">
        <v>244</v>
      </c>
      <c r="E112" s="258" t="s">
        <v>341</v>
      </c>
      <c r="F112" s="122" t="s">
        <v>393</v>
      </c>
      <c r="G112" s="126" t="s">
        <v>256</v>
      </c>
      <c r="H112" s="126" t="s">
        <v>151</v>
      </c>
      <c r="I112" s="306" t="str">
        <f t="shared" si="37"/>
        <v>Presencial</v>
      </c>
      <c r="J112" s="128">
        <v>64</v>
      </c>
      <c r="K112" s="129">
        <v>0</v>
      </c>
      <c r="L112" s="128">
        <v>0</v>
      </c>
      <c r="M112" s="129">
        <v>0</v>
      </c>
      <c r="N112" s="128">
        <v>0</v>
      </c>
      <c r="O112" s="129">
        <v>0</v>
      </c>
      <c r="P112" s="601">
        <f t="shared" si="36"/>
        <v>4</v>
      </c>
      <c r="Q112" s="253">
        <f>IF(P112=0,"",P112*32)</f>
        <v>128</v>
      </c>
      <c r="R112" s="122"/>
      <c r="S112" s="122"/>
      <c r="T112" s="122"/>
      <c r="U112" s="122"/>
      <c r="V112" s="122"/>
      <c r="W112" s="122"/>
      <c r="X112" s="130"/>
      <c r="Y112" s="119"/>
      <c r="Z112" s="120"/>
      <c r="AA112" s="197"/>
      <c r="AB112" s="197"/>
      <c r="AC112" s="197"/>
      <c r="AD112" s="197"/>
      <c r="AE112" s="197"/>
      <c r="AF112" s="197"/>
      <c r="AG112" s="197"/>
      <c r="AH112" s="197"/>
      <c r="AI112" s="197"/>
      <c r="AJ112" s="120"/>
    </row>
    <row r="113" spans="1:36" ht="24.75" hidden="1" customHeight="1">
      <c r="B113" s="130">
        <v>9</v>
      </c>
      <c r="C113" s="130"/>
      <c r="D113" s="130" t="s">
        <v>244</v>
      </c>
      <c r="E113" s="258"/>
      <c r="F113" s="127"/>
      <c r="G113" s="123"/>
      <c r="H113" s="126"/>
      <c r="I113" s="306" t="str">
        <f t="shared" si="37"/>
        <v/>
      </c>
      <c r="J113" s="128"/>
      <c r="K113" s="129"/>
      <c r="L113" s="128"/>
      <c r="M113" s="129"/>
      <c r="N113" s="128"/>
      <c r="O113" s="129"/>
      <c r="P113" s="601">
        <f t="shared" si="36"/>
        <v>0</v>
      </c>
      <c r="Q113" s="253" t="str">
        <f>IF(P113=0,"",P113*32)</f>
        <v/>
      </c>
      <c r="R113" s="122"/>
      <c r="S113" s="122"/>
      <c r="T113" s="122"/>
      <c r="U113" s="122"/>
      <c r="V113" s="122"/>
      <c r="W113" s="122"/>
      <c r="X113" s="130"/>
      <c r="Y113" s="119"/>
      <c r="Z113" s="120"/>
      <c r="AA113" s="197"/>
      <c r="AB113" s="197"/>
      <c r="AC113" s="197"/>
      <c r="AD113" s="197"/>
      <c r="AE113" s="197"/>
      <c r="AF113" s="197"/>
      <c r="AG113" s="197"/>
      <c r="AH113" s="197"/>
      <c r="AI113" s="197"/>
      <c r="AJ113" s="120"/>
    </row>
    <row r="114" spans="1:36" ht="24.75" hidden="1" customHeight="1">
      <c r="B114" s="130">
        <v>9</v>
      </c>
      <c r="C114" s="130"/>
      <c r="D114" s="130" t="s">
        <v>244</v>
      </c>
      <c r="E114" s="258"/>
      <c r="F114" s="127"/>
      <c r="G114" s="123"/>
      <c r="H114" s="126"/>
      <c r="I114" s="306" t="str">
        <f t="shared" si="37"/>
        <v/>
      </c>
      <c r="J114" s="128"/>
      <c r="K114" s="129"/>
      <c r="L114" s="128"/>
      <c r="M114" s="129"/>
      <c r="N114" s="128"/>
      <c r="O114" s="129"/>
      <c r="P114" s="601">
        <f t="shared" si="36"/>
        <v>0</v>
      </c>
      <c r="Q114" s="253" t="str">
        <f>IF(P114=0,"",P114*32)</f>
        <v/>
      </c>
      <c r="R114" s="122"/>
      <c r="S114" s="122"/>
      <c r="T114" s="122"/>
      <c r="U114" s="122"/>
      <c r="V114" s="122"/>
      <c r="W114" s="122"/>
      <c r="X114" s="130"/>
      <c r="Y114" s="119"/>
      <c r="Z114" s="120"/>
      <c r="AA114" s="197"/>
      <c r="AB114" s="197"/>
      <c r="AC114" s="197"/>
      <c r="AD114" s="197"/>
      <c r="AE114" s="197"/>
      <c r="AF114" s="197"/>
      <c r="AG114" s="197"/>
      <c r="AH114" s="197"/>
      <c r="AI114" s="197"/>
      <c r="AJ114" s="120"/>
    </row>
    <row r="115" spans="1:36" ht="24.75" hidden="1" customHeight="1">
      <c r="B115" s="130">
        <v>9</v>
      </c>
      <c r="C115" s="130"/>
      <c r="D115" s="130" t="s">
        <v>244</v>
      </c>
      <c r="E115" s="258"/>
      <c r="F115" s="127"/>
      <c r="G115" s="123"/>
      <c r="H115" s="126"/>
      <c r="I115" s="306" t="str">
        <f t="shared" si="37"/>
        <v/>
      </c>
      <c r="J115" s="128"/>
      <c r="K115" s="129"/>
      <c r="L115" s="128"/>
      <c r="M115" s="129"/>
      <c r="N115" s="128"/>
      <c r="O115" s="129"/>
      <c r="P115" s="601">
        <f t="shared" si="36"/>
        <v>0</v>
      </c>
      <c r="Q115" s="253" t="str">
        <f>IF(P115=0,"",P115*32)</f>
        <v/>
      </c>
      <c r="R115" s="122"/>
      <c r="S115" s="122"/>
      <c r="T115" s="122"/>
      <c r="U115" s="122"/>
      <c r="V115" s="122"/>
      <c r="W115" s="122"/>
      <c r="X115" s="130"/>
      <c r="Y115" s="119"/>
      <c r="Z115" s="120"/>
      <c r="AA115" s="197"/>
      <c r="AB115" s="197"/>
      <c r="AC115" s="197"/>
      <c r="AD115" s="197"/>
      <c r="AE115" s="197"/>
      <c r="AF115" s="197"/>
      <c r="AG115" s="197"/>
      <c r="AH115" s="197"/>
      <c r="AI115" s="197"/>
      <c r="AJ115" s="120"/>
    </row>
    <row r="116" spans="1:36" ht="24.75" customHeight="1" thickBot="1">
      <c r="B116" s="131">
        <v>9</v>
      </c>
      <c r="C116" s="131"/>
      <c r="D116" s="131" t="s">
        <v>244</v>
      </c>
      <c r="E116" s="259"/>
      <c r="F116" s="133"/>
      <c r="G116" s="132"/>
      <c r="H116" s="132"/>
      <c r="I116" s="306" t="str">
        <f t="shared" si="37"/>
        <v/>
      </c>
      <c r="J116" s="134"/>
      <c r="K116" s="135"/>
      <c r="L116" s="134"/>
      <c r="M116" s="135"/>
      <c r="N116" s="134"/>
      <c r="O116" s="135"/>
      <c r="P116" s="603">
        <f t="shared" si="36"/>
        <v>0</v>
      </c>
      <c r="Q116" s="254" t="str">
        <f t="shared" si="38"/>
        <v/>
      </c>
      <c r="R116" s="133"/>
      <c r="S116" s="133"/>
      <c r="T116" s="133"/>
      <c r="U116" s="133"/>
      <c r="V116" s="133"/>
      <c r="W116" s="133"/>
      <c r="X116" s="131"/>
      <c r="Y116" s="119"/>
      <c r="Z116" s="120"/>
      <c r="AA116" s="197"/>
      <c r="AB116" s="197"/>
      <c r="AC116" s="197"/>
      <c r="AD116" s="197"/>
      <c r="AE116" s="197"/>
      <c r="AF116" s="197"/>
      <c r="AG116" s="197"/>
      <c r="AH116" s="197"/>
      <c r="AI116" s="197"/>
      <c r="AJ116" s="120"/>
    </row>
    <row r="117" spans="1:36" s="136" customFormat="1" ht="15.6" customHeight="1" thickTop="1" thickBot="1">
      <c r="A117" s="2"/>
      <c r="B117" s="242"/>
      <c r="C117" s="244"/>
      <c r="D117" s="244" t="s">
        <v>244</v>
      </c>
      <c r="E117" s="244"/>
      <c r="F117" s="244"/>
      <c r="G117" s="245"/>
      <c r="H117" s="245"/>
      <c r="I117" s="244"/>
      <c r="J117" s="244">
        <f t="shared" ref="J117:O117" si="39">SUM(J107:J116)</f>
        <v>172</v>
      </c>
      <c r="K117" s="244">
        <f t="shared" si="39"/>
        <v>0</v>
      </c>
      <c r="L117" s="244">
        <f t="shared" si="39"/>
        <v>296</v>
      </c>
      <c r="M117" s="244">
        <f t="shared" si="39"/>
        <v>0</v>
      </c>
      <c r="N117" s="244">
        <f t="shared" si="39"/>
        <v>0</v>
      </c>
      <c r="O117" s="244">
        <f t="shared" si="39"/>
        <v>0</v>
      </c>
      <c r="P117" s="604">
        <f t="shared" ref="P117" si="40">SUM(P107:P116)</f>
        <v>20</v>
      </c>
      <c r="Q117" s="243"/>
      <c r="R117" s="243"/>
      <c r="S117" s="243"/>
      <c r="T117" s="243"/>
      <c r="U117" s="243"/>
      <c r="V117" s="243"/>
      <c r="W117" s="243"/>
      <c r="X117" s="244"/>
      <c r="Y117" s="244"/>
      <c r="Z117" s="113"/>
      <c r="AA117" s="198"/>
      <c r="AB117" s="198"/>
      <c r="AC117" s="198"/>
      <c r="AD117" s="198"/>
      <c r="AE117" s="198"/>
      <c r="AF117" s="198"/>
      <c r="AG117" s="198"/>
      <c r="AH117" s="198"/>
      <c r="AI117" s="198"/>
      <c r="AJ117" s="113"/>
    </row>
    <row r="118" spans="1:36" ht="24.75" customHeight="1" thickTop="1">
      <c r="B118" s="114">
        <v>10</v>
      </c>
      <c r="C118" s="114" t="s">
        <v>342</v>
      </c>
      <c r="D118" s="114">
        <v>103132</v>
      </c>
      <c r="E118" s="257" t="s">
        <v>343</v>
      </c>
      <c r="F118" s="115" t="s">
        <v>393</v>
      </c>
      <c r="G118" s="116" t="s">
        <v>256</v>
      </c>
      <c r="H118" s="116" t="s">
        <v>242</v>
      </c>
      <c r="I118" s="307" t="str">
        <f>IFERROR(IF(E118="","",IF((J118+L118+N118)/SUM(J118:O118)&lt;=0.2,"A distancia",IF((J118+L118+N118)/SUM(J118:O118)&lt;=0.7,"Semipresencial","Presencial"))),"")</f>
        <v>Presencial</v>
      </c>
      <c r="J118" s="137">
        <v>2</v>
      </c>
      <c r="K118" s="138">
        <v>0</v>
      </c>
      <c r="L118" s="137">
        <v>60</v>
      </c>
      <c r="M118" s="138">
        <v>0</v>
      </c>
      <c r="N118" s="137">
        <v>0</v>
      </c>
      <c r="O118" s="138">
        <v>0</v>
      </c>
      <c r="P118" s="605">
        <f t="shared" ref="P118:P127" si="41">+SUM(J118:K118)/$G$4+SUM(L118:M118)/$M$4+SUM(N118:O118)/$M$4</f>
        <v>2</v>
      </c>
      <c r="Q118" s="251">
        <f>IF(P118=0,"",P118*32)</f>
        <v>64</v>
      </c>
      <c r="R118" s="139" t="s">
        <v>306</v>
      </c>
      <c r="S118" s="122"/>
      <c r="T118" s="139"/>
      <c r="U118" s="122"/>
      <c r="V118" s="139"/>
      <c r="W118" s="122"/>
      <c r="X118" s="114"/>
      <c r="Y118" s="119"/>
      <c r="Z118" s="120"/>
      <c r="AA118" s="196" t="s">
        <v>426</v>
      </c>
      <c r="AB118" s="196"/>
      <c r="AC118" s="196" t="s">
        <v>408</v>
      </c>
      <c r="AD118" s="196"/>
      <c r="AE118" s="196"/>
      <c r="AF118" s="196"/>
      <c r="AG118" s="196"/>
      <c r="AH118" s="196"/>
      <c r="AI118" s="196"/>
      <c r="AJ118" s="120"/>
    </row>
    <row r="119" spans="1:36" ht="24.75" customHeight="1">
      <c r="B119" s="121">
        <v>10</v>
      </c>
      <c r="C119" s="121" t="s">
        <v>344</v>
      </c>
      <c r="D119" s="121">
        <v>103131</v>
      </c>
      <c r="E119" s="258" t="s">
        <v>345</v>
      </c>
      <c r="F119" s="122" t="s">
        <v>393</v>
      </c>
      <c r="G119" s="123" t="s">
        <v>256</v>
      </c>
      <c r="H119" s="123" t="s">
        <v>242</v>
      </c>
      <c r="I119" s="307" t="str">
        <f t="shared" ref="I119:I127" si="42">IFERROR(IF(E119="","",IF((J119+L119+N119)/SUM(J119:O119)&lt;=0.2,"A distancia",IF((J119+L119+N119)/SUM(J119:O119)&lt;=0.7,"Semipresencial","Presencial"))),"")</f>
        <v>Presencial</v>
      </c>
      <c r="J119" s="124">
        <v>4</v>
      </c>
      <c r="K119" s="125">
        <v>0</v>
      </c>
      <c r="L119" s="124">
        <v>120</v>
      </c>
      <c r="M119" s="125">
        <v>0</v>
      </c>
      <c r="N119" s="124">
        <v>0</v>
      </c>
      <c r="O119" s="125">
        <v>0</v>
      </c>
      <c r="P119" s="601">
        <f t="shared" si="41"/>
        <v>4</v>
      </c>
      <c r="Q119" s="252">
        <f t="shared" ref="Q119:Q127" si="43">IF(P119=0,"",P119*32)</f>
        <v>128</v>
      </c>
      <c r="R119" s="122" t="s">
        <v>340</v>
      </c>
      <c r="S119" s="122"/>
      <c r="T119" s="122"/>
      <c r="U119" s="122"/>
      <c r="V119" s="122"/>
      <c r="W119" s="122"/>
      <c r="X119" s="121"/>
      <c r="Y119" s="119"/>
      <c r="Z119" s="120"/>
      <c r="AA119" s="197" t="s">
        <v>420</v>
      </c>
      <c r="AB119" s="197"/>
      <c r="AC119" s="197" t="s">
        <v>425</v>
      </c>
      <c r="AD119" s="197"/>
      <c r="AE119" s="197"/>
      <c r="AF119" s="197"/>
      <c r="AG119" s="197"/>
      <c r="AH119" s="197"/>
      <c r="AI119" s="197"/>
      <c r="AJ119" s="120"/>
    </row>
    <row r="120" spans="1:36" ht="24.75" customHeight="1">
      <c r="B120" s="121">
        <v>10</v>
      </c>
      <c r="C120" s="121" t="s">
        <v>346</v>
      </c>
      <c r="D120" s="121">
        <v>99872</v>
      </c>
      <c r="E120" s="258" t="s">
        <v>347</v>
      </c>
      <c r="F120" s="122" t="s">
        <v>393</v>
      </c>
      <c r="G120" s="123" t="s">
        <v>256</v>
      </c>
      <c r="H120" s="123" t="s">
        <v>242</v>
      </c>
      <c r="I120" s="307" t="str">
        <f t="shared" si="42"/>
        <v>Presencial</v>
      </c>
      <c r="J120" s="124">
        <v>32</v>
      </c>
      <c r="K120" s="125">
        <v>0</v>
      </c>
      <c r="L120" s="124">
        <v>0</v>
      </c>
      <c r="M120" s="125">
        <v>0</v>
      </c>
      <c r="N120" s="124">
        <v>0</v>
      </c>
      <c r="O120" s="125">
        <v>0</v>
      </c>
      <c r="P120" s="601">
        <f t="shared" si="41"/>
        <v>2</v>
      </c>
      <c r="Q120" s="252">
        <f t="shared" si="43"/>
        <v>64</v>
      </c>
      <c r="R120" s="122" t="s">
        <v>306</v>
      </c>
      <c r="S120" s="122"/>
      <c r="T120" s="122"/>
      <c r="U120" s="122"/>
      <c r="V120" s="122"/>
      <c r="W120" s="122"/>
      <c r="X120" s="121"/>
      <c r="Y120" s="119"/>
      <c r="Z120" s="120"/>
      <c r="AA120" s="197" t="s">
        <v>426</v>
      </c>
      <c r="AB120" s="197"/>
      <c r="AC120" s="197"/>
      <c r="AD120" s="197"/>
      <c r="AE120" s="197"/>
      <c r="AF120" s="197"/>
      <c r="AG120" s="197"/>
      <c r="AH120" s="197"/>
      <c r="AI120" s="197"/>
      <c r="AJ120" s="120"/>
    </row>
    <row r="121" spans="1:36" ht="24.75" customHeight="1">
      <c r="B121" s="121">
        <v>10</v>
      </c>
      <c r="C121" s="121" t="s">
        <v>348</v>
      </c>
      <c r="D121" s="121">
        <v>99882</v>
      </c>
      <c r="E121" s="258" t="s">
        <v>349</v>
      </c>
      <c r="F121" s="122" t="s">
        <v>393</v>
      </c>
      <c r="G121" s="123" t="s">
        <v>256</v>
      </c>
      <c r="H121" s="123" t="s">
        <v>242</v>
      </c>
      <c r="I121" s="307" t="str">
        <f t="shared" si="42"/>
        <v>Presencial</v>
      </c>
      <c r="J121" s="124">
        <v>6</v>
      </c>
      <c r="K121" s="125">
        <v>0</v>
      </c>
      <c r="L121" s="124">
        <v>180</v>
      </c>
      <c r="M121" s="125">
        <v>0</v>
      </c>
      <c r="N121" s="124">
        <v>0</v>
      </c>
      <c r="O121" s="125">
        <v>0</v>
      </c>
      <c r="P121" s="601">
        <f t="shared" si="41"/>
        <v>6</v>
      </c>
      <c r="Q121" s="252">
        <f t="shared" si="43"/>
        <v>192</v>
      </c>
      <c r="R121" s="122" t="s">
        <v>336</v>
      </c>
      <c r="S121" s="122"/>
      <c r="T121" s="122"/>
      <c r="U121" s="122"/>
      <c r="V121" s="122"/>
      <c r="W121" s="122"/>
      <c r="X121" s="121"/>
      <c r="Y121" s="119"/>
      <c r="Z121" s="120"/>
      <c r="AA121" s="197" t="s">
        <v>423</v>
      </c>
      <c r="AB121" s="197"/>
      <c r="AC121" s="197"/>
      <c r="AD121" s="197"/>
      <c r="AE121" s="197"/>
      <c r="AF121" s="197"/>
      <c r="AG121" s="197"/>
      <c r="AH121" s="197"/>
      <c r="AI121" s="197"/>
      <c r="AJ121" s="120"/>
    </row>
    <row r="122" spans="1:36" ht="24.75" customHeight="1">
      <c r="B122" s="121">
        <v>10</v>
      </c>
      <c r="C122" s="121"/>
      <c r="D122" s="121" t="s">
        <v>244</v>
      </c>
      <c r="E122" s="258" t="s">
        <v>350</v>
      </c>
      <c r="F122" s="122" t="s">
        <v>393</v>
      </c>
      <c r="G122" s="123" t="s">
        <v>256</v>
      </c>
      <c r="H122" s="123" t="s">
        <v>151</v>
      </c>
      <c r="I122" s="307" t="str">
        <f t="shared" si="42"/>
        <v>Presencial</v>
      </c>
      <c r="J122" s="128">
        <v>64</v>
      </c>
      <c r="K122" s="129">
        <v>0</v>
      </c>
      <c r="L122" s="128">
        <v>0</v>
      </c>
      <c r="M122" s="129">
        <v>0</v>
      </c>
      <c r="N122" s="128">
        <v>0</v>
      </c>
      <c r="O122" s="129">
        <v>0</v>
      </c>
      <c r="P122" s="601">
        <f t="shared" si="41"/>
        <v>4</v>
      </c>
      <c r="Q122" s="253">
        <f t="shared" si="43"/>
        <v>128</v>
      </c>
      <c r="R122" s="122"/>
      <c r="S122" s="122"/>
      <c r="T122" s="122"/>
      <c r="U122" s="122"/>
      <c r="V122" s="122"/>
      <c r="W122" s="122"/>
      <c r="X122" s="121"/>
      <c r="Y122" s="119"/>
      <c r="Z122" s="120"/>
      <c r="AA122" s="197"/>
      <c r="AB122" s="197"/>
      <c r="AC122" s="197"/>
      <c r="AD122" s="197"/>
      <c r="AE122" s="197"/>
      <c r="AF122" s="197"/>
      <c r="AG122" s="197"/>
      <c r="AH122" s="197"/>
      <c r="AI122" s="197"/>
      <c r="AJ122" s="120"/>
    </row>
    <row r="123" spans="1:36" ht="24.75" hidden="1" customHeight="1">
      <c r="B123" s="130">
        <v>10</v>
      </c>
      <c r="C123" s="130"/>
      <c r="D123" s="130" t="s">
        <v>244</v>
      </c>
      <c r="E123" s="258"/>
      <c r="F123" s="122"/>
      <c r="G123" s="126"/>
      <c r="H123" s="126"/>
      <c r="I123" s="307" t="str">
        <f t="shared" si="42"/>
        <v/>
      </c>
      <c r="J123" s="128"/>
      <c r="K123" s="129"/>
      <c r="L123" s="128"/>
      <c r="M123" s="129"/>
      <c r="N123" s="128"/>
      <c r="O123" s="129"/>
      <c r="P123" s="601">
        <f t="shared" si="41"/>
        <v>0</v>
      </c>
      <c r="Q123" s="253" t="str">
        <f>IF(P123=0,"",P123*32)</f>
        <v/>
      </c>
      <c r="R123" s="122"/>
      <c r="S123" s="122"/>
      <c r="T123" s="122"/>
      <c r="U123" s="122"/>
      <c r="V123" s="122"/>
      <c r="W123" s="122"/>
      <c r="X123" s="130"/>
      <c r="Y123" s="119"/>
      <c r="Z123" s="120"/>
      <c r="AA123" s="197"/>
      <c r="AB123" s="197"/>
      <c r="AC123" s="197"/>
      <c r="AD123" s="197"/>
      <c r="AE123" s="197"/>
      <c r="AF123" s="197"/>
      <c r="AG123" s="197"/>
      <c r="AH123" s="197"/>
      <c r="AI123" s="197"/>
      <c r="AJ123" s="120"/>
    </row>
    <row r="124" spans="1:36" ht="24.75" hidden="1" customHeight="1">
      <c r="B124" s="130">
        <v>10</v>
      </c>
      <c r="C124" s="130"/>
      <c r="D124" s="130" t="s">
        <v>244</v>
      </c>
      <c r="E124" s="258"/>
      <c r="F124" s="127"/>
      <c r="G124" s="123"/>
      <c r="H124" s="126"/>
      <c r="I124" s="307" t="str">
        <f t="shared" si="42"/>
        <v/>
      </c>
      <c r="J124" s="128"/>
      <c r="K124" s="129"/>
      <c r="L124" s="128"/>
      <c r="M124" s="129"/>
      <c r="N124" s="128"/>
      <c r="O124" s="129"/>
      <c r="P124" s="601">
        <f t="shared" si="41"/>
        <v>0</v>
      </c>
      <c r="Q124" s="253" t="str">
        <f>IF(P124=0,"",P124*32)</f>
        <v/>
      </c>
      <c r="R124" s="122"/>
      <c r="S124" s="122"/>
      <c r="T124" s="122"/>
      <c r="U124" s="122"/>
      <c r="V124" s="122"/>
      <c r="W124" s="122"/>
      <c r="X124" s="130"/>
      <c r="Y124" s="119"/>
      <c r="Z124" s="120"/>
      <c r="AA124" s="197"/>
      <c r="AB124" s="197"/>
      <c r="AC124" s="197"/>
      <c r="AD124" s="197"/>
      <c r="AE124" s="197"/>
      <c r="AF124" s="197"/>
      <c r="AG124" s="197"/>
      <c r="AH124" s="197"/>
      <c r="AI124" s="197"/>
      <c r="AJ124" s="120"/>
    </row>
    <row r="125" spans="1:36" ht="24.75" hidden="1" customHeight="1">
      <c r="B125" s="130">
        <v>10</v>
      </c>
      <c r="C125" s="130"/>
      <c r="D125" s="130" t="s">
        <v>244</v>
      </c>
      <c r="E125" s="258"/>
      <c r="F125" s="127"/>
      <c r="G125" s="123"/>
      <c r="H125" s="126"/>
      <c r="I125" s="307" t="str">
        <f t="shared" si="42"/>
        <v/>
      </c>
      <c r="J125" s="128"/>
      <c r="K125" s="129"/>
      <c r="L125" s="128"/>
      <c r="M125" s="129"/>
      <c r="N125" s="128"/>
      <c r="O125" s="129"/>
      <c r="P125" s="601">
        <f t="shared" si="41"/>
        <v>0</v>
      </c>
      <c r="Q125" s="253" t="str">
        <f>IF(P125=0,"",P125*32)</f>
        <v/>
      </c>
      <c r="R125" s="122"/>
      <c r="S125" s="122"/>
      <c r="T125" s="122"/>
      <c r="U125" s="122"/>
      <c r="V125" s="122"/>
      <c r="W125" s="122"/>
      <c r="X125" s="130"/>
      <c r="Y125" s="119"/>
      <c r="Z125" s="120"/>
      <c r="AA125" s="197"/>
      <c r="AB125" s="197"/>
      <c r="AC125" s="197"/>
      <c r="AD125" s="197"/>
      <c r="AE125" s="197"/>
      <c r="AF125" s="197"/>
      <c r="AG125" s="197"/>
      <c r="AH125" s="197"/>
      <c r="AI125" s="197"/>
      <c r="AJ125" s="120"/>
    </row>
    <row r="126" spans="1:36" ht="24.75" hidden="1" customHeight="1">
      <c r="B126" s="130">
        <v>10</v>
      </c>
      <c r="C126" s="130"/>
      <c r="D126" s="130" t="s">
        <v>244</v>
      </c>
      <c r="E126" s="258"/>
      <c r="F126" s="127"/>
      <c r="G126" s="123"/>
      <c r="H126" s="126"/>
      <c r="I126" s="307" t="str">
        <f t="shared" si="42"/>
        <v/>
      </c>
      <c r="J126" s="128"/>
      <c r="K126" s="129"/>
      <c r="L126" s="128"/>
      <c r="M126" s="129"/>
      <c r="N126" s="128"/>
      <c r="O126" s="129"/>
      <c r="P126" s="601">
        <f t="shared" si="41"/>
        <v>0</v>
      </c>
      <c r="Q126" s="253" t="str">
        <f>IF(P126=0,"",P126*32)</f>
        <v/>
      </c>
      <c r="R126" s="122"/>
      <c r="S126" s="122"/>
      <c r="T126" s="122"/>
      <c r="U126" s="122"/>
      <c r="V126" s="122"/>
      <c r="W126" s="122"/>
      <c r="X126" s="130"/>
      <c r="Y126" s="119"/>
      <c r="Z126" s="120"/>
      <c r="AA126" s="197"/>
      <c r="AB126" s="197"/>
      <c r="AC126" s="197"/>
      <c r="AD126" s="197"/>
      <c r="AE126" s="197"/>
      <c r="AF126" s="197"/>
      <c r="AG126" s="197"/>
      <c r="AH126" s="197"/>
      <c r="AI126" s="197"/>
      <c r="AJ126" s="120"/>
    </row>
    <row r="127" spans="1:36" ht="24.75" customHeight="1" thickBot="1">
      <c r="B127" s="131">
        <v>10</v>
      </c>
      <c r="C127" s="131"/>
      <c r="D127" s="131" t="s">
        <v>244</v>
      </c>
      <c r="E127" s="259"/>
      <c r="F127" s="133"/>
      <c r="G127" s="132"/>
      <c r="H127" s="132"/>
      <c r="I127" s="307" t="str">
        <f t="shared" si="42"/>
        <v/>
      </c>
      <c r="J127" s="134"/>
      <c r="K127" s="135"/>
      <c r="L127" s="134"/>
      <c r="M127" s="135"/>
      <c r="N127" s="134"/>
      <c r="O127" s="135"/>
      <c r="P127" s="603">
        <f t="shared" si="41"/>
        <v>0</v>
      </c>
      <c r="Q127" s="254" t="str">
        <f t="shared" si="43"/>
        <v/>
      </c>
      <c r="R127" s="122"/>
      <c r="S127" s="122"/>
      <c r="T127" s="122"/>
      <c r="U127" s="122"/>
      <c r="V127" s="122"/>
      <c r="W127" s="122"/>
      <c r="X127" s="131"/>
      <c r="Y127" s="119"/>
      <c r="Z127" s="120"/>
      <c r="AA127" s="197"/>
      <c r="AB127" s="197"/>
      <c r="AC127" s="197"/>
      <c r="AD127" s="197"/>
      <c r="AE127" s="197"/>
      <c r="AF127" s="197"/>
      <c r="AG127" s="197"/>
      <c r="AH127" s="197"/>
      <c r="AI127" s="197"/>
      <c r="AJ127" s="120"/>
    </row>
    <row r="128" spans="1:36" s="136" customFormat="1" ht="15.6" customHeight="1" thickTop="1" thickBot="1">
      <c r="B128" s="242"/>
      <c r="C128" s="244"/>
      <c r="D128" s="244"/>
      <c r="E128" s="244"/>
      <c r="F128" s="244"/>
      <c r="G128" s="245"/>
      <c r="H128" s="245"/>
      <c r="I128" s="244"/>
      <c r="J128" s="244">
        <f>SUM(J118:J127)</f>
        <v>108</v>
      </c>
      <c r="K128" s="244">
        <f t="shared" ref="K128:O128" si="44">SUM(K118:K127)</f>
        <v>0</v>
      </c>
      <c r="L128" s="244">
        <f t="shared" si="44"/>
        <v>360</v>
      </c>
      <c r="M128" s="244">
        <f t="shared" si="44"/>
        <v>0</v>
      </c>
      <c r="N128" s="244">
        <f t="shared" si="44"/>
        <v>0</v>
      </c>
      <c r="O128" s="244">
        <f t="shared" si="44"/>
        <v>0</v>
      </c>
      <c r="P128" s="604">
        <f>SUM(P118:P127)</f>
        <v>18</v>
      </c>
      <c r="Q128" s="243"/>
      <c r="R128" s="243"/>
      <c r="S128" s="243"/>
      <c r="T128" s="243"/>
      <c r="U128" s="243"/>
      <c r="V128" s="243"/>
      <c r="W128" s="243"/>
      <c r="X128" s="244"/>
      <c r="Y128" s="244"/>
      <c r="Z128" s="113"/>
      <c r="AA128" s="113"/>
      <c r="AB128" s="113"/>
      <c r="AC128" s="113"/>
      <c r="AD128" s="113"/>
      <c r="AE128" s="113"/>
      <c r="AF128" s="113"/>
      <c r="AG128" s="113"/>
      <c r="AH128" s="113"/>
      <c r="AI128" s="113"/>
      <c r="AJ128" s="113"/>
    </row>
    <row r="129" spans="2:36" ht="24.75" hidden="1" customHeight="1" thickTop="1">
      <c r="B129" s="114">
        <v>11</v>
      </c>
      <c r="C129" s="114"/>
      <c r="D129" s="114"/>
      <c r="E129" s="257"/>
      <c r="F129" s="115"/>
      <c r="G129" s="116"/>
      <c r="H129" s="116"/>
      <c r="I129" s="307" t="str">
        <f>IFERROR(IF(E129="","",IF((J129+L129+N129)/SUM(J129:O129)&lt;=0.2,"A distancia",IF((J129+L129+N129)/SUM(J129:O129)&lt;=0.7,"Semipresencial","Presencial"))),"")</f>
        <v/>
      </c>
      <c r="J129" s="137"/>
      <c r="K129" s="138"/>
      <c r="L129" s="137"/>
      <c r="M129" s="138"/>
      <c r="N129" s="137"/>
      <c r="O129" s="138"/>
      <c r="P129" s="605">
        <f t="shared" ref="P129:P138" si="45">+SUM(J129:K129)/$G$4+SUM(L129:M129)/$M$4+SUM(N129:O129)/$M$4</f>
        <v>0</v>
      </c>
      <c r="Q129" s="251" t="str">
        <f>IF(P129=0,"",P129*32)</f>
        <v/>
      </c>
      <c r="R129" s="139"/>
      <c r="S129" s="139"/>
      <c r="T129" s="139"/>
      <c r="U129" s="139"/>
      <c r="V129" s="139"/>
      <c r="W129" s="139"/>
      <c r="X129" s="114"/>
      <c r="Y129" s="119"/>
      <c r="Z129" s="120"/>
      <c r="AA129" s="196"/>
      <c r="AB129" s="196"/>
      <c r="AC129" s="196"/>
      <c r="AD129" s="196"/>
      <c r="AE129" s="196"/>
      <c r="AF129" s="196"/>
      <c r="AG129" s="196"/>
      <c r="AH129" s="196"/>
      <c r="AI129" s="196"/>
      <c r="AJ129" s="120"/>
    </row>
    <row r="130" spans="2:36" ht="24.75" hidden="1" customHeight="1">
      <c r="B130" s="121">
        <v>11</v>
      </c>
      <c r="C130" s="121"/>
      <c r="D130" s="121"/>
      <c r="E130" s="258"/>
      <c r="F130" s="122"/>
      <c r="G130" s="123"/>
      <c r="H130" s="123"/>
      <c r="I130" s="307" t="str">
        <f t="shared" ref="I130:I138" si="46">IFERROR(IF(E130="","",IF((J130+L130+N130)/SUM(J130:O130)&lt;=0.2,"A distancia",IF((J130+L130+N130)/SUM(J130:O130)&lt;=0.7,"Semipresencial","Presencial"))),"")</f>
        <v/>
      </c>
      <c r="J130" s="124"/>
      <c r="K130" s="125"/>
      <c r="L130" s="124"/>
      <c r="M130" s="125"/>
      <c r="N130" s="124"/>
      <c r="O130" s="125"/>
      <c r="P130" s="601">
        <f t="shared" si="45"/>
        <v>0</v>
      </c>
      <c r="Q130" s="252" t="str">
        <f t="shared" ref="Q130:Q138" si="47">IF(P130=0,"",P130*32)</f>
        <v/>
      </c>
      <c r="R130" s="122"/>
      <c r="S130" s="122"/>
      <c r="T130" s="122"/>
      <c r="U130" s="122"/>
      <c r="V130" s="122"/>
      <c r="W130" s="122"/>
      <c r="X130" s="121"/>
      <c r="Y130" s="119"/>
      <c r="Z130" s="120"/>
      <c r="AA130" s="197"/>
      <c r="AB130" s="197"/>
      <c r="AC130" s="197"/>
      <c r="AD130" s="197"/>
      <c r="AE130" s="197"/>
      <c r="AF130" s="197"/>
      <c r="AG130" s="197"/>
      <c r="AH130" s="197"/>
      <c r="AI130" s="197"/>
      <c r="AJ130" s="120"/>
    </row>
    <row r="131" spans="2:36" ht="24.75" hidden="1" customHeight="1">
      <c r="B131" s="121">
        <v>11</v>
      </c>
      <c r="C131" s="121"/>
      <c r="D131" s="121"/>
      <c r="E131" s="258"/>
      <c r="F131" s="122"/>
      <c r="G131" s="123"/>
      <c r="H131" s="123"/>
      <c r="I131" s="307" t="str">
        <f t="shared" si="46"/>
        <v/>
      </c>
      <c r="J131" s="124"/>
      <c r="K131" s="125"/>
      <c r="L131" s="124"/>
      <c r="M131" s="125"/>
      <c r="N131" s="124"/>
      <c r="O131" s="125"/>
      <c r="P131" s="601">
        <f t="shared" si="45"/>
        <v>0</v>
      </c>
      <c r="Q131" s="252" t="str">
        <f t="shared" si="47"/>
        <v/>
      </c>
      <c r="R131" s="122"/>
      <c r="S131" s="122"/>
      <c r="T131" s="122"/>
      <c r="U131" s="122"/>
      <c r="V131" s="122"/>
      <c r="W131" s="122"/>
      <c r="X131" s="121"/>
      <c r="Y131" s="119"/>
      <c r="Z131" s="120"/>
      <c r="AA131" s="197"/>
      <c r="AB131" s="197"/>
      <c r="AC131" s="197"/>
      <c r="AD131" s="197"/>
      <c r="AE131" s="197"/>
      <c r="AF131" s="197"/>
      <c r="AG131" s="197"/>
      <c r="AH131" s="197"/>
      <c r="AI131" s="197"/>
      <c r="AJ131" s="120"/>
    </row>
    <row r="132" spans="2:36" ht="24.75" hidden="1" customHeight="1">
      <c r="B132" s="121">
        <v>11</v>
      </c>
      <c r="C132" s="121"/>
      <c r="D132" s="121"/>
      <c r="E132" s="258"/>
      <c r="F132" s="122"/>
      <c r="G132" s="123"/>
      <c r="H132" s="123"/>
      <c r="I132" s="307" t="str">
        <f t="shared" si="46"/>
        <v/>
      </c>
      <c r="J132" s="124"/>
      <c r="K132" s="125"/>
      <c r="L132" s="124"/>
      <c r="M132" s="125"/>
      <c r="N132" s="124"/>
      <c r="O132" s="125"/>
      <c r="P132" s="601">
        <f t="shared" si="45"/>
        <v>0</v>
      </c>
      <c r="Q132" s="252" t="str">
        <f t="shared" si="47"/>
        <v/>
      </c>
      <c r="R132" s="122"/>
      <c r="S132" s="122"/>
      <c r="T132" s="122"/>
      <c r="U132" s="122"/>
      <c r="V132" s="122"/>
      <c r="W132" s="122"/>
      <c r="X132" s="121"/>
      <c r="Y132" s="119"/>
      <c r="Z132" s="120"/>
      <c r="AA132" s="197"/>
      <c r="AB132" s="197"/>
      <c r="AC132" s="197"/>
      <c r="AD132" s="197"/>
      <c r="AE132" s="197"/>
      <c r="AF132" s="197"/>
      <c r="AG132" s="197"/>
      <c r="AH132" s="197"/>
      <c r="AI132" s="197"/>
      <c r="AJ132" s="120"/>
    </row>
    <row r="133" spans="2:36" ht="24.75" hidden="1" customHeight="1">
      <c r="B133" s="121">
        <v>11</v>
      </c>
      <c r="C133" s="121"/>
      <c r="D133" s="121"/>
      <c r="E133" s="258"/>
      <c r="F133" s="122"/>
      <c r="G133" s="123"/>
      <c r="H133" s="123"/>
      <c r="I133" s="307" t="str">
        <f t="shared" si="46"/>
        <v/>
      </c>
      <c r="J133" s="128"/>
      <c r="K133" s="129"/>
      <c r="L133" s="128"/>
      <c r="M133" s="129"/>
      <c r="N133" s="128"/>
      <c r="O133" s="129"/>
      <c r="P133" s="601">
        <f t="shared" si="45"/>
        <v>0</v>
      </c>
      <c r="Q133" s="253" t="str">
        <f t="shared" si="47"/>
        <v/>
      </c>
      <c r="R133" s="122"/>
      <c r="S133" s="122"/>
      <c r="T133" s="122"/>
      <c r="U133" s="122"/>
      <c r="V133" s="122"/>
      <c r="W133" s="122"/>
      <c r="X133" s="121"/>
      <c r="Y133" s="119"/>
      <c r="Z133" s="120"/>
      <c r="AA133" s="197"/>
      <c r="AB133" s="197"/>
      <c r="AC133" s="197"/>
      <c r="AD133" s="197"/>
      <c r="AE133" s="197"/>
      <c r="AF133" s="197"/>
      <c r="AG133" s="197"/>
      <c r="AH133" s="197"/>
      <c r="AI133" s="197"/>
      <c r="AJ133" s="120"/>
    </row>
    <row r="134" spans="2:36" ht="24.75" hidden="1" customHeight="1">
      <c r="B134" s="130">
        <v>11</v>
      </c>
      <c r="C134" s="130"/>
      <c r="D134" s="130"/>
      <c r="E134" s="258"/>
      <c r="F134" s="122"/>
      <c r="G134" s="126"/>
      <c r="H134" s="126"/>
      <c r="I134" s="307" t="str">
        <f t="shared" si="46"/>
        <v/>
      </c>
      <c r="J134" s="128"/>
      <c r="K134" s="129"/>
      <c r="L134" s="128"/>
      <c r="M134" s="129"/>
      <c r="N134" s="128"/>
      <c r="O134" s="129"/>
      <c r="P134" s="601">
        <f t="shared" si="45"/>
        <v>0</v>
      </c>
      <c r="Q134" s="253" t="str">
        <f>IF(P134=0,"",P134*32)</f>
        <v/>
      </c>
      <c r="R134" s="122"/>
      <c r="S134" s="122"/>
      <c r="T134" s="122"/>
      <c r="U134" s="122"/>
      <c r="V134" s="122"/>
      <c r="W134" s="122"/>
      <c r="X134" s="130"/>
      <c r="Y134" s="119"/>
      <c r="Z134" s="120"/>
      <c r="AA134" s="197"/>
      <c r="AB134" s="197"/>
      <c r="AC134" s="197"/>
      <c r="AD134" s="197"/>
      <c r="AE134" s="197"/>
      <c r="AF134" s="197"/>
      <c r="AG134" s="197"/>
      <c r="AH134" s="197"/>
      <c r="AI134" s="197"/>
      <c r="AJ134" s="120"/>
    </row>
    <row r="135" spans="2:36" ht="24.75" hidden="1" customHeight="1">
      <c r="B135" s="130">
        <v>11</v>
      </c>
      <c r="C135" s="130"/>
      <c r="D135" s="130"/>
      <c r="E135" s="258"/>
      <c r="F135" s="127"/>
      <c r="G135" s="123"/>
      <c r="H135" s="126"/>
      <c r="I135" s="307" t="str">
        <f t="shared" si="46"/>
        <v/>
      </c>
      <c r="J135" s="128"/>
      <c r="K135" s="129"/>
      <c r="L135" s="128"/>
      <c r="M135" s="129"/>
      <c r="N135" s="128"/>
      <c r="O135" s="129"/>
      <c r="P135" s="601">
        <f t="shared" si="45"/>
        <v>0</v>
      </c>
      <c r="Q135" s="253" t="str">
        <f>IF(P135=0,"",P135*32)</f>
        <v/>
      </c>
      <c r="R135" s="122"/>
      <c r="S135" s="122"/>
      <c r="T135" s="122"/>
      <c r="U135" s="122"/>
      <c r="V135" s="122"/>
      <c r="W135" s="122"/>
      <c r="X135" s="130"/>
      <c r="Y135" s="119"/>
      <c r="Z135" s="120"/>
      <c r="AA135" s="197"/>
      <c r="AB135" s="197"/>
      <c r="AC135" s="197"/>
      <c r="AD135" s="197"/>
      <c r="AE135" s="197"/>
      <c r="AF135" s="197"/>
      <c r="AG135" s="197"/>
      <c r="AH135" s="197"/>
      <c r="AI135" s="197"/>
      <c r="AJ135" s="120"/>
    </row>
    <row r="136" spans="2:36" ht="24.75" hidden="1" customHeight="1">
      <c r="B136" s="130">
        <v>11</v>
      </c>
      <c r="C136" s="130"/>
      <c r="D136" s="130"/>
      <c r="E136" s="258"/>
      <c r="F136" s="127"/>
      <c r="G136" s="123"/>
      <c r="H136" s="126"/>
      <c r="I136" s="307" t="str">
        <f t="shared" si="46"/>
        <v/>
      </c>
      <c r="J136" s="128"/>
      <c r="K136" s="129"/>
      <c r="L136" s="128"/>
      <c r="M136" s="129"/>
      <c r="N136" s="128"/>
      <c r="O136" s="129"/>
      <c r="P136" s="601">
        <f t="shared" si="45"/>
        <v>0</v>
      </c>
      <c r="Q136" s="253" t="str">
        <f>IF(P136=0,"",P136*32)</f>
        <v/>
      </c>
      <c r="R136" s="122"/>
      <c r="S136" s="122"/>
      <c r="T136" s="122"/>
      <c r="U136" s="122"/>
      <c r="V136" s="122"/>
      <c r="W136" s="122"/>
      <c r="X136" s="130"/>
      <c r="Y136" s="119"/>
      <c r="Z136" s="120"/>
      <c r="AA136" s="197"/>
      <c r="AB136" s="197"/>
      <c r="AC136" s="197"/>
      <c r="AD136" s="197"/>
      <c r="AE136" s="197"/>
      <c r="AF136" s="197"/>
      <c r="AG136" s="197"/>
      <c r="AH136" s="197"/>
      <c r="AI136" s="197"/>
      <c r="AJ136" s="120"/>
    </row>
    <row r="137" spans="2:36" ht="24.75" hidden="1" customHeight="1">
      <c r="B137" s="130">
        <v>11</v>
      </c>
      <c r="C137" s="130"/>
      <c r="D137" s="130"/>
      <c r="E137" s="258"/>
      <c r="F137" s="127"/>
      <c r="G137" s="123"/>
      <c r="H137" s="126"/>
      <c r="I137" s="307" t="str">
        <f t="shared" si="46"/>
        <v/>
      </c>
      <c r="J137" s="128"/>
      <c r="K137" s="129"/>
      <c r="L137" s="128"/>
      <c r="M137" s="129"/>
      <c r="N137" s="128"/>
      <c r="O137" s="129"/>
      <c r="P137" s="601">
        <f t="shared" si="45"/>
        <v>0</v>
      </c>
      <c r="Q137" s="253" t="str">
        <f>IF(P137=0,"",P137*32)</f>
        <v/>
      </c>
      <c r="R137" s="122"/>
      <c r="S137" s="122"/>
      <c r="T137" s="122"/>
      <c r="U137" s="122"/>
      <c r="V137" s="122"/>
      <c r="W137" s="122"/>
      <c r="X137" s="130"/>
      <c r="Y137" s="119"/>
      <c r="Z137" s="120"/>
      <c r="AA137" s="197"/>
      <c r="AB137" s="197"/>
      <c r="AC137" s="197"/>
      <c r="AD137" s="197"/>
      <c r="AE137" s="197"/>
      <c r="AF137" s="197"/>
      <c r="AG137" s="197"/>
      <c r="AH137" s="197"/>
      <c r="AI137" s="197"/>
      <c r="AJ137" s="120"/>
    </row>
    <row r="138" spans="2:36" ht="24.75" hidden="1" customHeight="1" thickBot="1">
      <c r="B138" s="131">
        <v>11</v>
      </c>
      <c r="C138" s="131"/>
      <c r="D138" s="131"/>
      <c r="E138" s="259"/>
      <c r="F138" s="133"/>
      <c r="G138" s="132"/>
      <c r="H138" s="132"/>
      <c r="I138" s="307" t="str">
        <f t="shared" si="46"/>
        <v/>
      </c>
      <c r="J138" s="134"/>
      <c r="K138" s="135"/>
      <c r="L138" s="134"/>
      <c r="M138" s="135"/>
      <c r="N138" s="134"/>
      <c r="O138" s="135"/>
      <c r="P138" s="603">
        <f t="shared" si="45"/>
        <v>0</v>
      </c>
      <c r="Q138" s="254" t="str">
        <f t="shared" si="47"/>
        <v/>
      </c>
      <c r="R138" s="122"/>
      <c r="S138" s="122"/>
      <c r="T138" s="122"/>
      <c r="U138" s="122"/>
      <c r="V138" s="122"/>
      <c r="W138" s="122"/>
      <c r="X138" s="131"/>
      <c r="Y138" s="119"/>
      <c r="Z138" s="120"/>
      <c r="AA138" s="197"/>
      <c r="AB138" s="197"/>
      <c r="AC138" s="197"/>
      <c r="AD138" s="197"/>
      <c r="AE138" s="197"/>
      <c r="AF138" s="197"/>
      <c r="AG138" s="197"/>
      <c r="AH138" s="197"/>
      <c r="AI138" s="197"/>
      <c r="AJ138" s="120"/>
    </row>
    <row r="139" spans="2:36" s="136" customFormat="1" ht="15.6" hidden="1" customHeight="1" thickTop="1" thickBot="1">
      <c r="B139" s="242"/>
      <c r="C139" s="244"/>
      <c r="D139" s="244"/>
      <c r="E139" s="244"/>
      <c r="F139" s="244"/>
      <c r="G139" s="245"/>
      <c r="H139" s="245"/>
      <c r="I139" s="244"/>
      <c r="J139" s="244">
        <f>SUM(J129:J138)</f>
        <v>0</v>
      </c>
      <c r="K139" s="244">
        <f t="shared" ref="K139" si="48">SUM(K129:K138)</f>
        <v>0</v>
      </c>
      <c r="L139" s="244">
        <f t="shared" ref="L139" si="49">SUM(L129:L138)</f>
        <v>0</v>
      </c>
      <c r="M139" s="244">
        <f t="shared" ref="M139" si="50">SUM(M129:M138)</f>
        <v>0</v>
      </c>
      <c r="N139" s="244">
        <f t="shared" ref="N139" si="51">SUM(N129:N138)</f>
        <v>0</v>
      </c>
      <c r="O139" s="244">
        <f t="shared" ref="O139:P139" si="52">SUM(O129:O138)</f>
        <v>0</v>
      </c>
      <c r="P139" s="604">
        <f t="shared" si="52"/>
        <v>0</v>
      </c>
      <c r="Q139" s="243"/>
      <c r="R139" s="243"/>
      <c r="S139" s="243"/>
      <c r="T139" s="243"/>
      <c r="U139" s="243"/>
      <c r="V139" s="243"/>
      <c r="W139" s="243"/>
      <c r="X139" s="244"/>
      <c r="Y139" s="244"/>
      <c r="Z139" s="113"/>
      <c r="AA139" s="113"/>
      <c r="AB139" s="113"/>
      <c r="AC139" s="113"/>
      <c r="AD139" s="113"/>
      <c r="AE139" s="113"/>
      <c r="AF139" s="113"/>
      <c r="AG139" s="113"/>
      <c r="AH139" s="113"/>
      <c r="AI139" s="113"/>
      <c r="AJ139" s="113"/>
    </row>
    <row r="140" spans="2:36" ht="24.75" hidden="1" customHeight="1" thickTop="1">
      <c r="B140" s="114">
        <v>12</v>
      </c>
      <c r="C140" s="114"/>
      <c r="D140" s="114"/>
      <c r="E140" s="257"/>
      <c r="F140" s="115"/>
      <c r="G140" s="116"/>
      <c r="H140" s="116"/>
      <c r="I140" s="307" t="str">
        <f>IFERROR(IF(E140="","",IF((J140+L140+N140)/SUM(J140:O140)&lt;=0.2,"A distancia",IF((J140+L140+N140)/SUM(J140:O140)&lt;=0.7,"Semipresencial","Presencial"))),"")</f>
        <v/>
      </c>
      <c r="J140" s="137"/>
      <c r="K140" s="138"/>
      <c r="L140" s="137"/>
      <c r="M140" s="138"/>
      <c r="N140" s="137"/>
      <c r="O140" s="138"/>
      <c r="P140" s="605">
        <f t="shared" ref="P140:P149" si="53">+SUM(J140:K140)/$G$4+SUM(L140:M140)/$M$4+SUM(N140:O140)/$M$4</f>
        <v>0</v>
      </c>
      <c r="Q140" s="251" t="str">
        <f>IF(P140=0,"",P140*32)</f>
        <v/>
      </c>
      <c r="R140" s="139"/>
      <c r="S140" s="139"/>
      <c r="T140" s="139"/>
      <c r="U140" s="139"/>
      <c r="V140" s="139"/>
      <c r="W140" s="139"/>
      <c r="X140" s="114"/>
      <c r="Y140" s="119"/>
      <c r="Z140" s="120"/>
      <c r="AA140" s="196"/>
      <c r="AB140" s="196"/>
      <c r="AC140" s="196"/>
      <c r="AD140" s="196"/>
      <c r="AE140" s="196"/>
      <c r="AF140" s="196"/>
      <c r="AG140" s="196"/>
      <c r="AH140" s="196"/>
      <c r="AI140" s="196"/>
      <c r="AJ140" s="120"/>
    </row>
    <row r="141" spans="2:36" ht="24.75" hidden="1" customHeight="1">
      <c r="B141" s="121">
        <v>12</v>
      </c>
      <c r="C141" s="121"/>
      <c r="D141" s="121"/>
      <c r="E141" s="258"/>
      <c r="F141" s="122"/>
      <c r="G141" s="123"/>
      <c r="H141" s="123"/>
      <c r="I141" s="307" t="str">
        <f t="shared" ref="I141:I149" si="54">IFERROR(IF(E141="","",IF((J141+L141+N141)/SUM(J141:O141)&lt;=0.2,"A distancia",IF((J141+L141+N141)/SUM(J141:O141)&lt;=0.7,"Semipresencial","Presencial"))),"")</f>
        <v/>
      </c>
      <c r="J141" s="124"/>
      <c r="K141" s="125"/>
      <c r="L141" s="124"/>
      <c r="M141" s="125"/>
      <c r="N141" s="124"/>
      <c r="O141" s="125"/>
      <c r="P141" s="601">
        <f t="shared" si="53"/>
        <v>0</v>
      </c>
      <c r="Q141" s="252" t="str">
        <f t="shared" ref="Q141:Q149" si="55">IF(P141=0,"",P141*32)</f>
        <v/>
      </c>
      <c r="R141" s="122"/>
      <c r="S141" s="122"/>
      <c r="T141" s="122"/>
      <c r="U141" s="122"/>
      <c r="V141" s="122"/>
      <c r="W141" s="122"/>
      <c r="X141" s="121"/>
      <c r="Y141" s="119"/>
      <c r="Z141" s="120"/>
      <c r="AA141" s="197"/>
      <c r="AB141" s="197"/>
      <c r="AC141" s="197"/>
      <c r="AD141" s="197"/>
      <c r="AE141" s="197"/>
      <c r="AF141" s="197"/>
      <c r="AG141" s="197"/>
      <c r="AH141" s="197"/>
      <c r="AI141" s="197"/>
      <c r="AJ141" s="120"/>
    </row>
    <row r="142" spans="2:36" ht="24.75" hidden="1" customHeight="1">
      <c r="B142" s="121">
        <v>12</v>
      </c>
      <c r="C142" s="121"/>
      <c r="D142" s="121"/>
      <c r="E142" s="258"/>
      <c r="F142" s="122"/>
      <c r="G142" s="123"/>
      <c r="H142" s="123"/>
      <c r="I142" s="307" t="str">
        <f t="shared" si="54"/>
        <v/>
      </c>
      <c r="J142" s="124"/>
      <c r="K142" s="125"/>
      <c r="L142" s="124"/>
      <c r="M142" s="125"/>
      <c r="N142" s="124"/>
      <c r="O142" s="125"/>
      <c r="P142" s="601">
        <f t="shared" si="53"/>
        <v>0</v>
      </c>
      <c r="Q142" s="252" t="str">
        <f t="shared" si="55"/>
        <v/>
      </c>
      <c r="R142" s="122"/>
      <c r="S142" s="122"/>
      <c r="T142" s="122"/>
      <c r="U142" s="122"/>
      <c r="V142" s="122"/>
      <c r="W142" s="122"/>
      <c r="X142" s="121"/>
      <c r="Y142" s="119"/>
      <c r="Z142" s="120"/>
      <c r="AA142" s="197"/>
      <c r="AB142" s="197"/>
      <c r="AC142" s="197"/>
      <c r="AD142" s="197"/>
      <c r="AE142" s="197"/>
      <c r="AF142" s="197"/>
      <c r="AG142" s="197"/>
      <c r="AH142" s="197"/>
      <c r="AI142" s="197"/>
      <c r="AJ142" s="120"/>
    </row>
    <row r="143" spans="2:36" ht="24.75" hidden="1" customHeight="1">
      <c r="B143" s="121">
        <v>12</v>
      </c>
      <c r="C143" s="121"/>
      <c r="D143" s="121"/>
      <c r="E143" s="258"/>
      <c r="F143" s="122"/>
      <c r="G143" s="123"/>
      <c r="H143" s="123"/>
      <c r="I143" s="307" t="str">
        <f t="shared" si="54"/>
        <v/>
      </c>
      <c r="J143" s="124"/>
      <c r="K143" s="125"/>
      <c r="L143" s="124"/>
      <c r="M143" s="125"/>
      <c r="N143" s="124"/>
      <c r="O143" s="125"/>
      <c r="P143" s="601">
        <f t="shared" si="53"/>
        <v>0</v>
      </c>
      <c r="Q143" s="252" t="str">
        <f t="shared" si="55"/>
        <v/>
      </c>
      <c r="R143" s="122"/>
      <c r="S143" s="122"/>
      <c r="T143" s="122"/>
      <c r="U143" s="122"/>
      <c r="V143" s="122"/>
      <c r="W143" s="122"/>
      <c r="X143" s="121"/>
      <c r="Y143" s="119"/>
      <c r="Z143" s="120"/>
      <c r="AA143" s="197"/>
      <c r="AB143" s="197"/>
      <c r="AC143" s="197"/>
      <c r="AD143" s="197"/>
      <c r="AE143" s="197"/>
      <c r="AF143" s="197"/>
      <c r="AG143" s="197"/>
      <c r="AH143" s="197"/>
      <c r="AI143" s="197"/>
      <c r="AJ143" s="120"/>
    </row>
    <row r="144" spans="2:36" ht="24.75" hidden="1" customHeight="1">
      <c r="B144" s="121">
        <v>12</v>
      </c>
      <c r="C144" s="121"/>
      <c r="D144" s="121"/>
      <c r="E144" s="258"/>
      <c r="F144" s="122"/>
      <c r="G144" s="123"/>
      <c r="H144" s="123"/>
      <c r="I144" s="307" t="str">
        <f t="shared" si="54"/>
        <v/>
      </c>
      <c r="J144" s="128"/>
      <c r="K144" s="129"/>
      <c r="L144" s="128"/>
      <c r="M144" s="129"/>
      <c r="N144" s="128"/>
      <c r="O144" s="129"/>
      <c r="P144" s="601">
        <f t="shared" si="53"/>
        <v>0</v>
      </c>
      <c r="Q144" s="253" t="str">
        <f t="shared" si="55"/>
        <v/>
      </c>
      <c r="R144" s="122"/>
      <c r="S144" s="122"/>
      <c r="T144" s="122"/>
      <c r="U144" s="122"/>
      <c r="V144" s="122"/>
      <c r="W144" s="122"/>
      <c r="X144" s="121"/>
      <c r="Y144" s="119"/>
      <c r="Z144" s="120"/>
      <c r="AA144" s="197"/>
      <c r="AB144" s="197"/>
      <c r="AC144" s="197"/>
      <c r="AD144" s="197"/>
      <c r="AE144" s="197"/>
      <c r="AF144" s="197"/>
      <c r="AG144" s="197"/>
      <c r="AH144" s="197"/>
      <c r="AI144" s="197"/>
      <c r="AJ144" s="120"/>
    </row>
    <row r="145" spans="2:36" ht="24.75" hidden="1" customHeight="1">
      <c r="B145" s="130">
        <v>12</v>
      </c>
      <c r="C145" s="130"/>
      <c r="D145" s="130"/>
      <c r="E145" s="258"/>
      <c r="F145" s="122"/>
      <c r="G145" s="126"/>
      <c r="H145" s="126"/>
      <c r="I145" s="307" t="str">
        <f t="shared" si="54"/>
        <v/>
      </c>
      <c r="J145" s="128"/>
      <c r="K145" s="129"/>
      <c r="L145" s="128"/>
      <c r="M145" s="129"/>
      <c r="N145" s="128"/>
      <c r="O145" s="129"/>
      <c r="P145" s="601">
        <f t="shared" si="53"/>
        <v>0</v>
      </c>
      <c r="Q145" s="253" t="str">
        <f>IF(P145=0,"",P145*32)</f>
        <v/>
      </c>
      <c r="R145" s="122"/>
      <c r="S145" s="122"/>
      <c r="T145" s="122"/>
      <c r="U145" s="122"/>
      <c r="V145" s="122"/>
      <c r="W145" s="122"/>
      <c r="X145" s="130"/>
      <c r="Y145" s="119"/>
      <c r="Z145" s="120"/>
      <c r="AA145" s="197"/>
      <c r="AB145" s="197"/>
      <c r="AC145" s="197"/>
      <c r="AD145" s="197"/>
      <c r="AE145" s="197"/>
      <c r="AF145" s="197"/>
      <c r="AG145" s="197"/>
      <c r="AH145" s="197"/>
      <c r="AI145" s="197"/>
      <c r="AJ145" s="120"/>
    </row>
    <row r="146" spans="2:36" ht="24.75" hidden="1" customHeight="1">
      <c r="B146" s="130">
        <v>12</v>
      </c>
      <c r="C146" s="130"/>
      <c r="D146" s="130"/>
      <c r="E146" s="258"/>
      <c r="F146" s="127"/>
      <c r="G146" s="123"/>
      <c r="H146" s="126"/>
      <c r="I146" s="307" t="str">
        <f t="shared" si="54"/>
        <v/>
      </c>
      <c r="J146" s="128"/>
      <c r="K146" s="129"/>
      <c r="L146" s="128"/>
      <c r="M146" s="129"/>
      <c r="N146" s="128"/>
      <c r="O146" s="129"/>
      <c r="P146" s="601">
        <f t="shared" si="53"/>
        <v>0</v>
      </c>
      <c r="Q146" s="253" t="str">
        <f>IF(P146=0,"",P146*32)</f>
        <v/>
      </c>
      <c r="R146" s="122"/>
      <c r="S146" s="122"/>
      <c r="T146" s="122"/>
      <c r="U146" s="122"/>
      <c r="V146" s="122"/>
      <c r="W146" s="122"/>
      <c r="X146" s="130"/>
      <c r="Y146" s="119"/>
      <c r="Z146" s="120"/>
      <c r="AA146" s="197"/>
      <c r="AB146" s="197"/>
      <c r="AC146" s="197"/>
      <c r="AD146" s="197"/>
      <c r="AE146" s="197"/>
      <c r="AF146" s="197"/>
      <c r="AG146" s="197"/>
      <c r="AH146" s="197"/>
      <c r="AI146" s="197"/>
      <c r="AJ146" s="120"/>
    </row>
    <row r="147" spans="2:36" ht="24.75" hidden="1" customHeight="1">
      <c r="B147" s="130">
        <v>12</v>
      </c>
      <c r="C147" s="130"/>
      <c r="D147" s="130"/>
      <c r="E147" s="258"/>
      <c r="F147" s="127"/>
      <c r="G147" s="123"/>
      <c r="H147" s="126"/>
      <c r="I147" s="307" t="str">
        <f t="shared" si="54"/>
        <v/>
      </c>
      <c r="J147" s="128"/>
      <c r="K147" s="129"/>
      <c r="L147" s="128"/>
      <c r="M147" s="129"/>
      <c r="N147" s="128"/>
      <c r="O147" s="129"/>
      <c r="P147" s="601">
        <f t="shared" si="53"/>
        <v>0</v>
      </c>
      <c r="Q147" s="253" t="str">
        <f>IF(P147=0,"",P147*32)</f>
        <v/>
      </c>
      <c r="R147" s="122"/>
      <c r="S147" s="122"/>
      <c r="T147" s="122"/>
      <c r="U147" s="122"/>
      <c r="V147" s="122"/>
      <c r="W147" s="122"/>
      <c r="X147" s="130"/>
      <c r="Y147" s="119"/>
      <c r="Z147" s="120"/>
      <c r="AA147" s="197"/>
      <c r="AB147" s="197"/>
      <c r="AC147" s="197"/>
      <c r="AD147" s="197"/>
      <c r="AE147" s="197"/>
      <c r="AF147" s="197"/>
      <c r="AG147" s="197"/>
      <c r="AH147" s="197"/>
      <c r="AI147" s="197"/>
      <c r="AJ147" s="120"/>
    </row>
    <row r="148" spans="2:36" ht="24.75" hidden="1" customHeight="1">
      <c r="B148" s="130">
        <v>12</v>
      </c>
      <c r="C148" s="130"/>
      <c r="D148" s="130"/>
      <c r="E148" s="258"/>
      <c r="F148" s="127"/>
      <c r="G148" s="123"/>
      <c r="H148" s="126"/>
      <c r="I148" s="307" t="str">
        <f t="shared" si="54"/>
        <v/>
      </c>
      <c r="J148" s="128"/>
      <c r="K148" s="129"/>
      <c r="L148" s="128"/>
      <c r="M148" s="129"/>
      <c r="N148" s="128"/>
      <c r="O148" s="129"/>
      <c r="P148" s="601">
        <f t="shared" si="53"/>
        <v>0</v>
      </c>
      <c r="Q148" s="253" t="str">
        <f>IF(P148=0,"",P148*32)</f>
        <v/>
      </c>
      <c r="R148" s="122"/>
      <c r="S148" s="122"/>
      <c r="T148" s="122"/>
      <c r="U148" s="122"/>
      <c r="V148" s="122"/>
      <c r="W148" s="122"/>
      <c r="X148" s="130"/>
      <c r="Y148" s="119"/>
      <c r="Z148" s="120"/>
      <c r="AA148" s="197"/>
      <c r="AB148" s="197"/>
      <c r="AC148" s="197"/>
      <c r="AD148" s="197"/>
      <c r="AE148" s="197"/>
      <c r="AF148" s="197"/>
      <c r="AG148" s="197"/>
      <c r="AH148" s="197"/>
      <c r="AI148" s="197"/>
      <c r="AJ148" s="120"/>
    </row>
    <row r="149" spans="2:36" ht="24.75" hidden="1" customHeight="1" thickBot="1">
      <c r="B149" s="131">
        <v>12</v>
      </c>
      <c r="C149" s="131"/>
      <c r="D149" s="131"/>
      <c r="E149" s="259"/>
      <c r="F149" s="133"/>
      <c r="G149" s="132"/>
      <c r="H149" s="132"/>
      <c r="I149" s="307" t="str">
        <f t="shared" si="54"/>
        <v/>
      </c>
      <c r="J149" s="134"/>
      <c r="K149" s="135"/>
      <c r="L149" s="134"/>
      <c r="M149" s="135"/>
      <c r="N149" s="134"/>
      <c r="O149" s="135"/>
      <c r="P149" s="603">
        <f t="shared" si="53"/>
        <v>0</v>
      </c>
      <c r="Q149" s="254" t="str">
        <f t="shared" si="55"/>
        <v/>
      </c>
      <c r="R149" s="122"/>
      <c r="S149" s="122"/>
      <c r="T149" s="122"/>
      <c r="U149" s="122"/>
      <c r="V149" s="122"/>
      <c r="W149" s="122"/>
      <c r="X149" s="131"/>
      <c r="Y149" s="119"/>
      <c r="Z149" s="120"/>
      <c r="AA149" s="197"/>
      <c r="AB149" s="197"/>
      <c r="AC149" s="197"/>
      <c r="AD149" s="197"/>
      <c r="AE149" s="197"/>
      <c r="AF149" s="197"/>
      <c r="AG149" s="197"/>
      <c r="AH149" s="197"/>
      <c r="AI149" s="197"/>
      <c r="AJ149" s="120"/>
    </row>
    <row r="150" spans="2:36" s="136" customFormat="1" ht="15.6" hidden="1" customHeight="1" thickTop="1" thickBot="1">
      <c r="B150" s="242"/>
      <c r="C150" s="244"/>
      <c r="D150" s="244"/>
      <c r="E150" s="244"/>
      <c r="F150" s="244"/>
      <c r="G150" s="245"/>
      <c r="H150" s="245"/>
      <c r="I150" s="244"/>
      <c r="J150" s="244">
        <f>SUM(J140:J149)</f>
        <v>0</v>
      </c>
      <c r="K150" s="244">
        <f t="shared" ref="K150" si="56">SUM(K140:K149)</f>
        <v>0</v>
      </c>
      <c r="L150" s="244">
        <f t="shared" ref="L150" si="57">SUM(L140:L149)</f>
        <v>0</v>
      </c>
      <c r="M150" s="244">
        <f t="shared" ref="M150" si="58">SUM(M140:M149)</f>
        <v>0</v>
      </c>
      <c r="N150" s="244">
        <f t="shared" ref="N150" si="59">SUM(N140:N149)</f>
        <v>0</v>
      </c>
      <c r="O150" s="244">
        <f t="shared" ref="O150" si="60">SUM(O140:O149)</f>
        <v>0</v>
      </c>
      <c r="P150" s="604">
        <f>SUM(P140:P149)</f>
        <v>0</v>
      </c>
      <c r="Q150" s="243"/>
      <c r="R150" s="243"/>
      <c r="S150" s="243"/>
      <c r="T150" s="243"/>
      <c r="U150" s="243"/>
      <c r="V150" s="243"/>
      <c r="W150" s="243"/>
      <c r="X150" s="244"/>
      <c r="Y150" s="244"/>
      <c r="Z150" s="113"/>
      <c r="AA150" s="113"/>
      <c r="AB150" s="113"/>
      <c r="AC150" s="113"/>
      <c r="AD150" s="113"/>
      <c r="AE150" s="113"/>
      <c r="AF150" s="113"/>
      <c r="AG150" s="113"/>
      <c r="AH150" s="113"/>
      <c r="AI150" s="113"/>
      <c r="AJ150" s="113"/>
    </row>
    <row r="151" spans="2:36" ht="24.75" hidden="1" customHeight="1" thickTop="1">
      <c r="B151" s="114">
        <v>13</v>
      </c>
      <c r="C151" s="114"/>
      <c r="D151" s="114"/>
      <c r="E151" s="257"/>
      <c r="F151" s="115"/>
      <c r="G151" s="116"/>
      <c r="H151" s="116"/>
      <c r="I151" s="307" t="str">
        <f>IFERROR(IF(E151="","",IF((J151+L151+N151)/SUM(J151:O151)&lt;=0.2,"A distancia",IF((J151+L151+N151)/SUM(J151:O151)&lt;=0.7,"Semipresencial","Presencial"))),"")</f>
        <v/>
      </c>
      <c r="J151" s="137"/>
      <c r="K151" s="138"/>
      <c r="L151" s="137"/>
      <c r="M151" s="138"/>
      <c r="N151" s="137"/>
      <c r="O151" s="138"/>
      <c r="P151" s="605">
        <f t="shared" ref="P151:P160" si="61">+SUM(J151:K151)/$G$4+SUM(L151:M151)/$M$4+SUM(N151:O151)/$M$4</f>
        <v>0</v>
      </c>
      <c r="Q151" s="251" t="str">
        <f>IF(P151=0,"",P151*32)</f>
        <v/>
      </c>
      <c r="R151" s="139"/>
      <c r="S151" s="139"/>
      <c r="T151" s="139"/>
      <c r="U151" s="139"/>
      <c r="V151" s="139"/>
      <c r="W151" s="139"/>
      <c r="X151" s="114"/>
      <c r="Y151" s="119"/>
      <c r="Z151" s="120"/>
      <c r="AA151" s="196"/>
      <c r="AB151" s="196"/>
      <c r="AC151" s="196"/>
      <c r="AD151" s="196"/>
      <c r="AE151" s="196"/>
      <c r="AF151" s="196"/>
      <c r="AG151" s="196"/>
      <c r="AH151" s="196"/>
      <c r="AI151" s="196"/>
      <c r="AJ151" s="120"/>
    </row>
    <row r="152" spans="2:36" ht="24.75" hidden="1" customHeight="1">
      <c r="B152" s="121">
        <v>13</v>
      </c>
      <c r="C152" s="121"/>
      <c r="D152" s="121"/>
      <c r="E152" s="258"/>
      <c r="F152" s="122"/>
      <c r="G152" s="123"/>
      <c r="H152" s="123"/>
      <c r="I152" s="307" t="str">
        <f t="shared" ref="I152:I160" si="62">IFERROR(IF(E152="","",IF((J152+L152+N152)/SUM(J152:O152)&lt;=0.2,"A distancia",IF((J152+L152+N152)/SUM(J152:O152)&lt;=0.7,"Semipresencial","Presencial"))),"")</f>
        <v/>
      </c>
      <c r="J152" s="124"/>
      <c r="K152" s="125"/>
      <c r="L152" s="124"/>
      <c r="M152" s="125"/>
      <c r="N152" s="124"/>
      <c r="O152" s="125"/>
      <c r="P152" s="601">
        <f t="shared" si="61"/>
        <v>0</v>
      </c>
      <c r="Q152" s="252" t="str">
        <f t="shared" ref="Q152:Q160" si="63">IF(P152=0,"",P152*32)</f>
        <v/>
      </c>
      <c r="R152" s="122"/>
      <c r="S152" s="122"/>
      <c r="T152" s="122"/>
      <c r="U152" s="122"/>
      <c r="V152" s="122"/>
      <c r="W152" s="122"/>
      <c r="X152" s="121"/>
      <c r="Y152" s="119"/>
      <c r="Z152" s="120"/>
      <c r="AA152" s="197"/>
      <c r="AB152" s="197"/>
      <c r="AC152" s="197"/>
      <c r="AD152" s="197"/>
      <c r="AE152" s="197"/>
      <c r="AF152" s="197"/>
      <c r="AG152" s="197"/>
      <c r="AH152" s="197"/>
      <c r="AI152" s="197"/>
      <c r="AJ152" s="120"/>
    </row>
    <row r="153" spans="2:36" ht="24.75" hidden="1" customHeight="1">
      <c r="B153" s="121">
        <v>13</v>
      </c>
      <c r="C153" s="121"/>
      <c r="D153" s="121"/>
      <c r="E153" s="258"/>
      <c r="F153" s="122"/>
      <c r="G153" s="123"/>
      <c r="H153" s="123"/>
      <c r="I153" s="307" t="str">
        <f t="shared" si="62"/>
        <v/>
      </c>
      <c r="J153" s="124"/>
      <c r="K153" s="125"/>
      <c r="L153" s="124"/>
      <c r="M153" s="125"/>
      <c r="N153" s="124"/>
      <c r="O153" s="125"/>
      <c r="P153" s="601">
        <f t="shared" si="61"/>
        <v>0</v>
      </c>
      <c r="Q153" s="252" t="str">
        <f t="shared" si="63"/>
        <v/>
      </c>
      <c r="R153" s="122"/>
      <c r="S153" s="122"/>
      <c r="T153" s="122"/>
      <c r="U153" s="122"/>
      <c r="V153" s="122"/>
      <c r="W153" s="122"/>
      <c r="X153" s="121"/>
      <c r="Y153" s="119"/>
      <c r="Z153" s="120"/>
      <c r="AA153" s="197"/>
      <c r="AB153" s="197"/>
      <c r="AC153" s="197"/>
      <c r="AD153" s="197"/>
      <c r="AE153" s="197"/>
      <c r="AF153" s="197"/>
      <c r="AG153" s="197"/>
      <c r="AH153" s="197"/>
      <c r="AI153" s="197"/>
      <c r="AJ153" s="120"/>
    </row>
    <row r="154" spans="2:36" ht="24.75" hidden="1" customHeight="1">
      <c r="B154" s="121">
        <v>13</v>
      </c>
      <c r="C154" s="121"/>
      <c r="D154" s="121"/>
      <c r="E154" s="258"/>
      <c r="F154" s="122"/>
      <c r="G154" s="123"/>
      <c r="H154" s="123"/>
      <c r="I154" s="307" t="str">
        <f t="shared" si="62"/>
        <v/>
      </c>
      <c r="J154" s="124"/>
      <c r="K154" s="125"/>
      <c r="L154" s="124"/>
      <c r="M154" s="125"/>
      <c r="N154" s="124"/>
      <c r="O154" s="125"/>
      <c r="P154" s="601">
        <f t="shared" si="61"/>
        <v>0</v>
      </c>
      <c r="Q154" s="252" t="str">
        <f t="shared" si="63"/>
        <v/>
      </c>
      <c r="R154" s="122"/>
      <c r="S154" s="122"/>
      <c r="T154" s="122"/>
      <c r="U154" s="122"/>
      <c r="V154" s="122"/>
      <c r="W154" s="122"/>
      <c r="X154" s="121"/>
      <c r="Y154" s="119"/>
      <c r="Z154" s="120"/>
      <c r="AA154" s="197"/>
      <c r="AB154" s="197"/>
      <c r="AC154" s="197"/>
      <c r="AD154" s="197"/>
      <c r="AE154" s="197"/>
      <c r="AF154" s="197"/>
      <c r="AG154" s="197"/>
      <c r="AH154" s="197"/>
      <c r="AI154" s="197"/>
      <c r="AJ154" s="120"/>
    </row>
    <row r="155" spans="2:36" ht="24.75" hidden="1" customHeight="1">
      <c r="B155" s="121">
        <v>13</v>
      </c>
      <c r="C155" s="121"/>
      <c r="D155" s="121"/>
      <c r="E155" s="258"/>
      <c r="F155" s="122"/>
      <c r="G155" s="123"/>
      <c r="H155" s="123"/>
      <c r="I155" s="307" t="str">
        <f t="shared" si="62"/>
        <v/>
      </c>
      <c r="J155" s="128"/>
      <c r="K155" s="129"/>
      <c r="L155" s="128"/>
      <c r="M155" s="129"/>
      <c r="N155" s="128"/>
      <c r="O155" s="129"/>
      <c r="P155" s="601">
        <f t="shared" si="61"/>
        <v>0</v>
      </c>
      <c r="Q155" s="253" t="str">
        <f t="shared" si="63"/>
        <v/>
      </c>
      <c r="R155" s="122"/>
      <c r="S155" s="122"/>
      <c r="T155" s="122"/>
      <c r="U155" s="122"/>
      <c r="V155" s="122"/>
      <c r="W155" s="122"/>
      <c r="X155" s="121"/>
      <c r="Y155" s="119"/>
      <c r="Z155" s="120"/>
      <c r="AA155" s="197"/>
      <c r="AB155" s="197"/>
      <c r="AC155" s="197"/>
      <c r="AD155" s="197"/>
      <c r="AE155" s="197"/>
      <c r="AF155" s="197"/>
      <c r="AG155" s="197"/>
      <c r="AH155" s="197"/>
      <c r="AI155" s="197"/>
      <c r="AJ155" s="120"/>
    </row>
    <row r="156" spans="2:36" ht="24.75" hidden="1" customHeight="1">
      <c r="B156" s="130">
        <v>13</v>
      </c>
      <c r="C156" s="130"/>
      <c r="D156" s="130"/>
      <c r="E156" s="258"/>
      <c r="F156" s="122"/>
      <c r="G156" s="126"/>
      <c r="H156" s="126"/>
      <c r="I156" s="307" t="str">
        <f t="shared" si="62"/>
        <v/>
      </c>
      <c r="J156" s="128"/>
      <c r="K156" s="129"/>
      <c r="L156" s="128"/>
      <c r="M156" s="129"/>
      <c r="N156" s="128"/>
      <c r="O156" s="129"/>
      <c r="P156" s="601">
        <f t="shared" si="61"/>
        <v>0</v>
      </c>
      <c r="Q156" s="253" t="str">
        <f>IF(P156=0,"",P156*32)</f>
        <v/>
      </c>
      <c r="R156" s="122"/>
      <c r="S156" s="122"/>
      <c r="T156" s="122"/>
      <c r="U156" s="122"/>
      <c r="V156" s="122"/>
      <c r="W156" s="122"/>
      <c r="X156" s="130"/>
      <c r="Y156" s="119"/>
      <c r="Z156" s="120"/>
      <c r="AA156" s="197"/>
      <c r="AB156" s="197"/>
      <c r="AC156" s="197"/>
      <c r="AD156" s="197"/>
      <c r="AE156" s="197"/>
      <c r="AF156" s="197"/>
      <c r="AG156" s="197"/>
      <c r="AH156" s="197"/>
      <c r="AI156" s="197"/>
      <c r="AJ156" s="120"/>
    </row>
    <row r="157" spans="2:36" ht="24.75" hidden="1" customHeight="1">
      <c r="B157" s="130">
        <v>13</v>
      </c>
      <c r="C157" s="130"/>
      <c r="D157" s="130"/>
      <c r="E157" s="258"/>
      <c r="F157" s="127"/>
      <c r="G157" s="123"/>
      <c r="H157" s="126"/>
      <c r="I157" s="307" t="str">
        <f t="shared" si="62"/>
        <v/>
      </c>
      <c r="J157" s="128"/>
      <c r="K157" s="129"/>
      <c r="L157" s="128"/>
      <c r="M157" s="129"/>
      <c r="N157" s="128"/>
      <c r="O157" s="129"/>
      <c r="P157" s="601">
        <f t="shared" si="61"/>
        <v>0</v>
      </c>
      <c r="Q157" s="253" t="str">
        <f>IF(P157=0,"",P157*32)</f>
        <v/>
      </c>
      <c r="R157" s="122"/>
      <c r="S157" s="122"/>
      <c r="T157" s="122"/>
      <c r="U157" s="122"/>
      <c r="V157" s="122"/>
      <c r="W157" s="122"/>
      <c r="X157" s="130"/>
      <c r="Y157" s="119"/>
      <c r="Z157" s="120"/>
      <c r="AA157" s="197"/>
      <c r="AB157" s="197"/>
      <c r="AC157" s="197"/>
      <c r="AD157" s="197"/>
      <c r="AE157" s="197"/>
      <c r="AF157" s="197"/>
      <c r="AG157" s="197"/>
      <c r="AH157" s="197"/>
      <c r="AI157" s="197"/>
      <c r="AJ157" s="120"/>
    </row>
    <row r="158" spans="2:36" ht="24.75" hidden="1" customHeight="1">
      <c r="B158" s="130">
        <v>13</v>
      </c>
      <c r="C158" s="130"/>
      <c r="D158" s="130"/>
      <c r="E158" s="258"/>
      <c r="F158" s="127"/>
      <c r="G158" s="123"/>
      <c r="H158" s="126"/>
      <c r="I158" s="307" t="str">
        <f t="shared" si="62"/>
        <v/>
      </c>
      <c r="J158" s="128"/>
      <c r="K158" s="129"/>
      <c r="L158" s="128"/>
      <c r="M158" s="129"/>
      <c r="N158" s="128"/>
      <c r="O158" s="129"/>
      <c r="P158" s="601">
        <f t="shared" si="61"/>
        <v>0</v>
      </c>
      <c r="Q158" s="253" t="str">
        <f>IF(P158=0,"",P158*32)</f>
        <v/>
      </c>
      <c r="R158" s="122"/>
      <c r="S158" s="122"/>
      <c r="T158" s="122"/>
      <c r="U158" s="122"/>
      <c r="V158" s="122"/>
      <c r="W158" s="122"/>
      <c r="X158" s="130"/>
      <c r="Y158" s="119"/>
      <c r="Z158" s="120"/>
      <c r="AA158" s="197"/>
      <c r="AB158" s="197"/>
      <c r="AC158" s="197"/>
      <c r="AD158" s="197"/>
      <c r="AE158" s="197"/>
      <c r="AF158" s="197"/>
      <c r="AG158" s="197"/>
      <c r="AH158" s="197"/>
      <c r="AI158" s="197"/>
      <c r="AJ158" s="120"/>
    </row>
    <row r="159" spans="2:36" ht="24.75" hidden="1" customHeight="1">
      <c r="B159" s="130">
        <v>13</v>
      </c>
      <c r="C159" s="130"/>
      <c r="D159" s="130"/>
      <c r="E159" s="258"/>
      <c r="F159" s="127"/>
      <c r="G159" s="123"/>
      <c r="H159" s="126"/>
      <c r="I159" s="307" t="str">
        <f t="shared" si="62"/>
        <v/>
      </c>
      <c r="J159" s="128"/>
      <c r="K159" s="129"/>
      <c r="L159" s="128"/>
      <c r="M159" s="129"/>
      <c r="N159" s="128"/>
      <c r="O159" s="129"/>
      <c r="P159" s="601">
        <f t="shared" si="61"/>
        <v>0</v>
      </c>
      <c r="Q159" s="253" t="str">
        <f>IF(P159=0,"",P159*32)</f>
        <v/>
      </c>
      <c r="R159" s="122"/>
      <c r="S159" s="122"/>
      <c r="T159" s="122"/>
      <c r="U159" s="122"/>
      <c r="V159" s="122"/>
      <c r="W159" s="122"/>
      <c r="X159" s="130"/>
      <c r="Y159" s="119"/>
      <c r="Z159" s="120"/>
      <c r="AA159" s="197"/>
      <c r="AB159" s="197"/>
      <c r="AC159" s="197"/>
      <c r="AD159" s="197"/>
      <c r="AE159" s="197"/>
      <c r="AF159" s="197"/>
      <c r="AG159" s="197"/>
      <c r="AH159" s="197"/>
      <c r="AI159" s="197"/>
      <c r="AJ159" s="120"/>
    </row>
    <row r="160" spans="2:36" ht="24.75" hidden="1" customHeight="1" thickBot="1">
      <c r="B160" s="131">
        <v>13</v>
      </c>
      <c r="C160" s="131"/>
      <c r="D160" s="131"/>
      <c r="E160" s="259"/>
      <c r="F160" s="133"/>
      <c r="G160" s="132"/>
      <c r="H160" s="132"/>
      <c r="I160" s="307" t="str">
        <f t="shared" si="62"/>
        <v/>
      </c>
      <c r="J160" s="134"/>
      <c r="K160" s="135"/>
      <c r="L160" s="134"/>
      <c r="M160" s="135"/>
      <c r="N160" s="134"/>
      <c r="O160" s="135"/>
      <c r="P160" s="603">
        <f t="shared" si="61"/>
        <v>0</v>
      </c>
      <c r="Q160" s="254" t="str">
        <f t="shared" si="63"/>
        <v/>
      </c>
      <c r="R160" s="122"/>
      <c r="S160" s="122"/>
      <c r="T160" s="122"/>
      <c r="U160" s="122"/>
      <c r="V160" s="122"/>
      <c r="W160" s="122"/>
      <c r="X160" s="131"/>
      <c r="Y160" s="119"/>
      <c r="Z160" s="120"/>
      <c r="AA160" s="197"/>
      <c r="AB160" s="197"/>
      <c r="AC160" s="197"/>
      <c r="AD160" s="197"/>
      <c r="AE160" s="197"/>
      <c r="AF160" s="197"/>
      <c r="AG160" s="197"/>
      <c r="AH160" s="197"/>
      <c r="AI160" s="197"/>
      <c r="AJ160" s="120"/>
    </row>
    <row r="161" spans="2:36" s="136" customFormat="1" ht="15.6" hidden="1" customHeight="1" thickTop="1" thickBot="1">
      <c r="B161" s="242"/>
      <c r="C161" s="244"/>
      <c r="D161" s="244"/>
      <c r="E161" s="244"/>
      <c r="F161" s="244"/>
      <c r="G161" s="245"/>
      <c r="H161" s="245"/>
      <c r="I161" s="244"/>
      <c r="J161" s="244">
        <f>SUM(J151:J160)</f>
        <v>0</v>
      </c>
      <c r="K161" s="244">
        <f t="shared" ref="K161" si="64">SUM(K151:K160)</f>
        <v>0</v>
      </c>
      <c r="L161" s="244">
        <f t="shared" ref="L161" si="65">SUM(L151:L160)</f>
        <v>0</v>
      </c>
      <c r="M161" s="244">
        <f t="shared" ref="M161" si="66">SUM(M151:M160)</f>
        <v>0</v>
      </c>
      <c r="N161" s="244">
        <f t="shared" ref="N161" si="67">SUM(N151:N160)</f>
        <v>0</v>
      </c>
      <c r="O161" s="244">
        <f t="shared" ref="O161:P161" si="68">SUM(O151:O160)</f>
        <v>0</v>
      </c>
      <c r="P161" s="604">
        <f t="shared" si="68"/>
        <v>0</v>
      </c>
      <c r="Q161" s="243"/>
      <c r="R161" s="243"/>
      <c r="S161" s="243"/>
      <c r="T161" s="243"/>
      <c r="U161" s="243"/>
      <c r="V161" s="243"/>
      <c r="W161" s="243"/>
      <c r="X161" s="244"/>
      <c r="Y161" s="244"/>
      <c r="Z161" s="113"/>
      <c r="AA161" s="113"/>
      <c r="AB161" s="113"/>
      <c r="AC161" s="113"/>
      <c r="AD161" s="113"/>
      <c r="AE161" s="113"/>
      <c r="AF161" s="113"/>
      <c r="AG161" s="113"/>
      <c r="AH161" s="113"/>
      <c r="AI161" s="113"/>
      <c r="AJ161" s="113"/>
    </row>
    <row r="162" spans="2:36" ht="24.75" hidden="1" customHeight="1" thickTop="1">
      <c r="B162" s="114">
        <v>14</v>
      </c>
      <c r="C162" s="114"/>
      <c r="D162" s="114"/>
      <c r="E162" s="257"/>
      <c r="F162" s="115"/>
      <c r="G162" s="116"/>
      <c r="H162" s="116"/>
      <c r="I162" s="307" t="str">
        <f>IFERROR(IF(E162="","",IF((J162+L162+N162)/SUM(J162:O162)&lt;=0.2,"A distancia",IF((J162+L162+N162)/SUM(J162:O162)&lt;=0.7,"Semipresencial","Presencial"))),"")</f>
        <v/>
      </c>
      <c r="J162" s="137"/>
      <c r="K162" s="138"/>
      <c r="L162" s="137"/>
      <c r="M162" s="138"/>
      <c r="N162" s="137"/>
      <c r="O162" s="138"/>
      <c r="P162" s="605">
        <f t="shared" ref="P162:P171" si="69">+SUM(J162:K162)/$G$4+SUM(L162:M162)/$M$4+SUM(N162:O162)/$M$4</f>
        <v>0</v>
      </c>
      <c r="Q162" s="251" t="str">
        <f>IF(P162=0,"",P162*32)</f>
        <v/>
      </c>
      <c r="R162" s="139"/>
      <c r="S162" s="139"/>
      <c r="T162" s="139"/>
      <c r="U162" s="139"/>
      <c r="V162" s="139"/>
      <c r="W162" s="139"/>
      <c r="X162" s="114"/>
      <c r="Y162" s="119"/>
      <c r="Z162" s="120"/>
      <c r="AA162" s="196"/>
      <c r="AB162" s="196"/>
      <c r="AC162" s="196"/>
      <c r="AD162" s="196"/>
      <c r="AE162" s="196"/>
      <c r="AF162" s="196"/>
      <c r="AG162" s="196"/>
      <c r="AH162" s="196"/>
      <c r="AI162" s="196"/>
      <c r="AJ162" s="120"/>
    </row>
    <row r="163" spans="2:36" ht="24.75" hidden="1" customHeight="1">
      <c r="B163" s="121">
        <v>14</v>
      </c>
      <c r="C163" s="121"/>
      <c r="D163" s="121"/>
      <c r="E163" s="258"/>
      <c r="F163" s="122"/>
      <c r="G163" s="123"/>
      <c r="H163" s="123"/>
      <c r="I163" s="307" t="str">
        <f t="shared" ref="I163:I171" si="70">IFERROR(IF(E163="","",IF((J163+L163+N163)/SUM(J163:O163)&lt;=0.2,"A distancia",IF((J163+L163+N163)/SUM(J163:O163)&lt;=0.7,"Semipresencial","Presencial"))),"")</f>
        <v/>
      </c>
      <c r="J163" s="124"/>
      <c r="K163" s="125"/>
      <c r="L163" s="124"/>
      <c r="M163" s="125"/>
      <c r="N163" s="124"/>
      <c r="O163" s="125"/>
      <c r="P163" s="601">
        <f t="shared" si="69"/>
        <v>0</v>
      </c>
      <c r="Q163" s="252" t="str">
        <f t="shared" ref="Q163:Q171" si="71">IF(P163=0,"",P163*32)</f>
        <v/>
      </c>
      <c r="R163" s="122"/>
      <c r="S163" s="122"/>
      <c r="T163" s="122"/>
      <c r="U163" s="122"/>
      <c r="V163" s="122"/>
      <c r="W163" s="122"/>
      <c r="X163" s="121"/>
      <c r="Y163" s="119"/>
      <c r="Z163" s="120"/>
      <c r="AA163" s="197"/>
      <c r="AB163" s="197"/>
      <c r="AC163" s="197"/>
      <c r="AD163" s="197"/>
      <c r="AE163" s="197"/>
      <c r="AF163" s="197"/>
      <c r="AG163" s="197"/>
      <c r="AH163" s="197"/>
      <c r="AI163" s="197"/>
      <c r="AJ163" s="120"/>
    </row>
    <row r="164" spans="2:36" ht="24.75" hidden="1" customHeight="1">
      <c r="B164" s="121">
        <v>14</v>
      </c>
      <c r="C164" s="121"/>
      <c r="D164" s="121"/>
      <c r="E164" s="258"/>
      <c r="F164" s="122"/>
      <c r="G164" s="123"/>
      <c r="H164" s="123"/>
      <c r="I164" s="307" t="str">
        <f t="shared" si="70"/>
        <v/>
      </c>
      <c r="J164" s="124"/>
      <c r="K164" s="125"/>
      <c r="L164" s="124"/>
      <c r="M164" s="125"/>
      <c r="N164" s="124"/>
      <c r="O164" s="125"/>
      <c r="P164" s="601">
        <f t="shared" si="69"/>
        <v>0</v>
      </c>
      <c r="Q164" s="252" t="str">
        <f t="shared" si="71"/>
        <v/>
      </c>
      <c r="R164" s="122"/>
      <c r="S164" s="122"/>
      <c r="T164" s="122"/>
      <c r="U164" s="122"/>
      <c r="V164" s="122"/>
      <c r="W164" s="122"/>
      <c r="X164" s="121"/>
      <c r="Y164" s="119"/>
      <c r="Z164" s="120"/>
      <c r="AA164" s="197"/>
      <c r="AB164" s="197"/>
      <c r="AC164" s="197"/>
      <c r="AD164" s="197"/>
      <c r="AE164" s="197"/>
      <c r="AF164" s="197"/>
      <c r="AG164" s="197"/>
      <c r="AH164" s="197"/>
      <c r="AI164" s="197"/>
      <c r="AJ164" s="120"/>
    </row>
    <row r="165" spans="2:36" ht="24.75" hidden="1" customHeight="1">
      <c r="B165" s="121">
        <v>14</v>
      </c>
      <c r="C165" s="121"/>
      <c r="D165" s="130"/>
      <c r="E165" s="263"/>
      <c r="F165" s="122"/>
      <c r="G165" s="123"/>
      <c r="H165" s="123"/>
      <c r="I165" s="307" t="str">
        <f t="shared" si="70"/>
        <v/>
      </c>
      <c r="J165" s="124"/>
      <c r="K165" s="125"/>
      <c r="L165" s="124"/>
      <c r="M165" s="125"/>
      <c r="N165" s="124"/>
      <c r="O165" s="125"/>
      <c r="P165" s="601">
        <f t="shared" si="69"/>
        <v>0</v>
      </c>
      <c r="Q165" s="252" t="str">
        <f t="shared" si="71"/>
        <v/>
      </c>
      <c r="R165" s="122"/>
      <c r="S165" s="122"/>
      <c r="T165" s="122"/>
      <c r="U165" s="122"/>
      <c r="V165" s="122"/>
      <c r="W165" s="122"/>
      <c r="X165" s="121"/>
      <c r="Y165" s="119"/>
      <c r="Z165" s="120"/>
      <c r="AA165" s="197"/>
      <c r="AB165" s="197"/>
      <c r="AC165" s="197"/>
      <c r="AD165" s="197"/>
      <c r="AE165" s="197"/>
      <c r="AF165" s="197"/>
      <c r="AG165" s="197"/>
      <c r="AH165" s="197"/>
      <c r="AI165" s="197"/>
      <c r="AJ165" s="120"/>
    </row>
    <row r="166" spans="2:36" ht="24.75" hidden="1" customHeight="1">
      <c r="B166" s="121">
        <v>14</v>
      </c>
      <c r="C166" s="124"/>
      <c r="D166" s="128"/>
      <c r="E166" s="263"/>
      <c r="F166" s="262"/>
      <c r="G166" s="123"/>
      <c r="H166" s="123"/>
      <c r="I166" s="307" t="str">
        <f t="shared" si="70"/>
        <v/>
      </c>
      <c r="J166" s="128"/>
      <c r="K166" s="129"/>
      <c r="L166" s="128"/>
      <c r="M166" s="129"/>
      <c r="N166" s="128"/>
      <c r="O166" s="129"/>
      <c r="P166" s="601">
        <f t="shared" si="69"/>
        <v>0</v>
      </c>
      <c r="Q166" s="253" t="str">
        <f t="shared" si="71"/>
        <v/>
      </c>
      <c r="R166" s="122"/>
      <c r="S166" s="122"/>
      <c r="T166" s="122"/>
      <c r="U166" s="122"/>
      <c r="V166" s="122"/>
      <c r="W166" s="122"/>
      <c r="X166" s="121"/>
      <c r="Y166" s="119"/>
      <c r="Z166" s="120"/>
      <c r="AA166" s="197"/>
      <c r="AB166" s="197"/>
      <c r="AC166" s="197"/>
      <c r="AD166" s="197"/>
      <c r="AE166" s="197"/>
      <c r="AF166" s="197"/>
      <c r="AG166" s="197"/>
      <c r="AH166" s="197"/>
      <c r="AI166" s="197"/>
      <c r="AJ166" s="120"/>
    </row>
    <row r="167" spans="2:36" ht="24.75" hidden="1" customHeight="1">
      <c r="B167" s="130">
        <v>14</v>
      </c>
      <c r="C167" s="128"/>
      <c r="D167" s="121"/>
      <c r="E167" s="258"/>
      <c r="F167" s="262"/>
      <c r="G167" s="126"/>
      <c r="H167" s="126"/>
      <c r="I167" s="307" t="str">
        <f t="shared" si="70"/>
        <v/>
      </c>
      <c r="J167" s="128"/>
      <c r="K167" s="129"/>
      <c r="L167" s="128"/>
      <c r="M167" s="129"/>
      <c r="N167" s="128"/>
      <c r="O167" s="129"/>
      <c r="P167" s="601">
        <f t="shared" si="69"/>
        <v>0</v>
      </c>
      <c r="Q167" s="253" t="str">
        <f>IF(P167=0,"",P167*32)</f>
        <v/>
      </c>
      <c r="R167" s="122"/>
      <c r="S167" s="122"/>
      <c r="T167" s="122"/>
      <c r="U167" s="122"/>
      <c r="V167" s="122"/>
      <c r="W167" s="122"/>
      <c r="X167" s="130"/>
      <c r="Y167" s="119"/>
      <c r="Z167" s="120"/>
      <c r="AA167" s="197"/>
      <c r="AB167" s="197"/>
      <c r="AC167" s="197"/>
      <c r="AD167" s="197"/>
      <c r="AE167" s="197"/>
      <c r="AF167" s="197"/>
      <c r="AG167" s="197"/>
      <c r="AH167" s="197"/>
      <c r="AI167" s="197"/>
      <c r="AJ167" s="120"/>
    </row>
    <row r="168" spans="2:36" ht="24.75" hidden="1" customHeight="1">
      <c r="B168" s="130">
        <v>14</v>
      </c>
      <c r="C168" s="130"/>
      <c r="D168" s="328"/>
      <c r="E168" s="264"/>
      <c r="F168" s="127"/>
      <c r="G168" s="123"/>
      <c r="H168" s="126"/>
      <c r="I168" s="307" t="str">
        <f t="shared" si="70"/>
        <v/>
      </c>
      <c r="J168" s="128"/>
      <c r="K168" s="129"/>
      <c r="L168" s="128"/>
      <c r="M168" s="129"/>
      <c r="N168" s="128"/>
      <c r="O168" s="129"/>
      <c r="P168" s="601">
        <f t="shared" si="69"/>
        <v>0</v>
      </c>
      <c r="Q168" s="253" t="str">
        <f>IF(P168=0,"",P168*32)</f>
        <v/>
      </c>
      <c r="R168" s="122"/>
      <c r="S168" s="122"/>
      <c r="T168" s="122"/>
      <c r="U168" s="122"/>
      <c r="V168" s="122"/>
      <c r="W168" s="122"/>
      <c r="X168" s="130"/>
      <c r="Y168" s="119"/>
      <c r="Z168" s="120"/>
      <c r="AA168" s="197"/>
      <c r="AB168" s="197"/>
      <c r="AC168" s="197"/>
      <c r="AD168" s="197"/>
      <c r="AE168" s="197"/>
      <c r="AF168" s="197"/>
      <c r="AG168" s="197"/>
      <c r="AH168" s="197"/>
      <c r="AI168" s="197"/>
      <c r="AJ168" s="120"/>
    </row>
    <row r="169" spans="2:36" ht="24.75" hidden="1" customHeight="1">
      <c r="B169" s="130">
        <v>14</v>
      </c>
      <c r="C169" s="130"/>
      <c r="D169" s="130"/>
      <c r="E169" s="260"/>
      <c r="F169" s="127"/>
      <c r="G169" s="123"/>
      <c r="H169" s="126"/>
      <c r="I169" s="307" t="str">
        <f t="shared" si="70"/>
        <v/>
      </c>
      <c r="J169" s="128"/>
      <c r="K169" s="129"/>
      <c r="L169" s="128"/>
      <c r="M169" s="129"/>
      <c r="N169" s="128"/>
      <c r="O169" s="129"/>
      <c r="P169" s="601">
        <f t="shared" si="69"/>
        <v>0</v>
      </c>
      <c r="Q169" s="253" t="str">
        <f>IF(P169=0,"",P169*32)</f>
        <v/>
      </c>
      <c r="R169" s="122"/>
      <c r="S169" s="122"/>
      <c r="T169" s="122"/>
      <c r="U169" s="122"/>
      <c r="V169" s="122"/>
      <c r="W169" s="122"/>
      <c r="X169" s="130"/>
      <c r="Y169" s="119"/>
      <c r="Z169" s="120"/>
      <c r="AA169" s="197"/>
      <c r="AB169" s="197"/>
      <c r="AC169" s="197"/>
      <c r="AD169" s="197"/>
      <c r="AE169" s="197"/>
      <c r="AF169" s="197"/>
      <c r="AG169" s="197"/>
      <c r="AH169" s="197"/>
      <c r="AI169" s="197"/>
      <c r="AJ169" s="120"/>
    </row>
    <row r="170" spans="2:36" ht="24.75" hidden="1" customHeight="1">
      <c r="B170" s="130">
        <v>14</v>
      </c>
      <c r="C170" s="130"/>
      <c r="D170" s="130"/>
      <c r="E170" s="260"/>
      <c r="F170" s="127"/>
      <c r="G170" s="123"/>
      <c r="H170" s="126"/>
      <c r="I170" s="307" t="str">
        <f t="shared" si="70"/>
        <v/>
      </c>
      <c r="J170" s="128"/>
      <c r="K170" s="129"/>
      <c r="L170" s="128"/>
      <c r="M170" s="129"/>
      <c r="N170" s="128"/>
      <c r="O170" s="129"/>
      <c r="P170" s="601">
        <f t="shared" si="69"/>
        <v>0</v>
      </c>
      <c r="Q170" s="253" t="str">
        <f>IF(P170=0,"",P170*32)</f>
        <v/>
      </c>
      <c r="R170" s="122"/>
      <c r="S170" s="122"/>
      <c r="T170" s="122"/>
      <c r="U170" s="122"/>
      <c r="V170" s="122"/>
      <c r="W170" s="122"/>
      <c r="X170" s="130"/>
      <c r="Y170" s="119"/>
      <c r="Z170" s="120"/>
      <c r="AA170" s="197"/>
      <c r="AB170" s="197"/>
      <c r="AC170" s="197"/>
      <c r="AD170" s="197"/>
      <c r="AE170" s="197"/>
      <c r="AF170" s="197"/>
      <c r="AG170" s="197"/>
      <c r="AH170" s="197"/>
      <c r="AI170" s="197"/>
      <c r="AJ170" s="120"/>
    </row>
    <row r="171" spans="2:36" ht="24.75" hidden="1" customHeight="1" thickBot="1">
      <c r="B171" s="131">
        <v>14</v>
      </c>
      <c r="C171" s="131"/>
      <c r="D171" s="130"/>
      <c r="E171" s="261"/>
      <c r="F171" s="133"/>
      <c r="G171" s="132"/>
      <c r="H171" s="132"/>
      <c r="I171" s="307" t="str">
        <f t="shared" si="70"/>
        <v/>
      </c>
      <c r="J171" s="134"/>
      <c r="K171" s="135"/>
      <c r="L171" s="134"/>
      <c r="M171" s="135"/>
      <c r="N171" s="134"/>
      <c r="O171" s="135"/>
      <c r="P171" s="603">
        <f t="shared" si="69"/>
        <v>0</v>
      </c>
      <c r="Q171" s="254" t="str">
        <f t="shared" si="71"/>
        <v/>
      </c>
      <c r="R171" s="122"/>
      <c r="S171" s="122"/>
      <c r="T171" s="122"/>
      <c r="U171" s="122"/>
      <c r="V171" s="122"/>
      <c r="W171" s="122"/>
      <c r="X171" s="131"/>
      <c r="Y171" s="119"/>
      <c r="Z171" s="120"/>
      <c r="AA171" s="197"/>
      <c r="AB171" s="197"/>
      <c r="AC171" s="197"/>
      <c r="AD171" s="197"/>
      <c r="AE171" s="197"/>
      <c r="AF171" s="197"/>
      <c r="AG171" s="197"/>
      <c r="AH171" s="197"/>
      <c r="AI171" s="197"/>
      <c r="AJ171" s="120"/>
    </row>
    <row r="172" spans="2:36" s="136" customFormat="1" ht="15.6" hidden="1" customHeight="1" thickTop="1" thickBot="1">
      <c r="B172" s="242"/>
      <c r="C172" s="244"/>
      <c r="D172" s="244"/>
      <c r="E172" s="244"/>
      <c r="F172" s="244"/>
      <c r="G172" s="245"/>
      <c r="H172" s="245"/>
      <c r="I172" s="244"/>
      <c r="J172" s="244">
        <f>SUM(J162:J171)</f>
        <v>0</v>
      </c>
      <c r="K172" s="244">
        <f t="shared" ref="K172:O172" si="72">SUM(K162:K171)</f>
        <v>0</v>
      </c>
      <c r="L172" s="244">
        <f t="shared" si="72"/>
        <v>0</v>
      </c>
      <c r="M172" s="244">
        <f t="shared" si="72"/>
        <v>0</v>
      </c>
      <c r="N172" s="244">
        <f t="shared" si="72"/>
        <v>0</v>
      </c>
      <c r="O172" s="244">
        <f t="shared" si="72"/>
        <v>0</v>
      </c>
      <c r="P172" s="604">
        <f>SUM(P162:P171)</f>
        <v>0</v>
      </c>
      <c r="Q172" s="243"/>
      <c r="R172" s="243"/>
      <c r="S172" s="243"/>
      <c r="T172" s="243"/>
      <c r="U172" s="243"/>
      <c r="V172" s="243"/>
      <c r="W172" s="243"/>
      <c r="X172" s="244"/>
      <c r="Y172" s="244"/>
      <c r="Z172" s="113"/>
      <c r="AA172" s="113"/>
      <c r="AB172" s="113"/>
      <c r="AC172" s="113"/>
      <c r="AD172" s="113"/>
      <c r="AE172" s="113"/>
      <c r="AF172" s="113"/>
      <c r="AG172" s="113"/>
      <c r="AH172" s="113"/>
      <c r="AI172" s="113"/>
      <c r="AJ172" s="113"/>
    </row>
    <row r="173" spans="2:36" ht="13.5" thickTop="1" thickBot="1">
      <c r="B173" s="246"/>
      <c r="C173" s="247"/>
      <c r="D173" s="247"/>
      <c r="E173" s="248"/>
      <c r="F173" s="248"/>
      <c r="G173" s="247"/>
      <c r="H173" s="247"/>
      <c r="I173" s="247"/>
      <c r="J173" s="249">
        <f>+J29+J40+J51+J62+J73+J84+J95+J106+J117+J128+J139+J150+J161+J172</f>
        <v>2278</v>
      </c>
      <c r="K173" s="249">
        <f>+K29+K40+K51+K62+K73+K84+K95+K106+K117+K128+K139+K150+K161+K172</f>
        <v>0</v>
      </c>
      <c r="L173" s="249">
        <f t="shared" ref="L173:N173" si="73">+L29+L40+L51+L62+L73+L84+L95+L106+L117+L128+L139+L150+L161+L172</f>
        <v>1828</v>
      </c>
      <c r="M173" s="249">
        <f t="shared" si="73"/>
        <v>0</v>
      </c>
      <c r="N173" s="249">
        <f t="shared" si="73"/>
        <v>16</v>
      </c>
      <c r="O173" s="249">
        <f>+O29+O40+O51+O62+O73+O84+O95+O106+O117+O128+O139+O150+O161+O172</f>
        <v>0</v>
      </c>
      <c r="P173" s="606">
        <f>+P29+P40+P51+P62+P73+P84+P95+P106+P117+P128+P139+P150+P161+P172</f>
        <v>200</v>
      </c>
      <c r="Q173" s="248"/>
      <c r="R173" s="247">
        <f>+COUNTA(R19:R172)</f>
        <v>33</v>
      </c>
      <c r="S173" s="247">
        <f>+COUNTA(S19:S172)</f>
        <v>0</v>
      </c>
      <c r="T173" s="247">
        <f t="shared" ref="T173:U173" si="74">+COUNTA(T19:T172)</f>
        <v>0</v>
      </c>
      <c r="U173" s="247">
        <f t="shared" si="74"/>
        <v>0</v>
      </c>
      <c r="V173" s="247">
        <f t="shared" ref="V173" si="75">+COUNTA(V19:V172)</f>
        <v>0</v>
      </c>
      <c r="W173" s="247">
        <f t="shared" ref="W173" si="76">+COUNTA(W19:W172)</f>
        <v>0</v>
      </c>
      <c r="X173" s="247"/>
      <c r="Y173" s="250"/>
      <c r="Z173" s="120"/>
      <c r="AA173" s="120"/>
      <c r="AB173" s="120"/>
      <c r="AC173" s="120"/>
      <c r="AD173" s="120"/>
      <c r="AE173" s="120"/>
      <c r="AF173" s="120"/>
      <c r="AG173" s="120"/>
      <c r="AH173" s="120"/>
      <c r="AI173" s="120"/>
      <c r="AJ173" s="120"/>
    </row>
    <row r="174" spans="2:36">
      <c r="B174" s="786"/>
      <c r="C174" s="786"/>
      <c r="D174" s="786"/>
      <c r="E174" s="786"/>
      <c r="F174" s="786"/>
      <c r="G174" s="786"/>
      <c r="H174" s="786"/>
      <c r="I174" s="786"/>
      <c r="J174" s="786"/>
      <c r="K174" s="786"/>
      <c r="L174" s="786"/>
      <c r="M174" s="786"/>
      <c r="N174" s="786"/>
      <c r="O174" s="786"/>
      <c r="P174" s="786"/>
      <c r="Q174" s="786"/>
      <c r="R174" s="786"/>
      <c r="S174" s="786"/>
      <c r="T174" s="786"/>
      <c r="U174" s="786"/>
      <c r="V174" s="786"/>
      <c r="W174" s="786"/>
      <c r="X174" s="786"/>
      <c r="Y174" s="141"/>
      <c r="Z174" s="142"/>
      <c r="AA174" s="142"/>
      <c r="AB174" s="142"/>
      <c r="AC174" s="142"/>
      <c r="AD174" s="142"/>
      <c r="AE174" s="142"/>
      <c r="AF174" s="142"/>
      <c r="AG174" s="142"/>
      <c r="AH174" s="142"/>
      <c r="AI174" s="142"/>
      <c r="AJ174" s="142"/>
    </row>
  </sheetData>
  <sheetProtection formatRows="0" selectLockedCells="1" sort="0" autoFilter="0" pivotTables="0"/>
  <mergeCells count="21">
    <mergeCell ref="E2:Y2"/>
    <mergeCell ref="AA17:AI17"/>
    <mergeCell ref="B174:X174"/>
    <mergeCell ref="B8:E8"/>
    <mergeCell ref="F12:F13"/>
    <mergeCell ref="R18:W18"/>
    <mergeCell ref="J17:K17"/>
    <mergeCell ref="L17:M17"/>
    <mergeCell ref="N17:O17"/>
    <mergeCell ref="E4:F4"/>
    <mergeCell ref="L6:P6"/>
    <mergeCell ref="B9:D11"/>
    <mergeCell ref="B12:D13"/>
    <mergeCell ref="B14:D15"/>
    <mergeCell ref="G6:K6"/>
    <mergeCell ref="I4:L4"/>
    <mergeCell ref="AA18:AB18"/>
    <mergeCell ref="AC18:AD18"/>
    <mergeCell ref="AE18:AF18"/>
    <mergeCell ref="AG18:AH18"/>
    <mergeCell ref="AI18:AJ18"/>
  </mergeCells>
  <phoneticPr fontId="24" type="noConversion"/>
  <conditionalFormatting sqref="B7">
    <cfRule type="expression" priority="4567">
      <formula>"si(buscarv(B7;'Plan de Estudios'!$D$19:$E$23;2;0)=Genera)"</formula>
    </cfRule>
  </conditionalFormatting>
  <conditionalFormatting sqref="O9">
    <cfRule type="cellIs" dxfId="1296" priority="4565" operator="lessThan">
      <formula>35</formula>
    </cfRule>
  </conditionalFormatting>
  <conditionalFormatting sqref="AA19:AI28">
    <cfRule type="expression" dxfId="1295" priority="1161">
      <formula>AA19=""</formula>
    </cfRule>
  </conditionalFormatting>
  <conditionalFormatting sqref="AA30:AI39">
    <cfRule type="expression" dxfId="1294" priority="1121">
      <formula>AA30=""</formula>
    </cfRule>
  </conditionalFormatting>
  <conditionalFormatting sqref="AA41:AI50">
    <cfRule type="expression" dxfId="1293" priority="1077">
      <formula>AA41=""</formula>
    </cfRule>
  </conditionalFormatting>
  <conditionalFormatting sqref="AA52:AI61">
    <cfRule type="expression" dxfId="1292" priority="1035">
      <formula>AA52=""</formula>
    </cfRule>
  </conditionalFormatting>
  <conditionalFormatting sqref="AA63:AI72">
    <cfRule type="expression" dxfId="1291" priority="993">
      <formula>AA63=""</formula>
    </cfRule>
  </conditionalFormatting>
  <conditionalFormatting sqref="AA74:AI83">
    <cfRule type="expression" dxfId="1290" priority="951">
      <formula>AA74=""</formula>
    </cfRule>
  </conditionalFormatting>
  <conditionalFormatting sqref="AA85:AI94">
    <cfRule type="expression" dxfId="1289" priority="909">
      <formula>AA85=""</formula>
    </cfRule>
  </conditionalFormatting>
  <conditionalFormatting sqref="AA96:AI105">
    <cfRule type="expression" dxfId="1288" priority="742">
      <formula>AA96=""</formula>
    </cfRule>
  </conditionalFormatting>
  <conditionalFormatting sqref="AA107:AI116">
    <cfRule type="expression" dxfId="1287" priority="825">
      <formula>AA107=""</formula>
    </cfRule>
  </conditionalFormatting>
  <conditionalFormatting sqref="AA118:AI127">
    <cfRule type="expression" dxfId="1286" priority="77">
      <formula>AA118=""</formula>
    </cfRule>
  </conditionalFormatting>
  <conditionalFormatting sqref="AA129:AI138">
    <cfRule type="expression" dxfId="1285" priority="155">
      <formula>AA129=""</formula>
    </cfRule>
  </conditionalFormatting>
  <conditionalFormatting sqref="AA140:AI149">
    <cfRule type="expression" dxfId="1284" priority="233">
      <formula>AA140=""</formula>
    </cfRule>
  </conditionalFormatting>
  <conditionalFormatting sqref="AA151:AI160">
    <cfRule type="expression" dxfId="1283" priority="311">
      <formula>AA151=""</formula>
    </cfRule>
  </conditionalFormatting>
  <conditionalFormatting sqref="AA162:AI171">
    <cfRule type="expression" dxfId="1282" priority="701">
      <formula>AA162=""</formula>
    </cfRule>
  </conditionalFormatting>
  <conditionalFormatting sqref="AA34">
    <cfRule type="expression" dxfId="1281" priority="76">
      <formula>AA34=""</formula>
    </cfRule>
  </conditionalFormatting>
  <conditionalFormatting sqref="AC43">
    <cfRule type="expression" dxfId="1280" priority="39">
      <formula>AC43=""</formula>
    </cfRule>
  </conditionalFormatting>
  <conditionalFormatting sqref="AA56">
    <cfRule type="expression" dxfId="1279" priority="2">
      <formula>AA56=""</formula>
    </cfRule>
  </conditionalFormatting>
  <conditionalFormatting sqref="AA33">
    <cfRule type="expression" dxfId="1278" priority="1">
      <formula>AA33=""</formula>
    </cfRule>
  </conditionalFormatting>
  <dataValidations count="13">
    <dataValidation type="list" allowBlank="1" showInputMessage="1" showErrorMessage="1" sqref="R19:U28 R30:W39" xr:uid="{2613938E-29A7-402A-A7E4-67682A8C6508}">
      <formula1>$E$19:$E$28</formula1>
    </dataValidation>
    <dataValidation type="list" allowBlank="1" showInputMessage="1" showErrorMessage="1" sqref="R41:W50" xr:uid="{C564485C-E995-437B-B834-CCDF1C018687}">
      <formula1>$E$19:$E$39</formula1>
    </dataValidation>
    <dataValidation type="list" allowBlank="1" showInputMessage="1" showErrorMessage="1" sqref="R52:W61" xr:uid="{11BB10BC-42A7-46D7-B012-7BB157D8F88D}">
      <formula1>$E$19:$E$50</formula1>
    </dataValidation>
    <dataValidation type="list" allowBlank="1" showInputMessage="1" showErrorMessage="1" sqref="R63:W72" xr:uid="{D76E0E0B-2258-4F0A-BAD7-AD422166F14B}">
      <formula1>$E$19:$E$61</formula1>
    </dataValidation>
    <dataValidation type="list" allowBlank="1" showInputMessage="1" showErrorMessage="1" sqref="R74:W83" xr:uid="{A4FCF2AB-E820-425E-91A1-87298C2A2586}">
      <formula1>$E$19:$E$72</formula1>
    </dataValidation>
    <dataValidation type="list" allowBlank="1" showInputMessage="1" showErrorMessage="1" sqref="R85:W94" xr:uid="{6B49B05A-10CE-4334-9195-A0546C47BB8F}">
      <formula1>$E$19:$E$83</formula1>
    </dataValidation>
    <dataValidation type="list" allowBlank="1" showInputMessage="1" showErrorMessage="1" sqref="R96:W105" xr:uid="{AED21866-7BD5-407B-801F-0745F0F02701}">
      <formula1>$E$19:$E$94</formula1>
    </dataValidation>
    <dataValidation type="list" allowBlank="1" showInputMessage="1" showErrorMessage="1" sqref="R107:W116" xr:uid="{E4C4EFE9-E724-4ECE-8D08-C9B55D452AF0}">
      <formula1>$E$19:$E$105</formula1>
    </dataValidation>
    <dataValidation type="list" allowBlank="1" showInputMessage="1" showErrorMessage="1" sqref="R118:W127" xr:uid="{772A0258-C93F-4E37-9076-52417262C814}">
      <formula1>$E$19:$E$117</formula1>
    </dataValidation>
    <dataValidation type="list" allowBlank="1" showInputMessage="1" showErrorMessage="1" sqref="R129:W138" xr:uid="{C25C5BC2-9C8B-478B-8F92-08EDE8894D56}">
      <formula1>$E$19:$E$128</formula1>
    </dataValidation>
    <dataValidation type="list" allowBlank="1" showInputMessage="1" showErrorMessage="1" sqref="R140:W149" xr:uid="{624D997E-DA24-4BF7-9432-A50F71585848}">
      <formula1>$E$19:$E$139</formula1>
    </dataValidation>
    <dataValidation type="list" allowBlank="1" showInputMessage="1" showErrorMessage="1" sqref="R151:W160" xr:uid="{F34B987D-DDF3-482E-9C4F-2AE385DA04F8}">
      <formula1>$E$19:$E$150</formula1>
    </dataValidation>
    <dataValidation type="list" allowBlank="1" showInputMessage="1" showErrorMessage="1" sqref="R162:W171" xr:uid="{23259E51-5621-41BE-B5EE-CFDAC433222B}">
      <formula1>$E$19:$E$161</formula1>
    </dataValidation>
  </dataValidations>
  <pageMargins left="0.23622047244094491" right="0.23622047244094491" top="0.74803149606299213" bottom="0.74803149606299213" header="0.31496062992125984" footer="0.31496062992125984"/>
  <pageSetup paperSize="9" scale="61" fitToHeight="0" orientation="landscape" r:id="rId1"/>
  <rowBreaks count="4" manualBreakCount="4">
    <brk id="51" max="26" man="1"/>
    <brk id="84" max="26" man="1"/>
    <brk id="161" max="26" man="1"/>
    <brk id="174" max="16383" man="1"/>
  </rowBreaks>
  <ignoredErrors>
    <ignoredError sqref="P117 P95 P84 P29" formula="1"/>
    <ignoredError sqref="K172:O172 P28:Q28 P39:Q39 P50:Q50 P61:Q61 P72:Q72 P83:Q83 P94:Q94 P105:Q105 P116:Q116 P171:Q171 N106:P106 J73:O73 J62:Q62 J51:O51 J40:O40 Q40 J29:O29 Q23 P30:Q34 P41:Q45 P52:Q56 P63:Q67 P74:Q78 P85:Q89 P96:Q100 P107:Q111 P162:Q166 Q20 Q21 Q22" unlockedFormula="1"/>
    <ignoredError sqref="P73 P51 P40" formula="1"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4977" id="{F168B3D8-D4B4-4152-AA59-A58246D861FE}">
            <xm:f>AA19='5.Mapeo'!#REF!</xm:f>
            <x14:dxf>
              <fill>
                <patternFill>
                  <bgColor rgb="FF66FF66"/>
                </patternFill>
              </fill>
            </x14:dxf>
          </x14:cfRule>
          <x14:cfRule type="expression" priority="4978" id="{94333B85-0B4F-4E5F-9608-F8FDE3DDF534}">
            <xm:f>AA19='5.Mapeo'!#REF!</xm:f>
            <x14:dxf>
              <fill>
                <patternFill>
                  <bgColor rgb="FF99FF66"/>
                </patternFill>
              </fill>
            </x14:dxf>
          </x14:cfRule>
          <xm:sqref>AA63:AI72 AA74:AI83 AA96:AI105 AA107:AI116 AA162:AI171 AA41:AI50 AA52:AI61 AA19:AI28 AA30:AI39 AA85:AI94</xm:sqref>
        </x14:conditionalFormatting>
        <x14:conditionalFormatting xmlns:xm="http://schemas.microsoft.com/office/excel/2006/main">
          <x14:cfRule type="expression" priority="4976" id="{A401229A-98A2-4A2E-BA46-EFE62EE7CA2D}">
            <xm:f>AA19='5.Mapeo'!#REF!</xm:f>
            <x14:dxf>
              <fill>
                <patternFill>
                  <bgColor rgb="FF00FF00"/>
                </patternFill>
              </fill>
            </x14:dxf>
          </x14:cfRule>
          <xm:sqref>AA63:AI72 AA74:AI83 AA107:AI116 AA96:AI105 AA162:AI171 AA41:AI50 AA52:AI61 AA19:AI28 AA30:AI39 AA85:AI94</xm:sqref>
        </x14:conditionalFormatting>
        <x14:conditionalFormatting xmlns:xm="http://schemas.microsoft.com/office/excel/2006/main">
          <x14:cfRule type="expression" priority="1567" id="{E8D68359-0B2A-4A56-8ACC-6078993F0359}">
            <xm:f>AA19='5.Mapeo'!$E$43</xm:f>
            <x14:dxf>
              <fill>
                <patternFill>
                  <bgColor theme="8" tint="-0.24994659260841701"/>
                </patternFill>
              </fill>
            </x14:dxf>
          </x14:cfRule>
          <x14:cfRule type="expression" priority="1569" id="{26450393-A368-4D17-BD63-8699CA1E5B73}">
            <xm:f>AA19='5.Mapeo'!$E$42</xm:f>
            <x14:dxf>
              <font>
                <color auto="1"/>
              </font>
              <fill>
                <patternFill>
                  <bgColor rgb="FF12AEAE"/>
                </patternFill>
              </fill>
            </x14:dxf>
          </x14:cfRule>
          <x14:cfRule type="expression" priority="1570" id="{060BFEE0-D824-490A-8703-55363D9A4758}">
            <xm:f>AA19='5.Mapeo'!$E$41</xm:f>
            <x14:dxf>
              <font>
                <color theme="1"/>
              </font>
              <fill>
                <patternFill>
                  <bgColor rgb="FFABEAF3"/>
                </patternFill>
              </fill>
            </x14:dxf>
          </x14:cfRule>
          <x14:cfRule type="expression" priority="1571" id="{64A79947-329E-411C-A189-F78EBE15742A}">
            <xm:f>AA19='5.Mapeo'!$E$40</xm:f>
            <x14:dxf>
              <font>
                <color theme="1"/>
              </font>
              <fill>
                <patternFill>
                  <bgColor rgb="FF00B050"/>
                </patternFill>
              </fill>
            </x14:dxf>
          </x14:cfRule>
          <x14:cfRule type="expression" priority="1572" id="{A96FAE48-053A-42EC-90F4-FE9B23CB4EF1}">
            <xm:f>AA19='5.Mapeo'!$E$39</xm:f>
            <x14:dxf>
              <font>
                <color theme="1"/>
              </font>
              <fill>
                <patternFill>
                  <bgColor rgb="FF00FE73"/>
                </patternFill>
              </fill>
            </x14:dxf>
          </x14:cfRule>
          <x14:cfRule type="expression" priority="1573" id="{5CF4755C-0542-4C61-BDE4-03B201910281}">
            <xm:f>AA19='5.Mapeo'!$E$38</xm:f>
            <x14:dxf>
              <font>
                <color theme="1"/>
              </font>
              <fill>
                <patternFill>
                  <bgColor rgb="FF57FFA3"/>
                </patternFill>
              </fill>
            </x14:dxf>
          </x14:cfRule>
          <x14:cfRule type="expression" priority="1574" id="{D6792385-6E61-4A03-8D4A-8624E7B0A2B2}">
            <xm:f>AA19='5.Mapeo'!$E$37</xm:f>
            <x14:dxf>
              <font>
                <color theme="0"/>
              </font>
              <fill>
                <patternFill>
                  <bgColor rgb="FFFF0000"/>
                </patternFill>
              </fill>
            </x14:dxf>
          </x14:cfRule>
          <x14:cfRule type="expression" priority="1575" id="{C76CCA3E-1493-44CF-8C81-5D6373F4C9ED}">
            <xm:f>AA19='5.Mapeo'!$E$36</xm:f>
            <x14:dxf>
              <font>
                <color theme="0"/>
              </font>
              <fill>
                <patternFill>
                  <bgColor rgb="FFFF4343"/>
                </patternFill>
              </fill>
            </x14:dxf>
          </x14:cfRule>
          <x14:cfRule type="expression" priority="1576" id="{EC958578-8687-4179-8124-2E1FE3023B70}">
            <xm:f>AA19='5.Mapeo'!$E$35</xm:f>
            <x14:dxf>
              <font>
                <color theme="0"/>
              </font>
              <fill>
                <patternFill>
                  <bgColor rgb="FFFF8181"/>
                </patternFill>
              </fill>
            </x14:dxf>
          </x14:cfRule>
          <x14:cfRule type="expression" priority="1577" id="{F5DE5A06-B366-4A63-85E9-DAFC7CD8D66B}">
            <xm:f>AA19='5.Mapeo'!$E$34</xm:f>
            <x14:dxf>
              <fill>
                <patternFill>
                  <bgColor rgb="FFFFFF00"/>
                </patternFill>
              </fill>
            </x14:dxf>
          </x14:cfRule>
          <x14:cfRule type="expression" priority="1578" id="{A6DADEEA-CA9C-4041-B1FD-9B375B9DB856}">
            <xm:f>AA19='5.Mapeo'!$E$33</xm:f>
            <x14:dxf>
              <fill>
                <patternFill>
                  <bgColor rgb="FFFFFF5B"/>
                </patternFill>
              </fill>
            </x14:dxf>
          </x14:cfRule>
          <x14:cfRule type="expression" priority="1579" id="{F03AA44E-0DD3-4731-999B-99C515693F9A}">
            <xm:f>AA19='5.Mapeo'!$E$32</xm:f>
            <x14:dxf>
              <font>
                <color auto="1"/>
              </font>
              <fill>
                <patternFill>
                  <bgColor rgb="FFFFFF97"/>
                </patternFill>
              </fill>
            </x14:dxf>
          </x14:cfRule>
          <x14:cfRule type="expression" priority="1580" id="{DCCBBF2A-D6DA-4BFC-968B-6D97E78E06C9}">
            <xm:f>AA19='5.Mapeo'!$E$31</xm:f>
            <x14:dxf>
              <font>
                <color theme="0"/>
              </font>
              <fill>
                <patternFill>
                  <bgColor rgb="FF7030A0"/>
                </patternFill>
              </fill>
            </x14:dxf>
          </x14:cfRule>
          <x14:cfRule type="expression" priority="1581" id="{C36A1299-052E-48A4-8AB4-554B0391F28E}">
            <xm:f>AA19='5.Mapeo'!$E$30</xm:f>
            <x14:dxf>
              <font>
                <color theme="0"/>
              </font>
              <fill>
                <patternFill>
                  <bgColor rgb="FF934BC9"/>
                </patternFill>
              </fill>
            </x14:dxf>
          </x14:cfRule>
          <x14:cfRule type="expression" priority="1582" id="{5997410C-DCFF-4EC3-843F-B7F5450A7E4A}">
            <xm:f>AA19='5.Mapeo'!$E$29</xm:f>
            <x14:dxf>
              <font>
                <color theme="0"/>
              </font>
              <fill>
                <patternFill>
                  <bgColor rgb="FFC39BE1"/>
                </patternFill>
              </fill>
            </x14:dxf>
          </x14:cfRule>
          <x14:cfRule type="expression" priority="1583" id="{21221AEB-7580-4CDC-B001-0C8FE945DBC6}">
            <xm:f>AA19='5.Mapeo'!$E$28</xm:f>
            <x14:dxf>
              <font>
                <color theme="0"/>
              </font>
              <fill>
                <patternFill>
                  <bgColor theme="1" tint="4.9989318521683403E-2"/>
                </patternFill>
              </fill>
            </x14:dxf>
          </x14:cfRule>
          <x14:cfRule type="expression" priority="1584" id="{4C8DCA4C-840A-4A7A-AF1C-740FBC8ED32F}">
            <xm:f>AA19='5.Mapeo'!$E$27</xm:f>
            <x14:dxf>
              <font>
                <color theme="0"/>
              </font>
              <fill>
                <patternFill>
                  <bgColor rgb="FF343434"/>
                </patternFill>
              </fill>
            </x14:dxf>
          </x14:cfRule>
          <x14:cfRule type="expression" priority="1585" id="{D9F10AA4-C2F8-4972-BC82-E64924FCA635}">
            <xm:f>AA19='5.Mapeo'!$E$26</xm:f>
            <x14:dxf>
              <font>
                <color theme="0"/>
              </font>
              <fill>
                <patternFill>
                  <bgColor rgb="FF565656"/>
                </patternFill>
              </fill>
            </x14:dxf>
          </x14:cfRule>
          <x14:cfRule type="expression" priority="1586" id="{D13C089F-90F5-406D-8499-CFA2D8FA286D}">
            <xm:f>AA19='5.Mapeo'!$E$25</xm:f>
            <x14:dxf>
              <font>
                <color theme="0"/>
              </font>
              <fill>
                <patternFill>
                  <bgColor theme="3" tint="-0.499984740745262"/>
                </patternFill>
              </fill>
            </x14:dxf>
          </x14:cfRule>
          <x14:cfRule type="expression" priority="1587" id="{B59C51D7-8ABE-4999-9F70-B00230A6F5E5}">
            <xm:f>AA19='5.Mapeo'!$E$24</xm:f>
            <x14:dxf>
              <font>
                <color theme="0"/>
              </font>
              <fill>
                <patternFill>
                  <bgColor rgb="FF46596E"/>
                </patternFill>
              </fill>
            </x14:dxf>
          </x14:cfRule>
          <x14:cfRule type="expression" priority="1588" id="{88F9058E-7FD7-456A-9155-71D721C48CF8}">
            <xm:f>AA19='5.Mapeo'!$E$23</xm:f>
            <x14:dxf>
              <font>
                <color theme="0"/>
              </font>
              <fill>
                <patternFill>
                  <bgColor rgb="FF5E7894"/>
                </patternFill>
              </fill>
            </x14:dxf>
          </x14:cfRule>
          <x14:cfRule type="expression" priority="1589" id="{A016C7DC-C4F3-4644-9BD8-7CC15F0F7571}">
            <xm:f>AA19='5.Mapeo'!$E$22</xm:f>
            <x14:dxf>
              <font>
                <color theme="0"/>
              </font>
              <fill>
                <patternFill>
                  <bgColor theme="5" tint="-0.499984740745262"/>
                </patternFill>
              </fill>
            </x14:dxf>
          </x14:cfRule>
          <x14:cfRule type="expression" priority="1590" id="{6470519A-0B29-42EF-8AB4-537E33D1E524}">
            <xm:f>AA19='5.Mapeo'!$E$21</xm:f>
            <x14:dxf>
              <font>
                <color theme="0"/>
              </font>
              <fill>
                <patternFill>
                  <bgColor rgb="FFBB5611"/>
                </patternFill>
              </fill>
            </x14:dxf>
          </x14:cfRule>
          <x14:cfRule type="expression" priority="1591" id="{731000A7-8CEB-4B8E-B618-9B047F00DE89}">
            <xm:f>AA19='5.Mapeo'!$E$20</xm:f>
            <x14:dxf>
              <font>
                <color theme="0"/>
              </font>
              <fill>
                <patternFill>
                  <bgColor rgb="FFED8741"/>
                </patternFill>
              </fill>
            </x14:dxf>
          </x14:cfRule>
          <x14:cfRule type="expression" priority="1592" id="{BA408342-E6AA-43F4-B383-DD4320B30367}">
            <xm:f>AA19='5.Mapeo'!$E$19</xm:f>
            <x14:dxf>
              <font>
                <color theme="0"/>
              </font>
              <fill>
                <patternFill>
                  <bgColor theme="6" tint="-0.499984740745262"/>
                </patternFill>
              </fill>
            </x14:dxf>
          </x14:cfRule>
          <x14:cfRule type="expression" priority="1593" id="{B964085D-4FD7-48B4-9D72-62C6D5B6EBBC}">
            <xm:f>AA19='5.Mapeo'!$E$18</xm:f>
            <x14:dxf>
              <font>
                <color theme="0"/>
              </font>
              <fill>
                <patternFill>
                  <bgColor rgb="FF7D7D7D"/>
                </patternFill>
              </fill>
            </x14:dxf>
          </x14:cfRule>
          <x14:cfRule type="expression" priority="1594" id="{6B931C1E-B2C0-4FCA-9A2D-97BFEF40664E}">
            <xm:f>AA19='5.Mapeo'!$E$17</xm:f>
            <x14:dxf>
              <font>
                <color theme="0"/>
              </font>
              <fill>
                <patternFill>
                  <bgColor rgb="FFA7A7A7"/>
                </patternFill>
              </fill>
            </x14:dxf>
          </x14:cfRule>
          <x14:cfRule type="expression" priority="1595" id="{7800898E-8066-47D6-8C18-0E94C41C0DC4}">
            <xm:f>AA19='5.Mapeo'!$E$16</xm:f>
            <x14:dxf>
              <font>
                <color theme="0"/>
              </font>
              <fill>
                <patternFill>
                  <bgColor theme="7" tint="-0.499984740745262"/>
                </patternFill>
              </fill>
            </x14:dxf>
          </x14:cfRule>
          <x14:cfRule type="expression" priority="1596" id="{1088E7A0-DEA1-46CE-BF15-F08E59641486}">
            <xm:f>AA19='5.Mapeo'!$E$15</xm:f>
            <x14:dxf>
              <font>
                <color theme="0"/>
              </font>
              <fill>
                <patternFill>
                  <bgColor rgb="FFD09A00"/>
                </patternFill>
              </fill>
            </x14:dxf>
          </x14:cfRule>
          <x14:cfRule type="expression" priority="1597" id="{D657EB59-EE6B-4F8F-9EDA-A59C6E3FBBBB}">
            <xm:f>AA19='5.Mapeo'!$E$14</xm:f>
            <x14:dxf>
              <font>
                <color theme="0"/>
              </font>
              <fill>
                <patternFill>
                  <bgColor rgb="FFFFCD3F"/>
                </patternFill>
              </fill>
            </x14:dxf>
          </x14:cfRule>
          <x14:cfRule type="expression" priority="1598" id="{04DF0CA5-F44B-4AC7-BFD2-4B565239E66A}">
            <xm:f>AA19='5.Mapeo'!$E$13</xm:f>
            <x14:dxf>
              <font>
                <color theme="0"/>
              </font>
              <fill>
                <patternFill>
                  <bgColor theme="8" tint="-0.499984740745262"/>
                </patternFill>
              </fill>
            </x14:dxf>
          </x14:cfRule>
          <x14:cfRule type="expression" priority="1599" id="{0F2470AD-B4D0-4834-9E7E-196005C55572}">
            <xm:f>AA19='5.Mapeo'!$E$12</xm:f>
            <x14:dxf>
              <font>
                <color theme="0"/>
              </font>
              <fill>
                <patternFill>
                  <bgColor rgb="FF2C6EAA"/>
                </patternFill>
              </fill>
            </x14:dxf>
          </x14:cfRule>
          <x14:cfRule type="expression" priority="1600" id="{C0012B57-6EEA-478C-ADB2-18F0037B1D8B}">
            <xm:f>AA19='5.Mapeo'!$E$11</xm:f>
            <x14:dxf>
              <font>
                <color theme="0"/>
              </font>
              <fill>
                <patternFill>
                  <bgColor rgb="FF0070C4"/>
                </patternFill>
              </fill>
            </x14:dxf>
          </x14:cfRule>
          <x14:cfRule type="expression" priority="1601" id="{CBFAD504-7C0D-4BCA-A000-E191216478DD}">
            <xm:f>AA19='5.Mapeo'!$E$10</xm:f>
            <x14:dxf>
              <font>
                <color theme="0"/>
              </font>
              <fill>
                <patternFill>
                  <bgColor theme="9" tint="-0.499984740745262"/>
                </patternFill>
              </fill>
            </x14:dxf>
          </x14:cfRule>
          <x14:cfRule type="expression" priority="1602" id="{B11CF097-B8C1-4EA1-A3A8-7E1E73D07C60}">
            <xm:f>AA19='5.Mapeo'!$E$9</xm:f>
            <x14:dxf>
              <font>
                <color theme="0"/>
              </font>
              <fill>
                <patternFill>
                  <bgColor rgb="FF5E943C"/>
                </patternFill>
              </fill>
            </x14:dxf>
          </x14:cfRule>
          <x14:cfRule type="expression" priority="1603" id="{BFFB2C74-9891-4220-BE47-9CB46F3B0DCD}">
            <xm:f>AA19='5.Mapeo'!$E$8</xm:f>
            <x14:dxf>
              <font>
                <color theme="0"/>
              </font>
              <fill>
                <patternFill>
                  <bgColor rgb="FF8CC26A"/>
                </patternFill>
              </fill>
            </x14:dxf>
          </x14:cfRule>
          <xm:sqref>AA19:AI28 AA30:AI39</xm:sqref>
        </x14:conditionalFormatting>
        <x14:conditionalFormatting xmlns:xm="http://schemas.microsoft.com/office/excel/2006/main">
          <x14:cfRule type="expression" priority="1083" id="{B96B8961-A119-4264-A093-6975A3C1074E}">
            <xm:f>AA41='5.Mapeo'!$E$43</xm:f>
            <x14:dxf>
              <fill>
                <patternFill>
                  <bgColor theme="8" tint="-0.24994659260841701"/>
                </patternFill>
              </fill>
            </x14:dxf>
          </x14:cfRule>
          <x14:cfRule type="expression" priority="1084" id="{4DE5C2D9-FEFB-447C-8EEA-4F31303DABDC}">
            <xm:f>AA41='5.Mapeo'!$E$42</xm:f>
            <x14:dxf>
              <font>
                <color auto="1"/>
              </font>
              <fill>
                <patternFill>
                  <bgColor rgb="FF12AEAE"/>
                </patternFill>
              </fill>
            </x14:dxf>
          </x14:cfRule>
          <x14:cfRule type="expression" priority="1085" id="{239B5F9B-9D18-423F-A099-0050383B613C}">
            <xm:f>AA41='5.Mapeo'!$E$41</xm:f>
            <x14:dxf>
              <font>
                <color theme="1"/>
              </font>
              <fill>
                <patternFill>
                  <bgColor rgb="FFABEAF3"/>
                </patternFill>
              </fill>
            </x14:dxf>
          </x14:cfRule>
          <x14:cfRule type="expression" priority="1086" id="{7BD7B42E-BECC-419D-A78D-D9B6FC85BF71}">
            <xm:f>AA41='5.Mapeo'!$E$40</xm:f>
            <x14:dxf>
              <font>
                <color theme="1"/>
              </font>
              <fill>
                <patternFill>
                  <bgColor rgb="FF00B050"/>
                </patternFill>
              </fill>
            </x14:dxf>
          </x14:cfRule>
          <x14:cfRule type="expression" priority="1087" id="{1D8C2C17-8D24-4FEC-886D-285E447AE312}">
            <xm:f>AA41='5.Mapeo'!$E$39</xm:f>
            <x14:dxf>
              <font>
                <color theme="1"/>
              </font>
              <fill>
                <patternFill>
                  <bgColor rgb="FF00FE73"/>
                </patternFill>
              </fill>
            </x14:dxf>
          </x14:cfRule>
          <x14:cfRule type="expression" priority="1088" id="{517B94E7-9B88-4EEF-9219-EDE42C700077}">
            <xm:f>AA41='5.Mapeo'!$E$38</xm:f>
            <x14:dxf>
              <font>
                <color theme="1"/>
              </font>
              <fill>
                <patternFill>
                  <bgColor rgb="FF57FFA3"/>
                </patternFill>
              </fill>
            </x14:dxf>
          </x14:cfRule>
          <x14:cfRule type="expression" priority="1089" id="{9F7E4FE1-742B-446A-A9B8-EF603B90E52D}">
            <xm:f>AA41='5.Mapeo'!$E$37</xm:f>
            <x14:dxf>
              <font>
                <color theme="0"/>
              </font>
              <fill>
                <patternFill>
                  <bgColor rgb="FFFF0000"/>
                </patternFill>
              </fill>
            </x14:dxf>
          </x14:cfRule>
          <x14:cfRule type="expression" priority="1090" id="{D6149965-7F00-4FB5-A59A-568FCB79CA31}">
            <xm:f>AA41='5.Mapeo'!$E$36</xm:f>
            <x14:dxf>
              <font>
                <color theme="0"/>
              </font>
              <fill>
                <patternFill>
                  <bgColor rgb="FFFF4343"/>
                </patternFill>
              </fill>
            </x14:dxf>
          </x14:cfRule>
          <x14:cfRule type="expression" priority="1091" id="{A0232AA1-6273-46BF-B188-B4B791CD91CF}">
            <xm:f>AA41='5.Mapeo'!$E$35</xm:f>
            <x14:dxf>
              <font>
                <color theme="0"/>
              </font>
              <fill>
                <patternFill>
                  <bgColor rgb="FFFF8181"/>
                </patternFill>
              </fill>
            </x14:dxf>
          </x14:cfRule>
          <x14:cfRule type="expression" priority="1092" id="{2214F10D-2E1D-47B3-96C0-79850B3D9C28}">
            <xm:f>AA41='5.Mapeo'!$E$34</xm:f>
            <x14:dxf>
              <fill>
                <patternFill>
                  <bgColor rgb="FFFFFF00"/>
                </patternFill>
              </fill>
            </x14:dxf>
          </x14:cfRule>
          <x14:cfRule type="expression" priority="1093" id="{36318A57-332D-4C9C-8B03-7A1264B388B1}">
            <xm:f>AA41='5.Mapeo'!$E$33</xm:f>
            <x14:dxf>
              <fill>
                <patternFill>
                  <bgColor rgb="FFFFFF5B"/>
                </patternFill>
              </fill>
            </x14:dxf>
          </x14:cfRule>
          <x14:cfRule type="expression" priority="1094" id="{56631E1C-271A-4579-AD75-FF640F2C56D3}">
            <xm:f>AA41='5.Mapeo'!$E$32</xm:f>
            <x14:dxf>
              <font>
                <color auto="1"/>
              </font>
              <fill>
                <patternFill>
                  <bgColor rgb="FFFFFF97"/>
                </patternFill>
              </fill>
            </x14:dxf>
          </x14:cfRule>
          <x14:cfRule type="expression" priority="1095" id="{79A6CAD5-D16C-4945-A4D1-7DEB406D3F3F}">
            <xm:f>AA41='5.Mapeo'!$E$31</xm:f>
            <x14:dxf>
              <font>
                <color theme="0"/>
              </font>
              <fill>
                <patternFill>
                  <bgColor rgb="FF7030A0"/>
                </patternFill>
              </fill>
            </x14:dxf>
          </x14:cfRule>
          <x14:cfRule type="expression" priority="1096" id="{181D67D0-1A5C-45F1-B7C4-FFB21E9AFFAB}">
            <xm:f>AA41='5.Mapeo'!$E$30</xm:f>
            <x14:dxf>
              <font>
                <color theme="0"/>
              </font>
              <fill>
                <patternFill>
                  <bgColor rgb="FF934BC9"/>
                </patternFill>
              </fill>
            </x14:dxf>
          </x14:cfRule>
          <x14:cfRule type="expression" priority="1097" id="{39189B06-73C2-448A-99D9-35D49A500D3F}">
            <xm:f>AA41='5.Mapeo'!$E$29</xm:f>
            <x14:dxf>
              <font>
                <color theme="0"/>
              </font>
              <fill>
                <patternFill>
                  <bgColor rgb="FFC39BE1"/>
                </patternFill>
              </fill>
            </x14:dxf>
          </x14:cfRule>
          <x14:cfRule type="expression" priority="1098" id="{E1116FAB-E6B8-4ABD-8E01-5CE25CE0D16E}">
            <xm:f>AA41='5.Mapeo'!$E$28</xm:f>
            <x14:dxf>
              <font>
                <color theme="0"/>
              </font>
              <fill>
                <patternFill>
                  <bgColor theme="1" tint="4.9989318521683403E-2"/>
                </patternFill>
              </fill>
            </x14:dxf>
          </x14:cfRule>
          <x14:cfRule type="expression" priority="1099" id="{CCF22A7E-BB68-42CE-9E47-8A5E827AC924}">
            <xm:f>AA41='5.Mapeo'!$E$27</xm:f>
            <x14:dxf>
              <font>
                <color theme="0"/>
              </font>
              <fill>
                <patternFill>
                  <bgColor rgb="FF343434"/>
                </patternFill>
              </fill>
            </x14:dxf>
          </x14:cfRule>
          <x14:cfRule type="expression" priority="1100" id="{C98B044C-757E-4B20-977F-074B51AAEB2F}">
            <xm:f>AA41='5.Mapeo'!$E$26</xm:f>
            <x14:dxf>
              <font>
                <color theme="0"/>
              </font>
              <fill>
                <patternFill>
                  <bgColor rgb="FF565656"/>
                </patternFill>
              </fill>
            </x14:dxf>
          </x14:cfRule>
          <x14:cfRule type="expression" priority="1101" id="{6CDC331D-C355-4143-B2BA-51AB6BE269AA}">
            <xm:f>AA41='5.Mapeo'!$E$25</xm:f>
            <x14:dxf>
              <font>
                <color theme="0"/>
              </font>
              <fill>
                <patternFill>
                  <bgColor theme="3" tint="-0.499984740745262"/>
                </patternFill>
              </fill>
            </x14:dxf>
          </x14:cfRule>
          <x14:cfRule type="expression" priority="1102" id="{92908974-DAFC-4AF1-8667-DCC5BC66395B}">
            <xm:f>AA41='5.Mapeo'!$E$24</xm:f>
            <x14:dxf>
              <font>
                <color theme="0"/>
              </font>
              <fill>
                <patternFill>
                  <bgColor rgb="FF46596E"/>
                </patternFill>
              </fill>
            </x14:dxf>
          </x14:cfRule>
          <x14:cfRule type="expression" priority="1103" id="{1FAA578A-35DE-4E4D-B45C-20FCA5E7275A}">
            <xm:f>AA41='5.Mapeo'!$E$23</xm:f>
            <x14:dxf>
              <font>
                <color theme="0"/>
              </font>
              <fill>
                <patternFill>
                  <bgColor rgb="FF5E7894"/>
                </patternFill>
              </fill>
            </x14:dxf>
          </x14:cfRule>
          <x14:cfRule type="expression" priority="1104" id="{A2DA0B5C-9DF9-4D29-9783-34E64C74CB3F}">
            <xm:f>AA41='5.Mapeo'!$E$22</xm:f>
            <x14:dxf>
              <font>
                <color theme="0"/>
              </font>
              <fill>
                <patternFill>
                  <bgColor theme="5" tint="-0.499984740745262"/>
                </patternFill>
              </fill>
            </x14:dxf>
          </x14:cfRule>
          <x14:cfRule type="expression" priority="1105" id="{FA5C3E6A-E67A-4427-BB51-EC4555FB1286}">
            <xm:f>AA41='5.Mapeo'!$E$21</xm:f>
            <x14:dxf>
              <font>
                <color theme="0"/>
              </font>
              <fill>
                <patternFill>
                  <bgColor rgb="FFBB5611"/>
                </patternFill>
              </fill>
            </x14:dxf>
          </x14:cfRule>
          <x14:cfRule type="expression" priority="1106" id="{FE9CA616-308C-4B89-9F43-194F0FE43D9A}">
            <xm:f>AA41='5.Mapeo'!$E$20</xm:f>
            <x14:dxf>
              <font>
                <color theme="0"/>
              </font>
              <fill>
                <patternFill>
                  <bgColor rgb="FFED8741"/>
                </patternFill>
              </fill>
            </x14:dxf>
          </x14:cfRule>
          <x14:cfRule type="expression" priority="1107" id="{2AA80065-AA3C-4499-B245-51E5BE196D57}">
            <xm:f>AA41='5.Mapeo'!$E$19</xm:f>
            <x14:dxf>
              <font>
                <color theme="0"/>
              </font>
              <fill>
                <patternFill>
                  <bgColor theme="6" tint="-0.499984740745262"/>
                </patternFill>
              </fill>
            </x14:dxf>
          </x14:cfRule>
          <x14:cfRule type="expression" priority="1108" id="{83079CC3-8099-475D-ABB7-1D4383AAF15C}">
            <xm:f>AA41='5.Mapeo'!$E$18</xm:f>
            <x14:dxf>
              <font>
                <color theme="0"/>
              </font>
              <fill>
                <patternFill>
                  <bgColor rgb="FF7D7D7D"/>
                </patternFill>
              </fill>
            </x14:dxf>
          </x14:cfRule>
          <x14:cfRule type="expression" priority="1109" id="{E14FF6F7-BC36-470B-B9B3-7BE3E404FC7E}">
            <xm:f>AA41='5.Mapeo'!$E$17</xm:f>
            <x14:dxf>
              <font>
                <color theme="0"/>
              </font>
              <fill>
                <patternFill>
                  <bgColor rgb="FFA7A7A7"/>
                </patternFill>
              </fill>
            </x14:dxf>
          </x14:cfRule>
          <x14:cfRule type="expression" priority="1110" id="{60418E12-2E3E-447E-A1B6-5F8834CC2C86}">
            <xm:f>AA41='5.Mapeo'!$E$16</xm:f>
            <x14:dxf>
              <font>
                <color theme="0"/>
              </font>
              <fill>
                <patternFill>
                  <bgColor theme="7" tint="-0.499984740745262"/>
                </patternFill>
              </fill>
            </x14:dxf>
          </x14:cfRule>
          <x14:cfRule type="expression" priority="1111" id="{800AC82F-B1E3-4913-93A5-58ED2871EF6C}">
            <xm:f>AA41='5.Mapeo'!$E$15</xm:f>
            <x14:dxf>
              <font>
                <color theme="0"/>
              </font>
              <fill>
                <patternFill>
                  <bgColor rgb="FFD09A00"/>
                </patternFill>
              </fill>
            </x14:dxf>
          </x14:cfRule>
          <x14:cfRule type="expression" priority="1112" id="{D5199FCA-305A-4D02-A3C6-4FA2E5987749}">
            <xm:f>AA41='5.Mapeo'!$E$14</xm:f>
            <x14:dxf>
              <font>
                <color theme="0"/>
              </font>
              <fill>
                <patternFill>
                  <bgColor rgb="FFFFCD3F"/>
                </patternFill>
              </fill>
            </x14:dxf>
          </x14:cfRule>
          <x14:cfRule type="expression" priority="1113" id="{BC78CA2A-2D6B-4D82-A7C1-90F0D393CED3}">
            <xm:f>AA41='5.Mapeo'!$E$13</xm:f>
            <x14:dxf>
              <font>
                <color theme="0"/>
              </font>
              <fill>
                <patternFill>
                  <bgColor theme="8" tint="-0.499984740745262"/>
                </patternFill>
              </fill>
            </x14:dxf>
          </x14:cfRule>
          <x14:cfRule type="expression" priority="1114" id="{0C272017-67FA-4F9F-BED8-CEB0F2AB0F8E}">
            <xm:f>AA41='5.Mapeo'!$E$12</xm:f>
            <x14:dxf>
              <font>
                <color theme="0"/>
              </font>
              <fill>
                <patternFill>
                  <bgColor rgb="FF2C6EAA"/>
                </patternFill>
              </fill>
            </x14:dxf>
          </x14:cfRule>
          <x14:cfRule type="expression" priority="1115" id="{C7584B0D-3E57-4EA4-A2D6-8E8B4628EAB5}">
            <xm:f>AA41='5.Mapeo'!$E$11</xm:f>
            <x14:dxf>
              <font>
                <color theme="0"/>
              </font>
              <fill>
                <patternFill>
                  <bgColor rgb="FF0070C4"/>
                </patternFill>
              </fill>
            </x14:dxf>
          </x14:cfRule>
          <x14:cfRule type="expression" priority="1116" id="{CE315596-7020-474E-943E-19EB5252A800}">
            <xm:f>AA41='5.Mapeo'!$E$10</xm:f>
            <x14:dxf>
              <font>
                <color theme="0"/>
              </font>
              <fill>
                <patternFill>
                  <bgColor theme="9" tint="-0.499984740745262"/>
                </patternFill>
              </fill>
            </x14:dxf>
          </x14:cfRule>
          <x14:cfRule type="expression" priority="1117" id="{115BD57B-91C5-4472-800C-0409A4076296}">
            <xm:f>AA41='5.Mapeo'!$E$9</xm:f>
            <x14:dxf>
              <font>
                <color theme="0"/>
              </font>
              <fill>
                <patternFill>
                  <bgColor rgb="FF5E943C"/>
                </patternFill>
              </fill>
            </x14:dxf>
          </x14:cfRule>
          <x14:cfRule type="expression" priority="1118" id="{EFC9F2D1-9B56-443B-9026-C524C19DD41F}">
            <xm:f>AA41='5.Mapeo'!$E$8</xm:f>
            <x14:dxf>
              <font>
                <color theme="0"/>
              </font>
              <fill>
                <patternFill>
                  <bgColor rgb="FF8CC26A"/>
                </patternFill>
              </fill>
            </x14:dxf>
          </x14:cfRule>
          <xm:sqref>AA41:AI50</xm:sqref>
        </x14:conditionalFormatting>
        <x14:conditionalFormatting xmlns:xm="http://schemas.microsoft.com/office/excel/2006/main">
          <x14:cfRule type="expression" priority="1041" id="{5FCBAE64-CD91-46FC-B830-AD7A4CC33D15}">
            <xm:f>AA52='5.Mapeo'!$E$43</xm:f>
            <x14:dxf>
              <fill>
                <patternFill>
                  <bgColor theme="8" tint="-0.24994659260841701"/>
                </patternFill>
              </fill>
            </x14:dxf>
          </x14:cfRule>
          <x14:cfRule type="expression" priority="1042" id="{62BDFDD3-2E94-4C10-BF9E-91D8A5F9839B}">
            <xm:f>AA52='5.Mapeo'!$E$42</xm:f>
            <x14:dxf>
              <font>
                <color auto="1"/>
              </font>
              <fill>
                <patternFill>
                  <bgColor rgb="FF12AEAE"/>
                </patternFill>
              </fill>
            </x14:dxf>
          </x14:cfRule>
          <x14:cfRule type="expression" priority="1043" id="{98A2817E-4529-4F5B-9C23-FEFF9DC6541D}">
            <xm:f>AA52='5.Mapeo'!$E$41</xm:f>
            <x14:dxf>
              <font>
                <color theme="1"/>
              </font>
              <fill>
                <patternFill>
                  <bgColor rgb="FFABEAF3"/>
                </patternFill>
              </fill>
            </x14:dxf>
          </x14:cfRule>
          <x14:cfRule type="expression" priority="1044" id="{6E80258D-4EAB-4DA4-A78D-FF1AE5F0EA55}">
            <xm:f>AA52='5.Mapeo'!$E$40</xm:f>
            <x14:dxf>
              <font>
                <color theme="1"/>
              </font>
              <fill>
                <patternFill>
                  <bgColor rgb="FF00B050"/>
                </patternFill>
              </fill>
            </x14:dxf>
          </x14:cfRule>
          <x14:cfRule type="expression" priority="1045" id="{B07DF7CC-FA84-42E0-8868-41EC98C6109E}">
            <xm:f>AA52='5.Mapeo'!$E$39</xm:f>
            <x14:dxf>
              <font>
                <color theme="1"/>
              </font>
              <fill>
                <patternFill>
                  <bgColor rgb="FF00FE73"/>
                </patternFill>
              </fill>
            </x14:dxf>
          </x14:cfRule>
          <x14:cfRule type="expression" priority="1046" id="{EEF35437-AC7B-46AC-9F0E-A85A32551E08}">
            <xm:f>AA52='5.Mapeo'!$E$38</xm:f>
            <x14:dxf>
              <font>
                <color theme="1"/>
              </font>
              <fill>
                <patternFill>
                  <bgColor rgb="FF57FFA3"/>
                </patternFill>
              </fill>
            </x14:dxf>
          </x14:cfRule>
          <x14:cfRule type="expression" priority="1047" id="{8ED947AC-A956-4910-AF60-4111874DEE4C}">
            <xm:f>AA52='5.Mapeo'!$E$37</xm:f>
            <x14:dxf>
              <font>
                <color theme="0"/>
              </font>
              <fill>
                <patternFill>
                  <bgColor rgb="FFFF0000"/>
                </patternFill>
              </fill>
            </x14:dxf>
          </x14:cfRule>
          <x14:cfRule type="expression" priority="1048" id="{C2D5DC0E-5E3A-4042-AEFE-123CC10127C0}">
            <xm:f>AA52='5.Mapeo'!$E$36</xm:f>
            <x14:dxf>
              <font>
                <color theme="0"/>
              </font>
              <fill>
                <patternFill>
                  <bgColor rgb="FFFF4343"/>
                </patternFill>
              </fill>
            </x14:dxf>
          </x14:cfRule>
          <x14:cfRule type="expression" priority="1049" id="{02F32B2A-780C-42F6-9457-56487B5FF9FE}">
            <xm:f>AA52='5.Mapeo'!$E$35</xm:f>
            <x14:dxf>
              <font>
                <color theme="0"/>
              </font>
              <fill>
                <patternFill>
                  <bgColor rgb="FFFF8181"/>
                </patternFill>
              </fill>
            </x14:dxf>
          </x14:cfRule>
          <x14:cfRule type="expression" priority="1050" id="{9FB88C99-FB7B-44FF-9434-68F785BBEC69}">
            <xm:f>AA52='5.Mapeo'!$E$34</xm:f>
            <x14:dxf>
              <fill>
                <patternFill>
                  <bgColor rgb="FFFFFF00"/>
                </patternFill>
              </fill>
            </x14:dxf>
          </x14:cfRule>
          <x14:cfRule type="expression" priority="1051" id="{468AC30B-47DE-41A8-8355-EAA5208B8E85}">
            <xm:f>AA52='5.Mapeo'!$E$33</xm:f>
            <x14:dxf>
              <fill>
                <patternFill>
                  <bgColor rgb="FFFFFF5B"/>
                </patternFill>
              </fill>
            </x14:dxf>
          </x14:cfRule>
          <x14:cfRule type="expression" priority="1052" id="{37F5A3E7-78CF-498C-A7C3-A317ADDF2E4C}">
            <xm:f>AA52='5.Mapeo'!$E$32</xm:f>
            <x14:dxf>
              <font>
                <color auto="1"/>
              </font>
              <fill>
                <patternFill>
                  <bgColor rgb="FFFFFF97"/>
                </patternFill>
              </fill>
            </x14:dxf>
          </x14:cfRule>
          <x14:cfRule type="expression" priority="1053" id="{A5D4D186-F34E-4E29-A70B-88E8B8DE5DF3}">
            <xm:f>AA52='5.Mapeo'!$E$31</xm:f>
            <x14:dxf>
              <font>
                <color theme="0"/>
              </font>
              <fill>
                <patternFill>
                  <bgColor rgb="FF7030A0"/>
                </patternFill>
              </fill>
            </x14:dxf>
          </x14:cfRule>
          <x14:cfRule type="expression" priority="1054" id="{62F60006-D520-4299-97E8-36AB3F4A8F01}">
            <xm:f>AA52='5.Mapeo'!$E$30</xm:f>
            <x14:dxf>
              <font>
                <color theme="0"/>
              </font>
              <fill>
                <patternFill>
                  <bgColor rgb="FF934BC9"/>
                </patternFill>
              </fill>
            </x14:dxf>
          </x14:cfRule>
          <x14:cfRule type="expression" priority="1055" id="{6463B228-C6E1-4A29-8A7E-7E36996CADA0}">
            <xm:f>AA52='5.Mapeo'!$E$29</xm:f>
            <x14:dxf>
              <font>
                <color theme="0"/>
              </font>
              <fill>
                <patternFill>
                  <bgColor rgb="FFC39BE1"/>
                </patternFill>
              </fill>
            </x14:dxf>
          </x14:cfRule>
          <x14:cfRule type="expression" priority="1056" id="{D0BFA89E-A85D-461F-A104-F7B5F3A101B8}">
            <xm:f>AA52='5.Mapeo'!$E$28</xm:f>
            <x14:dxf>
              <font>
                <color theme="0"/>
              </font>
              <fill>
                <patternFill>
                  <bgColor theme="1" tint="4.9989318521683403E-2"/>
                </patternFill>
              </fill>
            </x14:dxf>
          </x14:cfRule>
          <x14:cfRule type="expression" priority="1057" id="{5A2F11BB-8173-4352-98F4-6A037E0BFC71}">
            <xm:f>AA52='5.Mapeo'!$E$27</xm:f>
            <x14:dxf>
              <font>
                <color theme="0"/>
              </font>
              <fill>
                <patternFill>
                  <bgColor rgb="FF343434"/>
                </patternFill>
              </fill>
            </x14:dxf>
          </x14:cfRule>
          <x14:cfRule type="expression" priority="1058" id="{09B5B735-20DC-4E09-9596-A393973F9751}">
            <xm:f>AA52='5.Mapeo'!$E$26</xm:f>
            <x14:dxf>
              <font>
                <color theme="0"/>
              </font>
              <fill>
                <patternFill>
                  <bgColor rgb="FF565656"/>
                </patternFill>
              </fill>
            </x14:dxf>
          </x14:cfRule>
          <x14:cfRule type="expression" priority="1059" id="{070FA5FF-3701-4068-8126-61DE1082C399}">
            <xm:f>AA52='5.Mapeo'!$E$25</xm:f>
            <x14:dxf>
              <font>
                <color theme="0"/>
              </font>
              <fill>
                <patternFill>
                  <bgColor theme="3" tint="-0.499984740745262"/>
                </patternFill>
              </fill>
            </x14:dxf>
          </x14:cfRule>
          <x14:cfRule type="expression" priority="1060" id="{76E394EE-5C5F-42B9-9728-98D53BEF3938}">
            <xm:f>AA52='5.Mapeo'!$E$24</xm:f>
            <x14:dxf>
              <font>
                <color theme="0"/>
              </font>
              <fill>
                <patternFill>
                  <bgColor rgb="FF46596E"/>
                </patternFill>
              </fill>
            </x14:dxf>
          </x14:cfRule>
          <x14:cfRule type="expression" priority="1061" id="{062BC311-872B-4260-8070-99B24923BFEB}">
            <xm:f>AA52='5.Mapeo'!$E$23</xm:f>
            <x14:dxf>
              <font>
                <color theme="0"/>
              </font>
              <fill>
                <patternFill>
                  <bgColor rgb="FF5E7894"/>
                </patternFill>
              </fill>
            </x14:dxf>
          </x14:cfRule>
          <x14:cfRule type="expression" priority="1062" id="{A69470E3-4EDB-4543-86C4-686E4B757E67}">
            <xm:f>AA52='5.Mapeo'!$E$22</xm:f>
            <x14:dxf>
              <font>
                <color theme="0"/>
              </font>
              <fill>
                <patternFill>
                  <bgColor theme="5" tint="-0.499984740745262"/>
                </patternFill>
              </fill>
            </x14:dxf>
          </x14:cfRule>
          <x14:cfRule type="expression" priority="1063" id="{D87395D5-5C2C-43F9-9265-DC11EF25C014}">
            <xm:f>AA52='5.Mapeo'!$E$21</xm:f>
            <x14:dxf>
              <font>
                <color theme="0"/>
              </font>
              <fill>
                <patternFill>
                  <bgColor rgb="FFBB5611"/>
                </patternFill>
              </fill>
            </x14:dxf>
          </x14:cfRule>
          <x14:cfRule type="expression" priority="1064" id="{70D61E57-8E51-44F5-9C81-17E2711E5583}">
            <xm:f>AA52='5.Mapeo'!$E$20</xm:f>
            <x14:dxf>
              <font>
                <color theme="0"/>
              </font>
              <fill>
                <patternFill>
                  <bgColor rgb="FFED8741"/>
                </patternFill>
              </fill>
            </x14:dxf>
          </x14:cfRule>
          <x14:cfRule type="expression" priority="1065" id="{8BEDB99B-67A5-498B-BBD4-22C0A70519A5}">
            <xm:f>AA52='5.Mapeo'!$E$19</xm:f>
            <x14:dxf>
              <font>
                <color theme="0"/>
              </font>
              <fill>
                <patternFill>
                  <bgColor theme="6" tint="-0.499984740745262"/>
                </patternFill>
              </fill>
            </x14:dxf>
          </x14:cfRule>
          <x14:cfRule type="expression" priority="1066" id="{A1BE7E1B-A40B-4575-AF89-23C2EC634C16}">
            <xm:f>AA52='5.Mapeo'!$E$18</xm:f>
            <x14:dxf>
              <font>
                <color theme="0"/>
              </font>
              <fill>
                <patternFill>
                  <bgColor rgb="FF7D7D7D"/>
                </patternFill>
              </fill>
            </x14:dxf>
          </x14:cfRule>
          <x14:cfRule type="expression" priority="1067" id="{7FE03D92-C85F-44DB-BC72-C468B8721FDA}">
            <xm:f>AA52='5.Mapeo'!$E$17</xm:f>
            <x14:dxf>
              <font>
                <color theme="0"/>
              </font>
              <fill>
                <patternFill>
                  <bgColor rgb="FFA7A7A7"/>
                </patternFill>
              </fill>
            </x14:dxf>
          </x14:cfRule>
          <x14:cfRule type="expression" priority="1068" id="{F16F21CC-7660-4836-A1FA-E32F22B95D9F}">
            <xm:f>AA52='5.Mapeo'!$E$16</xm:f>
            <x14:dxf>
              <font>
                <color theme="0"/>
              </font>
              <fill>
                <patternFill>
                  <bgColor theme="7" tint="-0.499984740745262"/>
                </patternFill>
              </fill>
            </x14:dxf>
          </x14:cfRule>
          <x14:cfRule type="expression" priority="1069" id="{ABA58AB6-3053-43FA-B637-079EC77704D8}">
            <xm:f>AA52='5.Mapeo'!$E$15</xm:f>
            <x14:dxf>
              <font>
                <color theme="0"/>
              </font>
              <fill>
                <patternFill>
                  <bgColor rgb="FFD09A00"/>
                </patternFill>
              </fill>
            </x14:dxf>
          </x14:cfRule>
          <x14:cfRule type="expression" priority="1070" id="{406A9F6B-BBF7-4A83-AB23-97CE0415FF06}">
            <xm:f>AA52='5.Mapeo'!$E$14</xm:f>
            <x14:dxf>
              <font>
                <color theme="0"/>
              </font>
              <fill>
                <patternFill>
                  <bgColor rgb="FFFFCD3F"/>
                </patternFill>
              </fill>
            </x14:dxf>
          </x14:cfRule>
          <x14:cfRule type="expression" priority="1071" id="{993C91FB-B408-4AA3-AA80-867801CDC1C2}">
            <xm:f>AA52='5.Mapeo'!$E$13</xm:f>
            <x14:dxf>
              <font>
                <color theme="0"/>
              </font>
              <fill>
                <patternFill>
                  <bgColor theme="8" tint="-0.499984740745262"/>
                </patternFill>
              </fill>
            </x14:dxf>
          </x14:cfRule>
          <x14:cfRule type="expression" priority="1072" id="{AFF9D79D-5156-474A-B1E3-F1E4B1047FE6}">
            <xm:f>AA52='5.Mapeo'!$E$12</xm:f>
            <x14:dxf>
              <font>
                <color theme="0"/>
              </font>
              <fill>
                <patternFill>
                  <bgColor rgb="FF2C6EAA"/>
                </patternFill>
              </fill>
            </x14:dxf>
          </x14:cfRule>
          <x14:cfRule type="expression" priority="1073" id="{3E19E023-9456-4F29-A911-B215DD3C5B99}">
            <xm:f>AA52='5.Mapeo'!$E$11</xm:f>
            <x14:dxf>
              <font>
                <color theme="0"/>
              </font>
              <fill>
                <patternFill>
                  <bgColor rgb="FF0070C4"/>
                </patternFill>
              </fill>
            </x14:dxf>
          </x14:cfRule>
          <x14:cfRule type="expression" priority="1074" id="{EB1CD4F4-D71F-42A9-9445-4CE2AAA07185}">
            <xm:f>AA52='5.Mapeo'!$E$10</xm:f>
            <x14:dxf>
              <font>
                <color theme="0"/>
              </font>
              <fill>
                <patternFill>
                  <bgColor theme="9" tint="-0.499984740745262"/>
                </patternFill>
              </fill>
            </x14:dxf>
          </x14:cfRule>
          <x14:cfRule type="expression" priority="1075" id="{A2F191F4-4F00-4BDF-AFD4-6D56AA085EB9}">
            <xm:f>AA52='5.Mapeo'!$E$9</xm:f>
            <x14:dxf>
              <font>
                <color theme="0"/>
              </font>
              <fill>
                <patternFill>
                  <bgColor rgb="FF5E943C"/>
                </patternFill>
              </fill>
            </x14:dxf>
          </x14:cfRule>
          <x14:cfRule type="expression" priority="1076" id="{7476679C-BC7B-4E77-821A-8A88BEB6A47C}">
            <xm:f>AA52='5.Mapeo'!$E$8</xm:f>
            <x14:dxf>
              <font>
                <color theme="0"/>
              </font>
              <fill>
                <patternFill>
                  <bgColor rgb="FF8CC26A"/>
                </patternFill>
              </fill>
            </x14:dxf>
          </x14:cfRule>
          <xm:sqref>AA52:AI61</xm:sqref>
        </x14:conditionalFormatting>
        <x14:conditionalFormatting xmlns:xm="http://schemas.microsoft.com/office/excel/2006/main">
          <x14:cfRule type="expression" priority="999" id="{39A087A7-2069-4343-A06C-A2A0198C49D5}">
            <xm:f>AA63='5.Mapeo'!$E$43</xm:f>
            <x14:dxf>
              <fill>
                <patternFill>
                  <bgColor theme="8" tint="-0.24994659260841701"/>
                </patternFill>
              </fill>
            </x14:dxf>
          </x14:cfRule>
          <x14:cfRule type="expression" priority="1000" id="{8E3A9A1F-F592-47E8-B656-FA784E5D6387}">
            <xm:f>AA63='5.Mapeo'!$E$42</xm:f>
            <x14:dxf>
              <font>
                <color auto="1"/>
              </font>
              <fill>
                <patternFill>
                  <bgColor rgb="FF12AEAE"/>
                </patternFill>
              </fill>
            </x14:dxf>
          </x14:cfRule>
          <x14:cfRule type="expression" priority="1001" id="{B8696117-6126-4D5D-86D0-E9E9C4361C48}">
            <xm:f>AA63='5.Mapeo'!$E$41</xm:f>
            <x14:dxf>
              <font>
                <color theme="1"/>
              </font>
              <fill>
                <patternFill>
                  <bgColor rgb="FFABEAF3"/>
                </patternFill>
              </fill>
            </x14:dxf>
          </x14:cfRule>
          <x14:cfRule type="expression" priority="1002" id="{61BCC757-82FF-4121-9945-A92797A42A23}">
            <xm:f>AA63='5.Mapeo'!$E$40</xm:f>
            <x14:dxf>
              <font>
                <color theme="1"/>
              </font>
              <fill>
                <patternFill>
                  <bgColor rgb="FF00B050"/>
                </patternFill>
              </fill>
            </x14:dxf>
          </x14:cfRule>
          <x14:cfRule type="expression" priority="1003" id="{DD7FBC59-F022-4C80-9AC9-4FFCF79B8EF6}">
            <xm:f>AA63='5.Mapeo'!$E$39</xm:f>
            <x14:dxf>
              <font>
                <color theme="1"/>
              </font>
              <fill>
                <patternFill>
                  <bgColor rgb="FF00FE73"/>
                </patternFill>
              </fill>
            </x14:dxf>
          </x14:cfRule>
          <x14:cfRule type="expression" priority="1004" id="{3FE5325C-85DF-4D8B-BDB1-69557E784926}">
            <xm:f>AA63='5.Mapeo'!$E$38</xm:f>
            <x14:dxf>
              <font>
                <color theme="1"/>
              </font>
              <fill>
                <patternFill>
                  <bgColor rgb="FF57FFA3"/>
                </patternFill>
              </fill>
            </x14:dxf>
          </x14:cfRule>
          <x14:cfRule type="expression" priority="1005" id="{8EF6D104-29F2-482D-BF41-697E1404B735}">
            <xm:f>AA63='5.Mapeo'!$E$37</xm:f>
            <x14:dxf>
              <font>
                <color theme="0"/>
              </font>
              <fill>
                <patternFill>
                  <bgColor rgb="FFFF0000"/>
                </patternFill>
              </fill>
            </x14:dxf>
          </x14:cfRule>
          <x14:cfRule type="expression" priority="1006" id="{678661ED-3D44-45F7-B4FA-A8B98A877CCA}">
            <xm:f>AA63='5.Mapeo'!$E$36</xm:f>
            <x14:dxf>
              <font>
                <color theme="0"/>
              </font>
              <fill>
                <patternFill>
                  <bgColor rgb="FFFF4343"/>
                </patternFill>
              </fill>
            </x14:dxf>
          </x14:cfRule>
          <x14:cfRule type="expression" priority="1007" id="{94B46867-675D-4A00-83D6-B94E20F86901}">
            <xm:f>AA63='5.Mapeo'!$E$35</xm:f>
            <x14:dxf>
              <font>
                <color theme="0"/>
              </font>
              <fill>
                <patternFill>
                  <bgColor rgb="FFFF8181"/>
                </patternFill>
              </fill>
            </x14:dxf>
          </x14:cfRule>
          <x14:cfRule type="expression" priority="1008" id="{CFC2FB04-B96F-4EC8-A5DC-B70317543A74}">
            <xm:f>AA63='5.Mapeo'!$E$34</xm:f>
            <x14:dxf>
              <fill>
                <patternFill>
                  <bgColor rgb="FFFFFF00"/>
                </patternFill>
              </fill>
            </x14:dxf>
          </x14:cfRule>
          <x14:cfRule type="expression" priority="1009" id="{1AB310D8-4B14-47A3-BB3F-7C53DE5910DE}">
            <xm:f>AA63='5.Mapeo'!$E$33</xm:f>
            <x14:dxf>
              <fill>
                <patternFill>
                  <bgColor rgb="FFFFFF5B"/>
                </patternFill>
              </fill>
            </x14:dxf>
          </x14:cfRule>
          <x14:cfRule type="expression" priority="1010" id="{DB8D4D76-C26C-4B2C-B93B-EED905B1735F}">
            <xm:f>AA63='5.Mapeo'!$E$32</xm:f>
            <x14:dxf>
              <font>
                <color auto="1"/>
              </font>
              <fill>
                <patternFill>
                  <bgColor rgb="FFFFFF97"/>
                </patternFill>
              </fill>
            </x14:dxf>
          </x14:cfRule>
          <x14:cfRule type="expression" priority="1011" id="{035FB94B-202D-41DC-ADD9-F2E98A2F1631}">
            <xm:f>AA63='5.Mapeo'!$E$31</xm:f>
            <x14:dxf>
              <font>
                <color theme="0"/>
              </font>
              <fill>
                <patternFill>
                  <bgColor rgb="FF7030A0"/>
                </patternFill>
              </fill>
            </x14:dxf>
          </x14:cfRule>
          <x14:cfRule type="expression" priority="1012" id="{C9C7A509-B9EE-4646-9647-31E85B46D2BA}">
            <xm:f>AA63='5.Mapeo'!$E$30</xm:f>
            <x14:dxf>
              <font>
                <color theme="0"/>
              </font>
              <fill>
                <patternFill>
                  <bgColor rgb="FF934BC9"/>
                </patternFill>
              </fill>
            </x14:dxf>
          </x14:cfRule>
          <x14:cfRule type="expression" priority="1013" id="{5EB1EE3C-FA20-4C08-BD75-2CEFB5F3CA51}">
            <xm:f>AA63='5.Mapeo'!$E$29</xm:f>
            <x14:dxf>
              <font>
                <color theme="0"/>
              </font>
              <fill>
                <patternFill>
                  <bgColor rgb="FFC39BE1"/>
                </patternFill>
              </fill>
            </x14:dxf>
          </x14:cfRule>
          <x14:cfRule type="expression" priority="1014" id="{005A7C3D-E6F4-4B72-9274-1854C6C02F31}">
            <xm:f>AA63='5.Mapeo'!$E$28</xm:f>
            <x14:dxf>
              <font>
                <color theme="0"/>
              </font>
              <fill>
                <patternFill>
                  <bgColor theme="1" tint="4.9989318521683403E-2"/>
                </patternFill>
              </fill>
            </x14:dxf>
          </x14:cfRule>
          <x14:cfRule type="expression" priority="1015" id="{7CF73267-3865-4FFA-B7BB-E8081A6582B4}">
            <xm:f>AA63='5.Mapeo'!$E$27</xm:f>
            <x14:dxf>
              <font>
                <color theme="0"/>
              </font>
              <fill>
                <patternFill>
                  <bgColor rgb="FF343434"/>
                </patternFill>
              </fill>
            </x14:dxf>
          </x14:cfRule>
          <x14:cfRule type="expression" priority="1016" id="{69F55C3C-2D1C-4846-8BFF-620323E4E013}">
            <xm:f>AA63='5.Mapeo'!$E$26</xm:f>
            <x14:dxf>
              <font>
                <color theme="0"/>
              </font>
              <fill>
                <patternFill>
                  <bgColor rgb="FF565656"/>
                </patternFill>
              </fill>
            </x14:dxf>
          </x14:cfRule>
          <x14:cfRule type="expression" priority="1017" id="{6DF9D9BE-2470-4876-80FA-F4E0462B3F7E}">
            <xm:f>AA63='5.Mapeo'!$E$25</xm:f>
            <x14:dxf>
              <font>
                <color theme="0"/>
              </font>
              <fill>
                <patternFill>
                  <bgColor theme="3" tint="-0.499984740745262"/>
                </patternFill>
              </fill>
            </x14:dxf>
          </x14:cfRule>
          <x14:cfRule type="expression" priority="1018" id="{92C37D55-A8B7-4CBC-A467-1A1FFFEC3459}">
            <xm:f>AA63='5.Mapeo'!$E$24</xm:f>
            <x14:dxf>
              <font>
                <color theme="0"/>
              </font>
              <fill>
                <patternFill>
                  <bgColor rgb="FF46596E"/>
                </patternFill>
              </fill>
            </x14:dxf>
          </x14:cfRule>
          <x14:cfRule type="expression" priority="1019" id="{7FCA77C6-C518-494C-86DB-C36A98E1F434}">
            <xm:f>AA63='5.Mapeo'!$E$23</xm:f>
            <x14:dxf>
              <font>
                <color theme="0"/>
              </font>
              <fill>
                <patternFill>
                  <bgColor rgb="FF5E7894"/>
                </patternFill>
              </fill>
            </x14:dxf>
          </x14:cfRule>
          <x14:cfRule type="expression" priority="1020" id="{8D742FAE-3B61-411C-98EB-967FFE13CE74}">
            <xm:f>AA63='5.Mapeo'!$E$22</xm:f>
            <x14:dxf>
              <font>
                <color theme="0"/>
              </font>
              <fill>
                <patternFill>
                  <bgColor theme="5" tint="-0.499984740745262"/>
                </patternFill>
              </fill>
            </x14:dxf>
          </x14:cfRule>
          <x14:cfRule type="expression" priority="1021" id="{3A605BC9-C499-4246-B858-91FF505A2B15}">
            <xm:f>AA63='5.Mapeo'!$E$21</xm:f>
            <x14:dxf>
              <font>
                <color theme="0"/>
              </font>
              <fill>
                <patternFill>
                  <bgColor rgb="FFBB5611"/>
                </patternFill>
              </fill>
            </x14:dxf>
          </x14:cfRule>
          <x14:cfRule type="expression" priority="1022" id="{B460E269-56EF-451A-8661-59BFC13E9392}">
            <xm:f>AA63='5.Mapeo'!$E$20</xm:f>
            <x14:dxf>
              <font>
                <color theme="0"/>
              </font>
              <fill>
                <patternFill>
                  <bgColor rgb="FFED8741"/>
                </patternFill>
              </fill>
            </x14:dxf>
          </x14:cfRule>
          <x14:cfRule type="expression" priority="1023" id="{F3AFC51E-BE1A-4676-9695-F50950F0E822}">
            <xm:f>AA63='5.Mapeo'!$E$19</xm:f>
            <x14:dxf>
              <font>
                <color theme="0"/>
              </font>
              <fill>
                <patternFill>
                  <bgColor theme="6" tint="-0.499984740745262"/>
                </patternFill>
              </fill>
            </x14:dxf>
          </x14:cfRule>
          <x14:cfRule type="expression" priority="1024" id="{67FEEF3B-3109-45D5-AEFC-31259E5CD123}">
            <xm:f>AA63='5.Mapeo'!$E$18</xm:f>
            <x14:dxf>
              <font>
                <color theme="0"/>
              </font>
              <fill>
                <patternFill>
                  <bgColor rgb="FF7D7D7D"/>
                </patternFill>
              </fill>
            </x14:dxf>
          </x14:cfRule>
          <x14:cfRule type="expression" priority="1025" id="{B8AB4A9D-CDEE-4489-8930-B6D5E24A873E}">
            <xm:f>AA63='5.Mapeo'!$E$17</xm:f>
            <x14:dxf>
              <font>
                <color theme="0"/>
              </font>
              <fill>
                <patternFill>
                  <bgColor rgb="FFA7A7A7"/>
                </patternFill>
              </fill>
            </x14:dxf>
          </x14:cfRule>
          <x14:cfRule type="expression" priority="1026" id="{B501377C-F8BD-4C75-8375-19818EDCD129}">
            <xm:f>AA63='5.Mapeo'!$E$16</xm:f>
            <x14:dxf>
              <font>
                <color theme="0"/>
              </font>
              <fill>
                <patternFill>
                  <bgColor theme="7" tint="-0.499984740745262"/>
                </patternFill>
              </fill>
            </x14:dxf>
          </x14:cfRule>
          <x14:cfRule type="expression" priority="1027" id="{49BD95F1-CA46-4BE1-A0AF-78D269E5AEE0}">
            <xm:f>AA63='5.Mapeo'!$E$15</xm:f>
            <x14:dxf>
              <font>
                <color theme="0"/>
              </font>
              <fill>
                <patternFill>
                  <bgColor rgb="FFD09A00"/>
                </patternFill>
              </fill>
            </x14:dxf>
          </x14:cfRule>
          <x14:cfRule type="expression" priority="1028" id="{12FA0943-09B4-421A-B73F-AC60B3B1A51C}">
            <xm:f>AA63='5.Mapeo'!$E$14</xm:f>
            <x14:dxf>
              <font>
                <color theme="0"/>
              </font>
              <fill>
                <patternFill>
                  <bgColor rgb="FFFFCD3F"/>
                </patternFill>
              </fill>
            </x14:dxf>
          </x14:cfRule>
          <x14:cfRule type="expression" priority="1029" id="{F64E6F81-5E47-4DD7-BA7C-EEBFFC481A3F}">
            <xm:f>AA63='5.Mapeo'!$E$13</xm:f>
            <x14:dxf>
              <font>
                <color theme="0"/>
              </font>
              <fill>
                <patternFill>
                  <bgColor theme="8" tint="-0.499984740745262"/>
                </patternFill>
              </fill>
            </x14:dxf>
          </x14:cfRule>
          <x14:cfRule type="expression" priority="1030" id="{C5058540-A9D8-4E53-B188-DEFC6F696C76}">
            <xm:f>AA63='5.Mapeo'!$E$12</xm:f>
            <x14:dxf>
              <font>
                <color theme="0"/>
              </font>
              <fill>
                <patternFill>
                  <bgColor rgb="FF2C6EAA"/>
                </patternFill>
              </fill>
            </x14:dxf>
          </x14:cfRule>
          <x14:cfRule type="expression" priority="1031" id="{22D2BB67-F323-4C5F-AC46-D566D2FE8734}">
            <xm:f>AA63='5.Mapeo'!$E$11</xm:f>
            <x14:dxf>
              <font>
                <color theme="0"/>
              </font>
              <fill>
                <patternFill>
                  <bgColor rgb="FF0070C4"/>
                </patternFill>
              </fill>
            </x14:dxf>
          </x14:cfRule>
          <x14:cfRule type="expression" priority="1032" id="{04FB7C04-F599-479D-AFAA-1511D0996646}">
            <xm:f>AA63='5.Mapeo'!$E$10</xm:f>
            <x14:dxf>
              <font>
                <color theme="0"/>
              </font>
              <fill>
                <patternFill>
                  <bgColor theme="9" tint="-0.499984740745262"/>
                </patternFill>
              </fill>
            </x14:dxf>
          </x14:cfRule>
          <x14:cfRule type="expression" priority="1033" id="{87FCA504-DB7D-4A76-A2A4-EF5F77DCC5A2}">
            <xm:f>AA63='5.Mapeo'!$E$9</xm:f>
            <x14:dxf>
              <font>
                <color theme="0"/>
              </font>
              <fill>
                <patternFill>
                  <bgColor rgb="FF5E943C"/>
                </patternFill>
              </fill>
            </x14:dxf>
          </x14:cfRule>
          <x14:cfRule type="expression" priority="1034" id="{13A8A34C-9E91-48D3-8324-42A93F8C4752}">
            <xm:f>AA63='5.Mapeo'!$E$8</xm:f>
            <x14:dxf>
              <font>
                <color theme="0"/>
              </font>
              <fill>
                <patternFill>
                  <bgColor rgb="FF8CC26A"/>
                </patternFill>
              </fill>
            </x14:dxf>
          </x14:cfRule>
          <xm:sqref>AA63:AI72</xm:sqref>
        </x14:conditionalFormatting>
        <x14:conditionalFormatting xmlns:xm="http://schemas.microsoft.com/office/excel/2006/main">
          <x14:cfRule type="expression" priority="957" id="{2D1D9BEF-85A5-4673-90C5-C809E1C6BB4B}">
            <xm:f>AA74='5.Mapeo'!$E$43</xm:f>
            <x14:dxf>
              <fill>
                <patternFill>
                  <bgColor theme="8" tint="-0.24994659260841701"/>
                </patternFill>
              </fill>
            </x14:dxf>
          </x14:cfRule>
          <x14:cfRule type="expression" priority="958" id="{9C07B7CD-82CD-4B4A-BEA5-B0BCE10E2704}">
            <xm:f>AA74='5.Mapeo'!$E$42</xm:f>
            <x14:dxf>
              <font>
                <color auto="1"/>
              </font>
              <fill>
                <patternFill>
                  <bgColor rgb="FF12AEAE"/>
                </patternFill>
              </fill>
            </x14:dxf>
          </x14:cfRule>
          <x14:cfRule type="expression" priority="959" id="{C8D6D8F6-E46D-4F8E-B48F-A1301D18ABCB}">
            <xm:f>AA74='5.Mapeo'!$E$41</xm:f>
            <x14:dxf>
              <font>
                <color theme="1"/>
              </font>
              <fill>
                <patternFill>
                  <bgColor rgb="FFABEAF3"/>
                </patternFill>
              </fill>
            </x14:dxf>
          </x14:cfRule>
          <x14:cfRule type="expression" priority="960" id="{AFCEE00A-B1F1-4EE5-AF95-781BE4B76C39}">
            <xm:f>AA74='5.Mapeo'!$E$40</xm:f>
            <x14:dxf>
              <font>
                <color theme="1"/>
              </font>
              <fill>
                <patternFill>
                  <bgColor rgb="FF00B050"/>
                </patternFill>
              </fill>
            </x14:dxf>
          </x14:cfRule>
          <x14:cfRule type="expression" priority="961" id="{B5E872FE-F006-4EFC-99CD-A0A2A0891E0E}">
            <xm:f>AA74='5.Mapeo'!$E$39</xm:f>
            <x14:dxf>
              <font>
                <color theme="1"/>
              </font>
              <fill>
                <patternFill>
                  <bgColor rgb="FF00FE73"/>
                </patternFill>
              </fill>
            </x14:dxf>
          </x14:cfRule>
          <x14:cfRule type="expression" priority="962" id="{92C0DB30-E201-4DEE-9190-12E5EBFC5E30}">
            <xm:f>AA74='5.Mapeo'!$E$38</xm:f>
            <x14:dxf>
              <font>
                <color theme="1"/>
              </font>
              <fill>
                <patternFill>
                  <bgColor rgb="FF57FFA3"/>
                </patternFill>
              </fill>
            </x14:dxf>
          </x14:cfRule>
          <x14:cfRule type="expression" priority="963" id="{94903776-7805-4D29-A3EF-D031D3D96625}">
            <xm:f>AA74='5.Mapeo'!$E$37</xm:f>
            <x14:dxf>
              <font>
                <color theme="0"/>
              </font>
              <fill>
                <patternFill>
                  <bgColor rgb="FFFF0000"/>
                </patternFill>
              </fill>
            </x14:dxf>
          </x14:cfRule>
          <x14:cfRule type="expression" priority="964" id="{C3D3469E-829E-4405-8FA8-6E29020D8984}">
            <xm:f>AA74='5.Mapeo'!$E$36</xm:f>
            <x14:dxf>
              <font>
                <color theme="0"/>
              </font>
              <fill>
                <patternFill>
                  <bgColor rgb="FFFF4343"/>
                </patternFill>
              </fill>
            </x14:dxf>
          </x14:cfRule>
          <x14:cfRule type="expression" priority="965" id="{0CCE4E78-8928-4189-AEDB-3093065E6A75}">
            <xm:f>AA74='5.Mapeo'!$E$35</xm:f>
            <x14:dxf>
              <font>
                <color theme="0"/>
              </font>
              <fill>
                <patternFill>
                  <bgColor rgb="FFFF8181"/>
                </patternFill>
              </fill>
            </x14:dxf>
          </x14:cfRule>
          <x14:cfRule type="expression" priority="966" id="{3B9FECC0-9D0F-468F-8307-AB785EAAC0F9}">
            <xm:f>AA74='5.Mapeo'!$E$34</xm:f>
            <x14:dxf>
              <fill>
                <patternFill>
                  <bgColor rgb="FFFFFF00"/>
                </patternFill>
              </fill>
            </x14:dxf>
          </x14:cfRule>
          <x14:cfRule type="expression" priority="967" id="{06ED8F0B-E333-4818-A658-50D4BE923EB5}">
            <xm:f>AA74='5.Mapeo'!$E$33</xm:f>
            <x14:dxf>
              <fill>
                <patternFill>
                  <bgColor rgb="FFFFFF5B"/>
                </patternFill>
              </fill>
            </x14:dxf>
          </x14:cfRule>
          <x14:cfRule type="expression" priority="968" id="{1925722A-C684-48D6-A186-DB51EB4CEA18}">
            <xm:f>AA74='5.Mapeo'!$E$32</xm:f>
            <x14:dxf>
              <font>
                <color auto="1"/>
              </font>
              <fill>
                <patternFill>
                  <bgColor rgb="FFFFFF97"/>
                </patternFill>
              </fill>
            </x14:dxf>
          </x14:cfRule>
          <x14:cfRule type="expression" priority="969" id="{01259B84-6069-47DC-8930-1413D344C522}">
            <xm:f>AA74='5.Mapeo'!$E$31</xm:f>
            <x14:dxf>
              <font>
                <color theme="0"/>
              </font>
              <fill>
                <patternFill>
                  <bgColor rgb="FF7030A0"/>
                </patternFill>
              </fill>
            </x14:dxf>
          </x14:cfRule>
          <x14:cfRule type="expression" priority="970" id="{717DC24D-25B0-47B4-B64B-58A9971464CE}">
            <xm:f>AA74='5.Mapeo'!$E$30</xm:f>
            <x14:dxf>
              <font>
                <color theme="0"/>
              </font>
              <fill>
                <patternFill>
                  <bgColor rgb="FF934BC9"/>
                </patternFill>
              </fill>
            </x14:dxf>
          </x14:cfRule>
          <x14:cfRule type="expression" priority="971" id="{42A86F6C-C8BF-4AFE-9627-11497447A135}">
            <xm:f>AA74='5.Mapeo'!$E$29</xm:f>
            <x14:dxf>
              <font>
                <color theme="0"/>
              </font>
              <fill>
                <patternFill>
                  <bgColor rgb="FFC39BE1"/>
                </patternFill>
              </fill>
            </x14:dxf>
          </x14:cfRule>
          <x14:cfRule type="expression" priority="972" id="{C50B39A7-F152-4549-9C67-5859610D8ED6}">
            <xm:f>AA74='5.Mapeo'!$E$28</xm:f>
            <x14:dxf>
              <font>
                <color theme="0"/>
              </font>
              <fill>
                <patternFill>
                  <bgColor theme="1" tint="4.9989318521683403E-2"/>
                </patternFill>
              </fill>
            </x14:dxf>
          </x14:cfRule>
          <x14:cfRule type="expression" priority="973" id="{D6C27896-D6E5-4021-8929-7C7B953D6886}">
            <xm:f>AA74='5.Mapeo'!$E$27</xm:f>
            <x14:dxf>
              <font>
                <color theme="0"/>
              </font>
              <fill>
                <patternFill>
                  <bgColor rgb="FF343434"/>
                </patternFill>
              </fill>
            </x14:dxf>
          </x14:cfRule>
          <x14:cfRule type="expression" priority="974" id="{581AD462-1148-474B-A4DE-8270881F5EB8}">
            <xm:f>AA74='5.Mapeo'!$E$26</xm:f>
            <x14:dxf>
              <font>
                <color theme="0"/>
              </font>
              <fill>
                <patternFill>
                  <bgColor rgb="FF565656"/>
                </patternFill>
              </fill>
            </x14:dxf>
          </x14:cfRule>
          <x14:cfRule type="expression" priority="975" id="{B18636B0-4F1F-4BF1-9254-D09E863F1F98}">
            <xm:f>AA74='5.Mapeo'!$E$25</xm:f>
            <x14:dxf>
              <font>
                <color theme="0"/>
              </font>
              <fill>
                <patternFill>
                  <bgColor theme="3" tint="-0.499984740745262"/>
                </patternFill>
              </fill>
            </x14:dxf>
          </x14:cfRule>
          <x14:cfRule type="expression" priority="976" id="{DA3F5886-35A9-43B7-8663-CF64DBB9DB57}">
            <xm:f>AA74='5.Mapeo'!$E$24</xm:f>
            <x14:dxf>
              <font>
                <color theme="0"/>
              </font>
              <fill>
                <patternFill>
                  <bgColor rgb="FF46596E"/>
                </patternFill>
              </fill>
            </x14:dxf>
          </x14:cfRule>
          <x14:cfRule type="expression" priority="977" id="{1BE10B1E-4334-4854-8EB0-025AD0D41204}">
            <xm:f>AA74='5.Mapeo'!$E$23</xm:f>
            <x14:dxf>
              <font>
                <color theme="0"/>
              </font>
              <fill>
                <patternFill>
                  <bgColor rgb="FF5E7894"/>
                </patternFill>
              </fill>
            </x14:dxf>
          </x14:cfRule>
          <x14:cfRule type="expression" priority="978" id="{9D6260B1-AE08-4D50-973C-F3335CB4D96F}">
            <xm:f>AA74='5.Mapeo'!$E$22</xm:f>
            <x14:dxf>
              <font>
                <color theme="0"/>
              </font>
              <fill>
                <patternFill>
                  <bgColor theme="5" tint="-0.499984740745262"/>
                </patternFill>
              </fill>
            </x14:dxf>
          </x14:cfRule>
          <x14:cfRule type="expression" priority="979" id="{ACF9BB19-8A6E-4974-8E72-6E4C787D98A6}">
            <xm:f>AA74='5.Mapeo'!$E$21</xm:f>
            <x14:dxf>
              <font>
                <color theme="0"/>
              </font>
              <fill>
                <patternFill>
                  <bgColor rgb="FFBB5611"/>
                </patternFill>
              </fill>
            </x14:dxf>
          </x14:cfRule>
          <x14:cfRule type="expression" priority="980" id="{DE0E3425-6450-4222-805F-AC94E3C2543B}">
            <xm:f>AA74='5.Mapeo'!$E$20</xm:f>
            <x14:dxf>
              <font>
                <color theme="0"/>
              </font>
              <fill>
                <patternFill>
                  <bgColor rgb="FFED8741"/>
                </patternFill>
              </fill>
            </x14:dxf>
          </x14:cfRule>
          <x14:cfRule type="expression" priority="981" id="{D5CADB22-1EC0-4DBB-9FB2-75DA677F9846}">
            <xm:f>AA74='5.Mapeo'!$E$19</xm:f>
            <x14:dxf>
              <font>
                <color theme="0"/>
              </font>
              <fill>
                <patternFill>
                  <bgColor theme="6" tint="-0.499984740745262"/>
                </patternFill>
              </fill>
            </x14:dxf>
          </x14:cfRule>
          <x14:cfRule type="expression" priority="982" id="{4532EA56-8D2A-4B3C-BC90-6BD358792DD1}">
            <xm:f>AA74='5.Mapeo'!$E$18</xm:f>
            <x14:dxf>
              <font>
                <color theme="0"/>
              </font>
              <fill>
                <patternFill>
                  <bgColor rgb="FF7D7D7D"/>
                </patternFill>
              </fill>
            </x14:dxf>
          </x14:cfRule>
          <x14:cfRule type="expression" priority="983" id="{A2B52B29-2918-43AF-93DC-64575242FD44}">
            <xm:f>AA74='5.Mapeo'!$E$17</xm:f>
            <x14:dxf>
              <font>
                <color theme="0"/>
              </font>
              <fill>
                <patternFill>
                  <bgColor rgb="FFA7A7A7"/>
                </patternFill>
              </fill>
            </x14:dxf>
          </x14:cfRule>
          <x14:cfRule type="expression" priority="984" id="{7B30BCBD-55B1-4580-A43C-6CC9A5AB2FC0}">
            <xm:f>AA74='5.Mapeo'!$E$16</xm:f>
            <x14:dxf>
              <font>
                <color theme="0"/>
              </font>
              <fill>
                <patternFill>
                  <bgColor theme="7" tint="-0.499984740745262"/>
                </patternFill>
              </fill>
            </x14:dxf>
          </x14:cfRule>
          <x14:cfRule type="expression" priority="985" id="{79C5650C-F564-479A-B363-73F97D29627E}">
            <xm:f>AA74='5.Mapeo'!$E$15</xm:f>
            <x14:dxf>
              <font>
                <color theme="0"/>
              </font>
              <fill>
                <patternFill>
                  <bgColor rgb="FFD09A00"/>
                </patternFill>
              </fill>
            </x14:dxf>
          </x14:cfRule>
          <x14:cfRule type="expression" priority="986" id="{B232D006-B488-405E-92BE-4D58BB7B2B4E}">
            <xm:f>AA74='5.Mapeo'!$E$14</xm:f>
            <x14:dxf>
              <font>
                <color theme="0"/>
              </font>
              <fill>
                <patternFill>
                  <bgColor rgb="FFFFCD3F"/>
                </patternFill>
              </fill>
            </x14:dxf>
          </x14:cfRule>
          <x14:cfRule type="expression" priority="987" id="{B1741373-558F-453C-A59D-DDDF5E900E58}">
            <xm:f>AA74='5.Mapeo'!$E$13</xm:f>
            <x14:dxf>
              <font>
                <color theme="0"/>
              </font>
              <fill>
                <patternFill>
                  <bgColor theme="8" tint="-0.499984740745262"/>
                </patternFill>
              </fill>
            </x14:dxf>
          </x14:cfRule>
          <x14:cfRule type="expression" priority="988" id="{BE82323D-7EDD-4124-A4CA-FA95307EAF51}">
            <xm:f>AA74='5.Mapeo'!$E$12</xm:f>
            <x14:dxf>
              <font>
                <color theme="0"/>
              </font>
              <fill>
                <patternFill>
                  <bgColor rgb="FF2C6EAA"/>
                </patternFill>
              </fill>
            </x14:dxf>
          </x14:cfRule>
          <x14:cfRule type="expression" priority="989" id="{69A4AE1E-F3E1-4F06-9CED-496AD5AD4A18}">
            <xm:f>AA74='5.Mapeo'!$E$11</xm:f>
            <x14:dxf>
              <font>
                <color theme="0"/>
              </font>
              <fill>
                <patternFill>
                  <bgColor rgb="FF0070C4"/>
                </patternFill>
              </fill>
            </x14:dxf>
          </x14:cfRule>
          <x14:cfRule type="expression" priority="990" id="{47BD0D5B-A9BE-4EA0-9807-9B6EE6788136}">
            <xm:f>AA74='5.Mapeo'!$E$10</xm:f>
            <x14:dxf>
              <font>
                <color theme="0"/>
              </font>
              <fill>
                <patternFill>
                  <bgColor theme="9" tint="-0.499984740745262"/>
                </patternFill>
              </fill>
            </x14:dxf>
          </x14:cfRule>
          <x14:cfRule type="expression" priority="991" id="{9996801D-1E94-47DB-B9D9-E6BCF9B56FF4}">
            <xm:f>AA74='5.Mapeo'!$E$9</xm:f>
            <x14:dxf>
              <font>
                <color theme="0"/>
              </font>
              <fill>
                <patternFill>
                  <bgColor rgb="FF5E943C"/>
                </patternFill>
              </fill>
            </x14:dxf>
          </x14:cfRule>
          <x14:cfRule type="expression" priority="992" id="{233A1C5A-1463-4638-B27F-155BF1A8C5B0}">
            <xm:f>AA74='5.Mapeo'!$E$8</xm:f>
            <x14:dxf>
              <font>
                <color theme="0"/>
              </font>
              <fill>
                <patternFill>
                  <bgColor rgb="FF8CC26A"/>
                </patternFill>
              </fill>
            </x14:dxf>
          </x14:cfRule>
          <xm:sqref>AA74:AI83</xm:sqref>
        </x14:conditionalFormatting>
        <x14:conditionalFormatting xmlns:xm="http://schemas.microsoft.com/office/excel/2006/main">
          <x14:cfRule type="expression" priority="915" id="{1B2DBA22-3B55-440B-BE8D-898971E05979}">
            <xm:f>AA85='5.Mapeo'!$E$43</xm:f>
            <x14:dxf>
              <fill>
                <patternFill>
                  <bgColor theme="8" tint="-0.24994659260841701"/>
                </patternFill>
              </fill>
            </x14:dxf>
          </x14:cfRule>
          <x14:cfRule type="expression" priority="916" id="{C088012E-B83E-45BC-B192-C4D942631ED5}">
            <xm:f>AA85='5.Mapeo'!$E$42</xm:f>
            <x14:dxf>
              <font>
                <color auto="1"/>
              </font>
              <fill>
                <patternFill>
                  <bgColor rgb="FF12AEAE"/>
                </patternFill>
              </fill>
            </x14:dxf>
          </x14:cfRule>
          <x14:cfRule type="expression" priority="917" id="{58395FF1-F4F7-4CA7-A9BA-65F44407A857}">
            <xm:f>AA85='5.Mapeo'!$E$41</xm:f>
            <x14:dxf>
              <font>
                <color theme="1"/>
              </font>
              <fill>
                <patternFill>
                  <bgColor rgb="FFABEAF3"/>
                </patternFill>
              </fill>
            </x14:dxf>
          </x14:cfRule>
          <x14:cfRule type="expression" priority="918" id="{19928C1C-579C-4392-8014-E9A54A627F6B}">
            <xm:f>AA85='5.Mapeo'!$E$40</xm:f>
            <x14:dxf>
              <font>
                <color theme="1"/>
              </font>
              <fill>
                <patternFill>
                  <bgColor rgb="FF00B050"/>
                </patternFill>
              </fill>
            </x14:dxf>
          </x14:cfRule>
          <x14:cfRule type="expression" priority="919" id="{5D314CFC-C08C-4FAA-8329-829E6FBBF804}">
            <xm:f>AA85='5.Mapeo'!$E$39</xm:f>
            <x14:dxf>
              <font>
                <color theme="1"/>
              </font>
              <fill>
                <patternFill>
                  <bgColor rgb="FF00FE73"/>
                </patternFill>
              </fill>
            </x14:dxf>
          </x14:cfRule>
          <x14:cfRule type="expression" priority="920" id="{9D5DA758-2CDD-484A-9F88-788F4A8084EE}">
            <xm:f>AA85='5.Mapeo'!$E$38</xm:f>
            <x14:dxf>
              <font>
                <color theme="1"/>
              </font>
              <fill>
                <patternFill>
                  <bgColor rgb="FF57FFA3"/>
                </patternFill>
              </fill>
            </x14:dxf>
          </x14:cfRule>
          <x14:cfRule type="expression" priority="921" id="{4BBF8DEE-0256-4E1A-A609-7B6FA5651ED6}">
            <xm:f>AA85='5.Mapeo'!$E$37</xm:f>
            <x14:dxf>
              <font>
                <color theme="0"/>
              </font>
              <fill>
                <patternFill>
                  <bgColor rgb="FFFF0000"/>
                </patternFill>
              </fill>
            </x14:dxf>
          </x14:cfRule>
          <x14:cfRule type="expression" priority="922" id="{55D05DDE-53BB-4F21-A9FF-8812E14F3822}">
            <xm:f>AA85='5.Mapeo'!$E$36</xm:f>
            <x14:dxf>
              <font>
                <color theme="0"/>
              </font>
              <fill>
                <patternFill>
                  <bgColor rgb="FFFF4343"/>
                </patternFill>
              </fill>
            </x14:dxf>
          </x14:cfRule>
          <x14:cfRule type="expression" priority="923" id="{CD0DDEC0-4AF8-4A05-864A-48847685C149}">
            <xm:f>AA85='5.Mapeo'!$E$35</xm:f>
            <x14:dxf>
              <font>
                <color theme="0"/>
              </font>
              <fill>
                <patternFill>
                  <bgColor rgb="FFFF8181"/>
                </patternFill>
              </fill>
            </x14:dxf>
          </x14:cfRule>
          <x14:cfRule type="expression" priority="924" id="{78A79B4F-C2F3-4D65-B660-3DE56632138A}">
            <xm:f>AA85='5.Mapeo'!$E$34</xm:f>
            <x14:dxf>
              <fill>
                <patternFill>
                  <bgColor rgb="FFFFFF00"/>
                </patternFill>
              </fill>
            </x14:dxf>
          </x14:cfRule>
          <x14:cfRule type="expression" priority="925" id="{DFBBB696-647C-403F-B46C-4D0EFDDDA7BE}">
            <xm:f>AA85='5.Mapeo'!$E$33</xm:f>
            <x14:dxf>
              <fill>
                <patternFill>
                  <bgColor rgb="FFFFFF5B"/>
                </patternFill>
              </fill>
            </x14:dxf>
          </x14:cfRule>
          <x14:cfRule type="expression" priority="926" id="{0250BCBA-FFFD-4FD5-BD21-F457A7E0E769}">
            <xm:f>AA85='5.Mapeo'!$E$32</xm:f>
            <x14:dxf>
              <font>
                <color auto="1"/>
              </font>
              <fill>
                <patternFill>
                  <bgColor rgb="FFFFFF97"/>
                </patternFill>
              </fill>
            </x14:dxf>
          </x14:cfRule>
          <x14:cfRule type="expression" priority="927" id="{CA52E810-4538-4CD6-8140-242845B5A27D}">
            <xm:f>AA85='5.Mapeo'!$E$31</xm:f>
            <x14:dxf>
              <font>
                <color theme="0"/>
              </font>
              <fill>
                <patternFill>
                  <bgColor rgb="FF7030A0"/>
                </patternFill>
              </fill>
            </x14:dxf>
          </x14:cfRule>
          <x14:cfRule type="expression" priority="928" id="{42B6A870-261D-448E-8A0B-AB014432D3E8}">
            <xm:f>AA85='5.Mapeo'!$E$30</xm:f>
            <x14:dxf>
              <font>
                <color theme="0"/>
              </font>
              <fill>
                <patternFill>
                  <bgColor rgb="FF934BC9"/>
                </patternFill>
              </fill>
            </x14:dxf>
          </x14:cfRule>
          <x14:cfRule type="expression" priority="929" id="{8AA8FD2F-4F4D-4A81-A821-C3AD56BFF6EB}">
            <xm:f>AA85='5.Mapeo'!$E$29</xm:f>
            <x14:dxf>
              <font>
                <color theme="0"/>
              </font>
              <fill>
                <patternFill>
                  <bgColor rgb="FFC39BE1"/>
                </patternFill>
              </fill>
            </x14:dxf>
          </x14:cfRule>
          <x14:cfRule type="expression" priority="930" id="{5A305BF4-CA16-44D8-B2B4-D0EE14CDD960}">
            <xm:f>AA85='5.Mapeo'!$E$28</xm:f>
            <x14:dxf>
              <font>
                <color theme="0"/>
              </font>
              <fill>
                <patternFill>
                  <bgColor theme="1" tint="4.9989318521683403E-2"/>
                </patternFill>
              </fill>
            </x14:dxf>
          </x14:cfRule>
          <x14:cfRule type="expression" priority="931" id="{41B6BF34-9803-452E-8CCA-179068F96035}">
            <xm:f>AA85='5.Mapeo'!$E$27</xm:f>
            <x14:dxf>
              <font>
                <color theme="0"/>
              </font>
              <fill>
                <patternFill>
                  <bgColor rgb="FF343434"/>
                </patternFill>
              </fill>
            </x14:dxf>
          </x14:cfRule>
          <x14:cfRule type="expression" priority="932" id="{73CA100D-26DC-48EF-BA80-35A26793085F}">
            <xm:f>AA85='5.Mapeo'!$E$26</xm:f>
            <x14:dxf>
              <font>
                <color theme="0"/>
              </font>
              <fill>
                <patternFill>
                  <bgColor rgb="FF565656"/>
                </patternFill>
              </fill>
            </x14:dxf>
          </x14:cfRule>
          <x14:cfRule type="expression" priority="933" id="{08EAC3E4-79AD-4035-A9D1-C39F9803CC39}">
            <xm:f>AA85='5.Mapeo'!$E$25</xm:f>
            <x14:dxf>
              <font>
                <color theme="0"/>
              </font>
              <fill>
                <patternFill>
                  <bgColor theme="3" tint="-0.499984740745262"/>
                </patternFill>
              </fill>
            </x14:dxf>
          </x14:cfRule>
          <x14:cfRule type="expression" priority="934" id="{0047EB71-8AC8-4416-B3A7-42BD85326FB7}">
            <xm:f>AA85='5.Mapeo'!$E$24</xm:f>
            <x14:dxf>
              <font>
                <color theme="0"/>
              </font>
              <fill>
                <patternFill>
                  <bgColor rgb="FF46596E"/>
                </patternFill>
              </fill>
            </x14:dxf>
          </x14:cfRule>
          <x14:cfRule type="expression" priority="935" id="{E6A208A3-28E7-4104-828F-5E200614A4C6}">
            <xm:f>AA85='5.Mapeo'!$E$23</xm:f>
            <x14:dxf>
              <font>
                <color theme="0"/>
              </font>
              <fill>
                <patternFill>
                  <bgColor rgb="FF5E7894"/>
                </patternFill>
              </fill>
            </x14:dxf>
          </x14:cfRule>
          <x14:cfRule type="expression" priority="936" id="{CB9CB61B-F1D7-47CB-963E-D48B365533E3}">
            <xm:f>AA85='5.Mapeo'!$E$22</xm:f>
            <x14:dxf>
              <font>
                <color theme="0"/>
              </font>
              <fill>
                <patternFill>
                  <bgColor theme="5" tint="-0.499984740745262"/>
                </patternFill>
              </fill>
            </x14:dxf>
          </x14:cfRule>
          <x14:cfRule type="expression" priority="937" id="{59571A9B-A5BF-4820-8866-17AD708AF223}">
            <xm:f>AA85='5.Mapeo'!$E$21</xm:f>
            <x14:dxf>
              <font>
                <color theme="0"/>
              </font>
              <fill>
                <patternFill>
                  <bgColor rgb="FFBB5611"/>
                </patternFill>
              </fill>
            </x14:dxf>
          </x14:cfRule>
          <x14:cfRule type="expression" priority="938" id="{99AF2D12-09B4-4C28-9C4F-8D22E758EDB9}">
            <xm:f>AA85='5.Mapeo'!$E$20</xm:f>
            <x14:dxf>
              <font>
                <color theme="0"/>
              </font>
              <fill>
                <patternFill>
                  <bgColor rgb="FFED8741"/>
                </patternFill>
              </fill>
            </x14:dxf>
          </x14:cfRule>
          <x14:cfRule type="expression" priority="939" id="{4A1D88AB-B52E-4E67-8F6F-9180D64F0F62}">
            <xm:f>AA85='5.Mapeo'!$E$19</xm:f>
            <x14:dxf>
              <font>
                <color theme="0"/>
              </font>
              <fill>
                <patternFill>
                  <bgColor theme="6" tint="-0.499984740745262"/>
                </patternFill>
              </fill>
            </x14:dxf>
          </x14:cfRule>
          <x14:cfRule type="expression" priority="940" id="{2480442F-727F-43AE-93C8-F2494BABCDC9}">
            <xm:f>AA85='5.Mapeo'!$E$18</xm:f>
            <x14:dxf>
              <font>
                <color theme="0"/>
              </font>
              <fill>
                <patternFill>
                  <bgColor rgb="FF7D7D7D"/>
                </patternFill>
              </fill>
            </x14:dxf>
          </x14:cfRule>
          <x14:cfRule type="expression" priority="941" id="{9F693120-7C71-4F4C-AE98-E708B0390EFA}">
            <xm:f>AA85='5.Mapeo'!$E$17</xm:f>
            <x14:dxf>
              <font>
                <color theme="0"/>
              </font>
              <fill>
                <patternFill>
                  <bgColor rgb="FFA7A7A7"/>
                </patternFill>
              </fill>
            </x14:dxf>
          </x14:cfRule>
          <x14:cfRule type="expression" priority="942" id="{8A0DC2C6-C8AE-4EB9-A784-4B98C678283B}">
            <xm:f>AA85='5.Mapeo'!$E$16</xm:f>
            <x14:dxf>
              <font>
                <color theme="0"/>
              </font>
              <fill>
                <patternFill>
                  <bgColor theme="7" tint="-0.499984740745262"/>
                </patternFill>
              </fill>
            </x14:dxf>
          </x14:cfRule>
          <x14:cfRule type="expression" priority="943" id="{EE77F3B0-CCA9-4CE9-9AAD-A5C31E6A394B}">
            <xm:f>AA85='5.Mapeo'!$E$15</xm:f>
            <x14:dxf>
              <font>
                <color theme="0"/>
              </font>
              <fill>
                <patternFill>
                  <bgColor rgb="FFD09A00"/>
                </patternFill>
              </fill>
            </x14:dxf>
          </x14:cfRule>
          <x14:cfRule type="expression" priority="944" id="{7BEBE49D-A217-4C58-8C75-DD561F7EE463}">
            <xm:f>AA85='5.Mapeo'!$E$14</xm:f>
            <x14:dxf>
              <font>
                <color theme="0"/>
              </font>
              <fill>
                <patternFill>
                  <bgColor rgb="FFFFCD3F"/>
                </patternFill>
              </fill>
            </x14:dxf>
          </x14:cfRule>
          <x14:cfRule type="expression" priority="945" id="{33E2B9DB-120F-497C-81B1-5E2EA7D5B51B}">
            <xm:f>AA85='5.Mapeo'!$E$13</xm:f>
            <x14:dxf>
              <font>
                <color theme="0"/>
              </font>
              <fill>
                <patternFill>
                  <bgColor theme="8" tint="-0.499984740745262"/>
                </patternFill>
              </fill>
            </x14:dxf>
          </x14:cfRule>
          <x14:cfRule type="expression" priority="946" id="{3E15B369-EB4B-420E-AB89-58D541700DE9}">
            <xm:f>AA85='5.Mapeo'!$E$12</xm:f>
            <x14:dxf>
              <font>
                <color theme="0"/>
              </font>
              <fill>
                <patternFill>
                  <bgColor rgb="FF2C6EAA"/>
                </patternFill>
              </fill>
            </x14:dxf>
          </x14:cfRule>
          <x14:cfRule type="expression" priority="947" id="{F80E36D0-30AF-4688-AAE5-E3C245AA8CB9}">
            <xm:f>AA85='5.Mapeo'!$E$11</xm:f>
            <x14:dxf>
              <font>
                <color theme="0"/>
              </font>
              <fill>
                <patternFill>
                  <bgColor rgb="FF0070C4"/>
                </patternFill>
              </fill>
            </x14:dxf>
          </x14:cfRule>
          <x14:cfRule type="expression" priority="948" id="{FBA587A8-6EF6-4786-98B4-485BCA8AE9CD}">
            <xm:f>AA85='5.Mapeo'!$E$10</xm:f>
            <x14:dxf>
              <font>
                <color theme="0"/>
              </font>
              <fill>
                <patternFill>
                  <bgColor theme="9" tint="-0.499984740745262"/>
                </patternFill>
              </fill>
            </x14:dxf>
          </x14:cfRule>
          <x14:cfRule type="expression" priority="949" id="{A2F627A0-382E-4A6F-9545-275BFBFCAC76}">
            <xm:f>AA85='5.Mapeo'!$E$9</xm:f>
            <x14:dxf>
              <font>
                <color theme="0"/>
              </font>
              <fill>
                <patternFill>
                  <bgColor rgb="FF5E943C"/>
                </patternFill>
              </fill>
            </x14:dxf>
          </x14:cfRule>
          <x14:cfRule type="expression" priority="950" id="{E1B4C7E0-807B-41FF-8CE4-EAA5E3012AA2}">
            <xm:f>AA85='5.Mapeo'!$E$8</xm:f>
            <x14:dxf>
              <font>
                <color theme="0"/>
              </font>
              <fill>
                <patternFill>
                  <bgColor rgb="FF8CC26A"/>
                </patternFill>
              </fill>
            </x14:dxf>
          </x14:cfRule>
          <xm:sqref>AA85:AI94</xm:sqref>
        </x14:conditionalFormatting>
        <x14:conditionalFormatting xmlns:xm="http://schemas.microsoft.com/office/excel/2006/main">
          <x14:cfRule type="expression" priority="747" id="{576F4018-D2EA-468A-BE15-73FE94FE7B5F}">
            <xm:f>AA96='5.Mapeo'!$E$43</xm:f>
            <x14:dxf>
              <fill>
                <patternFill>
                  <bgColor theme="8" tint="-0.24994659260841701"/>
                </patternFill>
              </fill>
            </x14:dxf>
          </x14:cfRule>
          <x14:cfRule type="expression" priority="748" id="{78C9F5D2-E228-4818-9E63-5A82C5AB144F}">
            <xm:f>AA96='5.Mapeo'!$E$42</xm:f>
            <x14:dxf>
              <font>
                <color auto="1"/>
              </font>
              <fill>
                <patternFill>
                  <bgColor rgb="FF12AEAE"/>
                </patternFill>
              </fill>
            </x14:dxf>
          </x14:cfRule>
          <x14:cfRule type="expression" priority="749" id="{F7B5F860-0AB0-4D11-ACB6-459C0BB8EBE6}">
            <xm:f>AA96='5.Mapeo'!$E$41</xm:f>
            <x14:dxf>
              <font>
                <color theme="1"/>
              </font>
              <fill>
                <patternFill>
                  <bgColor rgb="FFABEAF3"/>
                </patternFill>
              </fill>
            </x14:dxf>
          </x14:cfRule>
          <x14:cfRule type="expression" priority="750" id="{21A95271-8A88-4884-A92A-8CED7E167D68}">
            <xm:f>AA96='5.Mapeo'!$E$40</xm:f>
            <x14:dxf>
              <font>
                <color theme="1"/>
              </font>
              <fill>
                <patternFill>
                  <bgColor rgb="FF00B050"/>
                </patternFill>
              </fill>
            </x14:dxf>
          </x14:cfRule>
          <x14:cfRule type="expression" priority="751" id="{CF711D2F-E031-4D81-9E26-E68829A4D810}">
            <xm:f>AA96='5.Mapeo'!$E$39</xm:f>
            <x14:dxf>
              <font>
                <color theme="1"/>
              </font>
              <fill>
                <patternFill>
                  <bgColor rgb="FF00FE73"/>
                </patternFill>
              </fill>
            </x14:dxf>
          </x14:cfRule>
          <x14:cfRule type="expression" priority="752" id="{36D4CC56-ADA8-48AD-A71A-F1CDB2398B41}">
            <xm:f>AA96='5.Mapeo'!$E$38</xm:f>
            <x14:dxf>
              <font>
                <color theme="1"/>
              </font>
              <fill>
                <patternFill>
                  <bgColor rgb="FF57FFA3"/>
                </patternFill>
              </fill>
            </x14:dxf>
          </x14:cfRule>
          <x14:cfRule type="expression" priority="753" id="{D33F3F2F-F752-49E2-B006-181D4EBA209F}">
            <xm:f>AA96='5.Mapeo'!$E$37</xm:f>
            <x14:dxf>
              <font>
                <color theme="0"/>
              </font>
              <fill>
                <patternFill>
                  <bgColor rgb="FFFF0000"/>
                </patternFill>
              </fill>
            </x14:dxf>
          </x14:cfRule>
          <x14:cfRule type="expression" priority="754" id="{8C4733F5-11A3-4B37-805B-C123FF6C57E1}">
            <xm:f>AA96='5.Mapeo'!$E$36</xm:f>
            <x14:dxf>
              <font>
                <color theme="0"/>
              </font>
              <fill>
                <patternFill>
                  <bgColor rgb="FFFF4343"/>
                </patternFill>
              </fill>
            </x14:dxf>
          </x14:cfRule>
          <x14:cfRule type="expression" priority="755" id="{9F42371A-1DF7-4E10-B8B8-91EEB317F044}">
            <xm:f>AA96='5.Mapeo'!$E$35</xm:f>
            <x14:dxf>
              <font>
                <color theme="0"/>
              </font>
              <fill>
                <patternFill>
                  <bgColor rgb="FFFF8181"/>
                </patternFill>
              </fill>
            </x14:dxf>
          </x14:cfRule>
          <x14:cfRule type="expression" priority="756" id="{A4F0BC23-0B3E-4E7F-83CE-6629EC8312A7}">
            <xm:f>AA96='5.Mapeo'!$E$34</xm:f>
            <x14:dxf>
              <fill>
                <patternFill>
                  <bgColor rgb="FFFFFF00"/>
                </patternFill>
              </fill>
            </x14:dxf>
          </x14:cfRule>
          <x14:cfRule type="expression" priority="757" id="{C5E58D76-AF25-4397-BB18-3F999F4F3E09}">
            <xm:f>AA96='5.Mapeo'!$E$33</xm:f>
            <x14:dxf>
              <fill>
                <patternFill>
                  <bgColor rgb="FFFFFF5B"/>
                </patternFill>
              </fill>
            </x14:dxf>
          </x14:cfRule>
          <x14:cfRule type="expression" priority="758" id="{9E201420-E924-4F13-9523-A584851EB662}">
            <xm:f>AA96='5.Mapeo'!$E$32</xm:f>
            <x14:dxf>
              <font>
                <color auto="1"/>
              </font>
              <fill>
                <patternFill>
                  <bgColor rgb="FFFFFF97"/>
                </patternFill>
              </fill>
            </x14:dxf>
          </x14:cfRule>
          <x14:cfRule type="expression" priority="759" id="{8697691C-7DFB-400D-BBF1-2DDA84E946D2}">
            <xm:f>AA96='5.Mapeo'!$E$31</xm:f>
            <x14:dxf>
              <font>
                <color theme="0"/>
              </font>
              <fill>
                <patternFill>
                  <bgColor rgb="FF7030A0"/>
                </patternFill>
              </fill>
            </x14:dxf>
          </x14:cfRule>
          <x14:cfRule type="expression" priority="760" id="{E9E69F09-65E1-4019-8FEB-E8DCB878D80D}">
            <xm:f>AA96='5.Mapeo'!$E$30</xm:f>
            <x14:dxf>
              <font>
                <color theme="0"/>
              </font>
              <fill>
                <patternFill>
                  <bgColor rgb="FF934BC9"/>
                </patternFill>
              </fill>
            </x14:dxf>
          </x14:cfRule>
          <x14:cfRule type="expression" priority="761" id="{03CE040D-E068-420A-AF90-22C4B93CE672}">
            <xm:f>AA96='5.Mapeo'!$E$29</xm:f>
            <x14:dxf>
              <font>
                <color theme="0"/>
              </font>
              <fill>
                <patternFill>
                  <bgColor rgb="FFC39BE1"/>
                </patternFill>
              </fill>
            </x14:dxf>
          </x14:cfRule>
          <x14:cfRule type="expression" priority="762" id="{C7DD6556-5A87-4D30-A68A-2F491D2D9AEB}">
            <xm:f>AA96='5.Mapeo'!$E$28</xm:f>
            <x14:dxf>
              <font>
                <color theme="0"/>
              </font>
              <fill>
                <patternFill>
                  <bgColor theme="1" tint="4.9989318521683403E-2"/>
                </patternFill>
              </fill>
            </x14:dxf>
          </x14:cfRule>
          <x14:cfRule type="expression" priority="763" id="{92B1717A-1CE0-4B53-BF1A-DEE41AA9B5A0}">
            <xm:f>AA96='5.Mapeo'!$E$27</xm:f>
            <x14:dxf>
              <font>
                <color theme="0"/>
              </font>
              <fill>
                <patternFill>
                  <bgColor rgb="FF343434"/>
                </patternFill>
              </fill>
            </x14:dxf>
          </x14:cfRule>
          <x14:cfRule type="expression" priority="764" id="{5D31CA70-657A-4D04-AF7D-52157D3F0BE3}">
            <xm:f>AA96='5.Mapeo'!$E$26</xm:f>
            <x14:dxf>
              <font>
                <color theme="0"/>
              </font>
              <fill>
                <patternFill>
                  <bgColor rgb="FF565656"/>
                </patternFill>
              </fill>
            </x14:dxf>
          </x14:cfRule>
          <x14:cfRule type="expression" priority="765" id="{9BB1633F-B194-4BE6-BD86-599EA7325475}">
            <xm:f>AA96='5.Mapeo'!$E$25</xm:f>
            <x14:dxf>
              <font>
                <color theme="0"/>
              </font>
              <fill>
                <patternFill>
                  <bgColor theme="3" tint="-0.499984740745262"/>
                </patternFill>
              </fill>
            </x14:dxf>
          </x14:cfRule>
          <x14:cfRule type="expression" priority="766" id="{9AC7D8F4-1DF8-40B7-AF1D-515DAA698A3C}">
            <xm:f>AA96='5.Mapeo'!$E$24</xm:f>
            <x14:dxf>
              <font>
                <color theme="0"/>
              </font>
              <fill>
                <patternFill>
                  <bgColor rgb="FF46596E"/>
                </patternFill>
              </fill>
            </x14:dxf>
          </x14:cfRule>
          <x14:cfRule type="expression" priority="767" id="{3E86C4DE-10AE-4481-ACBC-D04A9F225BB6}">
            <xm:f>AA96='5.Mapeo'!$E$23</xm:f>
            <x14:dxf>
              <font>
                <color theme="0"/>
              </font>
              <fill>
                <patternFill>
                  <bgColor rgb="FF5E7894"/>
                </patternFill>
              </fill>
            </x14:dxf>
          </x14:cfRule>
          <x14:cfRule type="expression" priority="768" id="{51900EDA-D0A5-41EB-8E94-9171695DB659}">
            <xm:f>AA96='5.Mapeo'!$E$22</xm:f>
            <x14:dxf>
              <font>
                <color theme="0"/>
              </font>
              <fill>
                <patternFill>
                  <bgColor theme="5" tint="-0.499984740745262"/>
                </patternFill>
              </fill>
            </x14:dxf>
          </x14:cfRule>
          <x14:cfRule type="expression" priority="769" id="{0E0E71D3-535B-4EED-A2FD-5DCE227447DF}">
            <xm:f>AA96='5.Mapeo'!$E$21</xm:f>
            <x14:dxf>
              <font>
                <color theme="0"/>
              </font>
              <fill>
                <patternFill>
                  <bgColor rgb="FFBB5611"/>
                </patternFill>
              </fill>
            </x14:dxf>
          </x14:cfRule>
          <x14:cfRule type="expression" priority="770" id="{A3116E73-26BB-449C-8D03-D80B28A904B3}">
            <xm:f>AA96='5.Mapeo'!$E$20</xm:f>
            <x14:dxf>
              <font>
                <color theme="0"/>
              </font>
              <fill>
                <patternFill>
                  <bgColor rgb="FFED8741"/>
                </patternFill>
              </fill>
            </x14:dxf>
          </x14:cfRule>
          <x14:cfRule type="expression" priority="771" id="{1FC4A12F-55EB-4DAA-8218-7A5612D187FE}">
            <xm:f>AA96='5.Mapeo'!$E$19</xm:f>
            <x14:dxf>
              <font>
                <color theme="0"/>
              </font>
              <fill>
                <patternFill>
                  <bgColor theme="6" tint="-0.499984740745262"/>
                </patternFill>
              </fill>
            </x14:dxf>
          </x14:cfRule>
          <x14:cfRule type="expression" priority="772" id="{09FBAD0F-E81B-4EC6-9F34-0E4A079D854F}">
            <xm:f>AA96='5.Mapeo'!$E$18</xm:f>
            <x14:dxf>
              <font>
                <color theme="0"/>
              </font>
              <fill>
                <patternFill>
                  <bgColor rgb="FF7D7D7D"/>
                </patternFill>
              </fill>
            </x14:dxf>
          </x14:cfRule>
          <x14:cfRule type="expression" priority="773" id="{6DDB1403-7744-44DB-99F5-D4A394F88FB9}">
            <xm:f>AA96='5.Mapeo'!$E$17</xm:f>
            <x14:dxf>
              <font>
                <color theme="0"/>
              </font>
              <fill>
                <patternFill>
                  <bgColor rgb="FFA7A7A7"/>
                </patternFill>
              </fill>
            </x14:dxf>
          </x14:cfRule>
          <x14:cfRule type="expression" priority="774" id="{911EA7C3-FA7E-4235-B667-17D34BBCE15F}">
            <xm:f>AA96='5.Mapeo'!$E$16</xm:f>
            <x14:dxf>
              <font>
                <color theme="0"/>
              </font>
              <fill>
                <patternFill>
                  <bgColor theme="7" tint="-0.499984740745262"/>
                </patternFill>
              </fill>
            </x14:dxf>
          </x14:cfRule>
          <x14:cfRule type="expression" priority="775" id="{29A7EE8A-67D8-44D9-B403-77C11885AF4C}">
            <xm:f>AA96='5.Mapeo'!$E$15</xm:f>
            <x14:dxf>
              <font>
                <color theme="0"/>
              </font>
              <fill>
                <patternFill>
                  <bgColor rgb="FFD09A00"/>
                </patternFill>
              </fill>
            </x14:dxf>
          </x14:cfRule>
          <x14:cfRule type="expression" priority="776" id="{9CBFEB5B-63F3-4660-B37B-CF11C980E39E}">
            <xm:f>AA96='5.Mapeo'!$E$14</xm:f>
            <x14:dxf>
              <font>
                <color theme="0"/>
              </font>
              <fill>
                <patternFill>
                  <bgColor rgb="FFFFCD3F"/>
                </patternFill>
              </fill>
            </x14:dxf>
          </x14:cfRule>
          <x14:cfRule type="expression" priority="777" id="{D44EB192-C6A6-4C96-8EE7-69FECE56896D}">
            <xm:f>AA96='5.Mapeo'!$E$13</xm:f>
            <x14:dxf>
              <font>
                <color theme="0"/>
              </font>
              <fill>
                <patternFill>
                  <bgColor theme="8" tint="-0.499984740745262"/>
                </patternFill>
              </fill>
            </x14:dxf>
          </x14:cfRule>
          <x14:cfRule type="expression" priority="778" id="{8E25A506-40AB-4383-80D8-684C6E02CC93}">
            <xm:f>AA96='5.Mapeo'!$E$12</xm:f>
            <x14:dxf>
              <font>
                <color theme="0"/>
              </font>
              <fill>
                <patternFill>
                  <bgColor rgb="FF2C6EAA"/>
                </patternFill>
              </fill>
            </x14:dxf>
          </x14:cfRule>
          <x14:cfRule type="expression" priority="779" id="{76F76442-C6C0-4DB8-AFCA-61711E7AF539}">
            <xm:f>AA96='5.Mapeo'!$E$11</xm:f>
            <x14:dxf>
              <font>
                <color theme="0"/>
              </font>
              <fill>
                <patternFill>
                  <bgColor rgb="FF0070C4"/>
                </patternFill>
              </fill>
            </x14:dxf>
          </x14:cfRule>
          <x14:cfRule type="expression" priority="780" id="{05556711-9BED-4B4A-8227-539F17EF32C9}">
            <xm:f>AA96='5.Mapeo'!$E$10</xm:f>
            <x14:dxf>
              <font>
                <color theme="0"/>
              </font>
              <fill>
                <patternFill>
                  <bgColor theme="9" tint="-0.499984740745262"/>
                </patternFill>
              </fill>
            </x14:dxf>
          </x14:cfRule>
          <x14:cfRule type="expression" priority="781" id="{1F48DF9F-0F68-4D31-8B09-5F7D2716DA7F}">
            <xm:f>AA96='5.Mapeo'!$E$9</xm:f>
            <x14:dxf>
              <font>
                <color theme="0"/>
              </font>
              <fill>
                <patternFill>
                  <bgColor rgb="FF5E943C"/>
                </patternFill>
              </fill>
            </x14:dxf>
          </x14:cfRule>
          <x14:cfRule type="expression" priority="782" id="{DA0620C8-3D0E-4188-B425-670775C89682}">
            <xm:f>AA96='5.Mapeo'!$E$8</xm:f>
            <x14:dxf>
              <font>
                <color theme="0"/>
              </font>
              <fill>
                <patternFill>
                  <bgColor rgb="FF8CC26A"/>
                </patternFill>
              </fill>
            </x14:dxf>
          </x14:cfRule>
          <xm:sqref>AA96:AI105</xm:sqref>
        </x14:conditionalFormatting>
        <x14:conditionalFormatting xmlns:xm="http://schemas.microsoft.com/office/excel/2006/main">
          <x14:cfRule type="expression" priority="831" id="{3802E9AD-641D-41F9-8CAF-480F4DFC0A8D}">
            <xm:f>AA107='5.Mapeo'!$E$43</xm:f>
            <x14:dxf>
              <fill>
                <patternFill>
                  <bgColor theme="8" tint="-0.24994659260841701"/>
                </patternFill>
              </fill>
            </x14:dxf>
          </x14:cfRule>
          <x14:cfRule type="expression" priority="832" id="{B62A1636-9D93-4DDF-AB7B-D885D431B33A}">
            <xm:f>AA107='5.Mapeo'!$E$42</xm:f>
            <x14:dxf>
              <font>
                <color auto="1"/>
              </font>
              <fill>
                <patternFill>
                  <bgColor rgb="FF12AEAE"/>
                </patternFill>
              </fill>
            </x14:dxf>
          </x14:cfRule>
          <x14:cfRule type="expression" priority="833" id="{E2FF2410-DB98-4F32-B4E9-F32CC0D00243}">
            <xm:f>AA107='5.Mapeo'!$E$41</xm:f>
            <x14:dxf>
              <font>
                <color theme="1"/>
              </font>
              <fill>
                <patternFill>
                  <bgColor rgb="FFABEAF3"/>
                </patternFill>
              </fill>
            </x14:dxf>
          </x14:cfRule>
          <x14:cfRule type="expression" priority="834" id="{219A33B3-22D1-44A8-8555-1A4111C28DD2}">
            <xm:f>AA107='5.Mapeo'!$E$40</xm:f>
            <x14:dxf>
              <font>
                <color theme="1"/>
              </font>
              <fill>
                <patternFill>
                  <bgColor rgb="FF00B050"/>
                </patternFill>
              </fill>
            </x14:dxf>
          </x14:cfRule>
          <x14:cfRule type="expression" priority="835" id="{3952152B-7449-4C51-9A9A-85A9BEC71120}">
            <xm:f>AA107='5.Mapeo'!$E$39</xm:f>
            <x14:dxf>
              <font>
                <color theme="1"/>
              </font>
              <fill>
                <patternFill>
                  <bgColor rgb="FF00FE73"/>
                </patternFill>
              </fill>
            </x14:dxf>
          </x14:cfRule>
          <x14:cfRule type="expression" priority="836" id="{83A5DDCD-0832-44AE-9AC9-29E68A0CFECC}">
            <xm:f>AA107='5.Mapeo'!$E$38</xm:f>
            <x14:dxf>
              <font>
                <color theme="1"/>
              </font>
              <fill>
                <patternFill>
                  <bgColor rgb="FF57FFA3"/>
                </patternFill>
              </fill>
            </x14:dxf>
          </x14:cfRule>
          <x14:cfRule type="expression" priority="837" id="{049FB0FE-5318-493E-9D8F-BEEF208738C7}">
            <xm:f>AA107='5.Mapeo'!$E$37</xm:f>
            <x14:dxf>
              <font>
                <color theme="0"/>
              </font>
              <fill>
                <patternFill>
                  <bgColor rgb="FFFF0000"/>
                </patternFill>
              </fill>
            </x14:dxf>
          </x14:cfRule>
          <x14:cfRule type="expression" priority="838" id="{FFE0ADD2-33D3-447A-BFE1-415B45BD956C}">
            <xm:f>AA107='5.Mapeo'!$E$36</xm:f>
            <x14:dxf>
              <font>
                <color theme="0"/>
              </font>
              <fill>
                <patternFill>
                  <bgColor rgb="FFFF4343"/>
                </patternFill>
              </fill>
            </x14:dxf>
          </x14:cfRule>
          <x14:cfRule type="expression" priority="839" id="{D45A5221-58A2-476B-902C-0AC81879AFF5}">
            <xm:f>AA107='5.Mapeo'!$E$35</xm:f>
            <x14:dxf>
              <font>
                <color theme="0"/>
              </font>
              <fill>
                <patternFill>
                  <bgColor rgb="FFFF8181"/>
                </patternFill>
              </fill>
            </x14:dxf>
          </x14:cfRule>
          <x14:cfRule type="expression" priority="840" id="{A3F66BFE-5694-48A3-AE45-9F96A5AD5C96}">
            <xm:f>AA107='5.Mapeo'!$E$34</xm:f>
            <x14:dxf>
              <fill>
                <patternFill>
                  <bgColor rgb="FFFFFF00"/>
                </patternFill>
              </fill>
            </x14:dxf>
          </x14:cfRule>
          <x14:cfRule type="expression" priority="841" id="{3782EE99-4076-49CE-87E8-9A0553EA3A15}">
            <xm:f>AA107='5.Mapeo'!$E$33</xm:f>
            <x14:dxf>
              <fill>
                <patternFill>
                  <bgColor rgb="FFFFFF5B"/>
                </patternFill>
              </fill>
            </x14:dxf>
          </x14:cfRule>
          <x14:cfRule type="expression" priority="842" id="{3A864BA4-149F-427C-9E4B-65E5CDCB3179}">
            <xm:f>AA107='5.Mapeo'!$E$32</xm:f>
            <x14:dxf>
              <font>
                <color auto="1"/>
              </font>
              <fill>
                <patternFill>
                  <bgColor rgb="FFFFFF97"/>
                </patternFill>
              </fill>
            </x14:dxf>
          </x14:cfRule>
          <x14:cfRule type="expression" priority="843" id="{DBB680EB-3B9C-425E-8425-5631B9A31326}">
            <xm:f>AA107='5.Mapeo'!$E$31</xm:f>
            <x14:dxf>
              <font>
                <color theme="0"/>
              </font>
              <fill>
                <patternFill>
                  <bgColor rgb="FF7030A0"/>
                </patternFill>
              </fill>
            </x14:dxf>
          </x14:cfRule>
          <x14:cfRule type="expression" priority="844" id="{97679AEC-3065-45D3-8641-581C4E84FF97}">
            <xm:f>AA107='5.Mapeo'!$E$30</xm:f>
            <x14:dxf>
              <font>
                <color theme="0"/>
              </font>
              <fill>
                <patternFill>
                  <bgColor rgb="FF934BC9"/>
                </patternFill>
              </fill>
            </x14:dxf>
          </x14:cfRule>
          <x14:cfRule type="expression" priority="845" id="{D406C97E-297F-47DF-9F32-E90482074324}">
            <xm:f>AA107='5.Mapeo'!$E$29</xm:f>
            <x14:dxf>
              <font>
                <color theme="0"/>
              </font>
              <fill>
                <patternFill>
                  <bgColor rgb="FFC39BE1"/>
                </patternFill>
              </fill>
            </x14:dxf>
          </x14:cfRule>
          <x14:cfRule type="expression" priority="846" id="{9D5EAB1A-07DB-4EC5-A4A7-EBC102E6E257}">
            <xm:f>AA107='5.Mapeo'!$E$28</xm:f>
            <x14:dxf>
              <font>
                <color theme="0"/>
              </font>
              <fill>
                <patternFill>
                  <bgColor theme="1" tint="4.9989318521683403E-2"/>
                </patternFill>
              </fill>
            </x14:dxf>
          </x14:cfRule>
          <x14:cfRule type="expression" priority="847" id="{62CEA68B-651E-462C-9BDC-E758FD6967DF}">
            <xm:f>AA107='5.Mapeo'!$E$27</xm:f>
            <x14:dxf>
              <font>
                <color theme="0"/>
              </font>
              <fill>
                <patternFill>
                  <bgColor rgb="FF343434"/>
                </patternFill>
              </fill>
            </x14:dxf>
          </x14:cfRule>
          <x14:cfRule type="expression" priority="848" id="{B572D2A0-1E05-4072-AE49-1AFD3B29A23F}">
            <xm:f>AA107='5.Mapeo'!$E$26</xm:f>
            <x14:dxf>
              <font>
                <color theme="0"/>
              </font>
              <fill>
                <patternFill>
                  <bgColor rgb="FF565656"/>
                </patternFill>
              </fill>
            </x14:dxf>
          </x14:cfRule>
          <x14:cfRule type="expression" priority="849" id="{4FBD37B5-4AB0-493B-863A-AB4885F34C16}">
            <xm:f>AA107='5.Mapeo'!$E$25</xm:f>
            <x14:dxf>
              <font>
                <color theme="0"/>
              </font>
              <fill>
                <patternFill>
                  <bgColor theme="3" tint="-0.499984740745262"/>
                </patternFill>
              </fill>
            </x14:dxf>
          </x14:cfRule>
          <x14:cfRule type="expression" priority="850" id="{BE9F36C0-6C5B-46FA-A63C-B054C61EFEBC}">
            <xm:f>AA107='5.Mapeo'!$E$24</xm:f>
            <x14:dxf>
              <font>
                <color theme="0"/>
              </font>
              <fill>
                <patternFill>
                  <bgColor rgb="FF46596E"/>
                </patternFill>
              </fill>
            </x14:dxf>
          </x14:cfRule>
          <x14:cfRule type="expression" priority="851" id="{55786C4E-58B6-4590-8E0C-675CFBEB213E}">
            <xm:f>AA107='5.Mapeo'!$E$23</xm:f>
            <x14:dxf>
              <font>
                <color theme="0"/>
              </font>
              <fill>
                <patternFill>
                  <bgColor rgb="FF5E7894"/>
                </patternFill>
              </fill>
            </x14:dxf>
          </x14:cfRule>
          <x14:cfRule type="expression" priority="852" id="{DD875BF7-D3F1-43D3-A259-97E6C81D9A9C}">
            <xm:f>AA107='5.Mapeo'!$E$22</xm:f>
            <x14:dxf>
              <font>
                <color theme="0"/>
              </font>
              <fill>
                <patternFill>
                  <bgColor theme="5" tint="-0.499984740745262"/>
                </patternFill>
              </fill>
            </x14:dxf>
          </x14:cfRule>
          <x14:cfRule type="expression" priority="853" id="{427D3A3E-62BC-486B-A067-38B936CAD407}">
            <xm:f>AA107='5.Mapeo'!$E$21</xm:f>
            <x14:dxf>
              <font>
                <color theme="0"/>
              </font>
              <fill>
                <patternFill>
                  <bgColor rgb="FFBB5611"/>
                </patternFill>
              </fill>
            </x14:dxf>
          </x14:cfRule>
          <x14:cfRule type="expression" priority="854" id="{B5842D95-8CE5-4B24-A83A-8806FC33B353}">
            <xm:f>AA107='5.Mapeo'!$E$20</xm:f>
            <x14:dxf>
              <font>
                <color theme="0"/>
              </font>
              <fill>
                <patternFill>
                  <bgColor rgb="FFED8741"/>
                </patternFill>
              </fill>
            </x14:dxf>
          </x14:cfRule>
          <x14:cfRule type="expression" priority="855" id="{919BCFBD-6BE9-42C6-A54F-D44799396D3B}">
            <xm:f>AA107='5.Mapeo'!$E$19</xm:f>
            <x14:dxf>
              <font>
                <color theme="0"/>
              </font>
              <fill>
                <patternFill>
                  <bgColor theme="6" tint="-0.499984740745262"/>
                </patternFill>
              </fill>
            </x14:dxf>
          </x14:cfRule>
          <x14:cfRule type="expression" priority="856" id="{3629811E-09D0-4D5D-A7DA-0BCEF7886DBB}">
            <xm:f>AA107='5.Mapeo'!$E$18</xm:f>
            <x14:dxf>
              <font>
                <color theme="0"/>
              </font>
              <fill>
                <patternFill>
                  <bgColor rgb="FF7D7D7D"/>
                </patternFill>
              </fill>
            </x14:dxf>
          </x14:cfRule>
          <x14:cfRule type="expression" priority="857" id="{D05FC0D6-510A-4B5F-BB5F-E5844CE739D4}">
            <xm:f>AA107='5.Mapeo'!$E$17</xm:f>
            <x14:dxf>
              <font>
                <color theme="0"/>
              </font>
              <fill>
                <patternFill>
                  <bgColor rgb="FFA7A7A7"/>
                </patternFill>
              </fill>
            </x14:dxf>
          </x14:cfRule>
          <x14:cfRule type="expression" priority="858" id="{0B9BE363-1CE9-4F96-B2E1-6483419B5F63}">
            <xm:f>AA107='5.Mapeo'!$E$16</xm:f>
            <x14:dxf>
              <font>
                <color theme="0"/>
              </font>
              <fill>
                <patternFill>
                  <bgColor theme="7" tint="-0.499984740745262"/>
                </patternFill>
              </fill>
            </x14:dxf>
          </x14:cfRule>
          <x14:cfRule type="expression" priority="859" id="{75B16CD2-EFDA-4254-A5C1-B4C0F0F1B252}">
            <xm:f>AA107='5.Mapeo'!$E$15</xm:f>
            <x14:dxf>
              <font>
                <color theme="0"/>
              </font>
              <fill>
                <patternFill>
                  <bgColor rgb="FFD09A00"/>
                </patternFill>
              </fill>
            </x14:dxf>
          </x14:cfRule>
          <x14:cfRule type="expression" priority="860" id="{2C80E6C5-346B-44D4-B114-29392A721AE2}">
            <xm:f>AA107='5.Mapeo'!$E$14</xm:f>
            <x14:dxf>
              <font>
                <color theme="0"/>
              </font>
              <fill>
                <patternFill>
                  <bgColor rgb="FFFFCD3F"/>
                </patternFill>
              </fill>
            </x14:dxf>
          </x14:cfRule>
          <x14:cfRule type="expression" priority="861" id="{0F6CD9B6-3BC6-4659-AEA2-CF0CA6D52589}">
            <xm:f>AA107='5.Mapeo'!$E$13</xm:f>
            <x14:dxf>
              <font>
                <color theme="0"/>
              </font>
              <fill>
                <patternFill>
                  <bgColor theme="8" tint="-0.499984740745262"/>
                </patternFill>
              </fill>
            </x14:dxf>
          </x14:cfRule>
          <x14:cfRule type="expression" priority="862" id="{DB4BCC58-8E60-4328-B109-05E70D1D2941}">
            <xm:f>AA107='5.Mapeo'!$E$12</xm:f>
            <x14:dxf>
              <font>
                <color theme="0"/>
              </font>
              <fill>
                <patternFill>
                  <bgColor rgb="FF2C6EAA"/>
                </patternFill>
              </fill>
            </x14:dxf>
          </x14:cfRule>
          <x14:cfRule type="expression" priority="863" id="{0A7A82CF-A470-4A14-970C-609FEA9CE115}">
            <xm:f>AA107='5.Mapeo'!$E$11</xm:f>
            <x14:dxf>
              <font>
                <color theme="0"/>
              </font>
              <fill>
                <patternFill>
                  <bgColor rgb="FF0070C4"/>
                </patternFill>
              </fill>
            </x14:dxf>
          </x14:cfRule>
          <x14:cfRule type="expression" priority="864" id="{DFE0ADBE-6406-43A3-A0FE-7C647BBA1565}">
            <xm:f>AA107='5.Mapeo'!$E$10</xm:f>
            <x14:dxf>
              <font>
                <color theme="0"/>
              </font>
              <fill>
                <patternFill>
                  <bgColor theme="9" tint="-0.499984740745262"/>
                </patternFill>
              </fill>
            </x14:dxf>
          </x14:cfRule>
          <x14:cfRule type="expression" priority="865" id="{F3BEA568-D535-4629-A5E9-30EB280E5BCC}">
            <xm:f>AA107='5.Mapeo'!$E$9</xm:f>
            <x14:dxf>
              <font>
                <color theme="0"/>
              </font>
              <fill>
                <patternFill>
                  <bgColor rgb="FF5E943C"/>
                </patternFill>
              </fill>
            </x14:dxf>
          </x14:cfRule>
          <x14:cfRule type="expression" priority="866" id="{2DFFFA8B-512D-47F1-80A0-C42487BABC64}">
            <xm:f>AA107='5.Mapeo'!$E$8</xm:f>
            <x14:dxf>
              <font>
                <color theme="0"/>
              </font>
              <fill>
                <patternFill>
                  <bgColor rgb="FF8CC26A"/>
                </patternFill>
              </fill>
            </x14:dxf>
          </x14:cfRule>
          <xm:sqref>AA107:AI116</xm:sqref>
        </x14:conditionalFormatting>
        <x14:conditionalFormatting xmlns:xm="http://schemas.microsoft.com/office/excel/2006/main">
          <x14:cfRule type="expression" priority="79" id="{CD00B09B-06FA-4CA8-9A76-327FACD4A796}">
            <xm:f>AA118='5.Mapeo'!$E$43</xm:f>
            <x14:dxf>
              <fill>
                <patternFill>
                  <bgColor theme="8" tint="-0.24994659260841701"/>
                </patternFill>
              </fill>
            </x14:dxf>
          </x14:cfRule>
          <x14:cfRule type="expression" priority="80" id="{748DEB5E-6E6C-420C-A229-7AE6CE017CC4}">
            <xm:f>AA118='5.Mapeo'!$E$42</xm:f>
            <x14:dxf>
              <font>
                <color auto="1"/>
              </font>
              <fill>
                <patternFill>
                  <bgColor rgb="FF12AEAE"/>
                </patternFill>
              </fill>
            </x14:dxf>
          </x14:cfRule>
          <x14:cfRule type="expression" priority="81" id="{FE8829F4-2AAE-48F5-840F-4803C59871CE}">
            <xm:f>AA118='5.Mapeo'!$E$41</xm:f>
            <x14:dxf>
              <font>
                <color theme="1"/>
              </font>
              <fill>
                <patternFill>
                  <bgColor rgb="FFABEAF3"/>
                </patternFill>
              </fill>
            </x14:dxf>
          </x14:cfRule>
          <x14:cfRule type="expression" priority="82" id="{19928315-DFC0-4CC7-9DF6-5C88E4DB9832}">
            <xm:f>AA118='5.Mapeo'!$E$40</xm:f>
            <x14:dxf>
              <font>
                <color theme="1"/>
              </font>
              <fill>
                <patternFill>
                  <bgColor rgb="FF00B050"/>
                </patternFill>
              </fill>
            </x14:dxf>
          </x14:cfRule>
          <x14:cfRule type="expression" priority="83" id="{2AE502BF-15B3-4FDC-9892-229F74008673}">
            <xm:f>AA118='5.Mapeo'!$E$39</xm:f>
            <x14:dxf>
              <font>
                <color theme="1"/>
              </font>
              <fill>
                <patternFill>
                  <bgColor rgb="FF00FE73"/>
                </patternFill>
              </fill>
            </x14:dxf>
          </x14:cfRule>
          <x14:cfRule type="expression" priority="84" id="{BDAA2FC6-E091-4890-B447-9CC9D51BDF0A}">
            <xm:f>AA118='5.Mapeo'!$E$38</xm:f>
            <x14:dxf>
              <font>
                <color theme="1"/>
              </font>
              <fill>
                <patternFill>
                  <bgColor rgb="FF57FFA3"/>
                </patternFill>
              </fill>
            </x14:dxf>
          </x14:cfRule>
          <x14:cfRule type="expression" priority="85" id="{E0680E66-5701-4D0D-BF97-45E2ABDC4D96}">
            <xm:f>AA118='5.Mapeo'!$E$37</xm:f>
            <x14:dxf>
              <font>
                <color theme="0"/>
              </font>
              <fill>
                <patternFill>
                  <bgColor rgb="FFFF0000"/>
                </patternFill>
              </fill>
            </x14:dxf>
          </x14:cfRule>
          <x14:cfRule type="expression" priority="86" id="{9973C92C-8B73-44C1-9FBC-62670FB71F67}">
            <xm:f>AA118='5.Mapeo'!$E$36</xm:f>
            <x14:dxf>
              <font>
                <color theme="0"/>
              </font>
              <fill>
                <patternFill>
                  <bgColor rgb="FFFF4343"/>
                </patternFill>
              </fill>
            </x14:dxf>
          </x14:cfRule>
          <x14:cfRule type="expression" priority="87" id="{C046527B-F151-4139-84EA-B61628CE7770}">
            <xm:f>AA118='5.Mapeo'!$E$35</xm:f>
            <x14:dxf>
              <font>
                <color theme="0"/>
              </font>
              <fill>
                <patternFill>
                  <bgColor rgb="FFFF8181"/>
                </patternFill>
              </fill>
            </x14:dxf>
          </x14:cfRule>
          <x14:cfRule type="expression" priority="88" id="{C765C52C-0ADE-434C-847C-560ED834205D}">
            <xm:f>AA118='5.Mapeo'!$E$34</xm:f>
            <x14:dxf>
              <fill>
                <patternFill>
                  <bgColor rgb="FFFFFF00"/>
                </patternFill>
              </fill>
            </x14:dxf>
          </x14:cfRule>
          <x14:cfRule type="expression" priority="89" id="{40DB6ED9-0996-4E29-BB33-7A63C607F867}">
            <xm:f>AA118='5.Mapeo'!$E$33</xm:f>
            <x14:dxf>
              <fill>
                <patternFill>
                  <bgColor rgb="FFFFFF5B"/>
                </patternFill>
              </fill>
            </x14:dxf>
          </x14:cfRule>
          <x14:cfRule type="expression" priority="90" id="{E7C3C067-A547-4110-9B6B-90E3B54BA629}">
            <xm:f>AA118='5.Mapeo'!$E$32</xm:f>
            <x14:dxf>
              <font>
                <color auto="1"/>
              </font>
              <fill>
                <patternFill>
                  <bgColor rgb="FFFFFF97"/>
                </patternFill>
              </fill>
            </x14:dxf>
          </x14:cfRule>
          <x14:cfRule type="expression" priority="91" id="{6971056E-1345-48F9-B340-C8A3DD183A13}">
            <xm:f>AA118='5.Mapeo'!$E$31</xm:f>
            <x14:dxf>
              <font>
                <color theme="0"/>
              </font>
              <fill>
                <patternFill>
                  <bgColor rgb="FF7030A0"/>
                </patternFill>
              </fill>
            </x14:dxf>
          </x14:cfRule>
          <x14:cfRule type="expression" priority="92" id="{90B96D5B-548C-4380-8255-C6CC8088C49A}">
            <xm:f>AA118='5.Mapeo'!$E$30</xm:f>
            <x14:dxf>
              <font>
                <color theme="0"/>
              </font>
              <fill>
                <patternFill>
                  <bgColor rgb="FF934BC9"/>
                </patternFill>
              </fill>
            </x14:dxf>
          </x14:cfRule>
          <x14:cfRule type="expression" priority="93" id="{E8CBE489-AE98-48A4-B0C9-E23D5C632E41}">
            <xm:f>AA118='5.Mapeo'!$E$29</xm:f>
            <x14:dxf>
              <font>
                <color theme="0"/>
              </font>
              <fill>
                <patternFill>
                  <bgColor rgb="FFC39BE1"/>
                </patternFill>
              </fill>
            </x14:dxf>
          </x14:cfRule>
          <x14:cfRule type="expression" priority="94" id="{5CFD4312-B703-4904-A9FD-253BDB16F1DD}">
            <xm:f>AA118='5.Mapeo'!$E$28</xm:f>
            <x14:dxf>
              <font>
                <color theme="0"/>
              </font>
              <fill>
                <patternFill>
                  <bgColor theme="1" tint="4.9989318521683403E-2"/>
                </patternFill>
              </fill>
            </x14:dxf>
          </x14:cfRule>
          <x14:cfRule type="expression" priority="95" id="{0830B1D1-E606-4896-974E-62EE742C4CB9}">
            <xm:f>AA118='5.Mapeo'!$E$27</xm:f>
            <x14:dxf>
              <font>
                <color theme="0"/>
              </font>
              <fill>
                <patternFill>
                  <bgColor rgb="FF343434"/>
                </patternFill>
              </fill>
            </x14:dxf>
          </x14:cfRule>
          <x14:cfRule type="expression" priority="96" id="{04DA69F6-8527-48C7-B987-4EF95CC4E793}">
            <xm:f>AA118='5.Mapeo'!$E$26</xm:f>
            <x14:dxf>
              <font>
                <color theme="0"/>
              </font>
              <fill>
                <patternFill>
                  <bgColor rgb="FF565656"/>
                </patternFill>
              </fill>
            </x14:dxf>
          </x14:cfRule>
          <x14:cfRule type="expression" priority="97" id="{F76E9DF6-08B6-42D5-AFF3-C6EB8C6848C2}">
            <xm:f>AA118='5.Mapeo'!$E$25</xm:f>
            <x14:dxf>
              <font>
                <color theme="0"/>
              </font>
              <fill>
                <patternFill>
                  <bgColor theme="3" tint="-0.499984740745262"/>
                </patternFill>
              </fill>
            </x14:dxf>
          </x14:cfRule>
          <x14:cfRule type="expression" priority="98" id="{3245EEF3-DCE0-4618-9901-DD31BC42D827}">
            <xm:f>AA118='5.Mapeo'!$E$24</xm:f>
            <x14:dxf>
              <font>
                <color theme="0"/>
              </font>
              <fill>
                <patternFill>
                  <bgColor rgb="FF46596E"/>
                </patternFill>
              </fill>
            </x14:dxf>
          </x14:cfRule>
          <x14:cfRule type="expression" priority="99" id="{1F5EC51C-B40E-40AD-88AF-563E208F0738}">
            <xm:f>AA118='5.Mapeo'!$E$23</xm:f>
            <x14:dxf>
              <font>
                <color theme="0"/>
              </font>
              <fill>
                <patternFill>
                  <bgColor rgb="FF5E7894"/>
                </patternFill>
              </fill>
            </x14:dxf>
          </x14:cfRule>
          <x14:cfRule type="expression" priority="100" id="{9A151A66-9676-4783-B7F1-D129964459F5}">
            <xm:f>AA118='5.Mapeo'!$E$22</xm:f>
            <x14:dxf>
              <font>
                <color theme="0"/>
              </font>
              <fill>
                <patternFill>
                  <bgColor theme="5" tint="-0.499984740745262"/>
                </patternFill>
              </fill>
            </x14:dxf>
          </x14:cfRule>
          <x14:cfRule type="expression" priority="101" id="{938CDECD-FF40-4AEE-9431-97D41B82BCEF}">
            <xm:f>AA118='5.Mapeo'!$E$21</xm:f>
            <x14:dxf>
              <font>
                <color theme="0"/>
              </font>
              <fill>
                <patternFill>
                  <bgColor rgb="FFBB5611"/>
                </patternFill>
              </fill>
            </x14:dxf>
          </x14:cfRule>
          <x14:cfRule type="expression" priority="102" id="{DB7EC4CC-4562-4597-B7C1-744C8287A68F}">
            <xm:f>AA118='5.Mapeo'!$E$20</xm:f>
            <x14:dxf>
              <font>
                <color theme="0"/>
              </font>
              <fill>
                <patternFill>
                  <bgColor rgb="FFED8741"/>
                </patternFill>
              </fill>
            </x14:dxf>
          </x14:cfRule>
          <x14:cfRule type="expression" priority="103" id="{815767B6-2BE4-4E32-BD15-95CB21E8A978}">
            <xm:f>AA118='5.Mapeo'!$E$19</xm:f>
            <x14:dxf>
              <font>
                <color theme="0"/>
              </font>
              <fill>
                <patternFill>
                  <bgColor theme="6" tint="-0.499984740745262"/>
                </patternFill>
              </fill>
            </x14:dxf>
          </x14:cfRule>
          <x14:cfRule type="expression" priority="104" id="{E04F4DA2-6441-483B-882F-13AA6D1BA208}">
            <xm:f>AA118='5.Mapeo'!$E$18</xm:f>
            <x14:dxf>
              <font>
                <color theme="0"/>
              </font>
              <fill>
                <patternFill>
                  <bgColor rgb="FF7D7D7D"/>
                </patternFill>
              </fill>
            </x14:dxf>
          </x14:cfRule>
          <x14:cfRule type="expression" priority="105" id="{5AB7532D-B94B-456C-B989-3745CE7BDF18}">
            <xm:f>AA118='5.Mapeo'!$E$17</xm:f>
            <x14:dxf>
              <font>
                <color theme="0"/>
              </font>
              <fill>
                <patternFill>
                  <bgColor rgb="FFA7A7A7"/>
                </patternFill>
              </fill>
            </x14:dxf>
          </x14:cfRule>
          <x14:cfRule type="expression" priority="106" id="{663BFF26-DEDB-4D83-81A4-F2539D71AC96}">
            <xm:f>AA118='5.Mapeo'!$E$16</xm:f>
            <x14:dxf>
              <font>
                <color theme="0"/>
              </font>
              <fill>
                <patternFill>
                  <bgColor theme="7" tint="-0.499984740745262"/>
                </patternFill>
              </fill>
            </x14:dxf>
          </x14:cfRule>
          <x14:cfRule type="expression" priority="107" id="{BBA12996-BBB3-4FEC-96B7-E15DB8B07D8C}">
            <xm:f>AA118='5.Mapeo'!$E$15</xm:f>
            <x14:dxf>
              <font>
                <color theme="0"/>
              </font>
              <fill>
                <patternFill>
                  <bgColor rgb="FFD09A00"/>
                </patternFill>
              </fill>
            </x14:dxf>
          </x14:cfRule>
          <x14:cfRule type="expression" priority="108" id="{1A97F091-DF3E-4838-8C55-26656A1885C0}">
            <xm:f>AA118='5.Mapeo'!$E$14</xm:f>
            <x14:dxf>
              <font>
                <color theme="0"/>
              </font>
              <fill>
                <patternFill>
                  <bgColor rgb="FFFFCD3F"/>
                </patternFill>
              </fill>
            </x14:dxf>
          </x14:cfRule>
          <x14:cfRule type="expression" priority="109" id="{3088B4FA-B279-447F-8DAD-8E49701EFCCD}">
            <xm:f>AA118='5.Mapeo'!$E$13</xm:f>
            <x14:dxf>
              <font>
                <color theme="0"/>
              </font>
              <fill>
                <patternFill>
                  <bgColor theme="8" tint="-0.499984740745262"/>
                </patternFill>
              </fill>
            </x14:dxf>
          </x14:cfRule>
          <x14:cfRule type="expression" priority="110" id="{B51DBD0F-0267-4597-A093-E7F004DED281}">
            <xm:f>AA118='5.Mapeo'!$E$12</xm:f>
            <x14:dxf>
              <font>
                <color theme="0"/>
              </font>
              <fill>
                <patternFill>
                  <bgColor rgb="FF2C6EAA"/>
                </patternFill>
              </fill>
            </x14:dxf>
          </x14:cfRule>
          <x14:cfRule type="expression" priority="111" id="{A449F7BA-F0D5-4684-B68F-40C4E1AB41B9}">
            <xm:f>AA118='5.Mapeo'!$E$11</xm:f>
            <x14:dxf>
              <font>
                <color theme="0"/>
              </font>
              <fill>
                <patternFill>
                  <bgColor rgb="FF0070C4"/>
                </patternFill>
              </fill>
            </x14:dxf>
          </x14:cfRule>
          <x14:cfRule type="expression" priority="112" id="{49ED53E4-8F7D-457F-8395-C6B7C267064E}">
            <xm:f>AA118='5.Mapeo'!$E$10</xm:f>
            <x14:dxf>
              <font>
                <color theme="0"/>
              </font>
              <fill>
                <patternFill>
                  <bgColor theme="9" tint="-0.499984740745262"/>
                </patternFill>
              </fill>
            </x14:dxf>
          </x14:cfRule>
          <x14:cfRule type="expression" priority="113" id="{FD0D2B72-D2CF-4557-A3C2-E7E0779FB5A2}">
            <xm:f>AA118='5.Mapeo'!$E$9</xm:f>
            <x14:dxf>
              <font>
                <color theme="0"/>
              </font>
              <fill>
                <patternFill>
                  <bgColor rgb="FF5E943C"/>
                </patternFill>
              </fill>
            </x14:dxf>
          </x14:cfRule>
          <x14:cfRule type="expression" priority="114" id="{11EC334F-C262-4465-84E9-B8D2E8D8532A}">
            <xm:f>AA118='5.Mapeo'!$E$8</xm:f>
            <x14:dxf>
              <font>
                <color theme="0"/>
              </font>
              <fill>
                <patternFill>
                  <bgColor rgb="FF8CC26A"/>
                </patternFill>
              </fill>
            </x14:dxf>
          </x14:cfRule>
          <x14:cfRule type="expression" priority="152" id="{4AD2BD96-A82E-4A51-86A2-B97530BDF285}">
            <xm:f>AA118='5.Mapeo'!#REF!</xm:f>
            <x14:dxf>
              <fill>
                <patternFill>
                  <bgColor rgb="FF00FF00"/>
                </patternFill>
              </fill>
            </x14:dxf>
          </x14:cfRule>
          <x14:cfRule type="expression" priority="153" id="{5D56E735-E438-4EA0-98CF-9BFC51861B29}">
            <xm:f>AA118='5.Mapeo'!#REF!</xm:f>
            <x14:dxf>
              <fill>
                <patternFill>
                  <bgColor rgb="FF66FF66"/>
                </patternFill>
              </fill>
            </x14:dxf>
          </x14:cfRule>
          <x14:cfRule type="expression" priority="154" id="{9F60B261-5B80-44D3-A90F-44E872F3C756}">
            <xm:f>AA118='5.Mapeo'!#REF!</xm:f>
            <x14:dxf>
              <fill>
                <patternFill>
                  <bgColor rgb="FF99FF66"/>
                </patternFill>
              </fill>
            </x14:dxf>
          </x14:cfRule>
          <xm:sqref>AA118:AI127</xm:sqref>
        </x14:conditionalFormatting>
        <x14:conditionalFormatting xmlns:xm="http://schemas.microsoft.com/office/excel/2006/main">
          <x14:cfRule type="expression" priority="157" id="{E3464858-75D5-4156-9128-09B3B9A52AFC}">
            <xm:f>AA129='5.Mapeo'!$E$43</xm:f>
            <x14:dxf>
              <fill>
                <patternFill>
                  <bgColor theme="8" tint="-0.24994659260841701"/>
                </patternFill>
              </fill>
            </x14:dxf>
          </x14:cfRule>
          <x14:cfRule type="expression" priority="158" id="{759301F5-C475-4FF0-A6EB-434D50F58B52}">
            <xm:f>AA129='5.Mapeo'!$E$42</xm:f>
            <x14:dxf>
              <font>
                <color auto="1"/>
              </font>
              <fill>
                <patternFill>
                  <bgColor rgb="FF12AEAE"/>
                </patternFill>
              </fill>
            </x14:dxf>
          </x14:cfRule>
          <x14:cfRule type="expression" priority="159" id="{E379E912-62EE-4961-B9EF-73E40E259CFB}">
            <xm:f>AA129='5.Mapeo'!$E$41</xm:f>
            <x14:dxf>
              <font>
                <color theme="1"/>
              </font>
              <fill>
                <patternFill>
                  <bgColor rgb="FFABEAF3"/>
                </patternFill>
              </fill>
            </x14:dxf>
          </x14:cfRule>
          <x14:cfRule type="expression" priority="160" id="{B853B5F9-8A36-4F82-9529-08EC26F98670}">
            <xm:f>AA129='5.Mapeo'!$E$40</xm:f>
            <x14:dxf>
              <font>
                <color theme="1"/>
              </font>
              <fill>
                <patternFill>
                  <bgColor rgb="FF00B050"/>
                </patternFill>
              </fill>
            </x14:dxf>
          </x14:cfRule>
          <x14:cfRule type="expression" priority="161" id="{D17A3BE6-580E-46A5-994B-2050D62C7C4B}">
            <xm:f>AA129='5.Mapeo'!$E$39</xm:f>
            <x14:dxf>
              <font>
                <color theme="1"/>
              </font>
              <fill>
                <patternFill>
                  <bgColor rgb="FF00FE73"/>
                </patternFill>
              </fill>
            </x14:dxf>
          </x14:cfRule>
          <x14:cfRule type="expression" priority="162" id="{6F6DC977-E175-4455-8D42-B4C7C8614258}">
            <xm:f>AA129='5.Mapeo'!$E$38</xm:f>
            <x14:dxf>
              <font>
                <color theme="1"/>
              </font>
              <fill>
                <patternFill>
                  <bgColor rgb="FF57FFA3"/>
                </patternFill>
              </fill>
            </x14:dxf>
          </x14:cfRule>
          <x14:cfRule type="expression" priority="163" id="{346BEFD7-6AB4-4C8F-8AB3-382E220645C2}">
            <xm:f>AA129='5.Mapeo'!$E$37</xm:f>
            <x14:dxf>
              <font>
                <color theme="0"/>
              </font>
              <fill>
                <patternFill>
                  <bgColor rgb="FFFF0000"/>
                </patternFill>
              </fill>
            </x14:dxf>
          </x14:cfRule>
          <x14:cfRule type="expression" priority="164" id="{61F939DB-D0AF-4488-8253-90D31E381F09}">
            <xm:f>AA129='5.Mapeo'!$E$36</xm:f>
            <x14:dxf>
              <font>
                <color theme="0"/>
              </font>
              <fill>
                <patternFill>
                  <bgColor rgb="FFFF4343"/>
                </patternFill>
              </fill>
            </x14:dxf>
          </x14:cfRule>
          <x14:cfRule type="expression" priority="165" id="{6070594A-7008-430C-AFBC-61C95FE68F5F}">
            <xm:f>AA129='5.Mapeo'!$E$35</xm:f>
            <x14:dxf>
              <font>
                <color theme="0"/>
              </font>
              <fill>
                <patternFill>
                  <bgColor rgb="FFFF8181"/>
                </patternFill>
              </fill>
            </x14:dxf>
          </x14:cfRule>
          <x14:cfRule type="expression" priority="166" id="{3EECCBDE-07FE-4FEE-81ED-802A57DC7E0C}">
            <xm:f>AA129='5.Mapeo'!$E$34</xm:f>
            <x14:dxf>
              <fill>
                <patternFill>
                  <bgColor rgb="FFFFFF00"/>
                </patternFill>
              </fill>
            </x14:dxf>
          </x14:cfRule>
          <x14:cfRule type="expression" priority="167" id="{F6972E66-9929-4FB4-A73C-FADD7B36D40F}">
            <xm:f>AA129='5.Mapeo'!$E$33</xm:f>
            <x14:dxf>
              <fill>
                <patternFill>
                  <bgColor rgb="FFFFFF5B"/>
                </patternFill>
              </fill>
            </x14:dxf>
          </x14:cfRule>
          <x14:cfRule type="expression" priority="168" id="{4969ADA4-DEDF-45DF-999B-10484F4999BF}">
            <xm:f>AA129='5.Mapeo'!$E$32</xm:f>
            <x14:dxf>
              <font>
                <color auto="1"/>
              </font>
              <fill>
                <patternFill>
                  <bgColor rgb="FFFFFF97"/>
                </patternFill>
              </fill>
            </x14:dxf>
          </x14:cfRule>
          <x14:cfRule type="expression" priority="169" id="{7D612F24-A60A-4943-84E5-906737E7FA66}">
            <xm:f>AA129='5.Mapeo'!$E$31</xm:f>
            <x14:dxf>
              <font>
                <color theme="0"/>
              </font>
              <fill>
                <patternFill>
                  <bgColor rgb="FF7030A0"/>
                </patternFill>
              </fill>
            </x14:dxf>
          </x14:cfRule>
          <x14:cfRule type="expression" priority="170" id="{EBA73C17-16FA-4665-A584-759C91955E72}">
            <xm:f>AA129='5.Mapeo'!$E$30</xm:f>
            <x14:dxf>
              <font>
                <color theme="0"/>
              </font>
              <fill>
                <patternFill>
                  <bgColor rgb="FF934BC9"/>
                </patternFill>
              </fill>
            </x14:dxf>
          </x14:cfRule>
          <x14:cfRule type="expression" priority="171" id="{1F5800A0-21D0-4C85-8B19-47BC149ADDE9}">
            <xm:f>AA129='5.Mapeo'!$E$29</xm:f>
            <x14:dxf>
              <font>
                <color theme="0"/>
              </font>
              <fill>
                <patternFill>
                  <bgColor rgb="FFC39BE1"/>
                </patternFill>
              </fill>
            </x14:dxf>
          </x14:cfRule>
          <x14:cfRule type="expression" priority="172" id="{CC46976B-3480-4B77-84F5-4C3318ACDC3F}">
            <xm:f>AA129='5.Mapeo'!$E$28</xm:f>
            <x14:dxf>
              <font>
                <color theme="0"/>
              </font>
              <fill>
                <patternFill>
                  <bgColor theme="1" tint="4.9989318521683403E-2"/>
                </patternFill>
              </fill>
            </x14:dxf>
          </x14:cfRule>
          <x14:cfRule type="expression" priority="173" id="{D24015B7-DA88-44FC-B5EF-1265F36D0E4C}">
            <xm:f>AA129='5.Mapeo'!$E$27</xm:f>
            <x14:dxf>
              <font>
                <color theme="0"/>
              </font>
              <fill>
                <patternFill>
                  <bgColor rgb="FF343434"/>
                </patternFill>
              </fill>
            </x14:dxf>
          </x14:cfRule>
          <x14:cfRule type="expression" priority="174" id="{C19A3B24-955E-4425-A8A9-9233984E11B3}">
            <xm:f>AA129='5.Mapeo'!$E$26</xm:f>
            <x14:dxf>
              <font>
                <color theme="0"/>
              </font>
              <fill>
                <patternFill>
                  <bgColor rgb="FF565656"/>
                </patternFill>
              </fill>
            </x14:dxf>
          </x14:cfRule>
          <x14:cfRule type="expression" priority="175" id="{146EDE68-3B46-4DB4-9733-41F7E492A7E0}">
            <xm:f>AA129='5.Mapeo'!$E$25</xm:f>
            <x14:dxf>
              <font>
                <color theme="0"/>
              </font>
              <fill>
                <patternFill>
                  <bgColor theme="3" tint="-0.499984740745262"/>
                </patternFill>
              </fill>
            </x14:dxf>
          </x14:cfRule>
          <x14:cfRule type="expression" priority="176" id="{D4F40371-BEB5-4743-B2C5-C53FBC271FDE}">
            <xm:f>AA129='5.Mapeo'!$E$24</xm:f>
            <x14:dxf>
              <font>
                <color theme="0"/>
              </font>
              <fill>
                <patternFill>
                  <bgColor rgb="FF46596E"/>
                </patternFill>
              </fill>
            </x14:dxf>
          </x14:cfRule>
          <x14:cfRule type="expression" priority="177" id="{97BD7D23-40BF-4D33-9B2A-810963A03EFC}">
            <xm:f>AA129='5.Mapeo'!$E$23</xm:f>
            <x14:dxf>
              <font>
                <color theme="0"/>
              </font>
              <fill>
                <patternFill>
                  <bgColor rgb="FF5E7894"/>
                </patternFill>
              </fill>
            </x14:dxf>
          </x14:cfRule>
          <x14:cfRule type="expression" priority="178" id="{57733330-972C-4306-B4A4-EA3507EE7ED4}">
            <xm:f>AA129='5.Mapeo'!$E$22</xm:f>
            <x14:dxf>
              <font>
                <color theme="0"/>
              </font>
              <fill>
                <patternFill>
                  <bgColor theme="5" tint="-0.499984740745262"/>
                </patternFill>
              </fill>
            </x14:dxf>
          </x14:cfRule>
          <x14:cfRule type="expression" priority="179" id="{A8451628-8D60-4B8E-983A-CF0880EB9350}">
            <xm:f>AA129='5.Mapeo'!$E$21</xm:f>
            <x14:dxf>
              <font>
                <color theme="0"/>
              </font>
              <fill>
                <patternFill>
                  <bgColor rgb="FFBB5611"/>
                </patternFill>
              </fill>
            </x14:dxf>
          </x14:cfRule>
          <x14:cfRule type="expression" priority="180" id="{23151C08-5FD6-4DE4-9C35-D2CAE5B220F7}">
            <xm:f>AA129='5.Mapeo'!$E$20</xm:f>
            <x14:dxf>
              <font>
                <color theme="0"/>
              </font>
              <fill>
                <patternFill>
                  <bgColor rgb="FFED8741"/>
                </patternFill>
              </fill>
            </x14:dxf>
          </x14:cfRule>
          <x14:cfRule type="expression" priority="181" id="{889136A4-7AFA-4EBE-9E96-DF793A0E0E0B}">
            <xm:f>AA129='5.Mapeo'!$E$19</xm:f>
            <x14:dxf>
              <font>
                <color theme="0"/>
              </font>
              <fill>
                <patternFill>
                  <bgColor theme="6" tint="-0.499984740745262"/>
                </patternFill>
              </fill>
            </x14:dxf>
          </x14:cfRule>
          <x14:cfRule type="expression" priority="182" id="{B5C75EF1-DECE-4410-BBA2-41FB2837D058}">
            <xm:f>AA129='5.Mapeo'!$E$18</xm:f>
            <x14:dxf>
              <font>
                <color theme="0"/>
              </font>
              <fill>
                <patternFill>
                  <bgColor rgb="FF7D7D7D"/>
                </patternFill>
              </fill>
            </x14:dxf>
          </x14:cfRule>
          <x14:cfRule type="expression" priority="183" id="{1DE2FA7B-40D9-467A-A954-36AD8B6CA923}">
            <xm:f>AA129='5.Mapeo'!$E$17</xm:f>
            <x14:dxf>
              <font>
                <color theme="0"/>
              </font>
              <fill>
                <patternFill>
                  <bgColor rgb="FFA7A7A7"/>
                </patternFill>
              </fill>
            </x14:dxf>
          </x14:cfRule>
          <x14:cfRule type="expression" priority="184" id="{CA823C65-D517-4792-8C32-62ED676221C2}">
            <xm:f>AA129='5.Mapeo'!$E$16</xm:f>
            <x14:dxf>
              <font>
                <color theme="0"/>
              </font>
              <fill>
                <patternFill>
                  <bgColor theme="7" tint="-0.499984740745262"/>
                </patternFill>
              </fill>
            </x14:dxf>
          </x14:cfRule>
          <x14:cfRule type="expression" priority="185" id="{65B5E684-5E00-4C44-A031-9CD73A4A5F93}">
            <xm:f>AA129='5.Mapeo'!$E$15</xm:f>
            <x14:dxf>
              <font>
                <color theme="0"/>
              </font>
              <fill>
                <patternFill>
                  <bgColor rgb="FFD09A00"/>
                </patternFill>
              </fill>
            </x14:dxf>
          </x14:cfRule>
          <x14:cfRule type="expression" priority="186" id="{51916339-2C50-47B6-8A79-F294626AC653}">
            <xm:f>AA129='5.Mapeo'!$E$14</xm:f>
            <x14:dxf>
              <font>
                <color theme="0"/>
              </font>
              <fill>
                <patternFill>
                  <bgColor rgb="FFFFCD3F"/>
                </patternFill>
              </fill>
            </x14:dxf>
          </x14:cfRule>
          <x14:cfRule type="expression" priority="187" id="{A71171DA-EB53-4FD6-9538-22050A0C9177}">
            <xm:f>AA129='5.Mapeo'!$E$13</xm:f>
            <x14:dxf>
              <font>
                <color theme="0"/>
              </font>
              <fill>
                <patternFill>
                  <bgColor theme="8" tint="-0.499984740745262"/>
                </patternFill>
              </fill>
            </x14:dxf>
          </x14:cfRule>
          <x14:cfRule type="expression" priority="188" id="{76DDA72B-88AC-4AD9-88CE-476FFEE0EE6A}">
            <xm:f>AA129='5.Mapeo'!$E$12</xm:f>
            <x14:dxf>
              <font>
                <color theme="0"/>
              </font>
              <fill>
                <patternFill>
                  <bgColor rgb="FF2C6EAA"/>
                </patternFill>
              </fill>
            </x14:dxf>
          </x14:cfRule>
          <x14:cfRule type="expression" priority="189" id="{B2F3BE4B-4B3E-4235-A018-97C6354D32E8}">
            <xm:f>AA129='5.Mapeo'!$E$11</xm:f>
            <x14:dxf>
              <font>
                <color theme="0"/>
              </font>
              <fill>
                <patternFill>
                  <bgColor rgb="FF0070C4"/>
                </patternFill>
              </fill>
            </x14:dxf>
          </x14:cfRule>
          <x14:cfRule type="expression" priority="190" id="{3604CE35-F959-406F-A104-FF45EA9AF19A}">
            <xm:f>AA129='5.Mapeo'!$E$10</xm:f>
            <x14:dxf>
              <font>
                <color theme="0"/>
              </font>
              <fill>
                <patternFill>
                  <bgColor theme="9" tint="-0.499984740745262"/>
                </patternFill>
              </fill>
            </x14:dxf>
          </x14:cfRule>
          <x14:cfRule type="expression" priority="191" id="{961596E7-7242-475A-B576-18E04ECCD69D}">
            <xm:f>AA129='5.Mapeo'!$E$9</xm:f>
            <x14:dxf>
              <font>
                <color theme="0"/>
              </font>
              <fill>
                <patternFill>
                  <bgColor rgb="FF5E943C"/>
                </patternFill>
              </fill>
            </x14:dxf>
          </x14:cfRule>
          <x14:cfRule type="expression" priority="192" id="{ED745F48-83F6-4369-B267-88995593B6DF}">
            <xm:f>AA129='5.Mapeo'!$E$8</xm:f>
            <x14:dxf>
              <font>
                <color theme="0"/>
              </font>
              <fill>
                <patternFill>
                  <bgColor rgb="FF8CC26A"/>
                </patternFill>
              </fill>
            </x14:dxf>
          </x14:cfRule>
          <x14:cfRule type="expression" priority="230" id="{12341057-7D4E-49FE-A966-BE93ABCC482A}">
            <xm:f>AA129='5.Mapeo'!#REF!</xm:f>
            <x14:dxf>
              <fill>
                <patternFill>
                  <bgColor rgb="FF00FF00"/>
                </patternFill>
              </fill>
            </x14:dxf>
          </x14:cfRule>
          <x14:cfRule type="expression" priority="231" id="{787A7D40-66FF-4910-857C-DC2B5E19EAC7}">
            <xm:f>AA129='5.Mapeo'!#REF!</xm:f>
            <x14:dxf>
              <fill>
                <patternFill>
                  <bgColor rgb="FF66FF66"/>
                </patternFill>
              </fill>
            </x14:dxf>
          </x14:cfRule>
          <x14:cfRule type="expression" priority="232" id="{58297EFA-1AD3-4EE6-BCC7-6AE711BA67BF}">
            <xm:f>AA129='5.Mapeo'!#REF!</xm:f>
            <x14:dxf>
              <fill>
                <patternFill>
                  <bgColor rgb="FF99FF66"/>
                </patternFill>
              </fill>
            </x14:dxf>
          </x14:cfRule>
          <xm:sqref>AA129:AI138</xm:sqref>
        </x14:conditionalFormatting>
        <x14:conditionalFormatting xmlns:xm="http://schemas.microsoft.com/office/excel/2006/main">
          <x14:cfRule type="expression" priority="235" id="{7DC5C263-3E04-4DC3-847C-0B1442205DCF}">
            <xm:f>AA140='5.Mapeo'!$E$43</xm:f>
            <x14:dxf>
              <fill>
                <patternFill>
                  <bgColor theme="8" tint="-0.24994659260841701"/>
                </patternFill>
              </fill>
            </x14:dxf>
          </x14:cfRule>
          <x14:cfRule type="expression" priority="236" id="{CFDC0F58-C7AF-43D9-AD02-F5390C09374A}">
            <xm:f>AA140='5.Mapeo'!$E$42</xm:f>
            <x14:dxf>
              <font>
                <color auto="1"/>
              </font>
              <fill>
                <patternFill>
                  <bgColor rgb="FF12AEAE"/>
                </patternFill>
              </fill>
            </x14:dxf>
          </x14:cfRule>
          <x14:cfRule type="expression" priority="237" id="{E68EEB39-E565-4D1E-B033-420127BD536D}">
            <xm:f>AA140='5.Mapeo'!$E$41</xm:f>
            <x14:dxf>
              <font>
                <color theme="1"/>
              </font>
              <fill>
                <patternFill>
                  <bgColor rgb="FFABEAF3"/>
                </patternFill>
              </fill>
            </x14:dxf>
          </x14:cfRule>
          <x14:cfRule type="expression" priority="238" id="{F79BD917-38EA-490B-A3AF-83BD40A33804}">
            <xm:f>AA140='5.Mapeo'!$E$40</xm:f>
            <x14:dxf>
              <font>
                <color theme="1"/>
              </font>
              <fill>
                <patternFill>
                  <bgColor rgb="FF00B050"/>
                </patternFill>
              </fill>
            </x14:dxf>
          </x14:cfRule>
          <x14:cfRule type="expression" priority="239" id="{1A524EC5-B598-4E41-8111-37B04AC92941}">
            <xm:f>AA140='5.Mapeo'!$E$39</xm:f>
            <x14:dxf>
              <font>
                <color theme="1"/>
              </font>
              <fill>
                <patternFill>
                  <bgColor rgb="FF00FE73"/>
                </patternFill>
              </fill>
            </x14:dxf>
          </x14:cfRule>
          <x14:cfRule type="expression" priority="240" id="{1F23A7C5-5C4C-42B4-8344-360EBE33B004}">
            <xm:f>AA140='5.Mapeo'!$E$38</xm:f>
            <x14:dxf>
              <font>
                <color theme="1"/>
              </font>
              <fill>
                <patternFill>
                  <bgColor rgb="FF57FFA3"/>
                </patternFill>
              </fill>
            </x14:dxf>
          </x14:cfRule>
          <x14:cfRule type="expression" priority="241" id="{B868748D-C179-4BA8-B7FA-D58BFB9EA97A}">
            <xm:f>AA140='5.Mapeo'!$E$37</xm:f>
            <x14:dxf>
              <font>
                <color theme="0"/>
              </font>
              <fill>
                <patternFill>
                  <bgColor rgb="FFFF0000"/>
                </patternFill>
              </fill>
            </x14:dxf>
          </x14:cfRule>
          <x14:cfRule type="expression" priority="242" id="{4F86F880-10C6-48DD-B066-F227817DBF55}">
            <xm:f>AA140='5.Mapeo'!$E$36</xm:f>
            <x14:dxf>
              <font>
                <color theme="0"/>
              </font>
              <fill>
                <patternFill>
                  <bgColor rgb="FFFF4343"/>
                </patternFill>
              </fill>
            </x14:dxf>
          </x14:cfRule>
          <x14:cfRule type="expression" priority="243" id="{3A287560-1667-4898-B5A1-18311843452C}">
            <xm:f>AA140='5.Mapeo'!$E$35</xm:f>
            <x14:dxf>
              <font>
                <color theme="0"/>
              </font>
              <fill>
                <patternFill>
                  <bgColor rgb="FFFF8181"/>
                </patternFill>
              </fill>
            </x14:dxf>
          </x14:cfRule>
          <x14:cfRule type="expression" priority="244" id="{D5B3083D-DACD-495C-AD9E-E81C70C22EFB}">
            <xm:f>AA140='5.Mapeo'!$E$34</xm:f>
            <x14:dxf>
              <fill>
                <patternFill>
                  <bgColor rgb="FFFFFF00"/>
                </patternFill>
              </fill>
            </x14:dxf>
          </x14:cfRule>
          <x14:cfRule type="expression" priority="245" id="{4889A673-B6FB-42F8-AD51-602E6C1B30EC}">
            <xm:f>AA140='5.Mapeo'!$E$33</xm:f>
            <x14:dxf>
              <fill>
                <patternFill>
                  <bgColor rgb="FFFFFF5B"/>
                </patternFill>
              </fill>
            </x14:dxf>
          </x14:cfRule>
          <x14:cfRule type="expression" priority="246" id="{A74EC38D-07E6-4CE7-88EF-A7071D4C33B7}">
            <xm:f>AA140='5.Mapeo'!$E$32</xm:f>
            <x14:dxf>
              <font>
                <color auto="1"/>
              </font>
              <fill>
                <patternFill>
                  <bgColor rgb="FFFFFF97"/>
                </patternFill>
              </fill>
            </x14:dxf>
          </x14:cfRule>
          <x14:cfRule type="expression" priority="247" id="{30D1F8E7-263F-4C92-AE19-34BA4BEF433C}">
            <xm:f>AA140='5.Mapeo'!$E$31</xm:f>
            <x14:dxf>
              <font>
                <color theme="0"/>
              </font>
              <fill>
                <patternFill>
                  <bgColor rgb="FF7030A0"/>
                </patternFill>
              </fill>
            </x14:dxf>
          </x14:cfRule>
          <x14:cfRule type="expression" priority="248" id="{936A053D-873B-471E-B5C4-71CCC35CFECD}">
            <xm:f>AA140='5.Mapeo'!$E$30</xm:f>
            <x14:dxf>
              <font>
                <color theme="0"/>
              </font>
              <fill>
                <patternFill>
                  <bgColor rgb="FF934BC9"/>
                </patternFill>
              </fill>
            </x14:dxf>
          </x14:cfRule>
          <x14:cfRule type="expression" priority="249" id="{AC62C548-6FCA-48FB-B4DC-A47FE6E45967}">
            <xm:f>AA140='5.Mapeo'!$E$29</xm:f>
            <x14:dxf>
              <font>
                <color theme="0"/>
              </font>
              <fill>
                <patternFill>
                  <bgColor rgb="FFC39BE1"/>
                </patternFill>
              </fill>
            </x14:dxf>
          </x14:cfRule>
          <x14:cfRule type="expression" priority="250" id="{8AC07FCE-8821-490F-A28C-C2272063108E}">
            <xm:f>AA140='5.Mapeo'!$E$28</xm:f>
            <x14:dxf>
              <font>
                <color theme="0"/>
              </font>
              <fill>
                <patternFill>
                  <bgColor theme="1" tint="4.9989318521683403E-2"/>
                </patternFill>
              </fill>
            </x14:dxf>
          </x14:cfRule>
          <x14:cfRule type="expression" priority="251" id="{8944168B-7777-4D52-B640-D145F92551A8}">
            <xm:f>AA140='5.Mapeo'!$E$27</xm:f>
            <x14:dxf>
              <font>
                <color theme="0"/>
              </font>
              <fill>
                <patternFill>
                  <bgColor rgb="FF343434"/>
                </patternFill>
              </fill>
            </x14:dxf>
          </x14:cfRule>
          <x14:cfRule type="expression" priority="252" id="{3B38F3F9-6B86-4197-AF16-C4886774B542}">
            <xm:f>AA140='5.Mapeo'!$E$26</xm:f>
            <x14:dxf>
              <font>
                <color theme="0"/>
              </font>
              <fill>
                <patternFill>
                  <bgColor rgb="FF565656"/>
                </patternFill>
              </fill>
            </x14:dxf>
          </x14:cfRule>
          <x14:cfRule type="expression" priority="253" id="{5DA2DCB4-4776-4B0D-B9F1-9C28D7CF5A5F}">
            <xm:f>AA140='5.Mapeo'!$E$25</xm:f>
            <x14:dxf>
              <font>
                <color theme="0"/>
              </font>
              <fill>
                <patternFill>
                  <bgColor theme="3" tint="-0.499984740745262"/>
                </patternFill>
              </fill>
            </x14:dxf>
          </x14:cfRule>
          <x14:cfRule type="expression" priority="254" id="{4FB4141B-7EAF-4123-B3D2-53D6C109DFB4}">
            <xm:f>AA140='5.Mapeo'!$E$24</xm:f>
            <x14:dxf>
              <font>
                <color theme="0"/>
              </font>
              <fill>
                <patternFill>
                  <bgColor rgb="FF46596E"/>
                </patternFill>
              </fill>
            </x14:dxf>
          </x14:cfRule>
          <x14:cfRule type="expression" priority="255" id="{B4B85F7A-F549-450B-B910-C6657B83CCB2}">
            <xm:f>AA140='5.Mapeo'!$E$23</xm:f>
            <x14:dxf>
              <font>
                <color theme="0"/>
              </font>
              <fill>
                <patternFill>
                  <bgColor rgb="FF5E7894"/>
                </patternFill>
              </fill>
            </x14:dxf>
          </x14:cfRule>
          <x14:cfRule type="expression" priority="256" id="{D263E22C-9E4D-4482-9A58-3C01BE71E3BC}">
            <xm:f>AA140='5.Mapeo'!$E$22</xm:f>
            <x14:dxf>
              <font>
                <color theme="0"/>
              </font>
              <fill>
                <patternFill>
                  <bgColor theme="5" tint="-0.499984740745262"/>
                </patternFill>
              </fill>
            </x14:dxf>
          </x14:cfRule>
          <x14:cfRule type="expression" priority="257" id="{B974D65B-761B-4C87-9043-CEDB0CE12C2D}">
            <xm:f>AA140='5.Mapeo'!$E$21</xm:f>
            <x14:dxf>
              <font>
                <color theme="0"/>
              </font>
              <fill>
                <patternFill>
                  <bgColor rgb="FFBB5611"/>
                </patternFill>
              </fill>
            </x14:dxf>
          </x14:cfRule>
          <x14:cfRule type="expression" priority="258" id="{F667CCF3-20BB-4876-B958-7182EE936B11}">
            <xm:f>AA140='5.Mapeo'!$E$20</xm:f>
            <x14:dxf>
              <font>
                <color theme="0"/>
              </font>
              <fill>
                <patternFill>
                  <bgColor rgb="FFED8741"/>
                </patternFill>
              </fill>
            </x14:dxf>
          </x14:cfRule>
          <x14:cfRule type="expression" priority="259" id="{28AE752C-1AD8-4611-B58F-88E70F8E5320}">
            <xm:f>AA140='5.Mapeo'!$E$19</xm:f>
            <x14:dxf>
              <font>
                <color theme="0"/>
              </font>
              <fill>
                <patternFill>
                  <bgColor theme="6" tint="-0.499984740745262"/>
                </patternFill>
              </fill>
            </x14:dxf>
          </x14:cfRule>
          <x14:cfRule type="expression" priority="260" id="{47E2F48B-8BB8-458B-8ABB-92A48533F7B4}">
            <xm:f>AA140='5.Mapeo'!$E$18</xm:f>
            <x14:dxf>
              <font>
                <color theme="0"/>
              </font>
              <fill>
                <patternFill>
                  <bgColor rgb="FF7D7D7D"/>
                </patternFill>
              </fill>
            </x14:dxf>
          </x14:cfRule>
          <x14:cfRule type="expression" priority="261" id="{ABC5E4AA-4EFD-4E45-84B0-231F5B3926AB}">
            <xm:f>AA140='5.Mapeo'!$E$17</xm:f>
            <x14:dxf>
              <font>
                <color theme="0"/>
              </font>
              <fill>
                <patternFill>
                  <bgColor rgb="FFA7A7A7"/>
                </patternFill>
              </fill>
            </x14:dxf>
          </x14:cfRule>
          <x14:cfRule type="expression" priority="262" id="{1F34E3B5-694A-428F-9769-1151A8CB28A5}">
            <xm:f>AA140='5.Mapeo'!$E$16</xm:f>
            <x14:dxf>
              <font>
                <color theme="0"/>
              </font>
              <fill>
                <patternFill>
                  <bgColor theme="7" tint="-0.499984740745262"/>
                </patternFill>
              </fill>
            </x14:dxf>
          </x14:cfRule>
          <x14:cfRule type="expression" priority="263" id="{23B1A549-EF47-4915-A8C8-DF201C5DCE32}">
            <xm:f>AA140='5.Mapeo'!$E$15</xm:f>
            <x14:dxf>
              <font>
                <color theme="0"/>
              </font>
              <fill>
                <patternFill>
                  <bgColor rgb="FFD09A00"/>
                </patternFill>
              </fill>
            </x14:dxf>
          </x14:cfRule>
          <x14:cfRule type="expression" priority="264" id="{A1E1732A-214D-4FC9-907C-97D5F838AA11}">
            <xm:f>AA140='5.Mapeo'!$E$14</xm:f>
            <x14:dxf>
              <font>
                <color theme="0"/>
              </font>
              <fill>
                <patternFill>
                  <bgColor rgb="FFFFCD3F"/>
                </patternFill>
              </fill>
            </x14:dxf>
          </x14:cfRule>
          <x14:cfRule type="expression" priority="265" id="{F2A587B5-F4F4-49D3-9933-3B5DD3FAA490}">
            <xm:f>AA140='5.Mapeo'!$E$13</xm:f>
            <x14:dxf>
              <font>
                <color theme="0"/>
              </font>
              <fill>
                <patternFill>
                  <bgColor theme="8" tint="-0.499984740745262"/>
                </patternFill>
              </fill>
            </x14:dxf>
          </x14:cfRule>
          <x14:cfRule type="expression" priority="266" id="{7301AA79-EB42-471D-A642-389A4842CFE1}">
            <xm:f>AA140='5.Mapeo'!$E$12</xm:f>
            <x14:dxf>
              <font>
                <color theme="0"/>
              </font>
              <fill>
                <patternFill>
                  <bgColor rgb="FF2C6EAA"/>
                </patternFill>
              </fill>
            </x14:dxf>
          </x14:cfRule>
          <x14:cfRule type="expression" priority="267" id="{E060E207-DAC7-46FD-A159-048B03D1D59B}">
            <xm:f>AA140='5.Mapeo'!$E$11</xm:f>
            <x14:dxf>
              <font>
                <color theme="0"/>
              </font>
              <fill>
                <patternFill>
                  <bgColor rgb="FF0070C4"/>
                </patternFill>
              </fill>
            </x14:dxf>
          </x14:cfRule>
          <x14:cfRule type="expression" priority="268" id="{BE8A6288-779F-41A9-BDF3-7EE1BCD3723D}">
            <xm:f>AA140='5.Mapeo'!$E$10</xm:f>
            <x14:dxf>
              <font>
                <color theme="0"/>
              </font>
              <fill>
                <patternFill>
                  <bgColor theme="9" tint="-0.499984740745262"/>
                </patternFill>
              </fill>
            </x14:dxf>
          </x14:cfRule>
          <x14:cfRule type="expression" priority="269" id="{C9555E19-A5A3-40A8-BEC1-89CC0E4AC4E3}">
            <xm:f>AA140='5.Mapeo'!$E$9</xm:f>
            <x14:dxf>
              <font>
                <color theme="0"/>
              </font>
              <fill>
                <patternFill>
                  <bgColor rgb="FF5E943C"/>
                </patternFill>
              </fill>
            </x14:dxf>
          </x14:cfRule>
          <x14:cfRule type="expression" priority="270" id="{7F5D1ED9-CF67-4A47-AC51-151738393A05}">
            <xm:f>AA140='5.Mapeo'!$E$8</xm:f>
            <x14:dxf>
              <font>
                <color theme="0"/>
              </font>
              <fill>
                <patternFill>
                  <bgColor rgb="FF8CC26A"/>
                </patternFill>
              </fill>
            </x14:dxf>
          </x14:cfRule>
          <x14:cfRule type="expression" priority="308" id="{9522C2D7-4A28-4681-A77F-777FF27E3ED8}">
            <xm:f>AA140='5.Mapeo'!#REF!</xm:f>
            <x14:dxf>
              <fill>
                <patternFill>
                  <bgColor rgb="FF00FF00"/>
                </patternFill>
              </fill>
            </x14:dxf>
          </x14:cfRule>
          <x14:cfRule type="expression" priority="309" id="{2D1C4139-3FD1-4597-BDAF-BB7050F7F5B1}">
            <xm:f>AA140='5.Mapeo'!#REF!</xm:f>
            <x14:dxf>
              <fill>
                <patternFill>
                  <bgColor rgb="FF66FF66"/>
                </patternFill>
              </fill>
            </x14:dxf>
          </x14:cfRule>
          <x14:cfRule type="expression" priority="310" id="{1C47D8C6-8A0A-4529-9778-E3FC4843E4C2}">
            <xm:f>AA140='5.Mapeo'!#REF!</xm:f>
            <x14:dxf>
              <fill>
                <patternFill>
                  <bgColor rgb="FF99FF66"/>
                </patternFill>
              </fill>
            </x14:dxf>
          </x14:cfRule>
          <xm:sqref>AA140:AI149</xm:sqref>
        </x14:conditionalFormatting>
        <x14:conditionalFormatting xmlns:xm="http://schemas.microsoft.com/office/excel/2006/main">
          <x14:cfRule type="expression" priority="313" id="{C0FD13E2-6B2D-498C-AAD1-8AD711522119}">
            <xm:f>AA151='5.Mapeo'!$E$43</xm:f>
            <x14:dxf>
              <fill>
                <patternFill>
                  <bgColor theme="8" tint="-0.24994659260841701"/>
                </patternFill>
              </fill>
            </x14:dxf>
          </x14:cfRule>
          <x14:cfRule type="expression" priority="314" id="{B0A2BF8F-5D59-4D6E-9A08-34517D29BA3A}">
            <xm:f>AA151='5.Mapeo'!$E$42</xm:f>
            <x14:dxf>
              <font>
                <color auto="1"/>
              </font>
              <fill>
                <patternFill>
                  <bgColor rgb="FF12AEAE"/>
                </patternFill>
              </fill>
            </x14:dxf>
          </x14:cfRule>
          <x14:cfRule type="expression" priority="315" id="{0B8304F8-2982-49B0-BC8E-97E162C632F2}">
            <xm:f>AA151='5.Mapeo'!$E$41</xm:f>
            <x14:dxf>
              <font>
                <color theme="1"/>
              </font>
              <fill>
                <patternFill>
                  <bgColor rgb="FFABEAF3"/>
                </patternFill>
              </fill>
            </x14:dxf>
          </x14:cfRule>
          <x14:cfRule type="expression" priority="316" id="{2842FE19-9A5C-479E-8821-6D1164E79A0E}">
            <xm:f>AA151='5.Mapeo'!$E$40</xm:f>
            <x14:dxf>
              <font>
                <color theme="1"/>
              </font>
              <fill>
                <patternFill>
                  <bgColor rgb="FF00B050"/>
                </patternFill>
              </fill>
            </x14:dxf>
          </x14:cfRule>
          <x14:cfRule type="expression" priority="317" id="{65E29AA3-4C09-42FD-BBB5-5FE51E39080E}">
            <xm:f>AA151='5.Mapeo'!$E$39</xm:f>
            <x14:dxf>
              <font>
                <color theme="1"/>
              </font>
              <fill>
                <patternFill>
                  <bgColor rgb="FF00FE73"/>
                </patternFill>
              </fill>
            </x14:dxf>
          </x14:cfRule>
          <x14:cfRule type="expression" priority="318" id="{77D11B6F-5845-4E5C-A7FA-3CC6FD428325}">
            <xm:f>AA151='5.Mapeo'!$E$38</xm:f>
            <x14:dxf>
              <font>
                <color theme="1"/>
              </font>
              <fill>
                <patternFill>
                  <bgColor rgb="FF57FFA3"/>
                </patternFill>
              </fill>
            </x14:dxf>
          </x14:cfRule>
          <x14:cfRule type="expression" priority="319" id="{4581D24D-4F61-403C-AF53-E1985D920A69}">
            <xm:f>AA151='5.Mapeo'!$E$37</xm:f>
            <x14:dxf>
              <font>
                <color theme="0"/>
              </font>
              <fill>
                <patternFill>
                  <bgColor rgb="FFFF0000"/>
                </patternFill>
              </fill>
            </x14:dxf>
          </x14:cfRule>
          <x14:cfRule type="expression" priority="320" id="{142360EA-CE55-4F79-8886-677F88438598}">
            <xm:f>AA151='5.Mapeo'!$E$36</xm:f>
            <x14:dxf>
              <font>
                <color theme="0"/>
              </font>
              <fill>
                <patternFill>
                  <bgColor rgb="FFFF4343"/>
                </patternFill>
              </fill>
            </x14:dxf>
          </x14:cfRule>
          <x14:cfRule type="expression" priority="321" id="{9A47C34F-A624-499B-AEBD-5CD5457D5562}">
            <xm:f>AA151='5.Mapeo'!$E$35</xm:f>
            <x14:dxf>
              <font>
                <color theme="0"/>
              </font>
              <fill>
                <patternFill>
                  <bgColor rgb="FFFF8181"/>
                </patternFill>
              </fill>
            </x14:dxf>
          </x14:cfRule>
          <x14:cfRule type="expression" priority="322" id="{75D67102-CD85-484F-AB2A-D2B6AC6E0C46}">
            <xm:f>AA151='5.Mapeo'!$E$34</xm:f>
            <x14:dxf>
              <fill>
                <patternFill>
                  <bgColor rgb="FFFFFF00"/>
                </patternFill>
              </fill>
            </x14:dxf>
          </x14:cfRule>
          <x14:cfRule type="expression" priority="323" id="{A8395972-9BF9-4C55-9BFD-B64A4928FCD0}">
            <xm:f>AA151='5.Mapeo'!$E$33</xm:f>
            <x14:dxf>
              <fill>
                <patternFill>
                  <bgColor rgb="FFFFFF5B"/>
                </patternFill>
              </fill>
            </x14:dxf>
          </x14:cfRule>
          <x14:cfRule type="expression" priority="324" id="{0B8758DE-57AC-4015-B53B-CB8D812630FB}">
            <xm:f>AA151='5.Mapeo'!$E$32</xm:f>
            <x14:dxf>
              <font>
                <color auto="1"/>
              </font>
              <fill>
                <patternFill>
                  <bgColor rgb="FFFFFF97"/>
                </patternFill>
              </fill>
            </x14:dxf>
          </x14:cfRule>
          <x14:cfRule type="expression" priority="325" id="{6E06335D-F721-4E5B-9B97-5A9323FAF0FF}">
            <xm:f>AA151='5.Mapeo'!$E$31</xm:f>
            <x14:dxf>
              <font>
                <color theme="0"/>
              </font>
              <fill>
                <patternFill>
                  <bgColor rgb="FF7030A0"/>
                </patternFill>
              </fill>
            </x14:dxf>
          </x14:cfRule>
          <x14:cfRule type="expression" priority="326" id="{F7C0979F-3F2C-4681-9A10-300F9D4619DC}">
            <xm:f>AA151='5.Mapeo'!$E$30</xm:f>
            <x14:dxf>
              <font>
                <color theme="0"/>
              </font>
              <fill>
                <patternFill>
                  <bgColor rgb="FF934BC9"/>
                </patternFill>
              </fill>
            </x14:dxf>
          </x14:cfRule>
          <x14:cfRule type="expression" priority="327" id="{7A6D123E-355C-41B1-AD0C-EBD983527F3A}">
            <xm:f>AA151='5.Mapeo'!$E$29</xm:f>
            <x14:dxf>
              <font>
                <color theme="0"/>
              </font>
              <fill>
                <patternFill>
                  <bgColor rgb="FFC39BE1"/>
                </patternFill>
              </fill>
            </x14:dxf>
          </x14:cfRule>
          <x14:cfRule type="expression" priority="328" id="{A5ACB876-4215-4BF3-B8F0-81105FA26CC5}">
            <xm:f>AA151='5.Mapeo'!$E$28</xm:f>
            <x14:dxf>
              <font>
                <color theme="0"/>
              </font>
              <fill>
                <patternFill>
                  <bgColor theme="1" tint="4.9989318521683403E-2"/>
                </patternFill>
              </fill>
            </x14:dxf>
          </x14:cfRule>
          <x14:cfRule type="expression" priority="329" id="{000D90B2-2041-4C16-A57F-9AA85DA213ED}">
            <xm:f>AA151='5.Mapeo'!$E$27</xm:f>
            <x14:dxf>
              <font>
                <color theme="0"/>
              </font>
              <fill>
                <patternFill>
                  <bgColor rgb="FF343434"/>
                </patternFill>
              </fill>
            </x14:dxf>
          </x14:cfRule>
          <x14:cfRule type="expression" priority="330" id="{83291582-20B9-4E84-BE83-5209D482CFF2}">
            <xm:f>AA151='5.Mapeo'!$E$26</xm:f>
            <x14:dxf>
              <font>
                <color theme="0"/>
              </font>
              <fill>
                <patternFill>
                  <bgColor rgb="FF565656"/>
                </patternFill>
              </fill>
            </x14:dxf>
          </x14:cfRule>
          <x14:cfRule type="expression" priority="331" id="{9E2FD3AD-4A47-43C5-AD7F-F3BA143F2501}">
            <xm:f>AA151='5.Mapeo'!$E$25</xm:f>
            <x14:dxf>
              <font>
                <color theme="0"/>
              </font>
              <fill>
                <patternFill>
                  <bgColor theme="3" tint="-0.499984740745262"/>
                </patternFill>
              </fill>
            </x14:dxf>
          </x14:cfRule>
          <x14:cfRule type="expression" priority="332" id="{FBA576A5-309B-4AC3-AA59-68CDED414F8F}">
            <xm:f>AA151='5.Mapeo'!$E$24</xm:f>
            <x14:dxf>
              <font>
                <color theme="0"/>
              </font>
              <fill>
                <patternFill>
                  <bgColor rgb="FF46596E"/>
                </patternFill>
              </fill>
            </x14:dxf>
          </x14:cfRule>
          <x14:cfRule type="expression" priority="333" id="{1144643B-B0BF-4B9B-AD59-11508CEAD73E}">
            <xm:f>AA151='5.Mapeo'!$E$23</xm:f>
            <x14:dxf>
              <font>
                <color theme="0"/>
              </font>
              <fill>
                <patternFill>
                  <bgColor rgb="FF5E7894"/>
                </patternFill>
              </fill>
            </x14:dxf>
          </x14:cfRule>
          <x14:cfRule type="expression" priority="334" id="{1C39F2AF-EFB2-4201-93F8-8AC0371EBC24}">
            <xm:f>AA151='5.Mapeo'!$E$22</xm:f>
            <x14:dxf>
              <font>
                <color theme="0"/>
              </font>
              <fill>
                <patternFill>
                  <bgColor theme="5" tint="-0.499984740745262"/>
                </patternFill>
              </fill>
            </x14:dxf>
          </x14:cfRule>
          <x14:cfRule type="expression" priority="335" id="{16B70780-E69D-4ACF-9E60-B7A37356601E}">
            <xm:f>AA151='5.Mapeo'!$E$21</xm:f>
            <x14:dxf>
              <font>
                <color theme="0"/>
              </font>
              <fill>
                <patternFill>
                  <bgColor rgb="FFBB5611"/>
                </patternFill>
              </fill>
            </x14:dxf>
          </x14:cfRule>
          <x14:cfRule type="expression" priority="336" id="{3277447A-1B3C-4A35-B9E6-0CF3BDC93629}">
            <xm:f>AA151='5.Mapeo'!$E$20</xm:f>
            <x14:dxf>
              <font>
                <color theme="0"/>
              </font>
              <fill>
                <patternFill>
                  <bgColor rgb="FFED8741"/>
                </patternFill>
              </fill>
            </x14:dxf>
          </x14:cfRule>
          <x14:cfRule type="expression" priority="337" id="{DB83B4FB-FBDD-4AD7-9883-FFF8DE02A513}">
            <xm:f>AA151='5.Mapeo'!$E$19</xm:f>
            <x14:dxf>
              <font>
                <color theme="0"/>
              </font>
              <fill>
                <patternFill>
                  <bgColor theme="6" tint="-0.499984740745262"/>
                </patternFill>
              </fill>
            </x14:dxf>
          </x14:cfRule>
          <x14:cfRule type="expression" priority="338" id="{08D89684-817C-4D4E-8DB8-4C5E979CDA43}">
            <xm:f>AA151='5.Mapeo'!$E$18</xm:f>
            <x14:dxf>
              <font>
                <color theme="0"/>
              </font>
              <fill>
                <patternFill>
                  <bgColor rgb="FF7D7D7D"/>
                </patternFill>
              </fill>
            </x14:dxf>
          </x14:cfRule>
          <x14:cfRule type="expression" priority="339" id="{6419396C-48F8-4063-AE0C-3A3463C905E7}">
            <xm:f>AA151='5.Mapeo'!$E$17</xm:f>
            <x14:dxf>
              <font>
                <color theme="0"/>
              </font>
              <fill>
                <patternFill>
                  <bgColor rgb="FFA7A7A7"/>
                </patternFill>
              </fill>
            </x14:dxf>
          </x14:cfRule>
          <x14:cfRule type="expression" priority="340" id="{56CFE678-042B-45D8-9B6C-C1FA06612857}">
            <xm:f>AA151='5.Mapeo'!$E$16</xm:f>
            <x14:dxf>
              <font>
                <color theme="0"/>
              </font>
              <fill>
                <patternFill>
                  <bgColor theme="7" tint="-0.499984740745262"/>
                </patternFill>
              </fill>
            </x14:dxf>
          </x14:cfRule>
          <x14:cfRule type="expression" priority="341" id="{07C3E2F5-98CE-4A13-9339-9735B68EB794}">
            <xm:f>AA151='5.Mapeo'!$E$15</xm:f>
            <x14:dxf>
              <font>
                <color theme="0"/>
              </font>
              <fill>
                <patternFill>
                  <bgColor rgb="FFD09A00"/>
                </patternFill>
              </fill>
            </x14:dxf>
          </x14:cfRule>
          <x14:cfRule type="expression" priority="342" id="{C24DFADE-EF05-4CA9-9C3D-62AB00697105}">
            <xm:f>AA151='5.Mapeo'!$E$14</xm:f>
            <x14:dxf>
              <font>
                <color theme="0"/>
              </font>
              <fill>
                <patternFill>
                  <bgColor rgb="FFFFCD3F"/>
                </patternFill>
              </fill>
            </x14:dxf>
          </x14:cfRule>
          <x14:cfRule type="expression" priority="343" id="{64D7EEA1-BA9E-4C1E-B129-B4BE692FA6A1}">
            <xm:f>AA151='5.Mapeo'!$E$13</xm:f>
            <x14:dxf>
              <font>
                <color theme="0"/>
              </font>
              <fill>
                <patternFill>
                  <bgColor theme="8" tint="-0.499984740745262"/>
                </patternFill>
              </fill>
            </x14:dxf>
          </x14:cfRule>
          <x14:cfRule type="expression" priority="344" id="{C0C3CA21-4163-4463-9E3E-9496F66B3F16}">
            <xm:f>AA151='5.Mapeo'!$E$12</xm:f>
            <x14:dxf>
              <font>
                <color theme="0"/>
              </font>
              <fill>
                <patternFill>
                  <bgColor rgb="FF2C6EAA"/>
                </patternFill>
              </fill>
            </x14:dxf>
          </x14:cfRule>
          <x14:cfRule type="expression" priority="345" id="{FC00D045-8F70-4B40-AB73-49798A3D3CDB}">
            <xm:f>AA151='5.Mapeo'!$E$11</xm:f>
            <x14:dxf>
              <font>
                <color theme="0"/>
              </font>
              <fill>
                <patternFill>
                  <bgColor rgb="FF0070C4"/>
                </patternFill>
              </fill>
            </x14:dxf>
          </x14:cfRule>
          <x14:cfRule type="expression" priority="346" id="{8329E0EE-9C26-4243-A6F8-537723BBA34D}">
            <xm:f>AA151='5.Mapeo'!$E$10</xm:f>
            <x14:dxf>
              <font>
                <color theme="0"/>
              </font>
              <fill>
                <patternFill>
                  <bgColor theme="9" tint="-0.499984740745262"/>
                </patternFill>
              </fill>
            </x14:dxf>
          </x14:cfRule>
          <x14:cfRule type="expression" priority="347" id="{45C44F3B-4A4F-4EE8-823E-F86046301CAF}">
            <xm:f>AA151='5.Mapeo'!$E$9</xm:f>
            <x14:dxf>
              <font>
                <color theme="0"/>
              </font>
              <fill>
                <patternFill>
                  <bgColor rgb="FF5E943C"/>
                </patternFill>
              </fill>
            </x14:dxf>
          </x14:cfRule>
          <x14:cfRule type="expression" priority="348" id="{CE166352-A355-4AE4-B0FF-9C6770923B7A}">
            <xm:f>AA151='5.Mapeo'!$E$8</xm:f>
            <x14:dxf>
              <font>
                <color theme="0"/>
              </font>
              <fill>
                <patternFill>
                  <bgColor rgb="FF8CC26A"/>
                </patternFill>
              </fill>
            </x14:dxf>
          </x14:cfRule>
          <x14:cfRule type="expression" priority="386" id="{CB3D4F65-2A8C-4547-B003-29E8CE0C8DB8}">
            <xm:f>AA151='5.Mapeo'!#REF!</xm:f>
            <x14:dxf>
              <fill>
                <patternFill>
                  <bgColor rgb="FF00FF00"/>
                </patternFill>
              </fill>
            </x14:dxf>
          </x14:cfRule>
          <x14:cfRule type="expression" priority="387" id="{1C79790A-50EF-47C2-8396-971E86844C72}">
            <xm:f>AA151='5.Mapeo'!#REF!</xm:f>
            <x14:dxf>
              <fill>
                <patternFill>
                  <bgColor rgb="FF66FF66"/>
                </patternFill>
              </fill>
            </x14:dxf>
          </x14:cfRule>
          <x14:cfRule type="expression" priority="388" id="{ECA4A143-ABFF-4B3A-A326-D62C45912499}">
            <xm:f>AA151='5.Mapeo'!#REF!</xm:f>
            <x14:dxf>
              <fill>
                <patternFill>
                  <bgColor rgb="FF99FF66"/>
                </patternFill>
              </fill>
            </x14:dxf>
          </x14:cfRule>
          <xm:sqref>AA151:AI160</xm:sqref>
        </x14:conditionalFormatting>
        <x14:conditionalFormatting xmlns:xm="http://schemas.microsoft.com/office/excel/2006/main">
          <x14:cfRule type="expression" priority="706" id="{A9FF1C4B-EB1A-4643-B9B1-4E6370100EA7}">
            <xm:f>AA162='5.Mapeo'!$E$43</xm:f>
            <x14:dxf>
              <fill>
                <patternFill>
                  <bgColor theme="8" tint="-0.24994659260841701"/>
                </patternFill>
              </fill>
            </x14:dxf>
          </x14:cfRule>
          <x14:cfRule type="expression" priority="707" id="{8CE1EDB7-A380-4972-86B1-A64A577A42F7}">
            <xm:f>AA162='5.Mapeo'!$E$42</xm:f>
            <x14:dxf>
              <font>
                <color auto="1"/>
              </font>
              <fill>
                <patternFill>
                  <bgColor rgb="FF12AEAE"/>
                </patternFill>
              </fill>
            </x14:dxf>
          </x14:cfRule>
          <x14:cfRule type="expression" priority="708" id="{54159C8C-FB2D-4DBD-B8C8-FF4758ABB0E7}">
            <xm:f>AA162='5.Mapeo'!$E$41</xm:f>
            <x14:dxf>
              <font>
                <color theme="1"/>
              </font>
              <fill>
                <patternFill>
                  <bgColor rgb="FFABEAF3"/>
                </patternFill>
              </fill>
            </x14:dxf>
          </x14:cfRule>
          <x14:cfRule type="expression" priority="709" id="{70E58885-6057-41F8-AD8D-F1E2C9465F74}">
            <xm:f>AA162='5.Mapeo'!$E$40</xm:f>
            <x14:dxf>
              <font>
                <color theme="1"/>
              </font>
              <fill>
                <patternFill>
                  <bgColor rgb="FF00B050"/>
                </patternFill>
              </fill>
            </x14:dxf>
          </x14:cfRule>
          <x14:cfRule type="expression" priority="710" id="{D9F967AB-3D7E-483C-99D8-8216694F2BB9}">
            <xm:f>AA162='5.Mapeo'!$E$39</xm:f>
            <x14:dxf>
              <font>
                <color theme="1"/>
              </font>
              <fill>
                <patternFill>
                  <bgColor rgb="FF00FE73"/>
                </patternFill>
              </fill>
            </x14:dxf>
          </x14:cfRule>
          <x14:cfRule type="expression" priority="711" id="{5C1CA70B-D979-445C-B53D-FA9E6D90533F}">
            <xm:f>AA162='5.Mapeo'!$E$38</xm:f>
            <x14:dxf>
              <font>
                <color theme="1"/>
              </font>
              <fill>
                <patternFill>
                  <bgColor rgb="FF57FFA3"/>
                </patternFill>
              </fill>
            </x14:dxf>
          </x14:cfRule>
          <x14:cfRule type="expression" priority="712" id="{6A3BDF6F-B130-4C7D-A08A-7CC3C4289A75}">
            <xm:f>AA162='5.Mapeo'!$E$37</xm:f>
            <x14:dxf>
              <font>
                <color theme="0"/>
              </font>
              <fill>
                <patternFill>
                  <bgColor rgb="FFFF0000"/>
                </patternFill>
              </fill>
            </x14:dxf>
          </x14:cfRule>
          <x14:cfRule type="expression" priority="713" id="{32610FC8-9131-468F-865E-C181D6833F1F}">
            <xm:f>AA162='5.Mapeo'!$E$36</xm:f>
            <x14:dxf>
              <font>
                <color theme="0"/>
              </font>
              <fill>
                <patternFill>
                  <bgColor rgb="FFFF4343"/>
                </patternFill>
              </fill>
            </x14:dxf>
          </x14:cfRule>
          <x14:cfRule type="expression" priority="714" id="{9E75F8AD-B79D-4368-9395-376D543EF71F}">
            <xm:f>AA162='5.Mapeo'!$E$35</xm:f>
            <x14:dxf>
              <font>
                <color theme="0"/>
              </font>
              <fill>
                <patternFill>
                  <bgColor rgb="FFFF8181"/>
                </patternFill>
              </fill>
            </x14:dxf>
          </x14:cfRule>
          <x14:cfRule type="expression" priority="715" id="{4766D36C-C0A1-4445-8D4E-24CF4ECEF8F4}">
            <xm:f>AA162='5.Mapeo'!$E$34</xm:f>
            <x14:dxf>
              <fill>
                <patternFill>
                  <bgColor rgb="FFFFFF00"/>
                </patternFill>
              </fill>
            </x14:dxf>
          </x14:cfRule>
          <x14:cfRule type="expression" priority="716" id="{9C70F2A5-B210-4259-8531-9FEB84F7E1A2}">
            <xm:f>AA162='5.Mapeo'!$E$33</xm:f>
            <x14:dxf>
              <fill>
                <patternFill>
                  <bgColor rgb="FFFFFF5B"/>
                </patternFill>
              </fill>
            </x14:dxf>
          </x14:cfRule>
          <x14:cfRule type="expression" priority="717" id="{D322D566-9CAE-4203-AF94-1BA5BB82A1F1}">
            <xm:f>AA162='5.Mapeo'!$E$32</xm:f>
            <x14:dxf>
              <font>
                <color auto="1"/>
              </font>
              <fill>
                <patternFill>
                  <bgColor rgb="FFFFFF97"/>
                </patternFill>
              </fill>
            </x14:dxf>
          </x14:cfRule>
          <x14:cfRule type="expression" priority="718" id="{DA522554-1116-42B0-B428-5327266F4C90}">
            <xm:f>AA162='5.Mapeo'!$E$31</xm:f>
            <x14:dxf>
              <font>
                <color theme="0"/>
              </font>
              <fill>
                <patternFill>
                  <bgColor rgb="FF7030A0"/>
                </patternFill>
              </fill>
            </x14:dxf>
          </x14:cfRule>
          <x14:cfRule type="expression" priority="719" id="{28262E67-59EC-46DC-9A39-9AB95BB3222A}">
            <xm:f>AA162='5.Mapeo'!$E$30</xm:f>
            <x14:dxf>
              <font>
                <color theme="0"/>
              </font>
              <fill>
                <patternFill>
                  <bgColor rgb="FF934BC9"/>
                </patternFill>
              </fill>
            </x14:dxf>
          </x14:cfRule>
          <x14:cfRule type="expression" priority="720" id="{3B1EC762-6EB4-49E8-B5B5-4C70AAB0EC1C}">
            <xm:f>AA162='5.Mapeo'!$E$29</xm:f>
            <x14:dxf>
              <font>
                <color theme="0"/>
              </font>
              <fill>
                <patternFill>
                  <bgColor rgb="FFC39BE1"/>
                </patternFill>
              </fill>
            </x14:dxf>
          </x14:cfRule>
          <x14:cfRule type="expression" priority="721" id="{700709E5-947D-4820-81EC-860D8B849683}">
            <xm:f>AA162='5.Mapeo'!$E$28</xm:f>
            <x14:dxf>
              <font>
                <color theme="0"/>
              </font>
              <fill>
                <patternFill>
                  <bgColor theme="1" tint="4.9989318521683403E-2"/>
                </patternFill>
              </fill>
            </x14:dxf>
          </x14:cfRule>
          <x14:cfRule type="expression" priority="722" id="{25CA9582-4C5F-4B5E-9ADA-F596530B487F}">
            <xm:f>AA162='5.Mapeo'!$E$27</xm:f>
            <x14:dxf>
              <font>
                <color theme="0"/>
              </font>
              <fill>
                <patternFill>
                  <bgColor rgb="FF343434"/>
                </patternFill>
              </fill>
            </x14:dxf>
          </x14:cfRule>
          <x14:cfRule type="expression" priority="723" id="{E1D34377-B25A-44FC-82D8-B628A06F2399}">
            <xm:f>AA162='5.Mapeo'!$E$26</xm:f>
            <x14:dxf>
              <font>
                <color theme="0"/>
              </font>
              <fill>
                <patternFill>
                  <bgColor rgb="FF565656"/>
                </patternFill>
              </fill>
            </x14:dxf>
          </x14:cfRule>
          <x14:cfRule type="expression" priority="724" id="{316ADAF8-FB0D-4805-ABE1-268929B8DEB9}">
            <xm:f>AA162='5.Mapeo'!$E$25</xm:f>
            <x14:dxf>
              <font>
                <color theme="0"/>
              </font>
              <fill>
                <patternFill>
                  <bgColor theme="3" tint="-0.499984740745262"/>
                </patternFill>
              </fill>
            </x14:dxf>
          </x14:cfRule>
          <x14:cfRule type="expression" priority="725" id="{129737DA-416B-49FD-8709-189D8A14320C}">
            <xm:f>AA162='5.Mapeo'!$E$24</xm:f>
            <x14:dxf>
              <font>
                <color theme="0"/>
              </font>
              <fill>
                <patternFill>
                  <bgColor rgb="FF46596E"/>
                </patternFill>
              </fill>
            </x14:dxf>
          </x14:cfRule>
          <x14:cfRule type="expression" priority="726" id="{B23A2740-6307-49FD-AB78-C2BF2F70C6CD}">
            <xm:f>AA162='5.Mapeo'!$E$23</xm:f>
            <x14:dxf>
              <font>
                <color theme="0"/>
              </font>
              <fill>
                <patternFill>
                  <bgColor rgb="FF5E7894"/>
                </patternFill>
              </fill>
            </x14:dxf>
          </x14:cfRule>
          <x14:cfRule type="expression" priority="727" id="{C1561563-F377-4305-8217-98263CB51412}">
            <xm:f>AA162='5.Mapeo'!$E$22</xm:f>
            <x14:dxf>
              <font>
                <color theme="0"/>
              </font>
              <fill>
                <patternFill>
                  <bgColor theme="5" tint="-0.499984740745262"/>
                </patternFill>
              </fill>
            </x14:dxf>
          </x14:cfRule>
          <x14:cfRule type="expression" priority="728" id="{542E9EE5-5EC2-4CB9-A9AB-D4E33ABAAFA8}">
            <xm:f>AA162='5.Mapeo'!$E$21</xm:f>
            <x14:dxf>
              <font>
                <color theme="0"/>
              </font>
              <fill>
                <patternFill>
                  <bgColor rgb="FFBB5611"/>
                </patternFill>
              </fill>
            </x14:dxf>
          </x14:cfRule>
          <x14:cfRule type="expression" priority="729" id="{00FFB128-B18E-4C4C-8F39-7B0E3208B948}">
            <xm:f>AA162='5.Mapeo'!$E$20</xm:f>
            <x14:dxf>
              <font>
                <color theme="0"/>
              </font>
              <fill>
                <patternFill>
                  <bgColor rgb="FFED8741"/>
                </patternFill>
              </fill>
            </x14:dxf>
          </x14:cfRule>
          <x14:cfRule type="expression" priority="730" id="{D873F366-F62A-4CDF-A546-8B44CD06149D}">
            <xm:f>AA162='5.Mapeo'!$E$19</xm:f>
            <x14:dxf>
              <font>
                <color theme="0"/>
              </font>
              <fill>
                <patternFill>
                  <bgColor theme="6" tint="-0.499984740745262"/>
                </patternFill>
              </fill>
            </x14:dxf>
          </x14:cfRule>
          <x14:cfRule type="expression" priority="731" id="{14257FD9-DD54-44FB-B41A-F6A6BBC45DCD}">
            <xm:f>AA162='5.Mapeo'!$E$18</xm:f>
            <x14:dxf>
              <font>
                <color theme="0"/>
              </font>
              <fill>
                <patternFill>
                  <bgColor rgb="FF7D7D7D"/>
                </patternFill>
              </fill>
            </x14:dxf>
          </x14:cfRule>
          <x14:cfRule type="expression" priority="732" id="{D910F62D-C829-47F9-A12D-5332FE33248A}">
            <xm:f>AA162='5.Mapeo'!$E$17</xm:f>
            <x14:dxf>
              <font>
                <color theme="0"/>
              </font>
              <fill>
                <patternFill>
                  <bgColor rgb="FFA7A7A7"/>
                </patternFill>
              </fill>
            </x14:dxf>
          </x14:cfRule>
          <x14:cfRule type="expression" priority="733" id="{8DD25FB8-ADA1-4D00-8802-77A764571345}">
            <xm:f>AA162='5.Mapeo'!$E$16</xm:f>
            <x14:dxf>
              <font>
                <color theme="0"/>
              </font>
              <fill>
                <patternFill>
                  <bgColor theme="7" tint="-0.499984740745262"/>
                </patternFill>
              </fill>
            </x14:dxf>
          </x14:cfRule>
          <x14:cfRule type="expression" priority="734" id="{613C5311-9505-47E7-B1C4-100B1DECFD46}">
            <xm:f>AA162='5.Mapeo'!$E$15</xm:f>
            <x14:dxf>
              <font>
                <color theme="0"/>
              </font>
              <fill>
                <patternFill>
                  <bgColor rgb="FFD09A00"/>
                </patternFill>
              </fill>
            </x14:dxf>
          </x14:cfRule>
          <x14:cfRule type="expression" priority="735" id="{EAC14A09-C425-4A6F-BEDE-E75278AA88E7}">
            <xm:f>AA162='5.Mapeo'!$E$14</xm:f>
            <x14:dxf>
              <font>
                <color theme="0"/>
              </font>
              <fill>
                <patternFill>
                  <bgColor rgb="FFFFCD3F"/>
                </patternFill>
              </fill>
            </x14:dxf>
          </x14:cfRule>
          <x14:cfRule type="expression" priority="736" id="{283649CF-0BCC-47E6-9415-EB14316F7C49}">
            <xm:f>AA162='5.Mapeo'!$E$13</xm:f>
            <x14:dxf>
              <font>
                <color theme="0"/>
              </font>
              <fill>
                <patternFill>
                  <bgColor theme="8" tint="-0.499984740745262"/>
                </patternFill>
              </fill>
            </x14:dxf>
          </x14:cfRule>
          <x14:cfRule type="expression" priority="737" id="{B1334C5D-3857-4637-BDBA-2EA6C579835F}">
            <xm:f>AA162='5.Mapeo'!$E$12</xm:f>
            <x14:dxf>
              <font>
                <color theme="0"/>
              </font>
              <fill>
                <patternFill>
                  <bgColor rgb="FF2C6EAA"/>
                </patternFill>
              </fill>
            </x14:dxf>
          </x14:cfRule>
          <x14:cfRule type="expression" priority="738" id="{2A04A428-FCEF-464D-9F34-FE68F1E43ADF}">
            <xm:f>AA162='5.Mapeo'!$E$11</xm:f>
            <x14:dxf>
              <font>
                <color theme="0"/>
              </font>
              <fill>
                <patternFill>
                  <bgColor rgb="FF0070C4"/>
                </patternFill>
              </fill>
            </x14:dxf>
          </x14:cfRule>
          <x14:cfRule type="expression" priority="739" id="{2C2FA45D-3955-4E73-835B-F5A5D3AED435}">
            <xm:f>AA162='5.Mapeo'!$E$10</xm:f>
            <x14:dxf>
              <font>
                <color theme="0"/>
              </font>
              <fill>
                <patternFill>
                  <bgColor theme="9" tint="-0.499984740745262"/>
                </patternFill>
              </fill>
            </x14:dxf>
          </x14:cfRule>
          <x14:cfRule type="expression" priority="740" id="{662997FD-BBE5-4CBB-81F4-FE1DA339500B}">
            <xm:f>AA162='5.Mapeo'!$E$9</xm:f>
            <x14:dxf>
              <font>
                <color theme="0"/>
              </font>
              <fill>
                <patternFill>
                  <bgColor rgb="FF5E943C"/>
                </patternFill>
              </fill>
            </x14:dxf>
          </x14:cfRule>
          <x14:cfRule type="expression" priority="741" id="{30BE79D0-9257-43F3-891C-1F0D8C63D2F7}">
            <xm:f>AA162='5.Mapeo'!$E$8</xm:f>
            <x14:dxf>
              <font>
                <color theme="0"/>
              </font>
              <fill>
                <patternFill>
                  <bgColor rgb="FF8CC26A"/>
                </patternFill>
              </fill>
            </x14:dxf>
          </x14:cfRule>
          <xm:sqref>AA162:AI171</xm:sqref>
        </x14:conditionalFormatting>
        <x14:conditionalFormatting xmlns:xm="http://schemas.microsoft.com/office/excel/2006/main">
          <x14:cfRule type="expression" priority="40" id="{B1803743-F22B-46F6-A155-61349395B9D6}">
            <xm:f>AC43='5.Mapeo'!$E$43</xm:f>
            <x14:dxf>
              <fill>
                <patternFill>
                  <bgColor theme="8" tint="-0.24994659260841701"/>
                </patternFill>
              </fill>
            </x14:dxf>
          </x14:cfRule>
          <x14:cfRule type="expression" priority="41" id="{749ECB03-D6B9-4A7F-ADAC-FF64878251A6}">
            <xm:f>AC43='5.Mapeo'!$E$42</xm:f>
            <x14:dxf>
              <font>
                <color auto="1"/>
              </font>
              <fill>
                <patternFill>
                  <bgColor rgb="FF12AEAE"/>
                </patternFill>
              </fill>
            </x14:dxf>
          </x14:cfRule>
          <x14:cfRule type="expression" priority="42" id="{D63FD316-894E-4336-B055-80C53E94B6EE}">
            <xm:f>AC43='5.Mapeo'!$E$41</xm:f>
            <x14:dxf>
              <font>
                <color theme="1"/>
              </font>
              <fill>
                <patternFill>
                  <bgColor rgb="FFABEAF3"/>
                </patternFill>
              </fill>
            </x14:dxf>
          </x14:cfRule>
          <x14:cfRule type="expression" priority="43" id="{17C30BE1-0330-41E9-8882-7C70FBEDAF54}">
            <xm:f>AC43='5.Mapeo'!$E$40</xm:f>
            <x14:dxf>
              <font>
                <color theme="1"/>
              </font>
              <fill>
                <patternFill>
                  <bgColor rgb="FF00B050"/>
                </patternFill>
              </fill>
            </x14:dxf>
          </x14:cfRule>
          <x14:cfRule type="expression" priority="44" id="{485126F8-D9AD-4104-923E-09DDEBA6F241}">
            <xm:f>AC43='5.Mapeo'!$E$39</xm:f>
            <x14:dxf>
              <font>
                <color theme="1"/>
              </font>
              <fill>
                <patternFill>
                  <bgColor rgb="FF00FE73"/>
                </patternFill>
              </fill>
            </x14:dxf>
          </x14:cfRule>
          <x14:cfRule type="expression" priority="45" id="{10C9FD1F-7CD8-4A41-8D27-B6E6D55AF430}">
            <xm:f>AC43='5.Mapeo'!$E$38</xm:f>
            <x14:dxf>
              <font>
                <color theme="1"/>
              </font>
              <fill>
                <patternFill>
                  <bgColor rgb="FF57FFA3"/>
                </patternFill>
              </fill>
            </x14:dxf>
          </x14:cfRule>
          <x14:cfRule type="expression" priority="46" id="{9041EFF2-B569-4767-9473-020E0966372E}">
            <xm:f>AC43='5.Mapeo'!$E$37</xm:f>
            <x14:dxf>
              <font>
                <color theme="0"/>
              </font>
              <fill>
                <patternFill>
                  <bgColor rgb="FFFF0000"/>
                </patternFill>
              </fill>
            </x14:dxf>
          </x14:cfRule>
          <x14:cfRule type="expression" priority="47" id="{AE769829-02E3-46CF-90A3-239F7E34AAEE}">
            <xm:f>AC43='5.Mapeo'!$E$36</xm:f>
            <x14:dxf>
              <font>
                <color theme="0"/>
              </font>
              <fill>
                <patternFill>
                  <bgColor rgb="FFFF4343"/>
                </patternFill>
              </fill>
            </x14:dxf>
          </x14:cfRule>
          <x14:cfRule type="expression" priority="48" id="{38FB9D9A-6DC3-4BA2-8C40-0A48D440D51E}">
            <xm:f>AC43='5.Mapeo'!$E$35</xm:f>
            <x14:dxf>
              <font>
                <color theme="0"/>
              </font>
              <fill>
                <patternFill>
                  <bgColor rgb="FFFF8181"/>
                </patternFill>
              </fill>
            </x14:dxf>
          </x14:cfRule>
          <x14:cfRule type="expression" priority="49" id="{688284D4-DD31-4454-ACDC-79EB19A41151}">
            <xm:f>AC43='5.Mapeo'!$E$34</xm:f>
            <x14:dxf>
              <fill>
                <patternFill>
                  <bgColor rgb="FFFFFF00"/>
                </patternFill>
              </fill>
            </x14:dxf>
          </x14:cfRule>
          <x14:cfRule type="expression" priority="50" id="{E784387A-9C65-4031-996A-C8F57E1CA5E1}">
            <xm:f>AC43='5.Mapeo'!$E$33</xm:f>
            <x14:dxf>
              <fill>
                <patternFill>
                  <bgColor rgb="FFFFFF5B"/>
                </patternFill>
              </fill>
            </x14:dxf>
          </x14:cfRule>
          <x14:cfRule type="expression" priority="51" id="{AA7B1944-396D-4BF3-AA66-F7659A19A458}">
            <xm:f>AC43='5.Mapeo'!$E$32</xm:f>
            <x14:dxf>
              <font>
                <color auto="1"/>
              </font>
              <fill>
                <patternFill>
                  <bgColor rgb="FFFFFF97"/>
                </patternFill>
              </fill>
            </x14:dxf>
          </x14:cfRule>
          <x14:cfRule type="expression" priority="52" id="{42D3874C-22B4-4F80-91C1-A7C25D5E5EA9}">
            <xm:f>AC43='5.Mapeo'!$E$31</xm:f>
            <x14:dxf>
              <font>
                <color theme="0"/>
              </font>
              <fill>
                <patternFill>
                  <bgColor rgb="FF7030A0"/>
                </patternFill>
              </fill>
            </x14:dxf>
          </x14:cfRule>
          <x14:cfRule type="expression" priority="53" id="{1B066F66-FCAF-4B60-81BA-D8CE8EE0CCB8}">
            <xm:f>AC43='5.Mapeo'!$E$30</xm:f>
            <x14:dxf>
              <font>
                <color theme="0"/>
              </font>
              <fill>
                <patternFill>
                  <bgColor rgb="FF934BC9"/>
                </patternFill>
              </fill>
            </x14:dxf>
          </x14:cfRule>
          <x14:cfRule type="expression" priority="54" id="{224AA47E-4A34-4EAE-9BB6-F611B5F12049}">
            <xm:f>AC43='5.Mapeo'!$E$29</xm:f>
            <x14:dxf>
              <font>
                <color theme="0"/>
              </font>
              <fill>
                <patternFill>
                  <bgColor rgb="FFC39BE1"/>
                </patternFill>
              </fill>
            </x14:dxf>
          </x14:cfRule>
          <x14:cfRule type="expression" priority="55" id="{0A6C1FFE-56F9-490C-A69C-9EEE53EB0B92}">
            <xm:f>AC43='5.Mapeo'!$E$28</xm:f>
            <x14:dxf>
              <font>
                <color theme="0"/>
              </font>
              <fill>
                <patternFill>
                  <bgColor theme="1" tint="4.9989318521683403E-2"/>
                </patternFill>
              </fill>
            </x14:dxf>
          </x14:cfRule>
          <x14:cfRule type="expression" priority="56" id="{51186E97-4C81-40CB-B251-D40B982824A9}">
            <xm:f>AC43='5.Mapeo'!$E$27</xm:f>
            <x14:dxf>
              <font>
                <color theme="0"/>
              </font>
              <fill>
                <patternFill>
                  <bgColor rgb="FF343434"/>
                </patternFill>
              </fill>
            </x14:dxf>
          </x14:cfRule>
          <x14:cfRule type="expression" priority="57" id="{A60CFEFB-6896-4123-8D1A-E142A65CECEE}">
            <xm:f>AC43='5.Mapeo'!$E$26</xm:f>
            <x14:dxf>
              <font>
                <color theme="0"/>
              </font>
              <fill>
                <patternFill>
                  <bgColor rgb="FF565656"/>
                </patternFill>
              </fill>
            </x14:dxf>
          </x14:cfRule>
          <x14:cfRule type="expression" priority="58" id="{C6EAB8C4-498F-4862-9750-20391AB883C4}">
            <xm:f>AC43='5.Mapeo'!$E$25</xm:f>
            <x14:dxf>
              <font>
                <color theme="0"/>
              </font>
              <fill>
                <patternFill>
                  <bgColor theme="3" tint="-0.499984740745262"/>
                </patternFill>
              </fill>
            </x14:dxf>
          </x14:cfRule>
          <x14:cfRule type="expression" priority="59" id="{CA8BA158-EC1F-4326-A0A8-AC2B6A59A518}">
            <xm:f>AC43='5.Mapeo'!$E$24</xm:f>
            <x14:dxf>
              <font>
                <color theme="0"/>
              </font>
              <fill>
                <patternFill>
                  <bgColor rgb="FF46596E"/>
                </patternFill>
              </fill>
            </x14:dxf>
          </x14:cfRule>
          <x14:cfRule type="expression" priority="60" id="{121C3C04-3F7C-43CF-915B-E83D9F1D430A}">
            <xm:f>AC43='5.Mapeo'!$E$23</xm:f>
            <x14:dxf>
              <font>
                <color theme="0"/>
              </font>
              <fill>
                <patternFill>
                  <bgColor rgb="FF5E7894"/>
                </patternFill>
              </fill>
            </x14:dxf>
          </x14:cfRule>
          <x14:cfRule type="expression" priority="61" id="{A8E6B6A3-236F-4058-9C32-3DB7E6939F3D}">
            <xm:f>AC43='5.Mapeo'!$E$22</xm:f>
            <x14:dxf>
              <font>
                <color theme="0"/>
              </font>
              <fill>
                <patternFill>
                  <bgColor theme="5" tint="-0.499984740745262"/>
                </patternFill>
              </fill>
            </x14:dxf>
          </x14:cfRule>
          <x14:cfRule type="expression" priority="62" id="{173D791D-53A1-4557-9088-A8BC1939D332}">
            <xm:f>AC43='5.Mapeo'!$E$21</xm:f>
            <x14:dxf>
              <font>
                <color theme="0"/>
              </font>
              <fill>
                <patternFill>
                  <bgColor rgb="FFBB5611"/>
                </patternFill>
              </fill>
            </x14:dxf>
          </x14:cfRule>
          <x14:cfRule type="expression" priority="63" id="{72B4853A-5DA4-48E2-8020-E637654BC37B}">
            <xm:f>AC43='5.Mapeo'!$E$20</xm:f>
            <x14:dxf>
              <font>
                <color theme="0"/>
              </font>
              <fill>
                <patternFill>
                  <bgColor rgb="FFED8741"/>
                </patternFill>
              </fill>
            </x14:dxf>
          </x14:cfRule>
          <x14:cfRule type="expression" priority="64" id="{0CA4E75A-7961-438C-A913-02CAB5EEF5F0}">
            <xm:f>AC43='5.Mapeo'!$E$19</xm:f>
            <x14:dxf>
              <font>
                <color theme="0"/>
              </font>
              <fill>
                <patternFill>
                  <bgColor theme="6" tint="-0.499984740745262"/>
                </patternFill>
              </fill>
            </x14:dxf>
          </x14:cfRule>
          <x14:cfRule type="expression" priority="65" id="{09CC60CA-12FE-46D9-8C48-36CD81EAE764}">
            <xm:f>AC43='5.Mapeo'!$E$18</xm:f>
            <x14:dxf>
              <font>
                <color theme="0"/>
              </font>
              <fill>
                <patternFill>
                  <bgColor rgb="FF7D7D7D"/>
                </patternFill>
              </fill>
            </x14:dxf>
          </x14:cfRule>
          <x14:cfRule type="expression" priority="66" id="{8F3F9D85-0924-4474-B58D-73348174ABA8}">
            <xm:f>AC43='5.Mapeo'!$E$17</xm:f>
            <x14:dxf>
              <font>
                <color theme="0"/>
              </font>
              <fill>
                <patternFill>
                  <bgColor rgb="FFA7A7A7"/>
                </patternFill>
              </fill>
            </x14:dxf>
          </x14:cfRule>
          <x14:cfRule type="expression" priority="67" id="{2E07CF86-DCA1-469C-8887-7DABAA7B87AE}">
            <xm:f>AC43='5.Mapeo'!$E$16</xm:f>
            <x14:dxf>
              <font>
                <color theme="0"/>
              </font>
              <fill>
                <patternFill>
                  <bgColor theme="7" tint="-0.499984740745262"/>
                </patternFill>
              </fill>
            </x14:dxf>
          </x14:cfRule>
          <x14:cfRule type="expression" priority="68" id="{F0F48695-5775-41E8-8778-54D23D02A078}">
            <xm:f>AC43='5.Mapeo'!$E$15</xm:f>
            <x14:dxf>
              <font>
                <color theme="0"/>
              </font>
              <fill>
                <patternFill>
                  <bgColor rgb="FFD09A00"/>
                </patternFill>
              </fill>
            </x14:dxf>
          </x14:cfRule>
          <x14:cfRule type="expression" priority="69" id="{27354EAB-4A37-40A5-9441-4A792FF6BBE9}">
            <xm:f>AC43='5.Mapeo'!$E$14</xm:f>
            <x14:dxf>
              <font>
                <color theme="0"/>
              </font>
              <fill>
                <patternFill>
                  <bgColor rgb="FFFFCD3F"/>
                </patternFill>
              </fill>
            </x14:dxf>
          </x14:cfRule>
          <x14:cfRule type="expression" priority="70" id="{2108CF0F-019B-4CDD-A64A-8BB41FDF2FBF}">
            <xm:f>AC43='5.Mapeo'!$E$13</xm:f>
            <x14:dxf>
              <font>
                <color theme="0"/>
              </font>
              <fill>
                <patternFill>
                  <bgColor theme="8" tint="-0.499984740745262"/>
                </patternFill>
              </fill>
            </x14:dxf>
          </x14:cfRule>
          <x14:cfRule type="expression" priority="71" id="{FA15D23D-3839-4D7F-95F6-12213E5A8D2F}">
            <xm:f>AC43='5.Mapeo'!$E$12</xm:f>
            <x14:dxf>
              <font>
                <color theme="0"/>
              </font>
              <fill>
                <patternFill>
                  <bgColor rgb="FF2C6EAA"/>
                </patternFill>
              </fill>
            </x14:dxf>
          </x14:cfRule>
          <x14:cfRule type="expression" priority="72" id="{A43A7F70-80B4-4D7B-9B52-2DAB8B606B0E}">
            <xm:f>AC43='5.Mapeo'!$E$11</xm:f>
            <x14:dxf>
              <font>
                <color theme="0"/>
              </font>
              <fill>
                <patternFill>
                  <bgColor rgb="FF0070C4"/>
                </patternFill>
              </fill>
            </x14:dxf>
          </x14:cfRule>
          <x14:cfRule type="expression" priority="73" id="{C5E2237F-DDF4-4384-8FB6-7A6AC63F2E77}">
            <xm:f>AC43='5.Mapeo'!$E$10</xm:f>
            <x14:dxf>
              <font>
                <color theme="0"/>
              </font>
              <fill>
                <patternFill>
                  <bgColor theme="9" tint="-0.499984740745262"/>
                </patternFill>
              </fill>
            </x14:dxf>
          </x14:cfRule>
          <x14:cfRule type="expression" priority="74" id="{4ABD7A2D-D50A-4806-9593-535ECBAF0930}">
            <xm:f>AC43='5.Mapeo'!$E$9</xm:f>
            <x14:dxf>
              <font>
                <color theme="0"/>
              </font>
              <fill>
                <patternFill>
                  <bgColor rgb="FF5E943C"/>
                </patternFill>
              </fill>
            </x14:dxf>
          </x14:cfRule>
          <x14:cfRule type="expression" priority="75" id="{7F50AC55-3335-47A2-B01D-356C624E699C}">
            <xm:f>AC43='5.Mapeo'!$E$8</xm:f>
            <x14:dxf>
              <font>
                <color theme="0"/>
              </font>
              <fill>
                <patternFill>
                  <bgColor rgb="FF8CC26A"/>
                </patternFill>
              </fill>
            </x14:dxf>
          </x14:cfRule>
          <xm:sqref>AC43</xm:sqref>
        </x14:conditionalFormatting>
        <x14:conditionalFormatting xmlns:xm="http://schemas.microsoft.com/office/excel/2006/main">
          <x14:cfRule type="expression" priority="3" id="{84EA515D-03C5-4B24-986C-F20501B4F120}">
            <xm:f>AA56='5.Mapeo'!$E$43</xm:f>
            <x14:dxf>
              <fill>
                <patternFill>
                  <bgColor theme="8" tint="-0.24994659260841701"/>
                </patternFill>
              </fill>
            </x14:dxf>
          </x14:cfRule>
          <x14:cfRule type="expression" priority="4" id="{02B6457C-0CF0-4090-9B1D-83ACD3F8998A}">
            <xm:f>AA56='5.Mapeo'!$E$42</xm:f>
            <x14:dxf>
              <font>
                <color auto="1"/>
              </font>
              <fill>
                <patternFill>
                  <bgColor rgb="FF12AEAE"/>
                </patternFill>
              </fill>
            </x14:dxf>
          </x14:cfRule>
          <x14:cfRule type="expression" priority="5" id="{75B95808-B87E-493A-8767-1374AB074324}">
            <xm:f>AA56='5.Mapeo'!$E$41</xm:f>
            <x14:dxf>
              <font>
                <color theme="1"/>
              </font>
              <fill>
                <patternFill>
                  <bgColor rgb="FFABEAF3"/>
                </patternFill>
              </fill>
            </x14:dxf>
          </x14:cfRule>
          <x14:cfRule type="expression" priority="6" id="{AB7E3B67-6273-47AD-953A-76599B2814E1}">
            <xm:f>AA56='5.Mapeo'!$E$40</xm:f>
            <x14:dxf>
              <font>
                <color theme="1"/>
              </font>
              <fill>
                <patternFill>
                  <bgColor rgb="FF00B050"/>
                </patternFill>
              </fill>
            </x14:dxf>
          </x14:cfRule>
          <x14:cfRule type="expression" priority="7" id="{235C6E6E-3DFA-4BCB-9E46-459E7468D6CD}">
            <xm:f>AA56='5.Mapeo'!$E$39</xm:f>
            <x14:dxf>
              <font>
                <color theme="1"/>
              </font>
              <fill>
                <patternFill>
                  <bgColor rgb="FF00FE73"/>
                </patternFill>
              </fill>
            </x14:dxf>
          </x14:cfRule>
          <x14:cfRule type="expression" priority="8" id="{9DAE72F9-59CC-479B-BAD0-DF837188BBBC}">
            <xm:f>AA56='5.Mapeo'!$E$38</xm:f>
            <x14:dxf>
              <font>
                <color theme="1"/>
              </font>
              <fill>
                <patternFill>
                  <bgColor rgb="FF57FFA3"/>
                </patternFill>
              </fill>
            </x14:dxf>
          </x14:cfRule>
          <x14:cfRule type="expression" priority="9" id="{541D02F3-3A54-4558-BA7D-22978F3028F9}">
            <xm:f>AA56='5.Mapeo'!$E$37</xm:f>
            <x14:dxf>
              <font>
                <color theme="0"/>
              </font>
              <fill>
                <patternFill>
                  <bgColor rgb="FFFF0000"/>
                </patternFill>
              </fill>
            </x14:dxf>
          </x14:cfRule>
          <x14:cfRule type="expression" priority="10" id="{D2C178BC-0B0A-4345-955F-2586079ECFE8}">
            <xm:f>AA56='5.Mapeo'!$E$36</xm:f>
            <x14:dxf>
              <font>
                <color theme="0"/>
              </font>
              <fill>
                <patternFill>
                  <bgColor rgb="FFFF4343"/>
                </patternFill>
              </fill>
            </x14:dxf>
          </x14:cfRule>
          <x14:cfRule type="expression" priority="11" id="{E5296553-969B-4349-A0C1-9403F6D064E7}">
            <xm:f>AA56='5.Mapeo'!$E$35</xm:f>
            <x14:dxf>
              <font>
                <color theme="0"/>
              </font>
              <fill>
                <patternFill>
                  <bgColor rgb="FFFF8181"/>
                </patternFill>
              </fill>
            </x14:dxf>
          </x14:cfRule>
          <x14:cfRule type="expression" priority="12" id="{47D8ADC7-11AA-4983-BD21-E2CECE690DD6}">
            <xm:f>AA56='5.Mapeo'!$E$34</xm:f>
            <x14:dxf>
              <fill>
                <patternFill>
                  <bgColor rgb="FFFFFF00"/>
                </patternFill>
              </fill>
            </x14:dxf>
          </x14:cfRule>
          <x14:cfRule type="expression" priority="13" id="{DDB2D809-ACC0-436F-B5C3-A61040ADFE8D}">
            <xm:f>AA56='5.Mapeo'!$E$33</xm:f>
            <x14:dxf>
              <fill>
                <patternFill>
                  <bgColor rgb="FFFFFF5B"/>
                </patternFill>
              </fill>
            </x14:dxf>
          </x14:cfRule>
          <x14:cfRule type="expression" priority="14" id="{27C648A0-66A9-4E9C-8586-A93A667B0CF4}">
            <xm:f>AA56='5.Mapeo'!$E$32</xm:f>
            <x14:dxf>
              <font>
                <color auto="1"/>
              </font>
              <fill>
                <patternFill>
                  <bgColor rgb="FFFFFF97"/>
                </patternFill>
              </fill>
            </x14:dxf>
          </x14:cfRule>
          <x14:cfRule type="expression" priority="15" id="{EF5FA7C6-7E1B-4A55-9696-3868FAB0FD0E}">
            <xm:f>AA56='5.Mapeo'!$E$31</xm:f>
            <x14:dxf>
              <font>
                <color theme="0"/>
              </font>
              <fill>
                <patternFill>
                  <bgColor rgb="FF7030A0"/>
                </patternFill>
              </fill>
            </x14:dxf>
          </x14:cfRule>
          <x14:cfRule type="expression" priority="16" id="{BF7F5EE5-92D3-4084-8F06-4D31F24AAD5B}">
            <xm:f>AA56='5.Mapeo'!$E$30</xm:f>
            <x14:dxf>
              <font>
                <color theme="0"/>
              </font>
              <fill>
                <patternFill>
                  <bgColor rgb="FF934BC9"/>
                </patternFill>
              </fill>
            </x14:dxf>
          </x14:cfRule>
          <x14:cfRule type="expression" priority="17" id="{0D95C269-B63E-4014-932E-0D8ACAD356CC}">
            <xm:f>AA56='5.Mapeo'!$E$29</xm:f>
            <x14:dxf>
              <font>
                <color theme="0"/>
              </font>
              <fill>
                <patternFill>
                  <bgColor rgb="FFC39BE1"/>
                </patternFill>
              </fill>
            </x14:dxf>
          </x14:cfRule>
          <x14:cfRule type="expression" priority="18" id="{29572202-142E-49E3-ADD3-D70BF9074CDB}">
            <xm:f>AA56='5.Mapeo'!$E$28</xm:f>
            <x14:dxf>
              <font>
                <color theme="0"/>
              </font>
              <fill>
                <patternFill>
                  <bgColor theme="1" tint="4.9989318521683403E-2"/>
                </patternFill>
              </fill>
            </x14:dxf>
          </x14:cfRule>
          <x14:cfRule type="expression" priority="19" id="{03710FC6-2816-48E6-B7F8-56F8AB1C41C8}">
            <xm:f>AA56='5.Mapeo'!$E$27</xm:f>
            <x14:dxf>
              <font>
                <color theme="0"/>
              </font>
              <fill>
                <patternFill>
                  <bgColor rgb="FF343434"/>
                </patternFill>
              </fill>
            </x14:dxf>
          </x14:cfRule>
          <x14:cfRule type="expression" priority="20" id="{0B076097-388F-4199-8CEF-8ADC28993411}">
            <xm:f>AA56='5.Mapeo'!$E$26</xm:f>
            <x14:dxf>
              <font>
                <color theme="0"/>
              </font>
              <fill>
                <patternFill>
                  <bgColor rgb="FF565656"/>
                </patternFill>
              </fill>
            </x14:dxf>
          </x14:cfRule>
          <x14:cfRule type="expression" priority="21" id="{DAF1A345-E271-44E1-B614-095ACEC222A5}">
            <xm:f>AA56='5.Mapeo'!$E$25</xm:f>
            <x14:dxf>
              <font>
                <color theme="0"/>
              </font>
              <fill>
                <patternFill>
                  <bgColor theme="3" tint="-0.499984740745262"/>
                </patternFill>
              </fill>
            </x14:dxf>
          </x14:cfRule>
          <x14:cfRule type="expression" priority="22" id="{37A7388C-6BD4-44A3-8F11-443508E3E5CB}">
            <xm:f>AA56='5.Mapeo'!$E$24</xm:f>
            <x14:dxf>
              <font>
                <color theme="0"/>
              </font>
              <fill>
                <patternFill>
                  <bgColor rgb="FF46596E"/>
                </patternFill>
              </fill>
            </x14:dxf>
          </x14:cfRule>
          <x14:cfRule type="expression" priority="23" id="{7561068B-6463-40DD-850D-28B6103C5F65}">
            <xm:f>AA56='5.Mapeo'!$E$23</xm:f>
            <x14:dxf>
              <font>
                <color theme="0"/>
              </font>
              <fill>
                <patternFill>
                  <bgColor rgb="FF5E7894"/>
                </patternFill>
              </fill>
            </x14:dxf>
          </x14:cfRule>
          <x14:cfRule type="expression" priority="24" id="{022C8DED-46FC-4112-B2E6-5D8D0E410955}">
            <xm:f>AA56='5.Mapeo'!$E$22</xm:f>
            <x14:dxf>
              <font>
                <color theme="0"/>
              </font>
              <fill>
                <patternFill>
                  <bgColor theme="5" tint="-0.499984740745262"/>
                </patternFill>
              </fill>
            </x14:dxf>
          </x14:cfRule>
          <x14:cfRule type="expression" priority="25" id="{7D2C0127-2EEC-42DF-99CB-B16620091B8F}">
            <xm:f>AA56='5.Mapeo'!$E$21</xm:f>
            <x14:dxf>
              <font>
                <color theme="0"/>
              </font>
              <fill>
                <patternFill>
                  <bgColor rgb="FFBB5611"/>
                </patternFill>
              </fill>
            </x14:dxf>
          </x14:cfRule>
          <x14:cfRule type="expression" priority="26" id="{6DBBC970-DDDD-4F80-AC94-0354CA000D8C}">
            <xm:f>AA56='5.Mapeo'!$E$20</xm:f>
            <x14:dxf>
              <font>
                <color theme="0"/>
              </font>
              <fill>
                <patternFill>
                  <bgColor rgb="FFED8741"/>
                </patternFill>
              </fill>
            </x14:dxf>
          </x14:cfRule>
          <x14:cfRule type="expression" priority="27" id="{9FA1A2F3-9E9E-474B-A88A-F1F2A8742670}">
            <xm:f>AA56='5.Mapeo'!$E$19</xm:f>
            <x14:dxf>
              <font>
                <color theme="0"/>
              </font>
              <fill>
                <patternFill>
                  <bgColor theme="6" tint="-0.499984740745262"/>
                </patternFill>
              </fill>
            </x14:dxf>
          </x14:cfRule>
          <x14:cfRule type="expression" priority="28" id="{B00B6841-DC86-40C4-B652-40885E0044D0}">
            <xm:f>AA56='5.Mapeo'!$E$18</xm:f>
            <x14:dxf>
              <font>
                <color theme="0"/>
              </font>
              <fill>
                <patternFill>
                  <bgColor rgb="FF7D7D7D"/>
                </patternFill>
              </fill>
            </x14:dxf>
          </x14:cfRule>
          <x14:cfRule type="expression" priority="29" id="{DC0B83C5-7FB5-4741-B827-B9D2E7659636}">
            <xm:f>AA56='5.Mapeo'!$E$17</xm:f>
            <x14:dxf>
              <font>
                <color theme="0"/>
              </font>
              <fill>
                <patternFill>
                  <bgColor rgb="FFA7A7A7"/>
                </patternFill>
              </fill>
            </x14:dxf>
          </x14:cfRule>
          <x14:cfRule type="expression" priority="30" id="{3BD958CB-B95F-47D5-8C5C-4FC053B85F86}">
            <xm:f>AA56='5.Mapeo'!$E$16</xm:f>
            <x14:dxf>
              <font>
                <color theme="0"/>
              </font>
              <fill>
                <patternFill>
                  <bgColor theme="7" tint="-0.499984740745262"/>
                </patternFill>
              </fill>
            </x14:dxf>
          </x14:cfRule>
          <x14:cfRule type="expression" priority="31" id="{0FAB2AD1-F2B9-439C-89CA-5B55EE77935F}">
            <xm:f>AA56='5.Mapeo'!$E$15</xm:f>
            <x14:dxf>
              <font>
                <color theme="0"/>
              </font>
              <fill>
                <patternFill>
                  <bgColor rgb="FFD09A00"/>
                </patternFill>
              </fill>
            </x14:dxf>
          </x14:cfRule>
          <x14:cfRule type="expression" priority="32" id="{7A9F6D61-78B5-48DC-9DF6-3F7EC0742BAA}">
            <xm:f>AA56='5.Mapeo'!$E$14</xm:f>
            <x14:dxf>
              <font>
                <color theme="0"/>
              </font>
              <fill>
                <patternFill>
                  <bgColor rgb="FFFFCD3F"/>
                </patternFill>
              </fill>
            </x14:dxf>
          </x14:cfRule>
          <x14:cfRule type="expression" priority="33" id="{C8AE18E7-036B-41AE-AD0A-B6D69C158786}">
            <xm:f>AA56='5.Mapeo'!$E$13</xm:f>
            <x14:dxf>
              <font>
                <color theme="0"/>
              </font>
              <fill>
                <patternFill>
                  <bgColor theme="8" tint="-0.499984740745262"/>
                </patternFill>
              </fill>
            </x14:dxf>
          </x14:cfRule>
          <x14:cfRule type="expression" priority="34" id="{93DB14F4-DDBA-43EA-A8A2-EBC3FF5FD46D}">
            <xm:f>AA56='5.Mapeo'!$E$12</xm:f>
            <x14:dxf>
              <font>
                <color theme="0"/>
              </font>
              <fill>
                <patternFill>
                  <bgColor rgb="FF2C6EAA"/>
                </patternFill>
              </fill>
            </x14:dxf>
          </x14:cfRule>
          <x14:cfRule type="expression" priority="35" id="{4E2CAF8A-05FA-4DA8-B6BE-3353A2B9F685}">
            <xm:f>AA56='5.Mapeo'!$E$11</xm:f>
            <x14:dxf>
              <font>
                <color theme="0"/>
              </font>
              <fill>
                <patternFill>
                  <bgColor rgb="FF0070C4"/>
                </patternFill>
              </fill>
            </x14:dxf>
          </x14:cfRule>
          <x14:cfRule type="expression" priority="36" id="{68A9005E-F030-49CD-9FAA-7A949F8EC451}">
            <xm:f>AA56='5.Mapeo'!$E$10</xm:f>
            <x14:dxf>
              <font>
                <color theme="0"/>
              </font>
              <fill>
                <patternFill>
                  <bgColor theme="9" tint="-0.499984740745262"/>
                </patternFill>
              </fill>
            </x14:dxf>
          </x14:cfRule>
          <x14:cfRule type="expression" priority="37" id="{1465A93F-FDE3-4C24-9930-CC7FCE19C7C6}">
            <xm:f>AA56='5.Mapeo'!$E$9</xm:f>
            <x14:dxf>
              <font>
                <color theme="0"/>
              </font>
              <fill>
                <patternFill>
                  <bgColor rgb="FF5E943C"/>
                </patternFill>
              </fill>
            </x14:dxf>
          </x14:cfRule>
          <x14:cfRule type="expression" priority="38" id="{A15937B7-791A-49BA-B965-EF73F096C9A0}">
            <xm:f>AA56='5.Mapeo'!$E$8</xm:f>
            <x14:dxf>
              <font>
                <color theme="0"/>
              </font>
              <fill>
                <patternFill>
                  <bgColor rgb="FF8CC26A"/>
                </patternFill>
              </fill>
            </x14:dxf>
          </x14:cfRule>
          <xm:sqref>AA56</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256609CB-7DA3-4CE5-8624-25320F453AE9}">
          <x14:formula1>
            <xm:f>DATOS!$A$8:$A$21</xm:f>
          </x14:formula1>
          <xm:sqref>B107:B116 B19:B28 B30:B39 B41:B50 B52:B61 B63:B72 B74:B83 B85:B94 B96:B105 B162:B171 B118:B127 B129:B138 B140:B149 B151:B160</xm:sqref>
        </x14:dataValidation>
        <x14:dataValidation type="list" allowBlank="1" showInputMessage="1" showErrorMessage="1" xr:uid="{03AD61B9-4CBD-4C5E-99C8-9005C6A96EA9}">
          <x14:formula1>
            <xm:f>DATOS!$C$3:$C$5</xm:f>
          </x14:formula1>
          <xm:sqref>G107:G116 G85:G94 G140:G149 G30:G39 G41:G50 G52:G61 G63:G72 G151:G160 G74:G83 G19:G28 G118:G127 G129:G138 G162:G171 G96:G105</xm:sqref>
        </x14:dataValidation>
        <x14:dataValidation type="list" allowBlank="1" showInputMessage="1" showErrorMessage="1" xr:uid="{BB36384D-CC18-464A-87C9-F998EDE383E0}">
          <x14:formula1>
            <xm:f>DATOS!$C$8:$C$9</xm:f>
          </x14:formula1>
          <xm:sqref>H41:H50 H52:H61 H63:H72 H74:H83 H85:H94 H96:H105 H107:H116 H162:H171 H30:H39 H151:H160 H140:H149 H129:H138 H118:H127 H19:H28</xm:sqref>
        </x14:dataValidation>
        <x14:dataValidation type="list" allowBlank="1" showInputMessage="1" showErrorMessage="1" xr:uid="{23B1450C-5D3D-42B7-8B16-7B188FE6DAF9}">
          <x14:formula1>
            <xm:f>DATOS!#REF!</xm:f>
          </x14:formula1>
          <xm:sqref>F36:F39 F91:F94 F113:F116 F102:F105 F25:F28 F80:F83 F69:F72 F58:F61 F47:F50 F168:F171 F157:F160 F146:F149 F135:F138 F124:F127</xm:sqref>
        </x14:dataValidation>
        <x14:dataValidation type="list" allowBlank="1" showInputMessage="1" showErrorMessage="1" xr:uid="{74C3CBBE-1A41-4FF2-B24C-44C8A1B40880}">
          <x14:formula1>
            <xm:f>DATOS!$G$3:$G$51</xm:f>
          </x14:formula1>
          <xm:sqref>F19:F24 F30:F35 F41:F46 F52:F57 F63:F68 F74:F79 F85:F90 F96:F101 F107:F112 F162:F167 F151:F156 F140:F145 F129:F134 F118:F123</xm:sqref>
        </x14:dataValidation>
        <x14:dataValidation type="list" allowBlank="1" showInputMessage="1" showErrorMessage="1" xr:uid="{E60073B2-94FE-4E29-A4BB-4D78F800758B}">
          <x14:formula1>
            <xm:f>'5.Mapeo'!$E$8:$E$43</xm:f>
          </x14:formula1>
          <xm:sqref>AA107:AI116 AA118:AI127 AA129:AI138 AA140:AI149 AA151:AI160 AA162:AI171 AA19:AI28 AA41:AI50 AA63:AI72 AA74:AI83 AA30:AI39 AA96:AI105 AA52:AI61 AA85:AI94</xm:sqref>
        </x14:dataValidation>
        <x14:dataValidation type="list" allowBlank="1" showInputMessage="1" showErrorMessage="1" xr:uid="{7E667A48-7B13-48AB-BE5E-5425D6172B3F}">
          <x14:formula1>
            <xm:f>'1.Fundamentos'!$B$67:$B$95</xm:f>
          </x14:formula1>
          <xm:sqref>Y113:Y116 Y157:Y160 Y146:Y149 Y135:Y138 Y124:Y127 Y168:Y171 Y102:Y105 Y91:Y94 Y80:Y83 Y69:Y72 Y58:Y61 Y47:Y50 Y36:Y39 Y25:Y28</xm:sqref>
        </x14:dataValidation>
        <x14:dataValidation type="list" allowBlank="1" showInputMessage="1" showErrorMessage="1" xr:uid="{AD2C758E-4AF4-413A-B37E-93774E79E062}">
          <x14:formula1>
            <xm:f>DATOS!$C$14:$C$21</xm:f>
          </x14:formula1>
          <xm:sqref>Y19:Y24 Y151:Y156 Y140:Y145 Y129:Y134 Y118:Y123 Y30:Y35 Y41:Y46 Y52:Y57 Y63:Y68 Y74:Y79 Y85:Y90 Y96:Y101 Y107:Y112 Y162:Y167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37797-14D1-4DAD-B6B2-D89B5B234E07}">
  <sheetPr codeName="Hoja7">
    <pageSetUpPr fitToPage="1"/>
  </sheetPr>
  <dimension ref="B1:AF109"/>
  <sheetViews>
    <sheetView showGridLines="0" topLeftCell="A68" zoomScaleNormal="100" zoomScaleSheetLayoutView="91" workbookViewId="0">
      <selection activeCell="AB30" sqref="AB30"/>
    </sheetView>
  </sheetViews>
  <sheetFormatPr defaultColWidth="11.42578125" defaultRowHeight="12"/>
  <cols>
    <col min="1" max="1" width="2.28515625" style="23" customWidth="1"/>
    <col min="2" max="2" width="4.7109375" style="21" customWidth="1"/>
    <col min="3" max="3" width="10" style="21" customWidth="1"/>
    <col min="4" max="4" width="9.85546875" style="21" customWidth="1"/>
    <col min="5" max="5" width="25.28515625" style="23" customWidth="1"/>
    <col min="6" max="6" width="15" style="23" customWidth="1"/>
    <col min="7" max="7" width="14.5703125" style="26" customWidth="1"/>
    <col min="8" max="8" width="10.28515625" style="26" customWidth="1"/>
    <col min="9" max="9" width="14" style="26" customWidth="1"/>
    <col min="10" max="15" width="8.5703125" style="23" customWidth="1"/>
    <col min="16" max="16" width="8.7109375" style="23" customWidth="1"/>
    <col min="17" max="17" width="11.42578125" style="23" customWidth="1"/>
    <col min="18" max="21" width="15.7109375" style="23" customWidth="1"/>
    <col min="22" max="22" width="7.7109375" style="23" customWidth="1"/>
    <col min="23" max="23" width="15.7109375" style="21" customWidth="1"/>
    <col min="24" max="24" width="3.42578125" style="23" customWidth="1"/>
    <col min="25" max="29" width="18.7109375" style="23" customWidth="1"/>
    <col min="30" max="30" width="3.42578125" style="23" customWidth="1"/>
    <col min="31" max="16384" width="11.42578125" style="23"/>
  </cols>
  <sheetData>
    <row r="1" spans="2:32" ht="9.75" customHeight="1">
      <c r="C1" s="22"/>
      <c r="D1" s="22"/>
      <c r="E1" s="22"/>
      <c r="F1" s="22"/>
      <c r="G1" s="22"/>
      <c r="H1" s="22"/>
      <c r="I1" s="22"/>
      <c r="J1" s="22"/>
      <c r="K1" s="22"/>
      <c r="L1" s="22"/>
      <c r="M1" s="22"/>
      <c r="N1" s="22"/>
      <c r="O1" s="22"/>
      <c r="P1" s="22"/>
      <c r="Q1" s="22"/>
      <c r="R1" s="22"/>
      <c r="S1" s="22"/>
      <c r="T1" s="22"/>
      <c r="U1" s="22"/>
      <c r="V1" s="22"/>
      <c r="W1" s="22"/>
    </row>
    <row r="2" spans="2:32" s="2" customFormat="1" ht="18.75" customHeight="1">
      <c r="C2" s="22"/>
      <c r="E2" s="617" t="str">
        <f>+CONCATENATE("17. CURSOS ELECTIVOS DEL PROGRAMA DE ESTUDIOS DE",": ",'1.Fundamentos'!F6)</f>
        <v>17. CURSOS ELECTIVOS DEL PROGRAMA DE ESTUDIOS DE: EDUCACIÓN SECUNDARIA CON ESPECIALIDAD EN INGLÉS</v>
      </c>
      <c r="F2" s="617"/>
      <c r="G2" s="617"/>
      <c r="H2" s="617"/>
      <c r="I2" s="617"/>
      <c r="J2" s="617"/>
      <c r="K2" s="617"/>
      <c r="L2" s="617"/>
      <c r="M2" s="617"/>
      <c r="N2" s="617"/>
      <c r="O2" s="617"/>
      <c r="P2" s="617"/>
      <c r="Q2" s="617"/>
      <c r="R2" s="617"/>
      <c r="S2" s="617"/>
      <c r="T2" s="617"/>
      <c r="U2" s="617"/>
      <c r="V2" s="617"/>
      <c r="W2" s="617"/>
      <c r="X2" s="23"/>
      <c r="Y2" s="23"/>
      <c r="Z2" s="92"/>
      <c r="AA2" s="92"/>
      <c r="AB2" s="92"/>
      <c r="AC2" s="92"/>
      <c r="AD2" s="92"/>
      <c r="AE2" s="92"/>
      <c r="AF2" s="92"/>
    </row>
    <row r="3" spans="2:32" ht="24.75" customHeight="1" thickBot="1">
      <c r="B3" s="24"/>
      <c r="C3" s="24"/>
      <c r="D3" s="24"/>
      <c r="E3" s="24"/>
      <c r="F3" s="24"/>
      <c r="G3" s="24"/>
      <c r="H3" s="24"/>
      <c r="I3" s="24"/>
      <c r="J3" s="24"/>
      <c r="K3" s="24"/>
      <c r="L3" s="24"/>
      <c r="M3" s="24"/>
      <c r="N3" s="24"/>
      <c r="O3" s="24"/>
      <c r="P3" s="24"/>
      <c r="Q3" s="24"/>
      <c r="R3" s="24"/>
      <c r="S3" s="24"/>
      <c r="T3" s="24"/>
      <c r="U3" s="24"/>
      <c r="V3" s="24"/>
      <c r="W3" s="24"/>
    </row>
    <row r="4" spans="2:32" ht="24" customHeight="1" thickBot="1">
      <c r="B4" s="25"/>
      <c r="J4" s="811" t="s">
        <v>366</v>
      </c>
      <c r="K4" s="811"/>
      <c r="L4" s="811" t="s">
        <v>367</v>
      </c>
      <c r="M4" s="811"/>
      <c r="N4" s="811" t="s">
        <v>368</v>
      </c>
      <c r="O4" s="811"/>
      <c r="Y4" s="808" t="s">
        <v>369</v>
      </c>
      <c r="Z4" s="809"/>
      <c r="AA4" s="809"/>
      <c r="AB4" s="809"/>
      <c r="AC4" s="810"/>
    </row>
    <row r="5" spans="2:32" ht="30.75" customHeight="1" thickBot="1">
      <c r="B5" s="611" t="s">
        <v>224</v>
      </c>
      <c r="C5" s="597" t="s">
        <v>226</v>
      </c>
      <c r="D5" s="597" t="s">
        <v>370</v>
      </c>
      <c r="E5" s="612" t="s">
        <v>371</v>
      </c>
      <c r="F5" s="612" t="s">
        <v>372</v>
      </c>
      <c r="G5" s="612" t="s">
        <v>228</v>
      </c>
      <c r="H5" s="597" t="s">
        <v>229</v>
      </c>
      <c r="I5" s="597" t="s">
        <v>373</v>
      </c>
      <c r="J5" s="612" t="s">
        <v>243</v>
      </c>
      <c r="K5" s="612" t="s">
        <v>365</v>
      </c>
      <c r="L5" s="612" t="s">
        <v>243</v>
      </c>
      <c r="M5" s="612" t="s">
        <v>365</v>
      </c>
      <c r="N5" s="612" t="s">
        <v>243</v>
      </c>
      <c r="O5" s="612" t="s">
        <v>365</v>
      </c>
      <c r="P5" s="612" t="s">
        <v>233</v>
      </c>
      <c r="Q5" s="612" t="s">
        <v>374</v>
      </c>
      <c r="R5" s="807" t="s">
        <v>375</v>
      </c>
      <c r="S5" s="807"/>
      <c r="T5" s="807"/>
      <c r="U5" s="807"/>
      <c r="V5" s="612" t="s">
        <v>376</v>
      </c>
      <c r="W5" s="613" t="s">
        <v>377</v>
      </c>
      <c r="X5" s="614"/>
      <c r="Y5" s="599" t="s">
        <v>378</v>
      </c>
      <c r="Z5" s="599" t="s">
        <v>379</v>
      </c>
      <c r="AA5" s="599" t="s">
        <v>380</v>
      </c>
      <c r="AB5" s="599" t="s">
        <v>381</v>
      </c>
      <c r="AC5" s="599" t="s">
        <v>382</v>
      </c>
    </row>
    <row r="6" spans="2:32" ht="16.5" customHeight="1">
      <c r="B6" s="27">
        <v>1</v>
      </c>
      <c r="C6" s="28" t="s">
        <v>427</v>
      </c>
      <c r="D6" s="27">
        <v>99997</v>
      </c>
      <c r="E6" s="29" t="s">
        <v>388</v>
      </c>
      <c r="F6" s="199" t="s">
        <v>387</v>
      </c>
      <c r="G6" s="45" t="s">
        <v>247</v>
      </c>
      <c r="H6" s="287" t="s">
        <v>242</v>
      </c>
      <c r="I6" s="276" t="str">
        <f t="shared" ref="I6" si="0">IFERROR(IF(E6="","",IF((J6+L6+N6)/SUM(J6:O6)&lt;=0.2,"A distancia",IF((J6+L6+N6)/SUM(J6:O6)&lt;=0.7,"Semipresencial","Presencial"))),"")</f>
        <v>A distancia</v>
      </c>
      <c r="J6" s="30">
        <v>0</v>
      </c>
      <c r="K6" s="31">
        <v>84</v>
      </c>
      <c r="L6" s="30">
        <v>0</v>
      </c>
      <c r="M6" s="31">
        <v>0</v>
      </c>
      <c r="N6" s="30">
        <v>0</v>
      </c>
      <c r="O6" s="31">
        <v>0</v>
      </c>
      <c r="P6" s="605">
        <v>0</v>
      </c>
      <c r="Q6" s="251"/>
      <c r="R6" s="29"/>
      <c r="S6" s="29"/>
      <c r="T6" s="29"/>
      <c r="U6" s="29"/>
      <c r="V6" s="29"/>
      <c r="W6" s="27"/>
      <c r="Y6" s="196"/>
      <c r="Z6" s="196"/>
      <c r="AA6" s="196"/>
      <c r="AB6" s="196"/>
      <c r="AC6" s="196"/>
    </row>
    <row r="7" spans="2:32" ht="16.5" customHeight="1">
      <c r="B7" s="32">
        <v>1</v>
      </c>
      <c r="C7" s="33" t="s">
        <v>428</v>
      </c>
      <c r="D7" s="32">
        <v>99996</v>
      </c>
      <c r="E7" s="34" t="s">
        <v>391</v>
      </c>
      <c r="F7" s="199" t="s">
        <v>390</v>
      </c>
      <c r="G7" s="45" t="s">
        <v>247</v>
      </c>
      <c r="H7" s="287" t="s">
        <v>242</v>
      </c>
      <c r="I7" s="276" t="str">
        <f t="shared" ref="I7:I40" si="1">IFERROR(IF(E7="","",IF((J7+L7+N7)/SUM(J7:O7)&lt;=0.2,"A distancia",IF((J7+L7+N7)/SUM(J7:O7)&lt;=0.7,"Semipresencial","Presencial"))),"")</f>
        <v>A distancia</v>
      </c>
      <c r="J7" s="35">
        <v>0</v>
      </c>
      <c r="K7" s="36">
        <v>28</v>
      </c>
      <c r="L7" s="35">
        <v>0</v>
      </c>
      <c r="M7" s="36">
        <v>56</v>
      </c>
      <c r="N7" s="35">
        <v>0</v>
      </c>
      <c r="O7" s="36">
        <v>0</v>
      </c>
      <c r="P7" s="601">
        <v>0</v>
      </c>
      <c r="Q7" s="252"/>
      <c r="R7" s="34"/>
      <c r="S7" s="34"/>
      <c r="T7" s="34"/>
      <c r="U7" s="34"/>
      <c r="V7" s="34"/>
      <c r="W7" s="32"/>
      <c r="Y7" s="197"/>
      <c r="Z7" s="197"/>
      <c r="AA7" s="197"/>
      <c r="AB7" s="197"/>
      <c r="AC7" s="197"/>
    </row>
    <row r="8" spans="2:32" ht="22.5" customHeight="1">
      <c r="B8" s="49">
        <v>1</v>
      </c>
      <c r="C8" s="50" t="s">
        <v>429</v>
      </c>
      <c r="D8" s="49">
        <v>99995</v>
      </c>
      <c r="E8" s="51" t="s">
        <v>394</v>
      </c>
      <c r="F8" s="219" t="s">
        <v>430</v>
      </c>
      <c r="G8" s="50" t="s">
        <v>247</v>
      </c>
      <c r="H8" s="381" t="s">
        <v>242</v>
      </c>
      <c r="I8" s="278" t="str">
        <f t="shared" si="1"/>
        <v>A distancia</v>
      </c>
      <c r="J8" s="52">
        <v>0</v>
      </c>
      <c r="K8" s="53">
        <v>28</v>
      </c>
      <c r="L8" s="52">
        <v>0</v>
      </c>
      <c r="M8" s="53">
        <v>56</v>
      </c>
      <c r="N8" s="52">
        <v>0</v>
      </c>
      <c r="O8" s="53">
        <v>0</v>
      </c>
      <c r="P8" s="607">
        <v>0</v>
      </c>
      <c r="Q8" s="297"/>
      <c r="R8" s="51"/>
      <c r="S8" s="51"/>
      <c r="T8" s="51"/>
      <c r="U8" s="51"/>
      <c r="V8" s="51"/>
      <c r="W8" s="49"/>
      <c r="Y8" s="229"/>
      <c r="Z8" s="229"/>
      <c r="AA8" s="229"/>
      <c r="AB8" s="229"/>
      <c r="AC8" s="229"/>
    </row>
    <row r="9" spans="2:32" ht="24" hidden="1" customHeight="1">
      <c r="B9" s="43">
        <v>5</v>
      </c>
      <c r="C9" s="45"/>
      <c r="D9" s="43" t="s">
        <v>244</v>
      </c>
      <c r="E9" s="45"/>
      <c r="F9" s="199"/>
      <c r="G9" s="45"/>
      <c r="H9" s="287"/>
      <c r="I9" s="277" t="str">
        <f t="shared" si="1"/>
        <v/>
      </c>
      <c r="J9" s="46"/>
      <c r="K9" s="47"/>
      <c r="L9" s="46"/>
      <c r="M9" s="47"/>
      <c r="N9" s="46"/>
      <c r="O9" s="47"/>
      <c r="P9" s="608">
        <f>+SUM(J9:K9)/'3.Plan de Estudios'!$G$4+SUM(L9:M9)/'3.Plan de Estudios'!$M$4+SUM(N9:O9)/'3.Plan de Estudios'!$M$4</f>
        <v>0</v>
      </c>
      <c r="Q9" s="78" t="str">
        <f>IF(P9=0,"",P9*32)</f>
        <v/>
      </c>
      <c r="R9" s="44"/>
      <c r="S9" s="44"/>
      <c r="T9" s="44"/>
      <c r="U9" s="44"/>
      <c r="V9" s="44"/>
      <c r="W9" s="43"/>
      <c r="Y9" s="196"/>
      <c r="Z9" s="196"/>
      <c r="AA9" s="196"/>
      <c r="AB9" s="196"/>
      <c r="AC9" s="196"/>
    </row>
    <row r="10" spans="2:32" ht="24" hidden="1" customHeight="1">
      <c r="B10" s="32">
        <v>5</v>
      </c>
      <c r="C10" s="33"/>
      <c r="D10" s="32" t="s">
        <v>244</v>
      </c>
      <c r="E10" s="34"/>
      <c r="F10" s="122"/>
      <c r="G10" s="33"/>
      <c r="H10" s="287"/>
      <c r="I10" s="276" t="str">
        <f t="shared" si="1"/>
        <v/>
      </c>
      <c r="J10" s="35"/>
      <c r="K10" s="36"/>
      <c r="L10" s="35"/>
      <c r="M10" s="36"/>
      <c r="N10" s="35"/>
      <c r="O10" s="36"/>
      <c r="P10" s="609">
        <f>+SUM(J10:K10)/'3.Plan de Estudios'!$G$4+SUM(L10:M10)/'3.Plan de Estudios'!$M$4+SUM(N10:O10)/'3.Plan de Estudios'!$M$4</f>
        <v>0</v>
      </c>
      <c r="Q10" s="75" t="str">
        <f>IF(P10=0,"",P10*32)</f>
        <v/>
      </c>
      <c r="R10" s="34"/>
      <c r="S10" s="34"/>
      <c r="T10" s="34"/>
      <c r="U10" s="34"/>
      <c r="V10" s="34"/>
      <c r="W10" s="32"/>
      <c r="Y10" s="197"/>
      <c r="Z10" s="197"/>
      <c r="AA10" s="197"/>
      <c r="AB10" s="197"/>
      <c r="AC10" s="197"/>
    </row>
    <row r="11" spans="2:32" ht="24" hidden="1" customHeight="1">
      <c r="B11" s="32">
        <v>5</v>
      </c>
      <c r="C11" s="33"/>
      <c r="D11" s="32" t="s">
        <v>244</v>
      </c>
      <c r="E11" s="34"/>
      <c r="F11" s="199"/>
      <c r="G11" s="33"/>
      <c r="H11" s="287"/>
      <c r="I11" s="276" t="str">
        <f t="shared" si="1"/>
        <v/>
      </c>
      <c r="J11" s="35"/>
      <c r="K11" s="36"/>
      <c r="L11" s="35"/>
      <c r="M11" s="36"/>
      <c r="N11" s="35"/>
      <c r="O11" s="36"/>
      <c r="P11" s="609">
        <f>+SUM(J11:K11)/'3.Plan de Estudios'!$G$4+SUM(L11:M11)/'3.Plan de Estudios'!$M$4+SUM(N11:O11)/'3.Plan de Estudios'!$M$4</f>
        <v>0</v>
      </c>
      <c r="Q11" s="75" t="str">
        <f t="shared" ref="Q11:Q108" si="2">IF(P11=0,"",P11*32)</f>
        <v/>
      </c>
      <c r="R11" s="34"/>
      <c r="S11" s="34"/>
      <c r="T11" s="34"/>
      <c r="U11" s="34"/>
      <c r="V11" s="34"/>
      <c r="W11" s="32"/>
      <c r="Y11" s="197"/>
      <c r="Z11" s="197"/>
      <c r="AA11" s="197"/>
      <c r="AB11" s="197"/>
      <c r="AC11" s="197"/>
    </row>
    <row r="12" spans="2:32" ht="24" hidden="1" customHeight="1">
      <c r="B12" s="32">
        <v>5</v>
      </c>
      <c r="C12" s="33"/>
      <c r="D12" s="32" t="s">
        <v>244</v>
      </c>
      <c r="E12" s="34"/>
      <c r="F12" s="199"/>
      <c r="G12" s="33"/>
      <c r="H12" s="287"/>
      <c r="I12" s="276" t="str">
        <f t="shared" si="1"/>
        <v/>
      </c>
      <c r="J12" s="35"/>
      <c r="K12" s="36"/>
      <c r="L12" s="35"/>
      <c r="M12" s="36"/>
      <c r="N12" s="35"/>
      <c r="O12" s="36"/>
      <c r="P12" s="609">
        <f>+SUM(J12:K12)/'3.Plan de Estudios'!$G$4+SUM(L12:M12)/'3.Plan de Estudios'!$M$4+SUM(N12:O12)/'3.Plan de Estudios'!$M$4</f>
        <v>0</v>
      </c>
      <c r="Q12" s="75" t="str">
        <f t="shared" si="2"/>
        <v/>
      </c>
      <c r="R12" s="34"/>
      <c r="S12" s="34"/>
      <c r="T12" s="34"/>
      <c r="U12" s="34"/>
      <c r="V12" s="34"/>
      <c r="W12" s="32"/>
      <c r="Y12" s="197"/>
      <c r="Z12" s="197"/>
      <c r="AA12" s="197"/>
      <c r="AB12" s="197"/>
      <c r="AC12" s="197"/>
    </row>
    <row r="13" spans="2:32" ht="24" hidden="1" customHeight="1">
      <c r="B13" s="32">
        <v>5</v>
      </c>
      <c r="C13" s="37"/>
      <c r="D13" s="41" t="s">
        <v>244</v>
      </c>
      <c r="E13" s="38"/>
      <c r="F13" s="199"/>
      <c r="G13" s="33"/>
      <c r="H13" s="287"/>
      <c r="I13" s="276" t="str">
        <f t="shared" si="1"/>
        <v/>
      </c>
      <c r="J13" s="39"/>
      <c r="K13" s="40"/>
      <c r="L13" s="39"/>
      <c r="M13" s="40"/>
      <c r="N13" s="39"/>
      <c r="O13" s="40"/>
      <c r="P13" s="609">
        <f>+SUM(J13:K13)/'3.Plan de Estudios'!$G$4+SUM(L13:M13)/'3.Plan de Estudios'!$M$4+SUM(N13:O13)/'3.Plan de Estudios'!$M$4</f>
        <v>0</v>
      </c>
      <c r="Q13" s="76" t="str">
        <f t="shared" si="2"/>
        <v/>
      </c>
      <c r="R13" s="38"/>
      <c r="S13" s="38"/>
      <c r="T13" s="38"/>
      <c r="U13" s="38"/>
      <c r="V13" s="38"/>
      <c r="W13" s="32"/>
      <c r="Y13" s="197"/>
      <c r="Z13" s="197"/>
      <c r="AA13" s="197"/>
      <c r="AB13" s="197"/>
      <c r="AC13" s="197"/>
    </row>
    <row r="14" spans="2:32" ht="24" hidden="1" customHeight="1">
      <c r="B14" s="32">
        <v>5</v>
      </c>
      <c r="C14" s="37"/>
      <c r="D14" s="41" t="s">
        <v>244</v>
      </c>
      <c r="E14" s="38"/>
      <c r="F14" s="199"/>
      <c r="G14" s="37"/>
      <c r="H14" s="287"/>
      <c r="I14" s="276" t="str">
        <f t="shared" si="1"/>
        <v/>
      </c>
      <c r="J14" s="39"/>
      <c r="K14" s="40"/>
      <c r="L14" s="39"/>
      <c r="M14" s="40"/>
      <c r="N14" s="39"/>
      <c r="O14" s="40"/>
      <c r="P14" s="609">
        <f>+SUM(J14:K14)/'3.Plan de Estudios'!$G$4+SUM(L14:M14)/'3.Plan de Estudios'!$M$4+SUM(N14:O14)/'3.Plan de Estudios'!$M$4</f>
        <v>0</v>
      </c>
      <c r="Q14" s="76" t="str">
        <f t="shared" si="2"/>
        <v/>
      </c>
      <c r="R14" s="38"/>
      <c r="S14" s="38"/>
      <c r="T14" s="38"/>
      <c r="U14" s="38"/>
      <c r="V14" s="38"/>
      <c r="W14" s="41"/>
      <c r="Y14" s="197"/>
      <c r="Z14" s="197"/>
      <c r="AA14" s="197"/>
      <c r="AB14" s="197"/>
      <c r="AC14" s="197"/>
    </row>
    <row r="15" spans="2:32" ht="24" hidden="1" customHeight="1">
      <c r="B15" s="32">
        <v>5</v>
      </c>
      <c r="C15" s="37"/>
      <c r="D15" s="41" t="s">
        <v>244</v>
      </c>
      <c r="E15" s="38"/>
      <c r="F15" s="199"/>
      <c r="G15" s="37"/>
      <c r="H15" s="287"/>
      <c r="I15" s="276" t="str">
        <f t="shared" si="1"/>
        <v/>
      </c>
      <c r="J15" s="39"/>
      <c r="K15" s="40"/>
      <c r="L15" s="39"/>
      <c r="M15" s="40"/>
      <c r="N15" s="39"/>
      <c r="O15" s="40"/>
      <c r="P15" s="609">
        <f>+SUM(J15:K15)/'3.Plan de Estudios'!$G$4+SUM(L15:M15)/'3.Plan de Estudios'!$M$4+SUM(N15:O15)/'3.Plan de Estudios'!$M$4</f>
        <v>0</v>
      </c>
      <c r="Q15" s="76" t="str">
        <f t="shared" si="2"/>
        <v/>
      </c>
      <c r="R15" s="38"/>
      <c r="S15" s="38"/>
      <c r="T15" s="38"/>
      <c r="U15" s="38"/>
      <c r="V15" s="38"/>
      <c r="W15" s="41"/>
      <c r="Y15" s="197"/>
      <c r="Z15" s="197"/>
      <c r="AA15" s="197"/>
      <c r="AB15" s="197"/>
      <c r="AC15" s="197"/>
    </row>
    <row r="16" spans="2:32" ht="24" hidden="1" customHeight="1">
      <c r="B16" s="32">
        <v>5</v>
      </c>
      <c r="C16" s="37"/>
      <c r="D16" s="41" t="s">
        <v>244</v>
      </c>
      <c r="E16" s="38"/>
      <c r="F16" s="199"/>
      <c r="G16" s="37"/>
      <c r="H16" s="287"/>
      <c r="I16" s="276" t="str">
        <f t="shared" si="1"/>
        <v/>
      </c>
      <c r="J16" s="39"/>
      <c r="K16" s="40"/>
      <c r="L16" s="39"/>
      <c r="M16" s="40"/>
      <c r="N16" s="39"/>
      <c r="O16" s="40"/>
      <c r="P16" s="609">
        <f>+SUM(J16:K16)/'3.Plan de Estudios'!$G$4+SUM(L16:M16)/'3.Plan de Estudios'!$M$4+SUM(N16:O16)/'3.Plan de Estudios'!$M$4</f>
        <v>0</v>
      </c>
      <c r="Q16" s="76" t="str">
        <f t="shared" si="2"/>
        <v/>
      </c>
      <c r="R16" s="38"/>
      <c r="S16" s="38"/>
      <c r="T16" s="38"/>
      <c r="U16" s="38"/>
      <c r="V16" s="38"/>
      <c r="W16" s="41"/>
      <c r="Y16" s="197"/>
      <c r="Z16" s="197"/>
      <c r="AA16" s="197"/>
      <c r="AB16" s="197"/>
      <c r="AC16" s="197"/>
    </row>
    <row r="17" spans="2:29" ht="24" hidden="1" customHeight="1">
      <c r="B17" s="32">
        <v>5</v>
      </c>
      <c r="C17" s="37"/>
      <c r="D17" s="41" t="s">
        <v>244</v>
      </c>
      <c r="E17" s="38"/>
      <c r="F17" s="199"/>
      <c r="G17" s="37"/>
      <c r="H17" s="287"/>
      <c r="I17" s="276" t="str">
        <f t="shared" si="1"/>
        <v/>
      </c>
      <c r="J17" s="39"/>
      <c r="K17" s="40"/>
      <c r="L17" s="39"/>
      <c r="M17" s="40"/>
      <c r="N17" s="39"/>
      <c r="O17" s="40"/>
      <c r="P17" s="609">
        <f>+SUM(J17:K17)/'3.Plan de Estudios'!$G$4+SUM(L17:M17)/'3.Plan de Estudios'!$M$4+SUM(N17:O17)/'3.Plan de Estudios'!$M$4</f>
        <v>0</v>
      </c>
      <c r="Q17" s="76" t="str">
        <f t="shared" si="2"/>
        <v/>
      </c>
      <c r="R17" s="38"/>
      <c r="S17" s="38"/>
      <c r="T17" s="38"/>
      <c r="U17" s="38"/>
      <c r="V17" s="38"/>
      <c r="W17" s="41"/>
      <c r="Y17" s="197"/>
      <c r="Z17" s="197"/>
      <c r="AA17" s="197"/>
      <c r="AB17" s="197"/>
      <c r="AC17" s="197"/>
    </row>
    <row r="18" spans="2:29" ht="24" hidden="1" customHeight="1">
      <c r="B18" s="49">
        <v>5</v>
      </c>
      <c r="C18" s="50"/>
      <c r="D18" s="49" t="s">
        <v>244</v>
      </c>
      <c r="E18" s="51"/>
      <c r="F18" s="382"/>
      <c r="G18" s="50"/>
      <c r="H18" s="381"/>
      <c r="I18" s="278" t="str">
        <f t="shared" si="1"/>
        <v/>
      </c>
      <c r="J18" s="52"/>
      <c r="K18" s="53"/>
      <c r="L18" s="52"/>
      <c r="M18" s="53"/>
      <c r="N18" s="52"/>
      <c r="O18" s="53"/>
      <c r="P18" s="610">
        <f>+SUM(J18:K18)/'3.Plan de Estudios'!$G$4+SUM(L18:M18)/'3.Plan de Estudios'!$M$4+SUM(N18:O18)/'3.Plan de Estudios'!$M$4</f>
        <v>0</v>
      </c>
      <c r="Q18" s="76" t="str">
        <f t="shared" si="2"/>
        <v/>
      </c>
      <c r="R18" s="38"/>
      <c r="S18" s="38"/>
      <c r="T18" s="38"/>
      <c r="U18" s="38"/>
      <c r="V18" s="51"/>
      <c r="W18" s="49"/>
      <c r="Y18" s="229"/>
      <c r="Z18" s="229"/>
      <c r="AA18" s="229"/>
      <c r="AB18" s="229"/>
      <c r="AC18" s="229"/>
    </row>
    <row r="19" spans="2:29" ht="24" hidden="1" customHeight="1">
      <c r="B19" s="43">
        <v>6</v>
      </c>
      <c r="C19" s="43"/>
      <c r="D19" s="43" t="s">
        <v>244</v>
      </c>
      <c r="E19" s="44"/>
      <c r="F19" s="199"/>
      <c r="G19" s="45"/>
      <c r="H19" s="287"/>
      <c r="I19" s="277" t="str">
        <f t="shared" si="1"/>
        <v/>
      </c>
      <c r="J19" s="46"/>
      <c r="K19" s="47"/>
      <c r="L19" s="46"/>
      <c r="M19" s="47"/>
      <c r="N19" s="46"/>
      <c r="O19" s="47"/>
      <c r="P19" s="608">
        <f>+SUM(J19:K19)/'3.Plan de Estudios'!$G$4+SUM(L19:M19)/'3.Plan de Estudios'!$M$4+SUM(N19:O19)/'3.Plan de Estudios'!$M$4</f>
        <v>0</v>
      </c>
      <c r="Q19" s="79" t="str">
        <f t="shared" si="2"/>
        <v/>
      </c>
      <c r="R19" s="77"/>
      <c r="S19" s="77"/>
      <c r="T19" s="77"/>
      <c r="U19" s="77"/>
      <c r="V19" s="59"/>
      <c r="W19" s="58"/>
      <c r="Y19" s="196"/>
      <c r="Z19" s="196"/>
      <c r="AA19" s="196"/>
      <c r="AB19" s="196"/>
      <c r="AC19" s="196"/>
    </row>
    <row r="20" spans="2:29" ht="24" hidden="1" customHeight="1">
      <c r="B20" s="32">
        <v>6</v>
      </c>
      <c r="C20" s="32"/>
      <c r="D20" s="32" t="s">
        <v>244</v>
      </c>
      <c r="E20" s="34"/>
      <c r="F20" s="122"/>
      <c r="G20" s="33"/>
      <c r="H20" s="287"/>
      <c r="I20" s="276" t="str">
        <f t="shared" si="1"/>
        <v/>
      </c>
      <c r="J20" s="35"/>
      <c r="K20" s="36"/>
      <c r="L20" s="35"/>
      <c r="M20" s="36"/>
      <c r="N20" s="35"/>
      <c r="O20" s="36"/>
      <c r="P20" s="609">
        <f>+SUM(J20:K20)/'3.Plan de Estudios'!$G$4+SUM(L20:M20)/'3.Plan de Estudios'!$M$4+SUM(N20:O20)/'3.Plan de Estudios'!$M$4</f>
        <v>0</v>
      </c>
      <c r="Q20" s="75" t="str">
        <f t="shared" si="2"/>
        <v/>
      </c>
      <c r="R20" s="34"/>
      <c r="S20" s="34"/>
      <c r="T20" s="34"/>
      <c r="U20" s="34"/>
      <c r="V20" s="60"/>
      <c r="W20" s="32"/>
      <c r="Y20" s="197"/>
      <c r="Z20" s="197"/>
      <c r="AA20" s="197"/>
      <c r="AB20" s="197"/>
      <c r="AC20" s="197"/>
    </row>
    <row r="21" spans="2:29" ht="24" hidden="1" customHeight="1">
      <c r="B21" s="32">
        <v>6</v>
      </c>
      <c r="C21" s="32"/>
      <c r="D21" s="32" t="s">
        <v>244</v>
      </c>
      <c r="E21" s="34"/>
      <c r="F21" s="199"/>
      <c r="G21" s="33"/>
      <c r="H21" s="287"/>
      <c r="I21" s="276" t="str">
        <f t="shared" si="1"/>
        <v/>
      </c>
      <c r="J21" s="35"/>
      <c r="K21" s="36"/>
      <c r="L21" s="35"/>
      <c r="M21" s="36"/>
      <c r="N21" s="35"/>
      <c r="O21" s="36"/>
      <c r="P21" s="609">
        <f>+SUM(J21:K21)/'3.Plan de Estudios'!$G$4+SUM(L21:M21)/'3.Plan de Estudios'!$M$4+SUM(N21:O21)/'3.Plan de Estudios'!$M$4</f>
        <v>0</v>
      </c>
      <c r="Q21" s="75" t="str">
        <f t="shared" si="2"/>
        <v/>
      </c>
      <c r="R21" s="34"/>
      <c r="S21" s="34"/>
      <c r="T21" s="34"/>
      <c r="U21" s="34"/>
      <c r="V21" s="60"/>
      <c r="W21" s="32"/>
      <c r="Y21" s="197"/>
      <c r="Z21" s="197"/>
      <c r="AA21" s="197"/>
      <c r="AB21" s="197"/>
      <c r="AC21" s="197"/>
    </row>
    <row r="22" spans="2:29" ht="24" hidden="1" customHeight="1">
      <c r="B22" s="32">
        <v>6</v>
      </c>
      <c r="C22" s="32"/>
      <c r="D22" s="32" t="s">
        <v>244</v>
      </c>
      <c r="E22" s="34"/>
      <c r="F22" s="199"/>
      <c r="G22" s="33"/>
      <c r="H22" s="287"/>
      <c r="I22" s="276" t="str">
        <f t="shared" si="1"/>
        <v/>
      </c>
      <c r="J22" s="35"/>
      <c r="K22" s="36"/>
      <c r="L22" s="35"/>
      <c r="M22" s="36"/>
      <c r="N22" s="35"/>
      <c r="O22" s="36"/>
      <c r="P22" s="609">
        <f>+SUM(J22:K22)/'3.Plan de Estudios'!$G$4+SUM(L22:M22)/'3.Plan de Estudios'!$M$4+SUM(N22:O22)/'3.Plan de Estudios'!$M$4</f>
        <v>0</v>
      </c>
      <c r="Q22" s="75" t="str">
        <f t="shared" si="2"/>
        <v/>
      </c>
      <c r="R22" s="34"/>
      <c r="S22" s="34"/>
      <c r="T22" s="34"/>
      <c r="U22" s="34"/>
      <c r="V22" s="60"/>
      <c r="W22" s="32"/>
      <c r="Y22" s="197"/>
      <c r="Z22" s="197"/>
      <c r="AA22" s="197"/>
      <c r="AB22" s="197"/>
      <c r="AC22" s="197"/>
    </row>
    <row r="23" spans="2:29" ht="24" hidden="1" customHeight="1">
      <c r="B23" s="32">
        <v>6</v>
      </c>
      <c r="C23" s="41"/>
      <c r="D23" s="41" t="s">
        <v>244</v>
      </c>
      <c r="E23" s="38"/>
      <c r="F23" s="199"/>
      <c r="G23" s="33"/>
      <c r="H23" s="287"/>
      <c r="I23" s="276" t="str">
        <f t="shared" si="1"/>
        <v/>
      </c>
      <c r="J23" s="39"/>
      <c r="K23" s="40"/>
      <c r="L23" s="39"/>
      <c r="M23" s="40"/>
      <c r="N23" s="39"/>
      <c r="O23" s="40"/>
      <c r="P23" s="609">
        <f>+SUM(J23:K23)/'3.Plan de Estudios'!$G$4+SUM(L23:M23)/'3.Plan de Estudios'!$M$4+SUM(N23:O23)/'3.Plan de Estudios'!$M$4</f>
        <v>0</v>
      </c>
      <c r="Q23" s="76" t="str">
        <f t="shared" si="2"/>
        <v/>
      </c>
      <c r="R23" s="38"/>
      <c r="S23" s="38"/>
      <c r="T23" s="38"/>
      <c r="U23" s="38"/>
      <c r="V23" s="60"/>
      <c r="W23" s="32"/>
      <c r="Y23" s="197"/>
      <c r="Z23" s="197"/>
      <c r="AA23" s="197"/>
      <c r="AB23" s="197"/>
      <c r="AC23" s="197"/>
    </row>
    <row r="24" spans="2:29" ht="24" hidden="1" customHeight="1">
      <c r="B24" s="32">
        <v>6</v>
      </c>
      <c r="C24" s="41"/>
      <c r="D24" s="41" t="s">
        <v>244</v>
      </c>
      <c r="E24" s="38"/>
      <c r="F24" s="199"/>
      <c r="G24" s="37"/>
      <c r="H24" s="287"/>
      <c r="I24" s="276" t="str">
        <f t="shared" si="1"/>
        <v/>
      </c>
      <c r="J24" s="39"/>
      <c r="K24" s="40"/>
      <c r="L24" s="39"/>
      <c r="M24" s="40"/>
      <c r="N24" s="39"/>
      <c r="O24" s="40"/>
      <c r="P24" s="609">
        <f>+SUM(J24:K24)/'3.Plan de Estudios'!$G$4+SUM(L24:M24)/'3.Plan de Estudios'!$M$4+SUM(N24:O24)/'3.Plan de Estudios'!$M$4</f>
        <v>0</v>
      </c>
      <c r="Q24" s="76" t="str">
        <f t="shared" si="2"/>
        <v/>
      </c>
      <c r="R24" s="38"/>
      <c r="S24" s="38"/>
      <c r="T24" s="38"/>
      <c r="U24" s="38"/>
      <c r="V24" s="228"/>
      <c r="W24" s="41"/>
      <c r="Y24" s="197"/>
      <c r="Z24" s="197"/>
      <c r="AA24" s="197"/>
      <c r="AB24" s="197"/>
      <c r="AC24" s="197"/>
    </row>
    <row r="25" spans="2:29" ht="24" hidden="1" customHeight="1">
      <c r="B25" s="32">
        <v>6</v>
      </c>
      <c r="C25" s="41"/>
      <c r="D25" s="41" t="s">
        <v>244</v>
      </c>
      <c r="E25" s="38"/>
      <c r="F25" s="199"/>
      <c r="G25" s="37"/>
      <c r="H25" s="287"/>
      <c r="I25" s="276" t="str">
        <f t="shared" si="1"/>
        <v/>
      </c>
      <c r="J25" s="39"/>
      <c r="K25" s="40"/>
      <c r="L25" s="39"/>
      <c r="M25" s="40"/>
      <c r="N25" s="39"/>
      <c r="O25" s="40"/>
      <c r="P25" s="609">
        <f>+SUM(J25:K25)/'3.Plan de Estudios'!$G$4+SUM(L25:M25)/'3.Plan de Estudios'!$M$4+SUM(N25:O25)/'3.Plan de Estudios'!$M$4</f>
        <v>0</v>
      </c>
      <c r="Q25" s="76" t="str">
        <f t="shared" si="2"/>
        <v/>
      </c>
      <c r="R25" s="38"/>
      <c r="S25" s="38"/>
      <c r="T25" s="38"/>
      <c r="U25" s="38"/>
      <c r="V25" s="228"/>
      <c r="W25" s="41"/>
      <c r="Y25" s="197"/>
      <c r="Z25" s="197"/>
      <c r="AA25" s="197"/>
      <c r="AB25" s="197"/>
      <c r="AC25" s="197"/>
    </row>
    <row r="26" spans="2:29" ht="24" hidden="1" customHeight="1">
      <c r="B26" s="32">
        <v>6</v>
      </c>
      <c r="C26" s="41"/>
      <c r="D26" s="41" t="s">
        <v>244</v>
      </c>
      <c r="E26" s="38"/>
      <c r="F26" s="199"/>
      <c r="G26" s="37"/>
      <c r="H26" s="287"/>
      <c r="I26" s="276" t="str">
        <f t="shared" si="1"/>
        <v/>
      </c>
      <c r="J26" s="39"/>
      <c r="K26" s="40"/>
      <c r="L26" s="39"/>
      <c r="M26" s="40"/>
      <c r="N26" s="39"/>
      <c r="O26" s="40"/>
      <c r="P26" s="609">
        <f>+SUM(J26:K26)/'3.Plan de Estudios'!$G$4+SUM(L26:M26)/'3.Plan de Estudios'!$M$4+SUM(N26:O26)/'3.Plan de Estudios'!$M$4</f>
        <v>0</v>
      </c>
      <c r="Q26" s="76" t="str">
        <f t="shared" si="2"/>
        <v/>
      </c>
      <c r="R26" s="38"/>
      <c r="S26" s="38"/>
      <c r="T26" s="38"/>
      <c r="U26" s="38"/>
      <c r="V26" s="228"/>
      <c r="W26" s="41"/>
      <c r="Y26" s="197"/>
      <c r="Z26" s="197"/>
      <c r="AA26" s="197"/>
      <c r="AB26" s="197"/>
      <c r="AC26" s="197"/>
    </row>
    <row r="27" spans="2:29" ht="24" hidden="1" customHeight="1">
      <c r="B27" s="32">
        <v>6</v>
      </c>
      <c r="C27" s="41"/>
      <c r="D27" s="41" t="s">
        <v>244</v>
      </c>
      <c r="E27" s="38"/>
      <c r="F27" s="199"/>
      <c r="G27" s="37"/>
      <c r="H27" s="287"/>
      <c r="I27" s="276" t="str">
        <f t="shared" si="1"/>
        <v/>
      </c>
      <c r="J27" s="39"/>
      <c r="K27" s="40"/>
      <c r="L27" s="39"/>
      <c r="M27" s="40"/>
      <c r="N27" s="39"/>
      <c r="O27" s="40"/>
      <c r="P27" s="609">
        <f>+SUM(J27:K27)/'3.Plan de Estudios'!$G$4+SUM(L27:M27)/'3.Plan de Estudios'!$M$4+SUM(N27:O27)/'3.Plan de Estudios'!$M$4</f>
        <v>0</v>
      </c>
      <c r="Q27" s="76" t="str">
        <f t="shared" si="2"/>
        <v/>
      </c>
      <c r="R27" s="38"/>
      <c r="S27" s="38"/>
      <c r="T27" s="38"/>
      <c r="U27" s="38"/>
      <c r="V27" s="228"/>
      <c r="W27" s="41"/>
      <c r="Y27" s="197"/>
      <c r="Z27" s="197"/>
      <c r="AA27" s="197"/>
      <c r="AB27" s="197"/>
      <c r="AC27" s="197"/>
    </row>
    <row r="28" spans="2:29" ht="24" hidden="1" customHeight="1">
      <c r="B28" s="49">
        <v>6</v>
      </c>
      <c r="C28" s="49"/>
      <c r="D28" s="49" t="s">
        <v>244</v>
      </c>
      <c r="E28" s="51"/>
      <c r="F28" s="382"/>
      <c r="G28" s="50"/>
      <c r="H28" s="381"/>
      <c r="I28" s="278" t="str">
        <f t="shared" si="1"/>
        <v/>
      </c>
      <c r="J28" s="52"/>
      <c r="K28" s="53"/>
      <c r="L28" s="52"/>
      <c r="M28" s="53"/>
      <c r="N28" s="52"/>
      <c r="O28" s="53"/>
      <c r="P28" s="610">
        <f>+SUM(J28:K28)/'3.Plan de Estudios'!$G$4+SUM(L28:M28)/'3.Plan de Estudios'!$M$4+SUM(N28:O28)/'3.Plan de Estudios'!$M$4</f>
        <v>0</v>
      </c>
      <c r="Q28" s="80" t="str">
        <f t="shared" si="2"/>
        <v/>
      </c>
      <c r="R28" s="51"/>
      <c r="S28" s="51"/>
      <c r="T28" s="51"/>
      <c r="U28" s="51"/>
      <c r="V28" s="61"/>
      <c r="W28" s="49"/>
      <c r="Y28" s="229"/>
      <c r="Z28" s="229"/>
      <c r="AA28" s="229"/>
      <c r="AB28" s="229"/>
      <c r="AC28" s="229"/>
    </row>
    <row r="29" spans="2:29" ht="24" customHeight="1">
      <c r="B29" s="43">
        <v>7</v>
      </c>
      <c r="C29" s="43" t="s">
        <v>150</v>
      </c>
      <c r="D29" s="43">
        <v>103659</v>
      </c>
      <c r="E29" s="44" t="s">
        <v>431</v>
      </c>
      <c r="F29" s="199"/>
      <c r="G29" s="45" t="s">
        <v>256</v>
      </c>
      <c r="H29" s="287" t="s">
        <v>151</v>
      </c>
      <c r="I29" s="277" t="str">
        <f t="shared" si="1"/>
        <v>Presencial</v>
      </c>
      <c r="J29" s="46">
        <v>64</v>
      </c>
      <c r="K29" s="47">
        <v>0</v>
      </c>
      <c r="L29" s="46">
        <v>0</v>
      </c>
      <c r="M29" s="47">
        <v>0</v>
      </c>
      <c r="N29" s="46">
        <v>0</v>
      </c>
      <c r="O29" s="47">
        <v>0</v>
      </c>
      <c r="P29" s="608">
        <f>+SUM(J29:K29)/'3.Plan de Estudios'!$G$4+SUM(L29:M29)/'3.Plan de Estudios'!$M$4+SUM(N29:O29)/'3.Plan de Estudios'!$M$4</f>
        <v>4</v>
      </c>
      <c r="Q29" s="78">
        <f t="shared" si="2"/>
        <v>128</v>
      </c>
      <c r="R29" s="77"/>
      <c r="S29" s="77"/>
      <c r="T29" s="77"/>
      <c r="U29" s="77"/>
      <c r="V29" s="44"/>
      <c r="W29" s="546" t="s">
        <v>142</v>
      </c>
      <c r="Y29" s="196" t="s">
        <v>411</v>
      </c>
      <c r="Z29" s="196"/>
      <c r="AA29" s="196"/>
      <c r="AB29" s="196"/>
      <c r="AC29" s="196"/>
    </row>
    <row r="30" spans="2:29" ht="24" customHeight="1">
      <c r="B30" s="32">
        <v>7</v>
      </c>
      <c r="C30" s="32" t="s">
        <v>152</v>
      </c>
      <c r="D30" s="32">
        <v>103663</v>
      </c>
      <c r="E30" s="34" t="s">
        <v>432</v>
      </c>
      <c r="F30" s="122"/>
      <c r="G30" s="33" t="s">
        <v>256</v>
      </c>
      <c r="H30" s="287" t="s">
        <v>151</v>
      </c>
      <c r="I30" s="276" t="str">
        <f t="shared" si="1"/>
        <v>Presencial</v>
      </c>
      <c r="J30" s="35">
        <v>64</v>
      </c>
      <c r="K30" s="36">
        <v>0</v>
      </c>
      <c r="L30" s="35">
        <v>0</v>
      </c>
      <c r="M30" s="36">
        <v>0</v>
      </c>
      <c r="N30" s="35">
        <v>0</v>
      </c>
      <c r="O30" s="36">
        <v>0</v>
      </c>
      <c r="P30" s="609">
        <f>+SUM(J30:K30)/'3.Plan de Estudios'!$G$4+SUM(L30:M30)/'3.Plan de Estudios'!$M$4+SUM(N30:O30)/'3.Plan de Estudios'!$M$4</f>
        <v>4</v>
      </c>
      <c r="Q30" s="75">
        <f t="shared" si="2"/>
        <v>128</v>
      </c>
      <c r="R30" s="34"/>
      <c r="S30" s="34"/>
      <c r="T30" s="34"/>
      <c r="U30" s="34"/>
      <c r="V30" s="34"/>
      <c r="W30" s="33" t="s">
        <v>144</v>
      </c>
      <c r="Y30" s="197" t="s">
        <v>415</v>
      </c>
      <c r="Z30" s="197"/>
      <c r="AA30" s="197"/>
      <c r="AB30" s="197"/>
      <c r="AC30" s="197"/>
    </row>
    <row r="31" spans="2:29" ht="31.5" customHeight="1">
      <c r="B31" s="32">
        <v>7</v>
      </c>
      <c r="C31" s="559" t="s">
        <v>165</v>
      </c>
      <c r="D31" s="559">
        <v>143193</v>
      </c>
      <c r="E31" s="573" t="s">
        <v>166</v>
      </c>
      <c r="F31" s="560" t="s">
        <v>433</v>
      </c>
      <c r="G31" s="561" t="s">
        <v>256</v>
      </c>
      <c r="H31" s="562" t="s">
        <v>151</v>
      </c>
      <c r="I31" s="276" t="str">
        <f t="shared" si="1"/>
        <v>Presencial</v>
      </c>
      <c r="J31" s="565">
        <v>64</v>
      </c>
      <c r="K31" s="566"/>
      <c r="L31" s="567"/>
      <c r="M31" s="566"/>
      <c r="N31" s="567"/>
      <c r="O31" s="566"/>
      <c r="P31" s="609">
        <f>+SUM(J31:K31)/'3.Plan de Estudios'!$G$4+SUM(L31:M31)/'3.Plan de Estudios'!$M$4+SUM(N31:O31)/'3.Plan de Estudios'!$M$4</f>
        <v>4</v>
      </c>
      <c r="Q31" s="75">
        <f t="shared" si="2"/>
        <v>128</v>
      </c>
      <c r="R31" s="34"/>
      <c r="S31" s="34"/>
      <c r="T31" s="34"/>
      <c r="U31" s="34"/>
      <c r="V31" s="559">
        <v>80</v>
      </c>
      <c r="W31" s="561" t="s">
        <v>162</v>
      </c>
      <c r="Y31" s="197" t="s">
        <v>415</v>
      </c>
      <c r="Z31" s="197"/>
      <c r="AA31" s="197"/>
      <c r="AB31" s="197"/>
      <c r="AC31" s="197"/>
    </row>
    <row r="32" spans="2:29" ht="24" customHeight="1">
      <c r="B32" s="32">
        <v>7</v>
      </c>
      <c r="C32" s="559" t="s">
        <v>163</v>
      </c>
      <c r="D32" s="559">
        <v>93896</v>
      </c>
      <c r="E32" s="573" t="s">
        <v>164</v>
      </c>
      <c r="F32" s="560" t="s">
        <v>433</v>
      </c>
      <c r="G32" s="561" t="s">
        <v>256</v>
      </c>
      <c r="H32" s="562" t="s">
        <v>151</v>
      </c>
      <c r="I32" s="276" t="str">
        <f t="shared" si="1"/>
        <v>Presencial</v>
      </c>
      <c r="J32" s="565">
        <v>64</v>
      </c>
      <c r="K32" s="568"/>
      <c r="L32" s="569"/>
      <c r="M32" s="568"/>
      <c r="N32" s="569"/>
      <c r="O32" s="568"/>
      <c r="P32" s="609">
        <f>+SUM(J32:K32)/'3.Plan de Estudios'!$G$4+SUM(L32:M32)/'3.Plan de Estudios'!$M$4+SUM(N32:O32)/'3.Plan de Estudios'!$M$4</f>
        <v>4</v>
      </c>
      <c r="Q32" s="75">
        <f t="shared" si="2"/>
        <v>128</v>
      </c>
      <c r="R32" s="34"/>
      <c r="S32" s="34"/>
      <c r="T32" s="34"/>
      <c r="U32" s="34"/>
      <c r="V32" s="559"/>
      <c r="W32" s="561" t="s">
        <v>160</v>
      </c>
      <c r="Y32" s="197" t="s">
        <v>415</v>
      </c>
      <c r="Z32" s="197"/>
      <c r="AA32" s="197"/>
      <c r="AB32" s="197"/>
      <c r="AC32" s="197"/>
    </row>
    <row r="33" spans="2:29" ht="24" customHeight="1">
      <c r="B33" s="32">
        <v>7</v>
      </c>
      <c r="C33" s="563" t="s">
        <v>183</v>
      </c>
      <c r="D33" s="563">
        <v>147884</v>
      </c>
      <c r="E33" s="574" t="s">
        <v>184</v>
      </c>
      <c r="F33" s="560" t="s">
        <v>383</v>
      </c>
      <c r="G33" s="561" t="s">
        <v>256</v>
      </c>
      <c r="H33" s="562" t="s">
        <v>151</v>
      </c>
      <c r="I33" s="276" t="str">
        <f t="shared" si="1"/>
        <v>Presencial</v>
      </c>
      <c r="J33" s="565">
        <v>64</v>
      </c>
      <c r="K33" s="570"/>
      <c r="L33" s="571"/>
      <c r="M33" s="570"/>
      <c r="N33" s="571"/>
      <c r="O33" s="570"/>
      <c r="P33" s="609">
        <f>+SUM(J33:K33)/'3.Plan de Estudios'!$G$4+SUM(L33:M33)/'3.Plan de Estudios'!$M$4+SUM(N33:O33)/'3.Plan de Estudios'!$M$4</f>
        <v>4</v>
      </c>
      <c r="Q33" s="76">
        <f t="shared" si="2"/>
        <v>128</v>
      </c>
      <c r="R33" s="38"/>
      <c r="S33" s="38"/>
      <c r="T33" s="38"/>
      <c r="U33" s="38"/>
      <c r="V33" s="559">
        <v>60</v>
      </c>
      <c r="W33" s="561" t="s">
        <v>180</v>
      </c>
      <c r="Y33" s="197" t="s">
        <v>415</v>
      </c>
      <c r="Z33" s="197"/>
      <c r="AA33" s="197"/>
      <c r="AB33" s="197"/>
      <c r="AC33" s="197"/>
    </row>
    <row r="34" spans="2:29" ht="24" customHeight="1">
      <c r="B34" s="32">
        <v>7</v>
      </c>
      <c r="C34" s="563" t="s">
        <v>185</v>
      </c>
      <c r="D34" s="563">
        <v>147892</v>
      </c>
      <c r="E34" s="574" t="s">
        <v>186</v>
      </c>
      <c r="F34" s="560"/>
      <c r="G34" s="564" t="s">
        <v>256</v>
      </c>
      <c r="H34" s="562" t="s">
        <v>151</v>
      </c>
      <c r="I34" s="276" t="str">
        <f t="shared" si="1"/>
        <v>Presencial</v>
      </c>
      <c r="J34" s="571">
        <v>32</v>
      </c>
      <c r="K34" s="570"/>
      <c r="L34" s="571">
        <v>32</v>
      </c>
      <c r="M34" s="570"/>
      <c r="N34" s="571">
        <v>32</v>
      </c>
      <c r="O34" s="570"/>
      <c r="P34" s="609">
        <f>+SUM(J34:K34)/'3.Plan de Estudios'!$G$4+SUM(L34:M34)/'3.Plan de Estudios'!$M$4+SUM(N34:O34)/'3.Plan de Estudios'!$M$4</f>
        <v>4</v>
      </c>
      <c r="Q34" s="76">
        <f t="shared" si="2"/>
        <v>128</v>
      </c>
      <c r="R34" s="38"/>
      <c r="S34" s="38"/>
      <c r="T34" s="38"/>
      <c r="U34" s="38"/>
      <c r="V34" s="563">
        <v>100</v>
      </c>
      <c r="W34" s="564" t="s">
        <v>182</v>
      </c>
      <c r="Y34" s="197" t="s">
        <v>417</v>
      </c>
      <c r="Z34" s="197"/>
      <c r="AA34" s="197"/>
      <c r="AB34" s="197"/>
      <c r="AC34" s="197"/>
    </row>
    <row r="35" spans="2:29" ht="24" hidden="1" customHeight="1">
      <c r="B35" s="32">
        <v>7</v>
      </c>
      <c r="C35" s="41"/>
      <c r="D35" s="41" t="s">
        <v>244</v>
      </c>
      <c r="E35" s="38"/>
      <c r="F35" s="199"/>
      <c r="G35" s="37"/>
      <c r="H35" s="287"/>
      <c r="I35" s="276" t="str">
        <f t="shared" si="1"/>
        <v/>
      </c>
      <c r="J35" s="39"/>
      <c r="K35" s="40"/>
      <c r="L35" s="39"/>
      <c r="M35" s="40"/>
      <c r="N35" s="39"/>
      <c r="O35" s="40"/>
      <c r="P35" s="609">
        <f>+SUM(J35:K35)/'3.Plan de Estudios'!$G$4+SUM(L35:M35)/'3.Plan de Estudios'!$M$4+SUM(N35:O35)/'3.Plan de Estudios'!$M$4</f>
        <v>0</v>
      </c>
      <c r="Q35" s="76" t="str">
        <f t="shared" si="2"/>
        <v/>
      </c>
      <c r="R35" s="38"/>
      <c r="S35" s="38"/>
      <c r="T35" s="38"/>
      <c r="U35" s="38"/>
      <c r="V35" s="38"/>
      <c r="W35" s="41"/>
      <c r="Y35" s="197"/>
      <c r="Z35" s="197"/>
      <c r="AA35" s="197"/>
      <c r="AB35" s="197"/>
      <c r="AC35" s="197"/>
    </row>
    <row r="36" spans="2:29" ht="24" hidden="1" customHeight="1">
      <c r="B36" s="32">
        <v>7</v>
      </c>
      <c r="C36" s="41"/>
      <c r="D36" s="41" t="s">
        <v>244</v>
      </c>
      <c r="E36" s="38"/>
      <c r="F36" s="199"/>
      <c r="G36" s="37"/>
      <c r="H36" s="287"/>
      <c r="I36" s="276" t="str">
        <f t="shared" si="1"/>
        <v/>
      </c>
      <c r="J36" s="39"/>
      <c r="K36" s="40"/>
      <c r="L36" s="39"/>
      <c r="M36" s="40"/>
      <c r="N36" s="39"/>
      <c r="O36" s="40"/>
      <c r="P36" s="609">
        <f>+SUM(J36:K36)/'3.Plan de Estudios'!$G$4+SUM(L36:M36)/'3.Plan de Estudios'!$M$4+SUM(N36:O36)/'3.Plan de Estudios'!$M$4</f>
        <v>0</v>
      </c>
      <c r="Q36" s="76" t="str">
        <f t="shared" si="2"/>
        <v/>
      </c>
      <c r="R36" s="38"/>
      <c r="S36" s="38"/>
      <c r="T36" s="38"/>
      <c r="U36" s="38"/>
      <c r="V36" s="38"/>
      <c r="W36" s="41"/>
      <c r="Y36" s="197"/>
      <c r="Z36" s="197"/>
      <c r="AA36" s="197"/>
      <c r="AB36" s="197"/>
      <c r="AC36" s="197"/>
    </row>
    <row r="37" spans="2:29" ht="24" hidden="1" customHeight="1">
      <c r="B37" s="32">
        <v>7</v>
      </c>
      <c r="C37" s="41"/>
      <c r="D37" s="41" t="s">
        <v>244</v>
      </c>
      <c r="E37" s="38"/>
      <c r="F37" s="199"/>
      <c r="G37" s="37"/>
      <c r="H37" s="287"/>
      <c r="I37" s="276" t="str">
        <f t="shared" si="1"/>
        <v/>
      </c>
      <c r="J37" s="39"/>
      <c r="K37" s="40"/>
      <c r="L37" s="39"/>
      <c r="M37" s="40"/>
      <c r="N37" s="39"/>
      <c r="O37" s="40"/>
      <c r="P37" s="609">
        <f>+SUM(J37:K37)/'3.Plan de Estudios'!$G$4+SUM(L37:M37)/'3.Plan de Estudios'!$M$4+SUM(N37:O37)/'3.Plan de Estudios'!$M$4</f>
        <v>0</v>
      </c>
      <c r="Q37" s="76" t="str">
        <f t="shared" si="2"/>
        <v/>
      </c>
      <c r="R37" s="38"/>
      <c r="S37" s="38"/>
      <c r="T37" s="38"/>
      <c r="U37" s="38"/>
      <c r="V37" s="38"/>
      <c r="W37" s="41"/>
      <c r="Y37" s="197"/>
      <c r="Z37" s="197"/>
      <c r="AA37" s="197"/>
      <c r="AB37" s="197"/>
      <c r="AC37" s="197"/>
    </row>
    <row r="38" spans="2:29" ht="24" customHeight="1">
      <c r="B38" s="49">
        <v>7</v>
      </c>
      <c r="C38" s="49"/>
      <c r="D38" s="49" t="s">
        <v>244</v>
      </c>
      <c r="E38" s="51"/>
      <c r="F38" s="382"/>
      <c r="G38" s="50"/>
      <c r="H38" s="381"/>
      <c r="I38" s="278" t="str">
        <f t="shared" si="1"/>
        <v/>
      </c>
      <c r="J38" s="52"/>
      <c r="K38" s="53"/>
      <c r="L38" s="52"/>
      <c r="M38" s="53"/>
      <c r="N38" s="52"/>
      <c r="O38" s="53"/>
      <c r="P38" s="610">
        <f>+SUM(J38:K38)/'3.Plan de Estudios'!$G$4+SUM(L38:M38)/'3.Plan de Estudios'!$M$4+SUM(N38:O38)/'3.Plan de Estudios'!$M$4</f>
        <v>0</v>
      </c>
      <c r="Q38" s="76" t="str">
        <f t="shared" si="2"/>
        <v/>
      </c>
      <c r="R38" s="51"/>
      <c r="S38" s="51"/>
      <c r="T38" s="51"/>
      <c r="U38" s="51"/>
      <c r="V38" s="51"/>
      <c r="W38" s="49"/>
      <c r="Y38" s="229"/>
      <c r="Z38" s="229"/>
      <c r="AA38" s="229"/>
      <c r="AB38" s="229"/>
      <c r="AC38" s="229"/>
    </row>
    <row r="39" spans="2:29" ht="24" customHeight="1">
      <c r="B39" s="43">
        <v>8</v>
      </c>
      <c r="C39" s="43" t="s">
        <v>153</v>
      </c>
      <c r="D39" s="43">
        <v>103660</v>
      </c>
      <c r="E39" s="44" t="s">
        <v>434</v>
      </c>
      <c r="F39" s="199"/>
      <c r="G39" s="45" t="s">
        <v>256</v>
      </c>
      <c r="H39" s="287" t="s">
        <v>151</v>
      </c>
      <c r="I39" s="277" t="str">
        <f t="shared" si="1"/>
        <v>Presencial</v>
      </c>
      <c r="J39" s="46">
        <v>65</v>
      </c>
      <c r="K39" s="47">
        <v>0</v>
      </c>
      <c r="L39" s="46">
        <v>0</v>
      </c>
      <c r="M39" s="47">
        <v>0</v>
      </c>
      <c r="N39" s="46">
        <v>0</v>
      </c>
      <c r="O39" s="47">
        <v>0</v>
      </c>
      <c r="P39" s="608">
        <f>+SUM(J39:K39)/'3.Plan de Estudios'!$G$4+SUM(L39:M39)/'3.Plan de Estudios'!$M$4+SUM(N39:O39)/'3.Plan de Estudios'!$M$4</f>
        <v>4.0625</v>
      </c>
      <c r="Q39" s="79">
        <f t="shared" si="2"/>
        <v>130</v>
      </c>
      <c r="R39" s="77"/>
      <c r="S39" s="77"/>
      <c r="T39" s="77"/>
      <c r="U39" s="77"/>
      <c r="V39" s="44"/>
      <c r="W39" s="546" t="s">
        <v>142</v>
      </c>
      <c r="Y39" s="196" t="s">
        <v>426</v>
      </c>
      <c r="Z39" s="196"/>
      <c r="AA39" s="196"/>
      <c r="AB39" s="196"/>
      <c r="AC39" s="196"/>
    </row>
    <row r="40" spans="2:29" ht="24" customHeight="1">
      <c r="B40" s="43">
        <v>8</v>
      </c>
      <c r="C40" s="32" t="s">
        <v>154</v>
      </c>
      <c r="D40" s="32">
        <v>103664</v>
      </c>
      <c r="E40" s="34" t="s">
        <v>435</v>
      </c>
      <c r="F40" s="122"/>
      <c r="G40" s="33" t="s">
        <v>256</v>
      </c>
      <c r="H40" s="287" t="s">
        <v>151</v>
      </c>
      <c r="I40" s="276" t="str">
        <f t="shared" si="1"/>
        <v>Presencial</v>
      </c>
      <c r="J40" s="35">
        <v>64</v>
      </c>
      <c r="K40" s="36">
        <v>0</v>
      </c>
      <c r="L40" s="35">
        <v>0</v>
      </c>
      <c r="M40" s="36">
        <v>0</v>
      </c>
      <c r="N40" s="35">
        <v>0</v>
      </c>
      <c r="O40" s="36">
        <v>0</v>
      </c>
      <c r="P40" s="609">
        <f>+SUM(J40:K40)/'3.Plan de Estudios'!$G$4+SUM(L40:M40)/'3.Plan de Estudios'!$M$4+SUM(N40:O40)/'3.Plan de Estudios'!$M$4</f>
        <v>4</v>
      </c>
      <c r="Q40" s="75">
        <f t="shared" si="2"/>
        <v>128</v>
      </c>
      <c r="R40" s="34"/>
      <c r="S40" s="34"/>
      <c r="T40" s="34"/>
      <c r="U40" s="34"/>
      <c r="V40" s="34"/>
      <c r="W40" s="33" t="s">
        <v>144</v>
      </c>
      <c r="Y40" s="197" t="s">
        <v>421</v>
      </c>
      <c r="Z40" s="197"/>
      <c r="AA40" s="197"/>
      <c r="AB40" s="197"/>
      <c r="AC40" s="197"/>
    </row>
    <row r="41" spans="2:29" ht="24" customHeight="1">
      <c r="B41" s="43">
        <v>8</v>
      </c>
      <c r="C41" s="559" t="s">
        <v>169</v>
      </c>
      <c r="D41" s="559">
        <v>143307</v>
      </c>
      <c r="E41" s="573" t="s">
        <v>170</v>
      </c>
      <c r="F41" s="560" t="s">
        <v>433</v>
      </c>
      <c r="G41" s="561" t="s">
        <v>256</v>
      </c>
      <c r="H41" s="562" t="s">
        <v>151</v>
      </c>
      <c r="I41" s="276" t="str">
        <f t="shared" ref="I41:I72" si="3">IFERROR(IF(E41="","",IF((J41+L41+N41)/SUM(J41:O41)&lt;=0.2,"A distancia",IF((J41+L41+N41)/SUM(J41:O41)&lt;=0.7,"Semipresencial","Presencial"))),"")</f>
        <v>Presencial</v>
      </c>
      <c r="J41" s="565">
        <v>64</v>
      </c>
      <c r="K41" s="572"/>
      <c r="L41" s="565"/>
      <c r="M41" s="572"/>
      <c r="N41" s="565"/>
      <c r="O41" s="572"/>
      <c r="P41" s="609">
        <f>+SUM(J41:K41)/'3.Plan de Estudios'!$G$4+SUM(L41:M41)/'3.Plan de Estudios'!$M$4+SUM(N41:O41)/'3.Plan de Estudios'!$M$4</f>
        <v>4</v>
      </c>
      <c r="Q41" s="75">
        <f t="shared" si="2"/>
        <v>128</v>
      </c>
      <c r="R41" s="573"/>
      <c r="S41" s="573"/>
      <c r="T41" s="573"/>
      <c r="U41" s="573"/>
      <c r="V41" s="573">
        <v>100</v>
      </c>
      <c r="W41" s="559" t="s">
        <v>162</v>
      </c>
      <c r="Y41" s="197" t="s">
        <v>423</v>
      </c>
      <c r="Z41" s="197"/>
      <c r="AA41" s="197"/>
      <c r="AB41" s="197"/>
      <c r="AC41" s="197"/>
    </row>
    <row r="42" spans="2:29" ht="24" customHeight="1">
      <c r="B42" s="43">
        <v>8</v>
      </c>
      <c r="C42" s="559" t="s">
        <v>167</v>
      </c>
      <c r="D42" s="559">
        <v>93897</v>
      </c>
      <c r="E42" s="573" t="s">
        <v>168</v>
      </c>
      <c r="F42" s="560" t="s">
        <v>433</v>
      </c>
      <c r="G42" s="561" t="s">
        <v>256</v>
      </c>
      <c r="H42" s="562" t="s">
        <v>151</v>
      </c>
      <c r="I42" s="276" t="str">
        <f t="shared" si="3"/>
        <v>Presencial</v>
      </c>
      <c r="J42" s="565">
        <v>64</v>
      </c>
      <c r="K42" s="572"/>
      <c r="L42" s="565"/>
      <c r="M42" s="572"/>
      <c r="N42" s="565"/>
      <c r="O42" s="572"/>
      <c r="P42" s="609">
        <f>+SUM(J42:K42)/'3.Plan de Estudios'!$G$4+SUM(L42:M42)/'3.Plan de Estudios'!$M$4+SUM(N42:O42)/'3.Plan de Estudios'!$M$4</f>
        <v>4</v>
      </c>
      <c r="Q42" s="75">
        <f t="shared" si="2"/>
        <v>128</v>
      </c>
      <c r="R42" s="573" t="s">
        <v>164</v>
      </c>
      <c r="S42" s="573"/>
      <c r="T42" s="573"/>
      <c r="U42" s="573"/>
      <c r="V42" s="573"/>
      <c r="W42" s="559" t="s">
        <v>436</v>
      </c>
      <c r="Y42" s="197" t="s">
        <v>423</v>
      </c>
      <c r="Z42" s="197"/>
      <c r="AA42" s="197"/>
      <c r="AB42" s="197"/>
      <c r="AC42" s="197"/>
    </row>
    <row r="43" spans="2:29" ht="24" customHeight="1">
      <c r="B43" s="43">
        <v>8</v>
      </c>
      <c r="C43" s="563" t="s">
        <v>187</v>
      </c>
      <c r="D43" s="563">
        <v>147886</v>
      </c>
      <c r="E43" s="574" t="s">
        <v>188</v>
      </c>
      <c r="F43" s="560" t="s">
        <v>383</v>
      </c>
      <c r="G43" s="561" t="s">
        <v>256</v>
      </c>
      <c r="H43" s="562" t="s">
        <v>151</v>
      </c>
      <c r="I43" s="276" t="str">
        <f t="shared" si="3"/>
        <v>Presencial</v>
      </c>
      <c r="J43" s="571">
        <v>64</v>
      </c>
      <c r="K43" s="570"/>
      <c r="L43" s="571"/>
      <c r="M43" s="570"/>
      <c r="N43" s="571"/>
      <c r="O43" s="570"/>
      <c r="P43" s="609">
        <f>+SUM(J43:K43)/'3.Plan de Estudios'!$G$4+SUM(L43:M43)/'3.Plan de Estudios'!$M$4+SUM(N43:O43)/'3.Plan de Estudios'!$M$4</f>
        <v>4</v>
      </c>
      <c r="Q43" s="75">
        <f t="shared" si="2"/>
        <v>128</v>
      </c>
      <c r="R43" s="574"/>
      <c r="S43" s="574"/>
      <c r="T43" s="574"/>
      <c r="U43" s="574"/>
      <c r="V43" s="573">
        <v>80</v>
      </c>
      <c r="W43" s="559" t="s">
        <v>180</v>
      </c>
      <c r="Y43" s="197" t="s">
        <v>423</v>
      </c>
      <c r="Z43" s="197"/>
      <c r="AA43" s="197"/>
      <c r="AB43" s="197"/>
      <c r="AC43" s="197"/>
    </row>
    <row r="44" spans="2:29" ht="24" customHeight="1">
      <c r="B44" s="43">
        <v>8</v>
      </c>
      <c r="C44" s="563" t="s">
        <v>189</v>
      </c>
      <c r="D44" s="563">
        <v>147894</v>
      </c>
      <c r="E44" s="574" t="s">
        <v>190</v>
      </c>
      <c r="F44" s="560"/>
      <c r="G44" s="564" t="s">
        <v>256</v>
      </c>
      <c r="H44" s="562" t="s">
        <v>151</v>
      </c>
      <c r="I44" s="276" t="str">
        <f t="shared" si="3"/>
        <v>Presencial</v>
      </c>
      <c r="J44" s="571">
        <v>32</v>
      </c>
      <c r="K44" s="570"/>
      <c r="L44" s="571">
        <v>32</v>
      </c>
      <c r="M44" s="570"/>
      <c r="N44" s="571">
        <v>32</v>
      </c>
      <c r="O44" s="570"/>
      <c r="P44" s="609">
        <f>+SUM(J44:K44)/'3.Plan de Estudios'!$G$4+SUM(L44:M44)/'3.Plan de Estudios'!$M$4+SUM(N44:O44)/'3.Plan de Estudios'!$M$4</f>
        <v>4</v>
      </c>
      <c r="Q44" s="75">
        <f t="shared" si="2"/>
        <v>128</v>
      </c>
      <c r="R44" s="574"/>
      <c r="S44" s="574"/>
      <c r="T44" s="574"/>
      <c r="U44" s="574"/>
      <c r="V44" s="574">
        <v>120</v>
      </c>
      <c r="W44" s="563" t="s">
        <v>182</v>
      </c>
      <c r="Y44" s="197" t="s">
        <v>420</v>
      </c>
      <c r="Z44" s="197"/>
      <c r="AA44" s="197"/>
      <c r="AB44" s="197"/>
      <c r="AC44" s="197"/>
    </row>
    <row r="45" spans="2:29" ht="24" hidden="1" customHeight="1">
      <c r="B45" s="43">
        <v>8</v>
      </c>
      <c r="C45" s="41"/>
      <c r="D45" s="41" t="s">
        <v>244</v>
      </c>
      <c r="E45" s="38"/>
      <c r="F45" s="199"/>
      <c r="G45" s="37"/>
      <c r="H45" s="287"/>
      <c r="I45" s="276" t="str">
        <f t="shared" si="3"/>
        <v/>
      </c>
      <c r="J45" s="39"/>
      <c r="K45" s="40"/>
      <c r="L45" s="39"/>
      <c r="M45" s="40"/>
      <c r="N45" s="39"/>
      <c r="O45" s="40"/>
      <c r="P45" s="609">
        <f>+SUM(J45:K45)/'3.Plan de Estudios'!$G$4+SUM(L45:M45)/'3.Plan de Estudios'!$M$4+SUM(N45:O45)/'3.Plan de Estudios'!$M$4</f>
        <v>0</v>
      </c>
      <c r="Q45" s="75" t="str">
        <f t="shared" si="2"/>
        <v/>
      </c>
      <c r="R45" s="38"/>
      <c r="S45" s="38"/>
      <c r="T45" s="38"/>
      <c r="U45" s="38"/>
      <c r="V45" s="38"/>
      <c r="W45" s="41"/>
      <c r="Y45" s="197"/>
      <c r="Z45" s="197"/>
      <c r="AA45" s="197"/>
      <c r="AB45" s="197"/>
      <c r="AC45" s="197"/>
    </row>
    <row r="46" spans="2:29" ht="24" hidden="1" customHeight="1">
      <c r="B46" s="43">
        <v>8</v>
      </c>
      <c r="C46" s="41"/>
      <c r="D46" s="41" t="s">
        <v>244</v>
      </c>
      <c r="E46" s="38"/>
      <c r="F46" s="199"/>
      <c r="G46" s="37"/>
      <c r="H46" s="287"/>
      <c r="I46" s="276" t="str">
        <f t="shared" si="3"/>
        <v/>
      </c>
      <c r="J46" s="39"/>
      <c r="K46" s="40"/>
      <c r="L46" s="39"/>
      <c r="M46" s="40"/>
      <c r="N46" s="39"/>
      <c r="O46" s="40"/>
      <c r="P46" s="609">
        <f>+SUM(J46:K46)/'3.Plan de Estudios'!$G$4+SUM(L46:M46)/'3.Plan de Estudios'!$M$4+SUM(N46:O46)/'3.Plan de Estudios'!$M$4</f>
        <v>0</v>
      </c>
      <c r="Q46" s="75" t="str">
        <f t="shared" si="2"/>
        <v/>
      </c>
      <c r="R46" s="38"/>
      <c r="S46" s="38"/>
      <c r="T46" s="38"/>
      <c r="U46" s="38"/>
      <c r="V46" s="38"/>
      <c r="W46" s="41"/>
      <c r="Y46" s="197"/>
      <c r="Z46" s="197"/>
      <c r="AA46" s="197"/>
      <c r="AB46" s="197"/>
      <c r="AC46" s="197"/>
    </row>
    <row r="47" spans="2:29" ht="24" hidden="1" customHeight="1">
      <c r="B47" s="43">
        <v>8</v>
      </c>
      <c r="C47" s="41"/>
      <c r="D47" s="41" t="s">
        <v>244</v>
      </c>
      <c r="E47" s="38"/>
      <c r="F47" s="199"/>
      <c r="G47" s="37"/>
      <c r="H47" s="287"/>
      <c r="I47" s="276" t="str">
        <f t="shared" si="3"/>
        <v/>
      </c>
      <c r="J47" s="39"/>
      <c r="K47" s="40"/>
      <c r="L47" s="39"/>
      <c r="M47" s="40"/>
      <c r="N47" s="39"/>
      <c r="O47" s="40"/>
      <c r="P47" s="609">
        <f>+SUM(J47:K47)/'3.Plan de Estudios'!$G$4+SUM(L47:M47)/'3.Plan de Estudios'!$M$4+SUM(N47:O47)/'3.Plan de Estudios'!$M$4</f>
        <v>0</v>
      </c>
      <c r="Q47" s="75" t="str">
        <f t="shared" si="2"/>
        <v/>
      </c>
      <c r="R47" s="38"/>
      <c r="S47" s="38"/>
      <c r="T47" s="38"/>
      <c r="U47" s="38"/>
      <c r="V47" s="38"/>
      <c r="W47" s="41"/>
      <c r="Y47" s="197"/>
      <c r="Z47" s="197"/>
      <c r="AA47" s="197"/>
      <c r="AB47" s="197"/>
      <c r="AC47" s="197"/>
    </row>
    <row r="48" spans="2:29" ht="24" customHeight="1">
      <c r="B48" s="49">
        <v>8</v>
      </c>
      <c r="C48" s="49"/>
      <c r="D48" s="49" t="s">
        <v>244</v>
      </c>
      <c r="E48" s="51"/>
      <c r="F48" s="382"/>
      <c r="G48" s="50"/>
      <c r="H48" s="381"/>
      <c r="I48" s="278" t="str">
        <f t="shared" si="3"/>
        <v/>
      </c>
      <c r="J48" s="52"/>
      <c r="K48" s="53"/>
      <c r="L48" s="52"/>
      <c r="M48" s="53"/>
      <c r="N48" s="52"/>
      <c r="O48" s="53"/>
      <c r="P48" s="610">
        <f>+SUM(J48:K48)/'3.Plan de Estudios'!$G$4+SUM(L48:M48)/'3.Plan de Estudios'!$M$4+SUM(N48:O48)/'3.Plan de Estudios'!$M$4</f>
        <v>0</v>
      </c>
      <c r="Q48" s="80" t="str">
        <f t="shared" si="2"/>
        <v/>
      </c>
      <c r="R48" s="51"/>
      <c r="S48" s="51"/>
      <c r="T48" s="51"/>
      <c r="U48" s="51"/>
      <c r="V48" s="51"/>
      <c r="W48" s="49"/>
      <c r="Y48" s="229"/>
      <c r="Z48" s="229"/>
      <c r="AA48" s="229"/>
      <c r="AB48" s="229"/>
      <c r="AC48" s="229"/>
    </row>
    <row r="49" spans="2:29" ht="24" customHeight="1">
      <c r="B49" s="43">
        <v>9</v>
      </c>
      <c r="C49" s="43" t="s">
        <v>155</v>
      </c>
      <c r="D49" s="43">
        <v>103661</v>
      </c>
      <c r="E49" s="44" t="s">
        <v>437</v>
      </c>
      <c r="F49" s="199"/>
      <c r="G49" s="45" t="s">
        <v>256</v>
      </c>
      <c r="H49" s="287" t="s">
        <v>151</v>
      </c>
      <c r="I49" s="277" t="str">
        <f t="shared" si="3"/>
        <v>Presencial</v>
      </c>
      <c r="J49" s="46">
        <v>64</v>
      </c>
      <c r="K49" s="47">
        <v>0</v>
      </c>
      <c r="L49" s="46">
        <v>0</v>
      </c>
      <c r="M49" s="47">
        <v>0</v>
      </c>
      <c r="N49" s="46">
        <v>0</v>
      </c>
      <c r="O49" s="47">
        <v>0</v>
      </c>
      <c r="P49" s="608">
        <f>+SUM(J49:K49)/'3.Plan de Estudios'!$G$4+SUM(L49:M49)/'3.Plan de Estudios'!$M$4+SUM(N49:O49)/'3.Plan de Estudios'!$M$4</f>
        <v>4</v>
      </c>
      <c r="Q49" s="78">
        <f t="shared" si="2"/>
        <v>128</v>
      </c>
      <c r="R49" s="77"/>
      <c r="S49" s="77"/>
      <c r="T49" s="77"/>
      <c r="U49" s="77"/>
      <c r="V49" s="44"/>
      <c r="W49" s="546" t="s">
        <v>142</v>
      </c>
      <c r="Y49" s="196" t="s">
        <v>426</v>
      </c>
      <c r="Z49" s="196"/>
      <c r="AA49" s="196"/>
      <c r="AB49" s="196"/>
      <c r="AC49" s="196"/>
    </row>
    <row r="50" spans="2:29" ht="24" customHeight="1">
      <c r="B50" s="32">
        <v>9</v>
      </c>
      <c r="C50" s="32" t="s">
        <v>156</v>
      </c>
      <c r="D50" s="32">
        <v>103665</v>
      </c>
      <c r="E50" s="34" t="s">
        <v>144</v>
      </c>
      <c r="F50" s="122"/>
      <c r="G50" s="33" t="s">
        <v>256</v>
      </c>
      <c r="H50" s="287" t="s">
        <v>151</v>
      </c>
      <c r="I50" s="276" t="str">
        <f t="shared" si="3"/>
        <v>Presencial</v>
      </c>
      <c r="J50" s="35">
        <v>64</v>
      </c>
      <c r="K50" s="36">
        <v>0</v>
      </c>
      <c r="L50" s="35">
        <v>0</v>
      </c>
      <c r="M50" s="36">
        <v>0</v>
      </c>
      <c r="N50" s="35">
        <v>0</v>
      </c>
      <c r="O50" s="36">
        <v>0</v>
      </c>
      <c r="P50" s="609">
        <f>+SUM(J50:K50)/'3.Plan de Estudios'!$G$4+SUM(L50:M50)/'3.Plan de Estudios'!$M$4+SUM(N50:O50)/'3.Plan de Estudios'!$M$4</f>
        <v>4</v>
      </c>
      <c r="Q50" s="75">
        <f t="shared" si="2"/>
        <v>128</v>
      </c>
      <c r="R50" s="34"/>
      <c r="S50" s="34"/>
      <c r="T50" s="34"/>
      <c r="U50" s="34"/>
      <c r="V50" s="34"/>
      <c r="W50" s="33" t="s">
        <v>144</v>
      </c>
      <c r="Y50" s="197" t="s">
        <v>423</v>
      </c>
      <c r="Z50" s="197"/>
      <c r="AA50" s="197"/>
      <c r="AB50" s="197"/>
      <c r="AC50" s="197"/>
    </row>
    <row r="51" spans="2:29" ht="24" customHeight="1">
      <c r="B51" s="32">
        <v>9</v>
      </c>
      <c r="C51" s="563" t="s">
        <v>173</v>
      </c>
      <c r="D51" s="563">
        <v>143246</v>
      </c>
      <c r="E51" s="574" t="s">
        <v>174</v>
      </c>
      <c r="F51" s="560" t="s">
        <v>383</v>
      </c>
      <c r="G51" s="561" t="s">
        <v>256</v>
      </c>
      <c r="H51" s="575" t="s">
        <v>151</v>
      </c>
      <c r="I51" s="276" t="str">
        <f t="shared" si="3"/>
        <v>Presencial</v>
      </c>
      <c r="J51" s="571">
        <v>64</v>
      </c>
      <c r="K51" s="568"/>
      <c r="L51" s="569"/>
      <c r="M51" s="568"/>
      <c r="N51" s="569"/>
      <c r="O51" s="568"/>
      <c r="P51" s="609">
        <f>+SUM(J51:K51)/'3.Plan de Estudios'!$G$4+SUM(L51:M51)/'3.Plan de Estudios'!$M$4+SUM(N51:O51)/'3.Plan de Estudios'!$M$4</f>
        <v>4</v>
      </c>
      <c r="Q51" s="75">
        <f t="shared" si="2"/>
        <v>128</v>
      </c>
      <c r="R51" s="573"/>
      <c r="S51" s="573"/>
      <c r="T51" s="573"/>
      <c r="U51" s="573"/>
      <c r="V51" s="559">
        <v>100</v>
      </c>
      <c r="W51" s="561" t="s">
        <v>162</v>
      </c>
      <c r="Y51" s="197" t="s">
        <v>423</v>
      </c>
      <c r="Z51" s="197"/>
      <c r="AA51" s="197"/>
      <c r="AB51" s="197"/>
      <c r="AC51" s="197"/>
    </row>
    <row r="52" spans="2:29" ht="24" customHeight="1">
      <c r="B52" s="32">
        <v>9</v>
      </c>
      <c r="C52" s="563" t="s">
        <v>171</v>
      </c>
      <c r="D52" s="563">
        <v>93898</v>
      </c>
      <c r="E52" s="574" t="s">
        <v>172</v>
      </c>
      <c r="F52" s="560" t="s">
        <v>438</v>
      </c>
      <c r="G52" s="561" t="s">
        <v>256</v>
      </c>
      <c r="H52" s="575" t="s">
        <v>151</v>
      </c>
      <c r="I52" s="276" t="str">
        <f t="shared" si="3"/>
        <v>Presencial</v>
      </c>
      <c r="J52" s="571">
        <v>64</v>
      </c>
      <c r="K52" s="568"/>
      <c r="L52" s="569"/>
      <c r="M52" s="568"/>
      <c r="N52" s="569"/>
      <c r="O52" s="568"/>
      <c r="P52" s="609">
        <f>+SUM(J52:K52)/'3.Plan de Estudios'!$G$4+SUM(L52:M52)/'3.Plan de Estudios'!$M$4+SUM(N52:O52)/'3.Plan de Estudios'!$M$4</f>
        <v>4</v>
      </c>
      <c r="Q52" s="75">
        <f t="shared" si="2"/>
        <v>128</v>
      </c>
      <c r="R52" s="573" t="s">
        <v>168</v>
      </c>
      <c r="S52" s="573"/>
      <c r="T52" s="573"/>
      <c r="U52" s="573"/>
      <c r="V52" s="559"/>
      <c r="W52" s="561" t="s">
        <v>436</v>
      </c>
      <c r="Y52" s="197" t="s">
        <v>423</v>
      </c>
      <c r="Z52" s="197"/>
      <c r="AA52" s="197"/>
      <c r="AB52" s="197"/>
      <c r="AC52" s="197"/>
    </row>
    <row r="53" spans="2:29" ht="24" customHeight="1">
      <c r="B53" s="32">
        <v>9</v>
      </c>
      <c r="C53" s="563" t="s">
        <v>191</v>
      </c>
      <c r="D53" s="563">
        <v>147888</v>
      </c>
      <c r="E53" s="574" t="s">
        <v>192</v>
      </c>
      <c r="F53" s="560" t="s">
        <v>383</v>
      </c>
      <c r="G53" s="561" t="s">
        <v>256</v>
      </c>
      <c r="H53" s="575" t="s">
        <v>151</v>
      </c>
      <c r="I53" s="276" t="str">
        <f t="shared" si="3"/>
        <v>Presencial</v>
      </c>
      <c r="J53" s="571">
        <v>64</v>
      </c>
      <c r="K53" s="568"/>
      <c r="L53" s="569"/>
      <c r="M53" s="568"/>
      <c r="N53" s="569"/>
      <c r="O53" s="568"/>
      <c r="P53" s="609">
        <f>+SUM(J53:K53)/'3.Plan de Estudios'!$G$4+SUM(L53:M53)/'3.Plan de Estudios'!$M$4+SUM(N53:O53)/'3.Plan de Estudios'!$M$4</f>
        <v>4</v>
      </c>
      <c r="Q53" s="76">
        <f t="shared" si="2"/>
        <v>128</v>
      </c>
      <c r="R53" s="574"/>
      <c r="S53" s="574"/>
      <c r="T53" s="574"/>
      <c r="U53" s="574"/>
      <c r="V53" s="559">
        <v>80</v>
      </c>
      <c r="W53" s="561" t="s">
        <v>180</v>
      </c>
      <c r="Y53" s="197" t="s">
        <v>423</v>
      </c>
      <c r="Z53" s="197"/>
      <c r="AA53" s="197"/>
      <c r="AB53" s="197"/>
      <c r="AC53" s="197"/>
    </row>
    <row r="54" spans="2:29" ht="24" customHeight="1">
      <c r="B54" s="32">
        <v>9</v>
      </c>
      <c r="C54" s="563" t="s">
        <v>193</v>
      </c>
      <c r="D54" s="563">
        <v>147898</v>
      </c>
      <c r="E54" s="574" t="s">
        <v>194</v>
      </c>
      <c r="F54" s="576"/>
      <c r="G54" s="561" t="s">
        <v>256</v>
      </c>
      <c r="H54" s="575" t="s">
        <v>151</v>
      </c>
      <c r="I54" s="276" t="str">
        <f t="shared" si="3"/>
        <v>Presencial</v>
      </c>
      <c r="J54" s="571">
        <v>32</v>
      </c>
      <c r="K54" s="570"/>
      <c r="L54" s="571">
        <v>32</v>
      </c>
      <c r="M54" s="570"/>
      <c r="N54" s="571">
        <v>32</v>
      </c>
      <c r="O54" s="570"/>
      <c r="P54" s="609">
        <f>+SUM(J54:K54)/'3.Plan de Estudios'!$G$4+SUM(L54:M54)/'3.Plan de Estudios'!$M$4+SUM(N54:O54)/'3.Plan de Estudios'!$M$4</f>
        <v>4</v>
      </c>
      <c r="Q54" s="76">
        <f t="shared" si="2"/>
        <v>128</v>
      </c>
      <c r="R54" s="574" t="s">
        <v>190</v>
      </c>
      <c r="S54" s="574"/>
      <c r="T54" s="574"/>
      <c r="U54" s="574"/>
      <c r="V54" s="563"/>
      <c r="W54" s="564" t="s">
        <v>182</v>
      </c>
      <c r="Y54" s="197" t="s">
        <v>420</v>
      </c>
      <c r="Z54" s="197"/>
      <c r="AA54" s="197"/>
      <c r="AB54" s="197"/>
      <c r="AC54" s="197"/>
    </row>
    <row r="55" spans="2:29" ht="24" hidden="1" customHeight="1">
      <c r="B55" s="32">
        <v>9</v>
      </c>
      <c r="C55" s="41"/>
      <c r="D55" s="41" t="s">
        <v>244</v>
      </c>
      <c r="E55" s="38"/>
      <c r="F55" s="199"/>
      <c r="G55" s="37"/>
      <c r="H55" s="287"/>
      <c r="I55" s="276" t="str">
        <f t="shared" si="3"/>
        <v/>
      </c>
      <c r="J55" s="39"/>
      <c r="K55" s="40"/>
      <c r="L55" s="39"/>
      <c r="M55" s="40"/>
      <c r="N55" s="39"/>
      <c r="O55" s="40"/>
      <c r="P55" s="609">
        <f>+SUM(J55:K55)/'3.Plan de Estudios'!$G$4+SUM(L55:M55)/'3.Plan de Estudios'!$M$4+SUM(N55:O55)/'3.Plan de Estudios'!$M$4</f>
        <v>0</v>
      </c>
      <c r="Q55" s="76" t="str">
        <f t="shared" si="2"/>
        <v/>
      </c>
      <c r="R55" s="38"/>
      <c r="S55" s="38"/>
      <c r="T55" s="38"/>
      <c r="U55" s="38"/>
      <c r="V55" s="38"/>
      <c r="W55" s="41"/>
      <c r="Y55" s="197"/>
      <c r="Z55" s="197"/>
      <c r="AA55" s="197"/>
      <c r="AB55" s="197"/>
      <c r="AC55" s="197"/>
    </row>
    <row r="56" spans="2:29" ht="24" hidden="1" customHeight="1">
      <c r="B56" s="32">
        <v>9</v>
      </c>
      <c r="C56" s="41"/>
      <c r="D56" s="41" t="s">
        <v>244</v>
      </c>
      <c r="E56" s="38"/>
      <c r="F56" s="199"/>
      <c r="G56" s="37"/>
      <c r="H56" s="287"/>
      <c r="I56" s="276" t="str">
        <f t="shared" si="3"/>
        <v/>
      </c>
      <c r="J56" s="39"/>
      <c r="K56" s="40"/>
      <c r="L56" s="39"/>
      <c r="M56" s="40"/>
      <c r="N56" s="39"/>
      <c r="O56" s="40"/>
      <c r="P56" s="609">
        <f>+SUM(J56:K56)/'3.Plan de Estudios'!$G$4+SUM(L56:M56)/'3.Plan de Estudios'!$M$4+SUM(N56:O56)/'3.Plan de Estudios'!$M$4</f>
        <v>0</v>
      </c>
      <c r="Q56" s="76" t="str">
        <f t="shared" si="2"/>
        <v/>
      </c>
      <c r="R56" s="38"/>
      <c r="S56" s="38"/>
      <c r="T56" s="38"/>
      <c r="U56" s="38"/>
      <c r="V56" s="38"/>
      <c r="W56" s="41"/>
      <c r="Y56" s="197"/>
      <c r="Z56" s="197"/>
      <c r="AA56" s="197"/>
      <c r="AB56" s="197"/>
      <c r="AC56" s="197"/>
    </row>
    <row r="57" spans="2:29" ht="24" hidden="1" customHeight="1">
      <c r="B57" s="32">
        <v>9</v>
      </c>
      <c r="C57" s="41"/>
      <c r="D57" s="41" t="s">
        <v>244</v>
      </c>
      <c r="E57" s="38"/>
      <c r="F57" s="199"/>
      <c r="G57" s="37"/>
      <c r="H57" s="287"/>
      <c r="I57" s="276" t="str">
        <f t="shared" si="3"/>
        <v/>
      </c>
      <c r="J57" s="39"/>
      <c r="K57" s="40"/>
      <c r="L57" s="39"/>
      <c r="M57" s="40"/>
      <c r="N57" s="39"/>
      <c r="O57" s="40"/>
      <c r="P57" s="609">
        <f>+SUM(J57:K57)/'3.Plan de Estudios'!$G$4+SUM(L57:M57)/'3.Plan de Estudios'!$M$4+SUM(N57:O57)/'3.Plan de Estudios'!$M$4</f>
        <v>0</v>
      </c>
      <c r="Q57" s="76" t="str">
        <f t="shared" si="2"/>
        <v/>
      </c>
      <c r="R57" s="38"/>
      <c r="S57" s="38"/>
      <c r="T57" s="38"/>
      <c r="U57" s="38"/>
      <c r="V57" s="38"/>
      <c r="W57" s="41"/>
      <c r="Y57" s="197"/>
      <c r="Z57" s="197"/>
      <c r="AA57" s="197"/>
      <c r="AB57" s="197"/>
      <c r="AC57" s="197"/>
    </row>
    <row r="58" spans="2:29" ht="24" customHeight="1">
      <c r="B58" s="49">
        <v>9</v>
      </c>
      <c r="C58" s="49"/>
      <c r="D58" s="49" t="s">
        <v>244</v>
      </c>
      <c r="E58" s="51"/>
      <c r="F58" s="382"/>
      <c r="G58" s="50"/>
      <c r="H58" s="381"/>
      <c r="I58" s="278" t="str">
        <f t="shared" si="3"/>
        <v/>
      </c>
      <c r="J58" s="52"/>
      <c r="K58" s="53"/>
      <c r="L58" s="52"/>
      <c r="M58" s="53"/>
      <c r="N58" s="52"/>
      <c r="O58" s="53"/>
      <c r="P58" s="610">
        <f>+SUM(J58:K58)/'3.Plan de Estudios'!$G$4+SUM(L58:M58)/'3.Plan de Estudios'!$M$4+SUM(N58:O58)/'3.Plan de Estudios'!$M$4</f>
        <v>0</v>
      </c>
      <c r="Q58" s="80" t="str">
        <f t="shared" si="2"/>
        <v/>
      </c>
      <c r="R58" s="51"/>
      <c r="S58" s="51"/>
      <c r="T58" s="51"/>
      <c r="U58" s="51"/>
      <c r="V58" s="51"/>
      <c r="W58" s="49"/>
      <c r="Y58" s="229"/>
      <c r="Z58" s="229"/>
      <c r="AA58" s="229"/>
      <c r="AB58" s="229"/>
      <c r="AC58" s="229"/>
    </row>
    <row r="59" spans="2:29" ht="24" customHeight="1">
      <c r="B59" s="43">
        <v>10</v>
      </c>
      <c r="C59" s="43" t="s">
        <v>158</v>
      </c>
      <c r="D59" s="43">
        <v>103666</v>
      </c>
      <c r="E59" s="44" t="s">
        <v>439</v>
      </c>
      <c r="F59" s="199"/>
      <c r="G59" s="45" t="s">
        <v>256</v>
      </c>
      <c r="H59" s="287" t="s">
        <v>151</v>
      </c>
      <c r="I59" s="277" t="str">
        <f t="shared" si="3"/>
        <v>Presencial</v>
      </c>
      <c r="J59" s="46">
        <v>64</v>
      </c>
      <c r="K59" s="47">
        <v>0</v>
      </c>
      <c r="L59" s="46">
        <v>0</v>
      </c>
      <c r="M59" s="47">
        <v>0</v>
      </c>
      <c r="N59" s="46">
        <v>0</v>
      </c>
      <c r="O59" s="47">
        <v>0</v>
      </c>
      <c r="P59" s="608">
        <f>+SUM(J59:K59)/'3.Plan de Estudios'!$G$4+SUM(L59:M59)/'3.Plan de Estudios'!$M$4+SUM(N59:O59)/'3.Plan de Estudios'!$M$4</f>
        <v>4</v>
      </c>
      <c r="Q59" s="78">
        <f t="shared" ref="Q59:Q98" si="4">IF(P59=0,"",P59*32)</f>
        <v>128</v>
      </c>
      <c r="R59" s="77"/>
      <c r="S59" s="77"/>
      <c r="T59" s="77"/>
      <c r="U59" s="77"/>
      <c r="V59" s="44"/>
      <c r="W59" s="546" t="s">
        <v>144</v>
      </c>
      <c r="Y59" s="196" t="s">
        <v>421</v>
      </c>
      <c r="Z59" s="196"/>
      <c r="AA59" s="196"/>
      <c r="AB59" s="196"/>
      <c r="AC59" s="196"/>
    </row>
    <row r="60" spans="2:29" ht="24" customHeight="1">
      <c r="B60" s="32">
        <v>10</v>
      </c>
      <c r="C60" s="32" t="s">
        <v>157</v>
      </c>
      <c r="D60" s="32">
        <v>103662</v>
      </c>
      <c r="E60" s="34" t="s">
        <v>440</v>
      </c>
      <c r="F60" s="122"/>
      <c r="G60" s="33" t="s">
        <v>256</v>
      </c>
      <c r="H60" s="287" t="s">
        <v>151</v>
      </c>
      <c r="I60" s="276" t="str">
        <f t="shared" si="3"/>
        <v>Presencial</v>
      </c>
      <c r="J60" s="35">
        <v>64</v>
      </c>
      <c r="K60" s="36">
        <v>0</v>
      </c>
      <c r="L60" s="35">
        <v>0</v>
      </c>
      <c r="M60" s="36">
        <v>0</v>
      </c>
      <c r="N60" s="35">
        <v>0</v>
      </c>
      <c r="O60" s="36">
        <v>0</v>
      </c>
      <c r="P60" s="609">
        <f>+SUM(J60:K60)/'3.Plan de Estudios'!$G$4+SUM(L60:M60)/'3.Plan de Estudios'!$M$4+SUM(N60:O60)/'3.Plan de Estudios'!$M$4</f>
        <v>4</v>
      </c>
      <c r="Q60" s="75">
        <f t="shared" si="4"/>
        <v>128</v>
      </c>
      <c r="R60" s="34"/>
      <c r="S60" s="34"/>
      <c r="T60" s="34"/>
      <c r="U60" s="34"/>
      <c r="V60" s="34"/>
      <c r="W60" s="33" t="s">
        <v>142</v>
      </c>
      <c r="Y60" s="197" t="s">
        <v>426</v>
      </c>
      <c r="Z60" s="197"/>
      <c r="AA60" s="197"/>
      <c r="AB60" s="197"/>
      <c r="AC60" s="197"/>
    </row>
    <row r="61" spans="2:29" ht="24" customHeight="1">
      <c r="B61" s="32">
        <v>10</v>
      </c>
      <c r="C61" s="563" t="s">
        <v>177</v>
      </c>
      <c r="D61" s="563">
        <v>143576</v>
      </c>
      <c r="E61" s="574" t="s">
        <v>178</v>
      </c>
      <c r="F61" s="560" t="s">
        <v>383</v>
      </c>
      <c r="G61" s="564" t="s">
        <v>256</v>
      </c>
      <c r="H61" s="575" t="s">
        <v>151</v>
      </c>
      <c r="I61" s="276" t="str">
        <f t="shared" si="3"/>
        <v>Presencial</v>
      </c>
      <c r="J61" s="571">
        <v>64</v>
      </c>
      <c r="K61" s="568"/>
      <c r="L61" s="569"/>
      <c r="M61" s="568"/>
      <c r="N61" s="569"/>
      <c r="O61" s="568"/>
      <c r="P61" s="609">
        <f>+SUM(J61:K61)/'3.Plan de Estudios'!$G$4+SUM(L61:M61)/'3.Plan de Estudios'!$M$4+SUM(N61:O61)/'3.Plan de Estudios'!$M$4</f>
        <v>4</v>
      </c>
      <c r="Q61" s="75">
        <f t="shared" si="4"/>
        <v>128</v>
      </c>
      <c r="R61" s="577"/>
      <c r="S61" s="578"/>
      <c r="T61" s="578"/>
      <c r="U61" s="578"/>
      <c r="V61" s="563">
        <v>100</v>
      </c>
      <c r="W61" s="564" t="s">
        <v>162</v>
      </c>
      <c r="Y61" s="197" t="s">
        <v>421</v>
      </c>
      <c r="Z61" s="197"/>
      <c r="AA61" s="197"/>
      <c r="AB61" s="197"/>
      <c r="AC61" s="197"/>
    </row>
    <row r="62" spans="2:29" ht="24" customHeight="1">
      <c r="B62" s="32">
        <v>10</v>
      </c>
      <c r="C62" s="563" t="s">
        <v>175</v>
      </c>
      <c r="D62" s="563">
        <v>93899</v>
      </c>
      <c r="E62" s="574" t="s">
        <v>176</v>
      </c>
      <c r="F62" s="560" t="s">
        <v>438</v>
      </c>
      <c r="G62" s="561" t="s">
        <v>256</v>
      </c>
      <c r="H62" s="575" t="s">
        <v>151</v>
      </c>
      <c r="I62" s="276" t="str">
        <f t="shared" si="3"/>
        <v>Presencial</v>
      </c>
      <c r="J62" s="571">
        <v>64</v>
      </c>
      <c r="K62" s="568"/>
      <c r="L62" s="569"/>
      <c r="M62" s="568"/>
      <c r="N62" s="569"/>
      <c r="O62" s="568"/>
      <c r="P62" s="609">
        <f>+SUM(J62:K62)/'3.Plan de Estudios'!$G$4+SUM(L62:M62)/'3.Plan de Estudios'!$M$4+SUM(N62:O62)/'3.Plan de Estudios'!$M$4</f>
        <v>4</v>
      </c>
      <c r="Q62" s="75">
        <f t="shared" si="4"/>
        <v>128</v>
      </c>
      <c r="R62" s="574" t="s">
        <v>172</v>
      </c>
      <c r="S62" s="578"/>
      <c r="T62" s="578"/>
      <c r="U62" s="578"/>
      <c r="V62" s="578"/>
      <c r="W62" s="564" t="s">
        <v>436</v>
      </c>
      <c r="Y62" s="197" t="s">
        <v>423</v>
      </c>
      <c r="Z62" s="197"/>
      <c r="AA62" s="197"/>
      <c r="AB62" s="197"/>
      <c r="AC62" s="197"/>
    </row>
    <row r="63" spans="2:29" ht="24" customHeight="1">
      <c r="B63" s="32">
        <v>10</v>
      </c>
      <c r="C63" s="563" t="s">
        <v>195</v>
      </c>
      <c r="D63" s="563">
        <v>147890</v>
      </c>
      <c r="E63" s="574" t="s">
        <v>196</v>
      </c>
      <c r="F63" s="560" t="s">
        <v>383</v>
      </c>
      <c r="G63" s="564" t="s">
        <v>256</v>
      </c>
      <c r="H63" s="575" t="s">
        <v>151</v>
      </c>
      <c r="I63" s="276" t="str">
        <f t="shared" si="3"/>
        <v>Presencial</v>
      </c>
      <c r="J63" s="571">
        <v>64</v>
      </c>
      <c r="K63" s="568"/>
      <c r="L63" s="569"/>
      <c r="M63" s="568"/>
      <c r="N63" s="569"/>
      <c r="O63" s="568"/>
      <c r="P63" s="609">
        <f>+SUM(J63:K63)/'3.Plan de Estudios'!$G$4+SUM(L63:M63)/'3.Plan de Estudios'!$M$4+SUM(N63:O63)/'3.Plan de Estudios'!$M$4</f>
        <v>4</v>
      </c>
      <c r="Q63" s="76">
        <f t="shared" si="4"/>
        <v>128</v>
      </c>
      <c r="R63" s="574" t="s">
        <v>188</v>
      </c>
      <c r="S63" s="574" t="s">
        <v>192</v>
      </c>
      <c r="T63" s="578"/>
      <c r="U63" s="578"/>
      <c r="V63" s="578"/>
      <c r="W63" s="564" t="s">
        <v>180</v>
      </c>
      <c r="Y63" s="197" t="s">
        <v>423</v>
      </c>
      <c r="Z63" s="197"/>
      <c r="AA63" s="197"/>
      <c r="AB63" s="197"/>
      <c r="AC63" s="197"/>
    </row>
    <row r="64" spans="2:29" ht="24" customHeight="1">
      <c r="B64" s="32">
        <v>10</v>
      </c>
      <c r="C64" s="563" t="s">
        <v>197</v>
      </c>
      <c r="D64" s="563">
        <v>147900</v>
      </c>
      <c r="E64" s="574" t="s">
        <v>198</v>
      </c>
      <c r="F64" s="576"/>
      <c r="G64" s="564" t="s">
        <v>256</v>
      </c>
      <c r="H64" s="575" t="s">
        <v>151</v>
      </c>
      <c r="I64" s="276" t="str">
        <f t="shared" si="3"/>
        <v>Presencial</v>
      </c>
      <c r="J64" s="571">
        <v>32</v>
      </c>
      <c r="K64" s="570"/>
      <c r="L64" s="571">
        <v>32</v>
      </c>
      <c r="M64" s="570"/>
      <c r="N64" s="571">
        <v>32</v>
      </c>
      <c r="O64" s="570"/>
      <c r="P64" s="609">
        <f>+SUM(J64:K64)/'3.Plan de Estudios'!$G$4+SUM(L64:M64)/'3.Plan de Estudios'!$M$4+SUM(N64:O64)/'3.Plan de Estudios'!$M$4</f>
        <v>4</v>
      </c>
      <c r="Q64" s="76">
        <f t="shared" si="4"/>
        <v>128</v>
      </c>
      <c r="R64" s="574" t="s">
        <v>194</v>
      </c>
      <c r="S64" s="578"/>
      <c r="T64" s="578"/>
      <c r="U64" s="578"/>
      <c r="V64" s="578"/>
      <c r="W64" s="564" t="s">
        <v>182</v>
      </c>
      <c r="Y64" s="197" t="s">
        <v>420</v>
      </c>
      <c r="Z64" s="197"/>
      <c r="AA64" s="197"/>
      <c r="AB64" s="197"/>
      <c r="AC64" s="197"/>
    </row>
    <row r="65" spans="2:29" ht="24" hidden="1" customHeight="1">
      <c r="B65" s="32">
        <v>10</v>
      </c>
      <c r="C65" s="41"/>
      <c r="D65" s="41" t="s">
        <v>244</v>
      </c>
      <c r="E65" s="38"/>
      <c r="F65" s="199"/>
      <c r="G65" s="37"/>
      <c r="H65" s="287"/>
      <c r="I65" s="276" t="str">
        <f t="shared" si="3"/>
        <v/>
      </c>
      <c r="J65" s="39"/>
      <c r="K65" s="40"/>
      <c r="L65" s="39"/>
      <c r="M65" s="40"/>
      <c r="N65" s="39"/>
      <c r="O65" s="40"/>
      <c r="P65" s="609">
        <f>+SUM(J65:K65)/'3.Plan de Estudios'!$G$4+SUM(L65:M65)/'3.Plan de Estudios'!$M$4+SUM(N65:O65)/'3.Plan de Estudios'!$M$4</f>
        <v>0</v>
      </c>
      <c r="Q65" s="76" t="str">
        <f t="shared" si="4"/>
        <v/>
      </c>
      <c r="R65" s="38"/>
      <c r="S65" s="38"/>
      <c r="T65" s="38"/>
      <c r="U65" s="38"/>
      <c r="V65" s="38"/>
      <c r="W65" s="41"/>
      <c r="Y65" s="197"/>
      <c r="Z65" s="197"/>
      <c r="AA65" s="197"/>
      <c r="AB65" s="197"/>
      <c r="AC65" s="197"/>
    </row>
    <row r="66" spans="2:29" ht="24" hidden="1" customHeight="1">
      <c r="B66" s="32">
        <v>10</v>
      </c>
      <c r="C66" s="41"/>
      <c r="D66" s="41" t="s">
        <v>244</v>
      </c>
      <c r="E66" s="38"/>
      <c r="F66" s="199"/>
      <c r="G66" s="37"/>
      <c r="H66" s="287"/>
      <c r="I66" s="276" t="str">
        <f t="shared" si="3"/>
        <v/>
      </c>
      <c r="J66" s="39"/>
      <c r="K66" s="40"/>
      <c r="L66" s="39"/>
      <c r="M66" s="40"/>
      <c r="N66" s="39"/>
      <c r="O66" s="40"/>
      <c r="P66" s="609">
        <f>+SUM(J66:K66)/'3.Plan de Estudios'!$G$4+SUM(L66:M66)/'3.Plan de Estudios'!$M$4+SUM(N66:O66)/'3.Plan de Estudios'!$M$4</f>
        <v>0</v>
      </c>
      <c r="Q66" s="76" t="str">
        <f t="shared" si="4"/>
        <v/>
      </c>
      <c r="R66" s="38"/>
      <c r="S66" s="38"/>
      <c r="T66" s="38"/>
      <c r="U66" s="38"/>
      <c r="V66" s="38"/>
      <c r="W66" s="41"/>
      <c r="Y66" s="197"/>
      <c r="Z66" s="197"/>
      <c r="AA66" s="197"/>
      <c r="AB66" s="197"/>
      <c r="AC66" s="197"/>
    </row>
    <row r="67" spans="2:29" ht="24" hidden="1" customHeight="1">
      <c r="B67" s="32">
        <v>10</v>
      </c>
      <c r="C67" s="41"/>
      <c r="D67" s="41" t="s">
        <v>244</v>
      </c>
      <c r="E67" s="38"/>
      <c r="F67" s="199"/>
      <c r="G67" s="37"/>
      <c r="H67" s="287"/>
      <c r="I67" s="276" t="str">
        <f t="shared" si="3"/>
        <v/>
      </c>
      <c r="J67" s="39"/>
      <c r="K67" s="40"/>
      <c r="L67" s="39"/>
      <c r="M67" s="40"/>
      <c r="N67" s="39"/>
      <c r="O67" s="40"/>
      <c r="P67" s="609">
        <f>+SUM(J67:K67)/'3.Plan de Estudios'!$G$4+SUM(L67:M67)/'3.Plan de Estudios'!$M$4+SUM(N67:O67)/'3.Plan de Estudios'!$M$4</f>
        <v>0</v>
      </c>
      <c r="Q67" s="76" t="str">
        <f t="shared" si="4"/>
        <v/>
      </c>
      <c r="R67" s="38"/>
      <c r="S67" s="38"/>
      <c r="T67" s="38"/>
      <c r="U67" s="38"/>
      <c r="V67" s="38"/>
      <c r="W67" s="41"/>
      <c r="Y67" s="197"/>
      <c r="Z67" s="197"/>
      <c r="AA67" s="197"/>
      <c r="AB67" s="197"/>
      <c r="AC67" s="197"/>
    </row>
    <row r="68" spans="2:29" ht="24" customHeight="1">
      <c r="B68" s="49">
        <v>10</v>
      </c>
      <c r="C68" s="49"/>
      <c r="D68" s="49" t="s">
        <v>244</v>
      </c>
      <c r="E68" s="51"/>
      <c r="F68" s="382"/>
      <c r="G68" s="50"/>
      <c r="H68" s="381"/>
      <c r="I68" s="278" t="str">
        <f t="shared" si="3"/>
        <v/>
      </c>
      <c r="J68" s="52"/>
      <c r="K68" s="53"/>
      <c r="L68" s="52"/>
      <c r="M68" s="53"/>
      <c r="N68" s="52"/>
      <c r="O68" s="53"/>
      <c r="P68" s="610">
        <f>+SUM(J68:K68)/'3.Plan de Estudios'!$G$4+SUM(L68:M68)/'3.Plan de Estudios'!$M$4+SUM(N68:O68)/'3.Plan de Estudios'!$M$4</f>
        <v>0</v>
      </c>
      <c r="Q68" s="80" t="str">
        <f t="shared" si="4"/>
        <v/>
      </c>
      <c r="R68" s="51"/>
      <c r="S68" s="51"/>
      <c r="T68" s="51"/>
      <c r="U68" s="51"/>
      <c r="V68" s="51"/>
      <c r="W68" s="49"/>
      <c r="Y68" s="229"/>
      <c r="Z68" s="229"/>
      <c r="AA68" s="229"/>
      <c r="AB68" s="229"/>
      <c r="AC68" s="229"/>
    </row>
    <row r="69" spans="2:29" ht="24" customHeight="1">
      <c r="B69" s="43">
        <v>11</v>
      </c>
      <c r="C69" s="43"/>
      <c r="D69" s="43"/>
      <c r="E69" s="44"/>
      <c r="F69" s="199"/>
      <c r="G69" s="45"/>
      <c r="H69" s="287"/>
      <c r="I69" s="277" t="str">
        <f t="shared" si="3"/>
        <v/>
      </c>
      <c r="J69" s="46"/>
      <c r="K69" s="47"/>
      <c r="L69" s="46"/>
      <c r="M69" s="47"/>
      <c r="N69" s="46"/>
      <c r="O69" s="47"/>
      <c r="P69" s="48">
        <f>+SUM(J69:K69)/'3.Plan de Estudios'!$G$4+SUM(L69:M69)/'3.Plan de Estudios'!$M$4+SUM(N69:O69)/'3.Plan de Estudios'!$M$4</f>
        <v>0</v>
      </c>
      <c r="Q69" s="78" t="str">
        <f t="shared" si="4"/>
        <v/>
      </c>
      <c r="R69" s="77"/>
      <c r="S69" s="77"/>
      <c r="T69" s="77"/>
      <c r="U69" s="77"/>
      <c r="V69" s="44"/>
      <c r="W69" s="58"/>
      <c r="Y69" s="196"/>
      <c r="Z69" s="196"/>
      <c r="AA69" s="196"/>
      <c r="AB69" s="196"/>
      <c r="AC69" s="196"/>
    </row>
    <row r="70" spans="2:29" ht="24" customHeight="1">
      <c r="B70" s="32">
        <v>11</v>
      </c>
      <c r="C70" s="32"/>
      <c r="D70" s="32"/>
      <c r="E70" s="34"/>
      <c r="F70" s="122"/>
      <c r="G70" s="33"/>
      <c r="H70" s="287"/>
      <c r="I70" s="276" t="str">
        <f t="shared" si="3"/>
        <v/>
      </c>
      <c r="J70" s="35"/>
      <c r="K70" s="36"/>
      <c r="L70" s="35"/>
      <c r="M70" s="36"/>
      <c r="N70" s="35"/>
      <c r="O70" s="36"/>
      <c r="P70" s="42">
        <f>+SUM(J70:K70)/'3.Plan de Estudios'!$G$4+SUM(L70:M70)/'3.Plan de Estudios'!$M$4+SUM(N70:O70)/'3.Plan de Estudios'!$M$4</f>
        <v>0</v>
      </c>
      <c r="Q70" s="75" t="str">
        <f t="shared" si="4"/>
        <v/>
      </c>
      <c r="R70" s="34"/>
      <c r="S70" s="34"/>
      <c r="T70" s="34"/>
      <c r="U70" s="34"/>
      <c r="V70" s="34"/>
      <c r="W70" s="32"/>
      <c r="Y70" s="197"/>
      <c r="Z70" s="197"/>
      <c r="AA70" s="197"/>
      <c r="AB70" s="197"/>
      <c r="AC70" s="197"/>
    </row>
    <row r="71" spans="2:29" ht="24" customHeight="1">
      <c r="B71" s="32">
        <v>11</v>
      </c>
      <c r="C71" s="32"/>
      <c r="D71" s="32"/>
      <c r="E71" s="34"/>
      <c r="F71" s="199"/>
      <c r="G71" s="33"/>
      <c r="H71" s="287"/>
      <c r="I71" s="276" t="str">
        <f t="shared" si="3"/>
        <v/>
      </c>
      <c r="J71" s="35"/>
      <c r="K71" s="36"/>
      <c r="L71" s="35"/>
      <c r="M71" s="36"/>
      <c r="N71" s="35"/>
      <c r="O71" s="36"/>
      <c r="P71" s="42">
        <f>+SUM(J71:K71)/'3.Plan de Estudios'!$G$4+SUM(L71:M71)/'3.Plan de Estudios'!$M$4+SUM(N71:O71)/'3.Plan de Estudios'!$M$4</f>
        <v>0</v>
      </c>
      <c r="Q71" s="75" t="str">
        <f t="shared" si="4"/>
        <v/>
      </c>
      <c r="R71" s="34"/>
      <c r="S71" s="34"/>
      <c r="T71" s="34"/>
      <c r="U71" s="34"/>
      <c r="V71" s="34"/>
      <c r="W71" s="32"/>
      <c r="Y71" s="197"/>
      <c r="Z71" s="197"/>
      <c r="AA71" s="197"/>
      <c r="AB71" s="197"/>
      <c r="AC71" s="197"/>
    </row>
    <row r="72" spans="2:29" ht="24" customHeight="1">
      <c r="B72" s="32">
        <v>11</v>
      </c>
      <c r="C72" s="32"/>
      <c r="D72" s="32"/>
      <c r="E72" s="34"/>
      <c r="F72" s="199"/>
      <c r="G72" s="33"/>
      <c r="H72" s="287"/>
      <c r="I72" s="276" t="str">
        <f t="shared" si="3"/>
        <v/>
      </c>
      <c r="J72" s="35"/>
      <c r="K72" s="36"/>
      <c r="L72" s="35"/>
      <c r="M72" s="36"/>
      <c r="N72" s="35"/>
      <c r="O72" s="36"/>
      <c r="P72" s="42">
        <f>+SUM(J72:K72)/'3.Plan de Estudios'!$G$4+SUM(L72:M72)/'3.Plan de Estudios'!$M$4+SUM(N72:O72)/'3.Plan de Estudios'!$M$4</f>
        <v>0</v>
      </c>
      <c r="Q72" s="75" t="str">
        <f t="shared" si="4"/>
        <v/>
      </c>
      <c r="R72" s="34"/>
      <c r="S72" s="34"/>
      <c r="T72" s="34"/>
      <c r="U72" s="34"/>
      <c r="V72" s="34"/>
      <c r="W72" s="32"/>
      <c r="Y72" s="197"/>
      <c r="Z72" s="197"/>
      <c r="AA72" s="197"/>
      <c r="AB72" s="197"/>
      <c r="AC72" s="197"/>
    </row>
    <row r="73" spans="2:29" ht="24" customHeight="1">
      <c r="B73" s="32">
        <v>11</v>
      </c>
      <c r="C73" s="41"/>
      <c r="D73" s="41"/>
      <c r="E73" s="38"/>
      <c r="F73" s="199"/>
      <c r="G73" s="33"/>
      <c r="H73" s="287"/>
      <c r="I73" s="276" t="str">
        <f t="shared" ref="I73:I104" si="5">IFERROR(IF(E73="","",IF((J73+L73+N73)/SUM(J73:O73)&lt;=0.2,"A distancia",IF((J73+L73+N73)/SUM(J73:O73)&lt;=0.7,"Semipresencial","Presencial"))),"")</f>
        <v/>
      </c>
      <c r="J73" s="39"/>
      <c r="K73" s="40"/>
      <c r="L73" s="39"/>
      <c r="M73" s="40"/>
      <c r="N73" s="39"/>
      <c r="O73" s="40"/>
      <c r="P73" s="42">
        <f>+SUM(J73:K73)/'3.Plan de Estudios'!$G$4+SUM(L73:M73)/'3.Plan de Estudios'!$M$4+SUM(N73:O73)/'3.Plan de Estudios'!$M$4</f>
        <v>0</v>
      </c>
      <c r="Q73" s="76" t="str">
        <f t="shared" si="4"/>
        <v/>
      </c>
      <c r="R73" s="38"/>
      <c r="S73" s="38"/>
      <c r="T73" s="38"/>
      <c r="U73" s="38"/>
      <c r="V73" s="34"/>
      <c r="W73" s="32"/>
      <c r="Y73" s="197"/>
      <c r="Z73" s="197"/>
      <c r="AA73" s="197"/>
      <c r="AB73" s="197"/>
      <c r="AC73" s="197"/>
    </row>
    <row r="74" spans="2:29" ht="24" customHeight="1">
      <c r="B74" s="32">
        <v>11</v>
      </c>
      <c r="C74" s="41"/>
      <c r="D74" s="41"/>
      <c r="E74" s="38"/>
      <c r="F74" s="199"/>
      <c r="G74" s="37"/>
      <c r="H74" s="287"/>
      <c r="I74" s="276" t="str">
        <f t="shared" si="5"/>
        <v/>
      </c>
      <c r="J74" s="39"/>
      <c r="K74" s="40"/>
      <c r="L74" s="39"/>
      <c r="M74" s="40"/>
      <c r="N74" s="39"/>
      <c r="O74" s="40"/>
      <c r="P74" s="42">
        <f>+SUM(J74:K74)/'3.Plan de Estudios'!$G$4+SUM(L74:M74)/'3.Plan de Estudios'!$M$4+SUM(N74:O74)/'3.Plan de Estudios'!$M$4</f>
        <v>0</v>
      </c>
      <c r="Q74" s="76" t="str">
        <f t="shared" si="4"/>
        <v/>
      </c>
      <c r="R74" s="38"/>
      <c r="S74" s="38"/>
      <c r="T74" s="38"/>
      <c r="U74" s="38"/>
      <c r="V74" s="38"/>
      <c r="W74" s="41"/>
      <c r="Y74" s="197"/>
      <c r="Z74" s="197"/>
      <c r="AA74" s="197"/>
      <c r="AB74" s="197"/>
      <c r="AC74" s="197"/>
    </row>
    <row r="75" spans="2:29" ht="24" customHeight="1">
      <c r="B75" s="32">
        <v>11</v>
      </c>
      <c r="C75" s="41"/>
      <c r="D75" s="41"/>
      <c r="E75" s="38"/>
      <c r="F75" s="199"/>
      <c r="G75" s="37"/>
      <c r="H75" s="287"/>
      <c r="I75" s="276" t="str">
        <f t="shared" si="5"/>
        <v/>
      </c>
      <c r="J75" s="39"/>
      <c r="K75" s="40"/>
      <c r="L75" s="39"/>
      <c r="M75" s="40"/>
      <c r="N75" s="39"/>
      <c r="O75" s="40"/>
      <c r="P75" s="42">
        <f>+SUM(J75:K75)/'3.Plan de Estudios'!$G$4+SUM(L75:M75)/'3.Plan de Estudios'!$M$4+SUM(N75:O75)/'3.Plan de Estudios'!$M$4</f>
        <v>0</v>
      </c>
      <c r="Q75" s="76" t="str">
        <f t="shared" si="4"/>
        <v/>
      </c>
      <c r="R75" s="38"/>
      <c r="S75" s="38"/>
      <c r="T75" s="38"/>
      <c r="U75" s="38"/>
      <c r="V75" s="38"/>
      <c r="W75" s="41"/>
      <c r="Y75" s="197"/>
      <c r="Z75" s="197"/>
      <c r="AA75" s="197"/>
      <c r="AB75" s="197"/>
      <c r="AC75" s="197"/>
    </row>
    <row r="76" spans="2:29" ht="24" customHeight="1">
      <c r="B76" s="32">
        <v>11</v>
      </c>
      <c r="C76" s="41"/>
      <c r="D76" s="41"/>
      <c r="E76" s="38"/>
      <c r="F76" s="199"/>
      <c r="G76" s="37"/>
      <c r="H76" s="287"/>
      <c r="I76" s="276" t="str">
        <f t="shared" si="5"/>
        <v/>
      </c>
      <c r="J76" s="39"/>
      <c r="K76" s="40"/>
      <c r="L76" s="39"/>
      <c r="M76" s="40"/>
      <c r="N76" s="39"/>
      <c r="O76" s="40"/>
      <c r="P76" s="42">
        <f>+SUM(J76:K76)/'3.Plan de Estudios'!$G$4+SUM(L76:M76)/'3.Plan de Estudios'!$M$4+SUM(N76:O76)/'3.Plan de Estudios'!$M$4</f>
        <v>0</v>
      </c>
      <c r="Q76" s="76" t="str">
        <f t="shared" si="4"/>
        <v/>
      </c>
      <c r="R76" s="38"/>
      <c r="S76" s="38"/>
      <c r="T76" s="38"/>
      <c r="U76" s="38"/>
      <c r="V76" s="38"/>
      <c r="W76" s="41"/>
      <c r="Y76" s="197"/>
      <c r="Z76" s="197"/>
      <c r="AA76" s="197"/>
      <c r="AB76" s="197"/>
      <c r="AC76" s="197"/>
    </row>
    <row r="77" spans="2:29" ht="24" customHeight="1">
      <c r="B77" s="32">
        <v>11</v>
      </c>
      <c r="C77" s="41"/>
      <c r="D77" s="41"/>
      <c r="E77" s="38"/>
      <c r="F77" s="199"/>
      <c r="G77" s="37"/>
      <c r="H77" s="287"/>
      <c r="I77" s="276" t="str">
        <f t="shared" si="5"/>
        <v/>
      </c>
      <c r="J77" s="39"/>
      <c r="K77" s="40"/>
      <c r="L77" s="39"/>
      <c r="M77" s="40"/>
      <c r="N77" s="39"/>
      <c r="O77" s="40"/>
      <c r="P77" s="42">
        <f>+SUM(J77:K77)/'3.Plan de Estudios'!$G$4+SUM(L77:M77)/'3.Plan de Estudios'!$M$4+SUM(N77:O77)/'3.Plan de Estudios'!$M$4</f>
        <v>0</v>
      </c>
      <c r="Q77" s="76" t="str">
        <f t="shared" si="4"/>
        <v/>
      </c>
      <c r="R77" s="38"/>
      <c r="S77" s="38"/>
      <c r="T77" s="38"/>
      <c r="U77" s="38"/>
      <c r="V77" s="38"/>
      <c r="W77" s="41"/>
      <c r="Y77" s="197"/>
      <c r="Z77" s="197"/>
      <c r="AA77" s="197"/>
      <c r="AB77" s="197"/>
      <c r="AC77" s="197"/>
    </row>
    <row r="78" spans="2:29" ht="24" customHeight="1">
      <c r="B78" s="49">
        <v>11</v>
      </c>
      <c r="C78" s="49"/>
      <c r="D78" s="49"/>
      <c r="E78" s="51"/>
      <c r="F78" s="382"/>
      <c r="G78" s="50"/>
      <c r="H78" s="381"/>
      <c r="I78" s="278" t="str">
        <f t="shared" si="5"/>
        <v/>
      </c>
      <c r="J78" s="52"/>
      <c r="K78" s="53"/>
      <c r="L78" s="52"/>
      <c r="M78" s="53"/>
      <c r="N78" s="52"/>
      <c r="O78" s="53"/>
      <c r="P78" s="54">
        <f>+SUM(J78:K78)/'3.Plan de Estudios'!$G$4+SUM(L78:M78)/'3.Plan de Estudios'!$M$4+SUM(N78:O78)/'3.Plan de Estudios'!$M$4</f>
        <v>0</v>
      </c>
      <c r="Q78" s="80" t="str">
        <f t="shared" si="4"/>
        <v/>
      </c>
      <c r="R78" s="51"/>
      <c r="S78" s="51"/>
      <c r="T78" s="51"/>
      <c r="U78" s="51"/>
      <c r="V78" s="51"/>
      <c r="W78" s="49"/>
      <c r="Y78" s="229"/>
      <c r="Z78" s="229"/>
      <c r="AA78" s="229"/>
      <c r="AB78" s="229"/>
      <c r="AC78" s="229"/>
    </row>
    <row r="79" spans="2:29" ht="24" customHeight="1">
      <c r="B79" s="43">
        <v>12</v>
      </c>
      <c r="C79" s="43"/>
      <c r="D79" s="43"/>
      <c r="E79" s="44"/>
      <c r="F79" s="199"/>
      <c r="G79" s="45"/>
      <c r="H79" s="287"/>
      <c r="I79" s="277" t="str">
        <f t="shared" si="5"/>
        <v/>
      </c>
      <c r="J79" s="46"/>
      <c r="K79" s="47"/>
      <c r="L79" s="46"/>
      <c r="M79" s="47"/>
      <c r="N79" s="46"/>
      <c r="O79" s="47"/>
      <c r="P79" s="48">
        <f>+SUM(J79:K79)/'3.Plan de Estudios'!$G$4+SUM(L79:M79)/'3.Plan de Estudios'!$M$4+SUM(N79:O79)/'3.Plan de Estudios'!$M$4</f>
        <v>0</v>
      </c>
      <c r="Q79" s="78" t="str">
        <f t="shared" si="4"/>
        <v/>
      </c>
      <c r="R79" s="77"/>
      <c r="S79" s="77"/>
      <c r="T79" s="77"/>
      <c r="U79" s="77"/>
      <c r="V79" s="44"/>
      <c r="W79" s="58"/>
      <c r="Y79" s="196"/>
      <c r="Z79" s="196"/>
      <c r="AA79" s="196"/>
      <c r="AB79" s="196"/>
      <c r="AC79" s="196"/>
    </row>
    <row r="80" spans="2:29" ht="24" customHeight="1">
      <c r="B80" s="32">
        <v>12</v>
      </c>
      <c r="C80" s="32"/>
      <c r="D80" s="32"/>
      <c r="E80" s="34"/>
      <c r="F80" s="122"/>
      <c r="G80" s="33"/>
      <c r="H80" s="287"/>
      <c r="I80" s="276" t="str">
        <f t="shared" si="5"/>
        <v/>
      </c>
      <c r="J80" s="35"/>
      <c r="K80" s="36"/>
      <c r="L80" s="35"/>
      <c r="M80" s="36"/>
      <c r="N80" s="35"/>
      <c r="O80" s="36"/>
      <c r="P80" s="42">
        <f>+SUM(J80:K80)/'3.Plan de Estudios'!$G$4+SUM(L80:M80)/'3.Plan de Estudios'!$M$4+SUM(N80:O80)/'3.Plan de Estudios'!$M$4</f>
        <v>0</v>
      </c>
      <c r="Q80" s="75" t="str">
        <f t="shared" si="4"/>
        <v/>
      </c>
      <c r="R80" s="34"/>
      <c r="S80" s="34"/>
      <c r="T80" s="34"/>
      <c r="U80" s="34"/>
      <c r="V80" s="34"/>
      <c r="W80" s="32"/>
      <c r="Y80" s="197"/>
      <c r="Z80" s="197"/>
      <c r="AA80" s="197"/>
      <c r="AB80" s="197"/>
      <c r="AC80" s="197"/>
    </row>
    <row r="81" spans="2:29" ht="24" customHeight="1">
      <c r="B81" s="32">
        <v>12</v>
      </c>
      <c r="C81" s="32"/>
      <c r="D81" s="32"/>
      <c r="E81" s="34"/>
      <c r="F81" s="199"/>
      <c r="G81" s="33"/>
      <c r="H81" s="287"/>
      <c r="I81" s="276" t="str">
        <f t="shared" si="5"/>
        <v/>
      </c>
      <c r="J81" s="35"/>
      <c r="K81" s="36"/>
      <c r="L81" s="35"/>
      <c r="M81" s="36"/>
      <c r="N81" s="35"/>
      <c r="O81" s="36"/>
      <c r="P81" s="42">
        <f>+SUM(J81:K81)/'3.Plan de Estudios'!$G$4+SUM(L81:M81)/'3.Plan de Estudios'!$M$4+SUM(N81:O81)/'3.Plan de Estudios'!$M$4</f>
        <v>0</v>
      </c>
      <c r="Q81" s="75" t="str">
        <f t="shared" si="4"/>
        <v/>
      </c>
      <c r="R81" s="34"/>
      <c r="S81" s="34"/>
      <c r="T81" s="34"/>
      <c r="U81" s="34"/>
      <c r="V81" s="34"/>
      <c r="W81" s="32"/>
      <c r="Y81" s="197"/>
      <c r="Z81" s="197"/>
      <c r="AA81" s="197"/>
      <c r="AB81" s="197"/>
      <c r="AC81" s="197"/>
    </row>
    <row r="82" spans="2:29" ht="24" customHeight="1">
      <c r="B82" s="32">
        <v>12</v>
      </c>
      <c r="C82" s="32"/>
      <c r="D82" s="32"/>
      <c r="E82" s="34"/>
      <c r="F82" s="199"/>
      <c r="G82" s="33"/>
      <c r="H82" s="287"/>
      <c r="I82" s="276" t="str">
        <f t="shared" si="5"/>
        <v/>
      </c>
      <c r="J82" s="35"/>
      <c r="K82" s="36"/>
      <c r="L82" s="35"/>
      <c r="M82" s="36"/>
      <c r="N82" s="35"/>
      <c r="O82" s="36"/>
      <c r="P82" s="42">
        <f>+SUM(J82:K82)/'3.Plan de Estudios'!$G$4+SUM(L82:M82)/'3.Plan de Estudios'!$M$4+SUM(N82:O82)/'3.Plan de Estudios'!$M$4</f>
        <v>0</v>
      </c>
      <c r="Q82" s="75" t="str">
        <f t="shared" si="4"/>
        <v/>
      </c>
      <c r="R82" s="34"/>
      <c r="S82" s="34"/>
      <c r="T82" s="34"/>
      <c r="U82" s="34"/>
      <c r="V82" s="34"/>
      <c r="W82" s="32"/>
      <c r="Y82" s="197"/>
      <c r="Z82" s="197"/>
      <c r="AA82" s="197"/>
      <c r="AB82" s="197"/>
      <c r="AC82" s="197"/>
    </row>
    <row r="83" spans="2:29" ht="24" customHeight="1">
      <c r="B83" s="32">
        <v>12</v>
      </c>
      <c r="C83" s="41"/>
      <c r="D83" s="41"/>
      <c r="E83" s="38"/>
      <c r="F83" s="199"/>
      <c r="G83" s="33"/>
      <c r="H83" s="287"/>
      <c r="I83" s="276" t="str">
        <f t="shared" si="5"/>
        <v/>
      </c>
      <c r="J83" s="39"/>
      <c r="K83" s="40"/>
      <c r="L83" s="39"/>
      <c r="M83" s="40"/>
      <c r="N83" s="39"/>
      <c r="O83" s="40"/>
      <c r="P83" s="42">
        <f>+SUM(J83:K83)/'3.Plan de Estudios'!$G$4+SUM(L83:M83)/'3.Plan de Estudios'!$M$4+SUM(N83:O83)/'3.Plan de Estudios'!$M$4</f>
        <v>0</v>
      </c>
      <c r="Q83" s="76" t="str">
        <f t="shared" si="4"/>
        <v/>
      </c>
      <c r="R83" s="38"/>
      <c r="S83" s="38"/>
      <c r="T83" s="38"/>
      <c r="U83" s="38"/>
      <c r="V83" s="34"/>
      <c r="W83" s="32"/>
      <c r="Y83" s="197"/>
      <c r="Z83" s="197"/>
      <c r="AA83" s="197"/>
      <c r="AB83" s="197"/>
      <c r="AC83" s="197"/>
    </row>
    <row r="84" spans="2:29" ht="24" customHeight="1">
      <c r="B84" s="32">
        <v>12</v>
      </c>
      <c r="C84" s="41"/>
      <c r="D84" s="41"/>
      <c r="E84" s="38"/>
      <c r="F84" s="199"/>
      <c r="G84" s="37"/>
      <c r="H84" s="287"/>
      <c r="I84" s="276" t="str">
        <f t="shared" si="5"/>
        <v/>
      </c>
      <c r="J84" s="39"/>
      <c r="K84" s="40"/>
      <c r="L84" s="39"/>
      <c r="M84" s="40"/>
      <c r="N84" s="39"/>
      <c r="O84" s="40"/>
      <c r="P84" s="42">
        <f>+SUM(J84:K84)/'3.Plan de Estudios'!$G$4+SUM(L84:M84)/'3.Plan de Estudios'!$M$4+SUM(N84:O84)/'3.Plan de Estudios'!$M$4</f>
        <v>0</v>
      </c>
      <c r="Q84" s="76" t="str">
        <f t="shared" si="4"/>
        <v/>
      </c>
      <c r="R84" s="38"/>
      <c r="S84" s="38"/>
      <c r="T84" s="38"/>
      <c r="U84" s="38"/>
      <c r="V84" s="38"/>
      <c r="W84" s="41"/>
      <c r="Y84" s="197"/>
      <c r="Z84" s="197"/>
      <c r="AA84" s="197"/>
      <c r="AB84" s="197"/>
      <c r="AC84" s="197"/>
    </row>
    <row r="85" spans="2:29" ht="24" customHeight="1">
      <c r="B85" s="32">
        <v>12</v>
      </c>
      <c r="C85" s="41"/>
      <c r="D85" s="41"/>
      <c r="E85" s="38"/>
      <c r="F85" s="199"/>
      <c r="G85" s="37"/>
      <c r="H85" s="287"/>
      <c r="I85" s="276" t="str">
        <f t="shared" si="5"/>
        <v/>
      </c>
      <c r="J85" s="39"/>
      <c r="K85" s="40"/>
      <c r="L85" s="39"/>
      <c r="M85" s="40"/>
      <c r="N85" s="39"/>
      <c r="O85" s="40"/>
      <c r="P85" s="42">
        <f>+SUM(J85:K85)/'3.Plan de Estudios'!$G$4+SUM(L85:M85)/'3.Plan de Estudios'!$M$4+SUM(N85:O85)/'3.Plan de Estudios'!$M$4</f>
        <v>0</v>
      </c>
      <c r="Q85" s="76" t="str">
        <f t="shared" si="4"/>
        <v/>
      </c>
      <c r="R85" s="38"/>
      <c r="S85" s="38"/>
      <c r="T85" s="38"/>
      <c r="U85" s="38"/>
      <c r="V85" s="38"/>
      <c r="W85" s="41"/>
      <c r="Y85" s="197"/>
      <c r="Z85" s="197"/>
      <c r="AA85" s="197"/>
      <c r="AB85" s="197"/>
      <c r="AC85" s="197"/>
    </row>
    <row r="86" spans="2:29" ht="24" customHeight="1">
      <c r="B86" s="32">
        <v>12</v>
      </c>
      <c r="C86" s="41"/>
      <c r="D86" s="41"/>
      <c r="E86" s="38"/>
      <c r="F86" s="199"/>
      <c r="G86" s="37"/>
      <c r="H86" s="287"/>
      <c r="I86" s="276" t="str">
        <f t="shared" si="5"/>
        <v/>
      </c>
      <c r="J86" s="39"/>
      <c r="K86" s="40"/>
      <c r="L86" s="39"/>
      <c r="M86" s="40"/>
      <c r="N86" s="39"/>
      <c r="O86" s="40"/>
      <c r="P86" s="42">
        <f>+SUM(J86:K86)/'3.Plan de Estudios'!$G$4+SUM(L86:M86)/'3.Plan de Estudios'!$M$4+SUM(N86:O86)/'3.Plan de Estudios'!$M$4</f>
        <v>0</v>
      </c>
      <c r="Q86" s="76" t="str">
        <f t="shared" si="4"/>
        <v/>
      </c>
      <c r="R86" s="38"/>
      <c r="S86" s="38"/>
      <c r="T86" s="38"/>
      <c r="U86" s="38"/>
      <c r="V86" s="38"/>
      <c r="W86" s="41"/>
      <c r="Y86" s="197"/>
      <c r="Z86" s="197"/>
      <c r="AA86" s="197"/>
      <c r="AB86" s="197"/>
      <c r="AC86" s="197"/>
    </row>
    <row r="87" spans="2:29" ht="24" customHeight="1">
      <c r="B87" s="32">
        <v>12</v>
      </c>
      <c r="C87" s="41"/>
      <c r="D87" s="41"/>
      <c r="E87" s="38"/>
      <c r="F87" s="199"/>
      <c r="G87" s="37"/>
      <c r="H87" s="287"/>
      <c r="I87" s="276" t="str">
        <f t="shared" si="5"/>
        <v/>
      </c>
      <c r="J87" s="39"/>
      <c r="K87" s="40"/>
      <c r="L87" s="39"/>
      <c r="M87" s="40"/>
      <c r="N87" s="39"/>
      <c r="O87" s="40"/>
      <c r="P87" s="42">
        <f>+SUM(J87:K87)/'3.Plan de Estudios'!$G$4+SUM(L87:M87)/'3.Plan de Estudios'!$M$4+SUM(N87:O87)/'3.Plan de Estudios'!$M$4</f>
        <v>0</v>
      </c>
      <c r="Q87" s="76" t="str">
        <f t="shared" si="4"/>
        <v/>
      </c>
      <c r="R87" s="38"/>
      <c r="S87" s="38"/>
      <c r="T87" s="38"/>
      <c r="U87" s="38"/>
      <c r="V87" s="38"/>
      <c r="W87" s="41"/>
      <c r="Y87" s="197"/>
      <c r="Z87" s="197"/>
      <c r="AA87" s="197"/>
      <c r="AB87" s="197"/>
      <c r="AC87" s="197"/>
    </row>
    <row r="88" spans="2:29" ht="24" customHeight="1">
      <c r="B88" s="49">
        <v>12</v>
      </c>
      <c r="C88" s="49"/>
      <c r="D88" s="49"/>
      <c r="E88" s="51"/>
      <c r="F88" s="382"/>
      <c r="G88" s="50"/>
      <c r="H88" s="381"/>
      <c r="I88" s="278" t="str">
        <f t="shared" si="5"/>
        <v/>
      </c>
      <c r="J88" s="52"/>
      <c r="K88" s="53"/>
      <c r="L88" s="52"/>
      <c r="M88" s="53"/>
      <c r="N88" s="52"/>
      <c r="O88" s="53"/>
      <c r="P88" s="54">
        <f>+SUM(J88:K88)/'3.Plan de Estudios'!$G$4+SUM(L88:M88)/'3.Plan de Estudios'!$M$4+SUM(N88:O88)/'3.Plan de Estudios'!$M$4</f>
        <v>0</v>
      </c>
      <c r="Q88" s="278" t="str">
        <f t="shared" si="4"/>
        <v/>
      </c>
      <c r="R88" s="51"/>
      <c r="S88" s="51"/>
      <c r="T88" s="51"/>
      <c r="U88" s="51"/>
      <c r="V88" s="51"/>
      <c r="W88" s="49"/>
      <c r="Y88" s="229"/>
      <c r="Z88" s="229"/>
      <c r="AA88" s="229"/>
      <c r="AB88" s="229"/>
      <c r="AC88" s="229"/>
    </row>
    <row r="89" spans="2:29" ht="24" customHeight="1">
      <c r="B89" s="43">
        <v>13</v>
      </c>
      <c r="C89" s="43"/>
      <c r="D89" s="43"/>
      <c r="E89" s="44"/>
      <c r="F89" s="199"/>
      <c r="G89" s="45"/>
      <c r="H89" s="287"/>
      <c r="I89" s="277" t="str">
        <f t="shared" si="5"/>
        <v/>
      </c>
      <c r="J89" s="46"/>
      <c r="K89" s="47"/>
      <c r="L89" s="46"/>
      <c r="M89" s="47"/>
      <c r="N89" s="46"/>
      <c r="O89" s="47"/>
      <c r="P89" s="48">
        <f>+SUM(J89:K89)/'3.Plan de Estudios'!$G$4+SUM(L89:M89)/'3.Plan de Estudios'!$M$4+SUM(N89:O89)/'3.Plan de Estudios'!$M$4</f>
        <v>0</v>
      </c>
      <c r="Q89" s="78" t="str">
        <f t="shared" si="4"/>
        <v/>
      </c>
      <c r="R89" s="77"/>
      <c r="S89" s="77"/>
      <c r="T89" s="77"/>
      <c r="U89" s="77"/>
      <c r="V89" s="44"/>
      <c r="W89" s="58"/>
      <c r="Y89" s="196"/>
      <c r="Z89" s="196"/>
      <c r="AA89" s="196"/>
      <c r="AB89" s="196"/>
      <c r="AC89" s="196"/>
    </row>
    <row r="90" spans="2:29" ht="24" customHeight="1">
      <c r="B90" s="32">
        <v>13</v>
      </c>
      <c r="C90" s="32"/>
      <c r="D90" s="32"/>
      <c r="E90" s="34"/>
      <c r="F90" s="122"/>
      <c r="G90" s="33"/>
      <c r="H90" s="287"/>
      <c r="I90" s="276" t="str">
        <f t="shared" si="5"/>
        <v/>
      </c>
      <c r="J90" s="35"/>
      <c r="K90" s="36"/>
      <c r="L90" s="35"/>
      <c r="M90" s="36"/>
      <c r="N90" s="35"/>
      <c r="O90" s="36"/>
      <c r="P90" s="42">
        <f>+SUM(J90:K90)/'3.Plan de Estudios'!$G$4+SUM(L90:M90)/'3.Plan de Estudios'!$M$4+SUM(N90:O90)/'3.Plan de Estudios'!$M$4</f>
        <v>0</v>
      </c>
      <c r="Q90" s="75" t="str">
        <f t="shared" si="4"/>
        <v/>
      </c>
      <c r="R90" s="34"/>
      <c r="S90" s="34"/>
      <c r="T90" s="34"/>
      <c r="U90" s="34"/>
      <c r="V90" s="34"/>
      <c r="W90" s="32"/>
      <c r="Y90" s="197"/>
      <c r="Z90" s="197"/>
      <c r="AA90" s="197"/>
      <c r="AB90" s="197"/>
      <c r="AC90" s="197"/>
    </row>
    <row r="91" spans="2:29" ht="24" customHeight="1">
      <c r="B91" s="32">
        <v>13</v>
      </c>
      <c r="C91" s="32"/>
      <c r="D91" s="32"/>
      <c r="E91" s="34"/>
      <c r="F91" s="199"/>
      <c r="G91" s="33"/>
      <c r="H91" s="287"/>
      <c r="I91" s="276" t="str">
        <f t="shared" si="5"/>
        <v/>
      </c>
      <c r="J91" s="35"/>
      <c r="K91" s="36"/>
      <c r="L91" s="35"/>
      <c r="M91" s="36"/>
      <c r="N91" s="35"/>
      <c r="O91" s="36"/>
      <c r="P91" s="42">
        <f>+SUM(J91:K91)/'3.Plan de Estudios'!$G$4+SUM(L91:M91)/'3.Plan de Estudios'!$M$4+SUM(N91:O91)/'3.Plan de Estudios'!$M$4</f>
        <v>0</v>
      </c>
      <c r="Q91" s="75" t="str">
        <f t="shared" si="4"/>
        <v/>
      </c>
      <c r="R91" s="34"/>
      <c r="S91" s="34"/>
      <c r="T91" s="34"/>
      <c r="U91" s="34"/>
      <c r="V91" s="34"/>
      <c r="W91" s="32"/>
      <c r="Y91" s="197"/>
      <c r="Z91" s="197"/>
      <c r="AA91" s="197"/>
      <c r="AB91" s="197"/>
      <c r="AC91" s="197"/>
    </row>
    <row r="92" spans="2:29" ht="24" customHeight="1">
      <c r="B92" s="32">
        <v>13</v>
      </c>
      <c r="C92" s="32"/>
      <c r="D92" s="32"/>
      <c r="E92" s="34"/>
      <c r="F92" s="199"/>
      <c r="G92" s="33"/>
      <c r="H92" s="287"/>
      <c r="I92" s="276" t="str">
        <f t="shared" si="5"/>
        <v/>
      </c>
      <c r="J92" s="35"/>
      <c r="K92" s="36"/>
      <c r="L92" s="35"/>
      <c r="M92" s="36"/>
      <c r="N92" s="35"/>
      <c r="O92" s="36"/>
      <c r="P92" s="42">
        <f>+SUM(J92:K92)/'3.Plan de Estudios'!$G$4+SUM(L92:M92)/'3.Plan de Estudios'!$M$4+SUM(N92:O92)/'3.Plan de Estudios'!$M$4</f>
        <v>0</v>
      </c>
      <c r="Q92" s="75" t="str">
        <f t="shared" si="4"/>
        <v/>
      </c>
      <c r="R92" s="34"/>
      <c r="S92" s="34"/>
      <c r="T92" s="34"/>
      <c r="U92" s="34"/>
      <c r="V92" s="34"/>
      <c r="W92" s="32"/>
      <c r="Y92" s="197"/>
      <c r="Z92" s="197"/>
      <c r="AA92" s="197"/>
      <c r="AB92" s="197"/>
      <c r="AC92" s="197"/>
    </row>
    <row r="93" spans="2:29" ht="24" customHeight="1">
      <c r="B93" s="32">
        <v>13</v>
      </c>
      <c r="C93" s="41"/>
      <c r="D93" s="41"/>
      <c r="E93" s="38"/>
      <c r="F93" s="199"/>
      <c r="G93" s="33"/>
      <c r="H93" s="287"/>
      <c r="I93" s="276" t="str">
        <f t="shared" si="5"/>
        <v/>
      </c>
      <c r="J93" s="39"/>
      <c r="K93" s="40"/>
      <c r="L93" s="39"/>
      <c r="M93" s="40"/>
      <c r="N93" s="39"/>
      <c r="O93" s="40"/>
      <c r="P93" s="42">
        <f>+SUM(J93:K93)/'3.Plan de Estudios'!$G$4+SUM(L93:M93)/'3.Plan de Estudios'!$M$4+SUM(N93:O93)/'3.Plan de Estudios'!$M$4</f>
        <v>0</v>
      </c>
      <c r="Q93" s="76" t="str">
        <f t="shared" si="4"/>
        <v/>
      </c>
      <c r="R93" s="38"/>
      <c r="S93" s="38"/>
      <c r="T93" s="38"/>
      <c r="U93" s="38"/>
      <c r="V93" s="34"/>
      <c r="W93" s="32"/>
      <c r="Y93" s="197"/>
      <c r="Z93" s="197"/>
      <c r="AA93" s="197"/>
      <c r="AB93" s="197"/>
      <c r="AC93" s="197"/>
    </row>
    <row r="94" spans="2:29" ht="24" customHeight="1">
      <c r="B94" s="32">
        <v>13</v>
      </c>
      <c r="C94" s="41"/>
      <c r="D94" s="41"/>
      <c r="E94" s="38"/>
      <c r="F94" s="199"/>
      <c r="G94" s="37"/>
      <c r="H94" s="287"/>
      <c r="I94" s="276" t="str">
        <f t="shared" si="5"/>
        <v/>
      </c>
      <c r="J94" s="39"/>
      <c r="K94" s="40"/>
      <c r="L94" s="39"/>
      <c r="M94" s="40"/>
      <c r="N94" s="39"/>
      <c r="O94" s="40"/>
      <c r="P94" s="42">
        <f>+SUM(J94:K94)/'3.Plan de Estudios'!$G$4+SUM(L94:M94)/'3.Plan de Estudios'!$M$4+SUM(N94:O94)/'3.Plan de Estudios'!$M$4</f>
        <v>0</v>
      </c>
      <c r="Q94" s="76" t="str">
        <f t="shared" si="4"/>
        <v/>
      </c>
      <c r="R94" s="38"/>
      <c r="S94" s="38"/>
      <c r="T94" s="38"/>
      <c r="U94" s="38"/>
      <c r="V94" s="38"/>
      <c r="W94" s="41"/>
      <c r="Y94" s="197"/>
      <c r="Z94" s="197"/>
      <c r="AA94" s="197"/>
      <c r="AB94" s="197"/>
      <c r="AC94" s="197"/>
    </row>
    <row r="95" spans="2:29" ht="24" customHeight="1">
      <c r="B95" s="32">
        <v>13</v>
      </c>
      <c r="C95" s="41"/>
      <c r="D95" s="41"/>
      <c r="E95" s="38"/>
      <c r="F95" s="199"/>
      <c r="G95" s="37"/>
      <c r="H95" s="287"/>
      <c r="I95" s="276" t="str">
        <f t="shared" si="5"/>
        <v/>
      </c>
      <c r="J95" s="39"/>
      <c r="K95" s="40"/>
      <c r="L95" s="39"/>
      <c r="M95" s="40"/>
      <c r="N95" s="39"/>
      <c r="O95" s="40"/>
      <c r="P95" s="42">
        <f>+SUM(J95:K95)/'3.Plan de Estudios'!$G$4+SUM(L95:M95)/'3.Plan de Estudios'!$M$4+SUM(N95:O95)/'3.Plan de Estudios'!$M$4</f>
        <v>0</v>
      </c>
      <c r="Q95" s="76" t="str">
        <f t="shared" si="4"/>
        <v/>
      </c>
      <c r="R95" s="38"/>
      <c r="S95" s="38"/>
      <c r="T95" s="38"/>
      <c r="U95" s="38"/>
      <c r="V95" s="38"/>
      <c r="W95" s="41"/>
      <c r="Y95" s="197"/>
      <c r="Z95" s="197"/>
      <c r="AA95" s="197"/>
      <c r="AB95" s="197"/>
      <c r="AC95" s="197"/>
    </row>
    <row r="96" spans="2:29" ht="24" customHeight="1">
      <c r="B96" s="32">
        <v>13</v>
      </c>
      <c r="C96" s="41"/>
      <c r="D96" s="41"/>
      <c r="E96" s="38"/>
      <c r="F96" s="199"/>
      <c r="G96" s="37"/>
      <c r="H96" s="287"/>
      <c r="I96" s="276" t="str">
        <f t="shared" si="5"/>
        <v/>
      </c>
      <c r="J96" s="39"/>
      <c r="K96" s="40"/>
      <c r="L96" s="39"/>
      <c r="M96" s="40"/>
      <c r="N96" s="39"/>
      <c r="O96" s="40"/>
      <c r="P96" s="42">
        <f>+SUM(J96:K96)/'3.Plan de Estudios'!$G$4+SUM(L96:M96)/'3.Plan de Estudios'!$M$4+SUM(N96:O96)/'3.Plan de Estudios'!$M$4</f>
        <v>0</v>
      </c>
      <c r="Q96" s="76" t="str">
        <f t="shared" si="4"/>
        <v/>
      </c>
      <c r="R96" s="38"/>
      <c r="S96" s="38"/>
      <c r="T96" s="38"/>
      <c r="U96" s="38"/>
      <c r="V96" s="38"/>
      <c r="W96" s="41"/>
      <c r="Y96" s="197"/>
      <c r="Z96" s="197"/>
      <c r="AA96" s="197"/>
      <c r="AB96" s="197"/>
      <c r="AC96" s="197"/>
    </row>
    <row r="97" spans="2:29" ht="24" customHeight="1">
      <c r="B97" s="32">
        <v>13</v>
      </c>
      <c r="C97" s="41"/>
      <c r="D97" s="41"/>
      <c r="E97" s="38"/>
      <c r="F97" s="199"/>
      <c r="G97" s="37"/>
      <c r="H97" s="287"/>
      <c r="I97" s="276" t="str">
        <f t="shared" si="5"/>
        <v/>
      </c>
      <c r="J97" s="39"/>
      <c r="K97" s="40"/>
      <c r="L97" s="39"/>
      <c r="M97" s="40"/>
      <c r="N97" s="39"/>
      <c r="O97" s="40"/>
      <c r="P97" s="42">
        <f>+SUM(J97:K97)/'3.Plan de Estudios'!$G$4+SUM(L97:M97)/'3.Plan de Estudios'!$M$4+SUM(N97:O97)/'3.Plan de Estudios'!$M$4</f>
        <v>0</v>
      </c>
      <c r="Q97" s="76" t="str">
        <f t="shared" si="4"/>
        <v/>
      </c>
      <c r="R97" s="38"/>
      <c r="S97" s="38"/>
      <c r="T97" s="38"/>
      <c r="U97" s="38"/>
      <c r="V97" s="38"/>
      <c r="W97" s="41"/>
      <c r="Y97" s="197"/>
      <c r="Z97" s="197"/>
      <c r="AA97" s="197"/>
      <c r="AB97" s="197"/>
      <c r="AC97" s="197"/>
    </row>
    <row r="98" spans="2:29" ht="24" customHeight="1">
      <c r="B98" s="49">
        <v>13</v>
      </c>
      <c r="C98" s="49"/>
      <c r="D98" s="49"/>
      <c r="E98" s="51"/>
      <c r="F98" s="382"/>
      <c r="G98" s="50"/>
      <c r="H98" s="381"/>
      <c r="I98" s="278" t="str">
        <f t="shared" si="5"/>
        <v/>
      </c>
      <c r="J98" s="52"/>
      <c r="K98" s="53"/>
      <c r="L98" s="52"/>
      <c r="M98" s="53"/>
      <c r="N98" s="52"/>
      <c r="O98" s="53"/>
      <c r="P98" s="54">
        <f>+SUM(J98:K98)/'3.Plan de Estudios'!$G$4+SUM(L98:M98)/'3.Plan de Estudios'!$M$4+SUM(N98:O98)/'3.Plan de Estudios'!$M$4</f>
        <v>0</v>
      </c>
      <c r="Q98" s="76" t="str">
        <f t="shared" si="4"/>
        <v/>
      </c>
      <c r="R98" s="51"/>
      <c r="S98" s="51"/>
      <c r="T98" s="51"/>
      <c r="U98" s="51"/>
      <c r="V98" s="51"/>
      <c r="W98" s="49"/>
      <c r="Y98" s="229"/>
      <c r="Z98" s="229"/>
      <c r="AA98" s="229"/>
      <c r="AB98" s="229"/>
      <c r="AC98" s="229"/>
    </row>
    <row r="99" spans="2:29" ht="24" customHeight="1">
      <c r="B99" s="43">
        <v>14</v>
      </c>
      <c r="C99" s="43"/>
      <c r="D99" s="43"/>
      <c r="E99" s="44"/>
      <c r="F99" s="199"/>
      <c r="G99" s="45"/>
      <c r="H99" s="287"/>
      <c r="I99" s="277" t="str">
        <f t="shared" si="5"/>
        <v/>
      </c>
      <c r="J99" s="46"/>
      <c r="K99" s="47"/>
      <c r="L99" s="46"/>
      <c r="M99" s="47"/>
      <c r="N99" s="46"/>
      <c r="O99" s="47"/>
      <c r="P99" s="48">
        <f>+SUM(J99:K99)/'3.Plan de Estudios'!$G$4+SUM(L99:M99)/'3.Plan de Estudios'!$M$4+SUM(N99:O99)/'3.Plan de Estudios'!$M$4</f>
        <v>0</v>
      </c>
      <c r="Q99" s="79" t="str">
        <f t="shared" si="2"/>
        <v/>
      </c>
      <c r="R99" s="77"/>
      <c r="S99" s="77"/>
      <c r="T99" s="77"/>
      <c r="U99" s="77"/>
      <c r="V99" s="44"/>
      <c r="W99" s="58"/>
      <c r="Y99" s="196"/>
      <c r="Z99" s="196"/>
      <c r="AA99" s="196"/>
      <c r="AB99" s="196"/>
      <c r="AC99" s="196"/>
    </row>
    <row r="100" spans="2:29" ht="24" customHeight="1">
      <c r="B100" s="43">
        <v>14</v>
      </c>
      <c r="C100" s="32"/>
      <c r="D100" s="32"/>
      <c r="E100" s="34"/>
      <c r="F100" s="122"/>
      <c r="G100" s="33"/>
      <c r="H100" s="287"/>
      <c r="I100" s="276" t="str">
        <f t="shared" si="5"/>
        <v/>
      </c>
      <c r="J100" s="35"/>
      <c r="K100" s="36"/>
      <c r="L100" s="35"/>
      <c r="M100" s="36"/>
      <c r="N100" s="35"/>
      <c r="O100" s="36"/>
      <c r="P100" s="42">
        <f>+SUM(J100:K100)/'3.Plan de Estudios'!$G$4+SUM(L100:M100)/'3.Plan de Estudios'!$M$4+SUM(N100:O100)/'3.Plan de Estudios'!$M$4</f>
        <v>0</v>
      </c>
      <c r="Q100" s="75" t="str">
        <f t="shared" si="2"/>
        <v/>
      </c>
      <c r="R100" s="34"/>
      <c r="S100" s="34"/>
      <c r="T100" s="34"/>
      <c r="U100" s="34"/>
      <c r="V100" s="34"/>
      <c r="W100" s="32"/>
      <c r="Y100" s="197"/>
      <c r="Z100" s="197"/>
      <c r="AA100" s="197"/>
      <c r="AB100" s="197"/>
      <c r="AC100" s="197"/>
    </row>
    <row r="101" spans="2:29" ht="24" customHeight="1">
      <c r="B101" s="43">
        <v>14</v>
      </c>
      <c r="C101" s="32"/>
      <c r="D101" s="32"/>
      <c r="E101" s="34"/>
      <c r="F101" s="199"/>
      <c r="G101" s="33"/>
      <c r="H101" s="287"/>
      <c r="I101" s="276" t="str">
        <f t="shared" si="5"/>
        <v/>
      </c>
      <c r="J101" s="35"/>
      <c r="K101" s="36"/>
      <c r="L101" s="35"/>
      <c r="M101" s="36"/>
      <c r="N101" s="35"/>
      <c r="O101" s="36"/>
      <c r="P101" s="42">
        <f>+SUM(J101:K101)/'3.Plan de Estudios'!$G$4+SUM(L101:M101)/'3.Plan de Estudios'!$M$4+SUM(N101:O101)/'3.Plan de Estudios'!$M$4</f>
        <v>0</v>
      </c>
      <c r="Q101" s="75" t="str">
        <f t="shared" si="2"/>
        <v/>
      </c>
      <c r="R101" s="34"/>
      <c r="S101" s="34"/>
      <c r="T101" s="34"/>
      <c r="U101" s="34"/>
      <c r="V101" s="34"/>
      <c r="W101" s="32"/>
      <c r="Y101" s="197"/>
      <c r="Z101" s="197"/>
      <c r="AA101" s="197"/>
      <c r="AB101" s="197"/>
      <c r="AC101" s="197"/>
    </row>
    <row r="102" spans="2:29" ht="24" customHeight="1">
      <c r="B102" s="43">
        <v>14</v>
      </c>
      <c r="C102" s="32"/>
      <c r="D102" s="32"/>
      <c r="E102" s="34"/>
      <c r="F102" s="199"/>
      <c r="G102" s="33"/>
      <c r="H102" s="287"/>
      <c r="I102" s="276" t="str">
        <f t="shared" si="5"/>
        <v/>
      </c>
      <c r="J102" s="35"/>
      <c r="K102" s="36"/>
      <c r="L102" s="35"/>
      <c r="M102" s="36"/>
      <c r="N102" s="35"/>
      <c r="O102" s="36"/>
      <c r="P102" s="42">
        <f>+SUM(J102:K102)/'3.Plan de Estudios'!$G$4+SUM(L102:M102)/'3.Plan de Estudios'!$M$4+SUM(N102:O102)/'3.Plan de Estudios'!$M$4</f>
        <v>0</v>
      </c>
      <c r="Q102" s="75" t="str">
        <f t="shared" si="2"/>
        <v/>
      </c>
      <c r="R102" s="34"/>
      <c r="S102" s="34"/>
      <c r="T102" s="34"/>
      <c r="U102" s="34"/>
      <c r="V102" s="34"/>
      <c r="W102" s="32"/>
      <c r="Y102" s="197"/>
      <c r="Z102" s="197"/>
      <c r="AA102" s="197"/>
      <c r="AB102" s="197"/>
      <c r="AC102" s="197"/>
    </row>
    <row r="103" spans="2:29" ht="24" customHeight="1">
      <c r="B103" s="43">
        <v>14</v>
      </c>
      <c r="C103" s="41"/>
      <c r="D103" s="41"/>
      <c r="E103" s="38"/>
      <c r="F103" s="199"/>
      <c r="G103" s="33"/>
      <c r="H103" s="287"/>
      <c r="I103" s="276" t="str">
        <f t="shared" si="5"/>
        <v/>
      </c>
      <c r="J103" s="39"/>
      <c r="K103" s="40"/>
      <c r="L103" s="39"/>
      <c r="M103" s="40"/>
      <c r="N103" s="39"/>
      <c r="O103" s="40"/>
      <c r="P103" s="42">
        <f>+SUM(J103:K103)/'3.Plan de Estudios'!$G$4+SUM(L103:M103)/'3.Plan de Estudios'!$M$4+SUM(N103:O103)/'3.Plan de Estudios'!$M$4</f>
        <v>0</v>
      </c>
      <c r="Q103" s="76" t="str">
        <f t="shared" si="2"/>
        <v/>
      </c>
      <c r="R103" s="38"/>
      <c r="S103" s="38"/>
      <c r="T103" s="38"/>
      <c r="U103" s="38"/>
      <c r="V103" s="34"/>
      <c r="W103" s="32"/>
      <c r="Y103" s="197"/>
      <c r="Z103" s="197"/>
      <c r="AA103" s="197"/>
      <c r="AB103" s="197"/>
      <c r="AC103" s="197"/>
    </row>
    <row r="104" spans="2:29" ht="24" customHeight="1">
      <c r="B104" s="43">
        <v>14</v>
      </c>
      <c r="C104" s="41"/>
      <c r="D104" s="41"/>
      <c r="E104" s="38"/>
      <c r="F104" s="199"/>
      <c r="G104" s="37"/>
      <c r="H104" s="287"/>
      <c r="I104" s="276" t="str">
        <f t="shared" si="5"/>
        <v/>
      </c>
      <c r="J104" s="39"/>
      <c r="K104" s="40"/>
      <c r="L104" s="39"/>
      <c r="M104" s="40"/>
      <c r="N104" s="39"/>
      <c r="O104" s="40"/>
      <c r="P104" s="42">
        <f>+SUM(J104:K104)/'3.Plan de Estudios'!$G$4+SUM(L104:M104)/'3.Plan de Estudios'!$M$4+SUM(N104:O104)/'3.Plan de Estudios'!$M$4</f>
        <v>0</v>
      </c>
      <c r="Q104" s="76" t="str">
        <f t="shared" si="2"/>
        <v/>
      </c>
      <c r="R104" s="38"/>
      <c r="S104" s="38"/>
      <c r="T104" s="38"/>
      <c r="U104" s="38"/>
      <c r="V104" s="38"/>
      <c r="W104" s="41"/>
      <c r="Y104" s="197"/>
      <c r="Z104" s="197"/>
      <c r="AA104" s="197"/>
      <c r="AB104" s="197"/>
      <c r="AC104" s="197"/>
    </row>
    <row r="105" spans="2:29" ht="24" customHeight="1">
      <c r="B105" s="43">
        <v>14</v>
      </c>
      <c r="C105" s="41"/>
      <c r="D105" s="41"/>
      <c r="E105" s="38"/>
      <c r="F105" s="199"/>
      <c r="G105" s="37"/>
      <c r="H105" s="287"/>
      <c r="I105" s="276" t="str">
        <f t="shared" ref="I105:I108" si="6">IFERROR(IF(E105="","",IF((J105+L105+N105)/SUM(J105:O105)&lt;=0.2,"A distancia",IF((J105+L105+N105)/SUM(J105:O105)&lt;=0.7,"Semipresencial","Presencial"))),"")</f>
        <v/>
      </c>
      <c r="J105" s="39"/>
      <c r="K105" s="40"/>
      <c r="L105" s="39"/>
      <c r="M105" s="40"/>
      <c r="N105" s="39"/>
      <c r="O105" s="40"/>
      <c r="P105" s="42">
        <f>+SUM(J105:K105)/'3.Plan de Estudios'!$G$4+SUM(L105:M105)/'3.Plan de Estudios'!$M$4+SUM(N105:O105)/'3.Plan de Estudios'!$M$4</f>
        <v>0</v>
      </c>
      <c r="Q105" s="76" t="str">
        <f t="shared" si="2"/>
        <v/>
      </c>
      <c r="R105" s="38"/>
      <c r="S105" s="38"/>
      <c r="T105" s="38"/>
      <c r="U105" s="38"/>
      <c r="V105" s="38"/>
      <c r="W105" s="41"/>
      <c r="Y105" s="197"/>
      <c r="Z105" s="197"/>
      <c r="AA105" s="197"/>
      <c r="AB105" s="197"/>
      <c r="AC105" s="197"/>
    </row>
    <row r="106" spans="2:29" ht="24" customHeight="1">
      <c r="B106" s="43">
        <v>14</v>
      </c>
      <c r="C106" s="41"/>
      <c r="D106" s="41"/>
      <c r="E106" s="38"/>
      <c r="F106" s="199"/>
      <c r="G106" s="37"/>
      <c r="H106" s="287"/>
      <c r="I106" s="276" t="str">
        <f t="shared" si="6"/>
        <v/>
      </c>
      <c r="J106" s="39"/>
      <c r="K106" s="40"/>
      <c r="L106" s="39"/>
      <c r="M106" s="40"/>
      <c r="N106" s="39"/>
      <c r="O106" s="40"/>
      <c r="P106" s="42">
        <f>+SUM(J106:K106)/'3.Plan de Estudios'!$G$4+SUM(L106:M106)/'3.Plan de Estudios'!$M$4+SUM(N106:O106)/'3.Plan de Estudios'!$M$4</f>
        <v>0</v>
      </c>
      <c r="Q106" s="76" t="str">
        <f t="shared" si="2"/>
        <v/>
      </c>
      <c r="R106" s="38"/>
      <c r="S106" s="38"/>
      <c r="T106" s="38"/>
      <c r="U106" s="38"/>
      <c r="V106" s="38"/>
      <c r="W106" s="41"/>
      <c r="Y106" s="197"/>
      <c r="Z106" s="197"/>
      <c r="AA106" s="197"/>
      <c r="AB106" s="197"/>
      <c r="AC106" s="197"/>
    </row>
    <row r="107" spans="2:29" ht="24.75" customHeight="1">
      <c r="B107" s="43">
        <v>14</v>
      </c>
      <c r="C107" s="41"/>
      <c r="D107" s="41"/>
      <c r="E107" s="38"/>
      <c r="F107" s="199"/>
      <c r="G107" s="37"/>
      <c r="H107" s="287"/>
      <c r="I107" s="276" t="str">
        <f t="shared" si="6"/>
        <v/>
      </c>
      <c r="J107" s="39"/>
      <c r="K107" s="40"/>
      <c r="L107" s="39"/>
      <c r="M107" s="40"/>
      <c r="N107" s="39"/>
      <c r="O107" s="40"/>
      <c r="P107" s="42">
        <f>+SUM(J107:K107)/'3.Plan de Estudios'!$G$4+SUM(L107:M107)/'3.Plan de Estudios'!$M$4+SUM(N107:O107)/'3.Plan de Estudios'!$M$4</f>
        <v>0</v>
      </c>
      <c r="Q107" s="76" t="str">
        <f t="shared" si="2"/>
        <v/>
      </c>
      <c r="R107" s="38"/>
      <c r="S107" s="38"/>
      <c r="T107" s="38"/>
      <c r="U107" s="38"/>
      <c r="V107" s="38"/>
      <c r="W107" s="41"/>
      <c r="Y107" s="197"/>
      <c r="Z107" s="197"/>
      <c r="AA107" s="197"/>
      <c r="AB107" s="197"/>
      <c r="AC107" s="197"/>
    </row>
    <row r="108" spans="2:29" ht="24" customHeight="1">
      <c r="B108" s="49">
        <v>14</v>
      </c>
      <c r="C108" s="49"/>
      <c r="D108" s="49"/>
      <c r="E108" s="51"/>
      <c r="F108" s="382"/>
      <c r="G108" s="50"/>
      <c r="H108" s="381"/>
      <c r="I108" s="278" t="str">
        <f t="shared" si="6"/>
        <v/>
      </c>
      <c r="J108" s="52"/>
      <c r="K108" s="53"/>
      <c r="L108" s="52"/>
      <c r="M108" s="53"/>
      <c r="N108" s="52"/>
      <c r="O108" s="53"/>
      <c r="P108" s="54">
        <f>+SUM(J108:K108)/'3.Plan de Estudios'!$G$4+SUM(L108:M108)/'3.Plan de Estudios'!$M$4+SUM(N108:O108)/'3.Plan de Estudios'!$M$4</f>
        <v>0</v>
      </c>
      <c r="Q108" s="80" t="str">
        <f t="shared" si="2"/>
        <v/>
      </c>
      <c r="R108" s="51"/>
      <c r="S108" s="51"/>
      <c r="T108" s="51"/>
      <c r="U108" s="51"/>
      <c r="V108" s="51"/>
      <c r="W108" s="49"/>
      <c r="Y108" s="197"/>
      <c r="Z108" s="197"/>
      <c r="AA108" s="197"/>
      <c r="AB108" s="197" t="s">
        <v>244</v>
      </c>
      <c r="AC108" s="197" t="s">
        <v>244</v>
      </c>
    </row>
    <row r="109" spans="2:29">
      <c r="B109" s="806"/>
      <c r="C109" s="806"/>
      <c r="D109" s="806"/>
      <c r="E109" s="806"/>
      <c r="F109" s="806"/>
      <c r="G109" s="806"/>
      <c r="H109" s="806"/>
      <c r="I109" s="806"/>
      <c r="J109" s="806"/>
      <c r="K109" s="806"/>
      <c r="L109" s="806"/>
      <c r="M109" s="806"/>
      <c r="N109" s="806"/>
      <c r="O109" s="806"/>
      <c r="P109" s="806"/>
      <c r="Q109" s="806"/>
      <c r="R109" s="806"/>
      <c r="S109" s="806"/>
      <c r="T109" s="806"/>
      <c r="U109" s="806"/>
      <c r="V109" s="806"/>
      <c r="W109" s="806"/>
    </row>
  </sheetData>
  <sheetProtection formatRows="0" selectLockedCells="1" sort="0" autoFilter="0" pivotTables="0"/>
  <mergeCells count="7">
    <mergeCell ref="E2:W2"/>
    <mergeCell ref="B109:W109"/>
    <mergeCell ref="R5:U5"/>
    <mergeCell ref="Y4:AC4"/>
    <mergeCell ref="J4:K4"/>
    <mergeCell ref="L4:M4"/>
    <mergeCell ref="N4:O4"/>
  </mergeCells>
  <phoneticPr fontId="24" type="noConversion"/>
  <conditionalFormatting sqref="Y6:AC108">
    <cfRule type="expression" dxfId="722" priority="1">
      <formula>Y6=""</formula>
    </cfRule>
  </conditionalFormatting>
  <pageMargins left="0.23622047244094491" right="0.23622047244094491" top="0.74803149606299213" bottom="0.74803149606299213" header="0.31496062992125984" footer="0.31496062992125984"/>
  <pageSetup paperSize="9" scale="40" fitToHeight="0" orientation="landscape" r:id="rId1"/>
  <rowBreaks count="1" manualBreakCount="1">
    <brk id="109" max="16383" man="1"/>
  </rowBreaks>
  <ignoredErrors>
    <ignoredError sqref="I6:I8" formulaRange="1"/>
  </ignoredErrors>
  <drawing r:id="rId2"/>
  <extLst>
    <ext xmlns:x14="http://schemas.microsoft.com/office/spreadsheetml/2009/9/main" uri="{78C0D931-6437-407d-A8EE-F0AAD7539E65}">
      <x14:conditionalFormattings>
        <x14:conditionalFormatting xmlns:xm="http://schemas.microsoft.com/office/excel/2006/main">
          <x14:cfRule type="expression" priority="3" id="{69D3B8FF-610F-4766-BB32-815385709546}">
            <xm:f>Y6='5.Mapeo'!$E$43</xm:f>
            <x14:dxf>
              <fill>
                <patternFill>
                  <bgColor theme="8" tint="-0.24994659260841701"/>
                </patternFill>
              </fill>
            </x14:dxf>
          </x14:cfRule>
          <x14:cfRule type="expression" priority="4" id="{B02D2962-AF04-42C5-92A2-3E81774441E4}">
            <xm:f>Y6='5.Mapeo'!$E$42</xm:f>
            <x14:dxf>
              <font>
                <color auto="1"/>
              </font>
              <fill>
                <patternFill>
                  <bgColor rgb="FF12AEAE"/>
                </patternFill>
              </fill>
            </x14:dxf>
          </x14:cfRule>
          <x14:cfRule type="expression" priority="5" id="{07324D58-0A81-4DFF-92BF-DA0C38DFAF8D}">
            <xm:f>Y6='5.Mapeo'!$E$41</xm:f>
            <x14:dxf>
              <font>
                <color theme="1"/>
              </font>
              <fill>
                <patternFill>
                  <bgColor rgb="FFABEAF3"/>
                </patternFill>
              </fill>
            </x14:dxf>
          </x14:cfRule>
          <x14:cfRule type="expression" priority="6" id="{FE27C73A-0AAC-41B1-B045-8E618C179A41}">
            <xm:f>Y6='5.Mapeo'!$E$40</xm:f>
            <x14:dxf>
              <font>
                <color theme="1"/>
              </font>
              <fill>
                <patternFill>
                  <bgColor rgb="FF00B050"/>
                </patternFill>
              </fill>
            </x14:dxf>
          </x14:cfRule>
          <x14:cfRule type="expression" priority="7" id="{BC7314A8-9225-4AC2-8708-EEEA3EF39360}">
            <xm:f>Y6='5.Mapeo'!$E$39</xm:f>
            <x14:dxf>
              <font>
                <color theme="1"/>
              </font>
              <fill>
                <patternFill>
                  <bgColor rgb="FF00FE73"/>
                </patternFill>
              </fill>
            </x14:dxf>
          </x14:cfRule>
          <x14:cfRule type="expression" priority="8" id="{D2D966FF-3EE5-4C70-9624-1479A7C56E89}">
            <xm:f>Y6='5.Mapeo'!$E$38</xm:f>
            <x14:dxf>
              <font>
                <color theme="1"/>
              </font>
              <fill>
                <patternFill>
                  <bgColor rgb="FF57FFA3"/>
                </patternFill>
              </fill>
            </x14:dxf>
          </x14:cfRule>
          <x14:cfRule type="expression" priority="9" id="{573B5475-5480-4C9A-9331-765FF0127F42}">
            <xm:f>Y6='5.Mapeo'!$E$37</xm:f>
            <x14:dxf>
              <font>
                <color theme="0"/>
              </font>
              <fill>
                <patternFill>
                  <bgColor rgb="FFFF0000"/>
                </patternFill>
              </fill>
            </x14:dxf>
          </x14:cfRule>
          <x14:cfRule type="expression" priority="10" id="{9FF82217-D28A-42D2-9B9B-247F3925846D}">
            <xm:f>Y6='5.Mapeo'!$E$36</xm:f>
            <x14:dxf>
              <font>
                <color theme="0"/>
              </font>
              <fill>
                <patternFill>
                  <bgColor rgb="FFFF4343"/>
                </patternFill>
              </fill>
            </x14:dxf>
          </x14:cfRule>
          <x14:cfRule type="expression" priority="11" id="{7476AFEC-917F-4C29-B66B-DF5C6FDBEC4B}">
            <xm:f>Y6='5.Mapeo'!$E$35</xm:f>
            <x14:dxf>
              <font>
                <color theme="0"/>
              </font>
              <fill>
                <patternFill>
                  <bgColor rgb="FFFF8181"/>
                </patternFill>
              </fill>
            </x14:dxf>
          </x14:cfRule>
          <x14:cfRule type="expression" priority="12" id="{F1ADA51B-3FBA-4977-8FB4-398C23F67178}">
            <xm:f>Y6='5.Mapeo'!$E$34</xm:f>
            <x14:dxf>
              <fill>
                <patternFill>
                  <bgColor rgb="FFFFFF00"/>
                </patternFill>
              </fill>
            </x14:dxf>
          </x14:cfRule>
          <x14:cfRule type="expression" priority="13" id="{F051DD69-19E6-4D01-B024-9781DD8C5FE1}">
            <xm:f>Y6='5.Mapeo'!$E$33</xm:f>
            <x14:dxf>
              <fill>
                <patternFill>
                  <bgColor rgb="FFFFFF5B"/>
                </patternFill>
              </fill>
            </x14:dxf>
          </x14:cfRule>
          <x14:cfRule type="expression" priority="14" id="{3B7D87DC-7698-497E-85C9-6AEBFA5BEEE3}">
            <xm:f>Y6='5.Mapeo'!$E$32</xm:f>
            <x14:dxf>
              <font>
                <color auto="1"/>
              </font>
              <fill>
                <patternFill>
                  <bgColor rgb="FFFFFF97"/>
                </patternFill>
              </fill>
            </x14:dxf>
          </x14:cfRule>
          <x14:cfRule type="expression" priority="15" id="{0E9707CD-3AA1-42CE-8B59-B764566A1025}">
            <xm:f>Y6='5.Mapeo'!$E$31</xm:f>
            <x14:dxf>
              <font>
                <color theme="0"/>
              </font>
              <fill>
                <patternFill>
                  <bgColor rgb="FF7030A0"/>
                </patternFill>
              </fill>
            </x14:dxf>
          </x14:cfRule>
          <x14:cfRule type="expression" priority="16" id="{8284C7EF-5045-4D18-A5F9-60FEB9230D47}">
            <xm:f>Y6='5.Mapeo'!$E$30</xm:f>
            <x14:dxf>
              <font>
                <color theme="0"/>
              </font>
              <fill>
                <patternFill>
                  <bgColor rgb="FF934BC9"/>
                </patternFill>
              </fill>
            </x14:dxf>
          </x14:cfRule>
          <x14:cfRule type="expression" priority="17" id="{1A57FCB0-5F5E-4AEB-BD92-F4891729BDC0}">
            <xm:f>Y6='5.Mapeo'!$E$29</xm:f>
            <x14:dxf>
              <font>
                <color theme="0"/>
              </font>
              <fill>
                <patternFill>
                  <bgColor rgb="FFC39BE1"/>
                </patternFill>
              </fill>
            </x14:dxf>
          </x14:cfRule>
          <x14:cfRule type="expression" priority="18" id="{8DEF4559-3E61-4441-B332-28463DBE95E4}">
            <xm:f>Y6='5.Mapeo'!$E$28</xm:f>
            <x14:dxf>
              <font>
                <color theme="0"/>
              </font>
              <fill>
                <patternFill>
                  <bgColor theme="1" tint="4.9989318521683403E-2"/>
                </patternFill>
              </fill>
            </x14:dxf>
          </x14:cfRule>
          <x14:cfRule type="expression" priority="19" id="{81AAB03B-DE92-4485-A741-8B6473E26FAD}">
            <xm:f>Y6='5.Mapeo'!$E$27</xm:f>
            <x14:dxf>
              <font>
                <color theme="0"/>
              </font>
              <fill>
                <patternFill>
                  <bgColor rgb="FF343434"/>
                </patternFill>
              </fill>
            </x14:dxf>
          </x14:cfRule>
          <x14:cfRule type="expression" priority="20" id="{EDD3C48F-0E37-4E86-94CA-97A69FC2A75A}">
            <xm:f>Y6='5.Mapeo'!$E$26</xm:f>
            <x14:dxf>
              <font>
                <color theme="0"/>
              </font>
              <fill>
                <patternFill>
                  <bgColor rgb="FF565656"/>
                </patternFill>
              </fill>
            </x14:dxf>
          </x14:cfRule>
          <x14:cfRule type="expression" priority="21" id="{0DB7ABF1-C864-461E-BC73-856EBC1A9E26}">
            <xm:f>Y6='5.Mapeo'!$E$25</xm:f>
            <x14:dxf>
              <font>
                <color theme="0"/>
              </font>
              <fill>
                <patternFill>
                  <bgColor theme="3" tint="-0.499984740745262"/>
                </patternFill>
              </fill>
            </x14:dxf>
          </x14:cfRule>
          <x14:cfRule type="expression" priority="22" id="{4D5E4351-549C-4B14-AD8D-1F8D9CED8066}">
            <xm:f>Y6='5.Mapeo'!$E$24</xm:f>
            <x14:dxf>
              <font>
                <color theme="0"/>
              </font>
              <fill>
                <patternFill>
                  <bgColor rgb="FF46596E"/>
                </patternFill>
              </fill>
            </x14:dxf>
          </x14:cfRule>
          <x14:cfRule type="expression" priority="23" id="{B11A1CAD-7AF9-430F-A600-2E6338EF873D}">
            <xm:f>Y6='5.Mapeo'!$E$23</xm:f>
            <x14:dxf>
              <font>
                <color theme="0"/>
              </font>
              <fill>
                <patternFill>
                  <bgColor rgb="FF5E7894"/>
                </patternFill>
              </fill>
            </x14:dxf>
          </x14:cfRule>
          <x14:cfRule type="expression" priority="24" id="{8E35E826-6701-4B5F-B285-9B663C72446B}">
            <xm:f>Y6='5.Mapeo'!$E$22</xm:f>
            <x14:dxf>
              <font>
                <color theme="0"/>
              </font>
              <fill>
                <patternFill>
                  <bgColor theme="5" tint="-0.499984740745262"/>
                </patternFill>
              </fill>
            </x14:dxf>
          </x14:cfRule>
          <x14:cfRule type="expression" priority="25" id="{FF90E1B8-2F51-48CB-9D2C-12ADDAFC7B52}">
            <xm:f>Y6='5.Mapeo'!$E$21</xm:f>
            <x14:dxf>
              <font>
                <color theme="0"/>
              </font>
              <fill>
                <patternFill>
                  <bgColor rgb="FFBB5611"/>
                </patternFill>
              </fill>
            </x14:dxf>
          </x14:cfRule>
          <x14:cfRule type="expression" priority="26" id="{BEAB32EA-3799-497F-BDB7-636A105A11C5}">
            <xm:f>Y6='5.Mapeo'!$E$20</xm:f>
            <x14:dxf>
              <font>
                <color theme="0"/>
              </font>
              <fill>
                <patternFill>
                  <bgColor rgb="FFED8741"/>
                </patternFill>
              </fill>
            </x14:dxf>
          </x14:cfRule>
          <x14:cfRule type="expression" priority="27" id="{1ADFB668-A535-4D1E-8A67-40E7FFA88D4A}">
            <xm:f>Y6='5.Mapeo'!$E$19</xm:f>
            <x14:dxf>
              <font>
                <color theme="0"/>
              </font>
              <fill>
                <patternFill>
                  <bgColor theme="6" tint="-0.499984740745262"/>
                </patternFill>
              </fill>
            </x14:dxf>
          </x14:cfRule>
          <x14:cfRule type="expression" priority="28" id="{7487C6F7-A130-4B2C-9F6B-B344161E1CA9}">
            <xm:f>Y6='5.Mapeo'!$E$18</xm:f>
            <x14:dxf>
              <font>
                <color theme="0"/>
              </font>
              <fill>
                <patternFill>
                  <bgColor rgb="FF7D7D7D"/>
                </patternFill>
              </fill>
            </x14:dxf>
          </x14:cfRule>
          <x14:cfRule type="expression" priority="29" id="{9D5835A2-94F0-460B-9883-51090DCC6871}">
            <xm:f>Y6='5.Mapeo'!$E$17</xm:f>
            <x14:dxf>
              <font>
                <color theme="0"/>
              </font>
              <fill>
                <patternFill>
                  <bgColor rgb="FFA7A7A7"/>
                </patternFill>
              </fill>
            </x14:dxf>
          </x14:cfRule>
          <x14:cfRule type="expression" priority="30" id="{1BA1D002-8660-483B-81CD-6A16CAFAA208}">
            <xm:f>Y6='5.Mapeo'!$E$16</xm:f>
            <x14:dxf>
              <font>
                <color theme="0"/>
              </font>
              <fill>
                <patternFill>
                  <bgColor theme="7" tint="-0.499984740745262"/>
                </patternFill>
              </fill>
            </x14:dxf>
          </x14:cfRule>
          <x14:cfRule type="expression" priority="31" id="{4E4F942F-AF36-4BE7-B0FC-D377D9D3B630}">
            <xm:f>Y6='5.Mapeo'!$E$15</xm:f>
            <x14:dxf>
              <font>
                <color theme="0"/>
              </font>
              <fill>
                <patternFill>
                  <bgColor rgb="FFD09A00"/>
                </patternFill>
              </fill>
            </x14:dxf>
          </x14:cfRule>
          <x14:cfRule type="expression" priority="32" id="{0FD3B65F-6FA9-4BF2-B19D-649AD9E03418}">
            <xm:f>Y6='5.Mapeo'!$E$14</xm:f>
            <x14:dxf>
              <font>
                <color theme="0"/>
              </font>
              <fill>
                <patternFill>
                  <bgColor rgb="FFFFCD3F"/>
                </patternFill>
              </fill>
            </x14:dxf>
          </x14:cfRule>
          <x14:cfRule type="expression" priority="33" id="{6103DCF6-8BED-4AB8-9C70-EAF826427E95}">
            <xm:f>Y6='5.Mapeo'!$E$13</xm:f>
            <x14:dxf>
              <font>
                <color theme="0"/>
              </font>
              <fill>
                <patternFill>
                  <bgColor theme="8" tint="-0.499984740745262"/>
                </patternFill>
              </fill>
            </x14:dxf>
          </x14:cfRule>
          <x14:cfRule type="expression" priority="34" id="{E7789FE6-5FA2-46B1-9078-2A8765F48E6B}">
            <xm:f>Y6='5.Mapeo'!$E$12</xm:f>
            <x14:dxf>
              <font>
                <color theme="0"/>
              </font>
              <fill>
                <patternFill>
                  <bgColor rgb="FF2C6EAA"/>
                </patternFill>
              </fill>
            </x14:dxf>
          </x14:cfRule>
          <x14:cfRule type="expression" priority="35" id="{11BD9F22-5558-4D50-BA27-1C5982D38563}">
            <xm:f>Y6='5.Mapeo'!$E$11</xm:f>
            <x14:dxf>
              <font>
                <color theme="0"/>
              </font>
              <fill>
                <patternFill>
                  <bgColor rgb="FF0070C4"/>
                </patternFill>
              </fill>
            </x14:dxf>
          </x14:cfRule>
          <x14:cfRule type="expression" priority="36" id="{C248B83C-67F0-4D13-94E8-E511CD4A150B}">
            <xm:f>Y6='5.Mapeo'!$E$10</xm:f>
            <x14:dxf>
              <font>
                <color theme="0"/>
              </font>
              <fill>
                <patternFill>
                  <bgColor theme="9" tint="-0.499984740745262"/>
                </patternFill>
              </fill>
            </x14:dxf>
          </x14:cfRule>
          <x14:cfRule type="expression" priority="37" id="{A5CD48E5-4B2D-48D5-B839-32DD56172B16}">
            <xm:f>Y6='5.Mapeo'!$E$9</xm:f>
            <x14:dxf>
              <font>
                <color theme="0"/>
              </font>
              <fill>
                <patternFill>
                  <bgColor rgb="FF5E943C"/>
                </patternFill>
              </fill>
            </x14:dxf>
          </x14:cfRule>
          <x14:cfRule type="expression" priority="38" id="{3A0554BF-4086-41F2-AF0F-DE755BC4BEFF}">
            <xm:f>Y6='5.Mapeo'!$E$8</xm:f>
            <x14:dxf>
              <font>
                <color theme="0"/>
              </font>
              <fill>
                <patternFill>
                  <bgColor rgb="FF8CC26A"/>
                </patternFill>
              </fill>
            </x14:dxf>
          </x14:cfRule>
          <x14:cfRule type="expression" priority="39" id="{AD8C673B-9E0C-4B29-A1D1-9C8E530AEF90}">
            <xm:f>Y6='5.Mapeo'!#REF!</xm:f>
            <x14:dxf>
              <fill>
                <patternFill>
                  <bgColor rgb="FF00FF00"/>
                </patternFill>
              </fill>
            </x14:dxf>
          </x14:cfRule>
          <x14:cfRule type="expression" priority="40" id="{CA0318E4-F1BE-4789-A310-BC318617C137}">
            <xm:f>Y6='5.Mapeo'!#REF!</xm:f>
            <x14:dxf>
              <fill>
                <patternFill>
                  <bgColor rgb="FF66FF66"/>
                </patternFill>
              </fill>
            </x14:dxf>
          </x14:cfRule>
          <x14:cfRule type="expression" priority="41" id="{600950D3-5374-4A6A-9A9E-48EBBA7D5D13}">
            <xm:f>Y6='5.Mapeo'!#REF!</xm:f>
            <x14:dxf>
              <fill>
                <patternFill>
                  <bgColor rgb="FF99FF66"/>
                </patternFill>
              </fill>
            </x14:dxf>
          </x14:cfRule>
          <xm:sqref>Y6:AC108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3660B836-2C8E-46C7-92B9-6790A19098AF}">
          <x14:formula1>
            <xm:f>DATOS!$C$3:$C$5</xm:f>
          </x14:formula1>
          <xm:sqref>G6:G30 G35:G40 G45:G50 G55:G60 G65:G108</xm:sqref>
        </x14:dataValidation>
        <x14:dataValidation type="list" allowBlank="1" showInputMessage="1" showErrorMessage="1" xr:uid="{D779E804-9680-4093-AD9B-829B8B08B458}">
          <x14:formula1>
            <xm:f>DATOS!$A$8:$A$21</xm:f>
          </x14:formula1>
          <xm:sqref>B9:B108</xm:sqref>
        </x14:dataValidation>
        <x14:dataValidation type="list" allowBlank="1" showInputMessage="1" showErrorMessage="1" xr:uid="{8247ABB5-34C1-4AC3-A058-B000EBAE21A9}">
          <x14:formula1>
            <xm:f>'5.Mapeo'!$E$8:$E$43</xm:f>
          </x14:formula1>
          <xm:sqref>Y6:AC108</xm:sqref>
        </x14:dataValidation>
        <x14:dataValidation type="list" allowBlank="1" showInputMessage="1" showErrorMessage="1" xr:uid="{3843A65A-B881-48EE-BF27-B68C260D075F}">
          <x14:formula1>
            <xm:f>DATOS!$G$3:$G$51</xm:f>
          </x14:formula1>
          <xm:sqref>F6:F30 F35:F40 F45:F50 F55:F60 F65:F108</xm:sqref>
        </x14:dataValidation>
        <x14:dataValidation type="list" allowBlank="1" showInputMessage="1" showErrorMessage="1" xr:uid="{815BC9CC-FA00-4879-9F31-B7515C818F3E}">
          <x14:formula1>
            <xm:f>DATOS!$C$8:$C$9</xm:f>
          </x14:formula1>
          <xm:sqref>H6:H30 H35:H40 H45:H50 H55:H60 H65:H108</xm:sqref>
        </x14:dataValidation>
        <x14:dataValidation type="list" allowBlank="1" showInputMessage="1" showErrorMessage="1" xr:uid="{F7F52F8C-F9C7-4E25-B441-ED9270DE2559}">
          <x14:formula1>
            <xm:f>DATOS!$C$14:$C$21</xm:f>
          </x14:formula1>
          <xm:sqref>W9:W30 W35:W40 W45:W50 W55:W60 W65:W108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9">
    <pageSetUpPr fitToPage="1"/>
  </sheetPr>
  <dimension ref="A1:FL46"/>
  <sheetViews>
    <sheetView showGridLines="0" zoomScale="91" zoomScaleNormal="91" zoomScaleSheetLayoutView="91" workbookViewId="0">
      <selection activeCell="A35" sqref="A35"/>
    </sheetView>
  </sheetViews>
  <sheetFormatPr defaultColWidth="11.5703125" defaultRowHeight="15.75"/>
  <cols>
    <col min="1" max="1" width="2.28515625" style="8" customWidth="1"/>
    <col min="2" max="2" width="28.7109375" style="8" customWidth="1"/>
    <col min="3" max="3" width="5.28515625" style="8" customWidth="1"/>
    <col min="4" max="4" width="39.42578125" style="179" customWidth="1"/>
    <col min="5" max="5" width="33.5703125" style="179" hidden="1" customWidth="1"/>
    <col min="6" max="10" width="3.7109375" style="179" customWidth="1"/>
    <col min="11" max="14" width="3.7109375" style="179" hidden="1" customWidth="1"/>
    <col min="15" max="15" width="3.5703125" style="179" customWidth="1"/>
    <col min="16" max="21" width="3.7109375" style="179" customWidth="1"/>
    <col min="22" max="24" width="3.7109375" style="179" hidden="1" customWidth="1"/>
    <col min="25" max="31" width="3.7109375" style="179" customWidth="1"/>
    <col min="32" max="34" width="3.7109375" style="179" hidden="1" customWidth="1"/>
    <col min="35" max="40" width="3.7109375" style="179" customWidth="1"/>
    <col min="41" max="44" width="3.7109375" style="179" hidden="1" customWidth="1"/>
    <col min="45" max="51" width="3.7109375" style="179" customWidth="1"/>
    <col min="52" max="54" width="3.7109375" style="179" hidden="1" customWidth="1"/>
    <col min="55" max="61" width="3.7109375" style="179" customWidth="1"/>
    <col min="62" max="64" width="3.7109375" style="179" hidden="1" customWidth="1"/>
    <col min="65" max="70" width="3.7109375" style="179" customWidth="1"/>
    <col min="71" max="74" width="3.7109375" style="179" hidden="1" customWidth="1"/>
    <col min="75" max="80" width="3.7109375" style="179" customWidth="1"/>
    <col min="81" max="84" width="3.7109375" style="179" hidden="1" customWidth="1"/>
    <col min="85" max="91" width="3.7109375" style="179" customWidth="1"/>
    <col min="92" max="94" width="3.7109375" style="179" hidden="1" customWidth="1"/>
    <col min="95" max="100" width="3.7109375" style="179" customWidth="1"/>
    <col min="101" max="104" width="3.7109375" style="179" hidden="1" customWidth="1"/>
    <col min="105" max="105" width="3.7109375" style="179" customWidth="1"/>
    <col min="106" max="145" width="3.7109375" style="179" hidden="1" customWidth="1"/>
    <col min="146" max="146" width="3.7109375" style="179" customWidth="1"/>
    <col min="147" max="147" width="3.7109375" style="180" customWidth="1"/>
    <col min="148" max="148" width="4.42578125" style="8" customWidth="1"/>
    <col min="149" max="160" width="11.5703125" style="8" customWidth="1"/>
    <col min="161" max="16384" width="11.5703125" style="8"/>
  </cols>
  <sheetData>
    <row r="1" spans="1:168" ht="5.25" customHeight="1">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144"/>
    </row>
    <row r="2" spans="1:168" s="2" customFormat="1" ht="18.75" customHeight="1">
      <c r="B2" s="617" t="str">
        <f>CONCATENATE("18. MAPEO DE COMPETENCIAS DEL PROGRAMA: ",'1.Fundamentos'!F6)</f>
        <v>18. MAPEO DE COMPETENCIAS DEL PROGRAMA: EDUCACIÓN SECUNDARIA CON ESPECIALIDAD EN INGLÉS</v>
      </c>
      <c r="C2" s="617"/>
      <c r="D2" s="617"/>
      <c r="E2" s="617"/>
      <c r="F2" s="617"/>
      <c r="G2" s="617"/>
      <c r="H2" s="617"/>
      <c r="I2" s="617"/>
      <c r="J2" s="617"/>
      <c r="K2" s="617"/>
      <c r="L2" s="617"/>
      <c r="M2" s="617"/>
      <c r="N2" s="617"/>
      <c r="O2" s="617"/>
      <c r="P2" s="617"/>
      <c r="Q2" s="617"/>
      <c r="R2" s="617"/>
      <c r="S2" s="617"/>
      <c r="T2" s="617"/>
      <c r="U2" s="617"/>
      <c r="V2" s="617"/>
      <c r="W2" s="617"/>
      <c r="X2" s="617"/>
      <c r="Y2" s="617"/>
      <c r="Z2" s="617"/>
      <c r="AA2" s="617"/>
      <c r="AB2" s="617"/>
      <c r="AC2" s="617"/>
      <c r="AD2" s="617"/>
      <c r="AE2" s="617"/>
      <c r="AF2" s="617"/>
      <c r="AG2" s="617"/>
      <c r="AH2" s="617"/>
      <c r="AI2" s="617"/>
      <c r="AJ2" s="617"/>
      <c r="AK2" s="617"/>
      <c r="AL2" s="617"/>
      <c r="AM2" s="617"/>
      <c r="AN2" s="617"/>
      <c r="AO2" s="617"/>
      <c r="AP2" s="617"/>
      <c r="AQ2" s="617"/>
      <c r="AR2" s="617"/>
      <c r="AS2" s="617"/>
      <c r="AT2" s="617"/>
      <c r="AU2" s="617"/>
      <c r="AV2" s="617"/>
      <c r="AW2" s="617"/>
      <c r="AX2" s="617"/>
      <c r="AY2" s="617"/>
      <c r="AZ2" s="617"/>
      <c r="BA2" s="617"/>
      <c r="BB2" s="617"/>
      <c r="BC2" s="617"/>
      <c r="BD2" s="617"/>
      <c r="BE2" s="617"/>
      <c r="BF2" s="617"/>
      <c r="BG2" s="617"/>
      <c r="BH2" s="617"/>
      <c r="BI2" s="617"/>
      <c r="BJ2" s="617"/>
      <c r="BK2" s="617"/>
      <c r="BL2" s="617"/>
      <c r="BM2" s="617"/>
      <c r="BN2" s="617"/>
      <c r="BO2" s="617"/>
      <c r="BP2" s="617"/>
      <c r="BQ2" s="617"/>
      <c r="BR2" s="617"/>
      <c r="BS2" s="617"/>
      <c r="BT2" s="617"/>
      <c r="BU2" s="617"/>
      <c r="BV2" s="617"/>
      <c r="BW2" s="617"/>
      <c r="BX2" s="617"/>
      <c r="BY2" s="617"/>
      <c r="BZ2" s="617"/>
      <c r="CA2" s="617"/>
      <c r="CB2" s="617"/>
      <c r="CC2" s="617"/>
      <c r="CD2" s="617"/>
      <c r="CE2" s="617"/>
      <c r="CF2" s="617"/>
      <c r="CG2" s="617"/>
      <c r="CH2" s="617"/>
      <c r="CI2" s="617"/>
      <c r="CJ2" s="617"/>
      <c r="CK2" s="617"/>
      <c r="CL2" s="617"/>
      <c r="CM2" s="617"/>
      <c r="CN2" s="617"/>
      <c r="CO2" s="617"/>
      <c r="CP2" s="617"/>
      <c r="CQ2" s="617"/>
      <c r="CR2" s="617"/>
      <c r="CS2" s="617"/>
      <c r="CT2" s="617"/>
      <c r="CU2" s="617"/>
      <c r="CV2" s="617"/>
      <c r="CW2" s="617"/>
      <c r="CX2" s="617"/>
      <c r="CY2" s="617"/>
      <c r="CZ2" s="617"/>
      <c r="DA2" s="617"/>
      <c r="DB2" s="617"/>
      <c r="DC2" s="617"/>
      <c r="DD2" s="617"/>
      <c r="DE2" s="617"/>
      <c r="DF2" s="617"/>
      <c r="DG2" s="617"/>
      <c r="DH2" s="617"/>
      <c r="DI2" s="617"/>
      <c r="DJ2" s="617"/>
      <c r="DK2" s="617"/>
      <c r="DL2" s="617"/>
      <c r="DM2" s="617"/>
      <c r="DN2" s="617"/>
      <c r="DO2" s="617"/>
      <c r="DP2" s="617"/>
      <c r="DQ2" s="617"/>
      <c r="DR2" s="617"/>
      <c r="DS2" s="617"/>
      <c r="DT2" s="617"/>
      <c r="DU2" s="617"/>
      <c r="DV2" s="617"/>
      <c r="DW2" s="617"/>
      <c r="DX2" s="617"/>
      <c r="DY2" s="617"/>
      <c r="DZ2" s="617"/>
      <c r="EA2" s="617"/>
      <c r="EB2" s="617"/>
      <c r="EC2" s="617"/>
      <c r="ED2" s="617"/>
      <c r="EE2" s="617"/>
      <c r="EF2" s="617"/>
      <c r="EG2" s="617"/>
      <c r="EH2" s="617"/>
      <c r="EI2" s="617"/>
      <c r="EJ2" s="617"/>
      <c r="EK2" s="617"/>
      <c r="EL2" s="617"/>
      <c r="EM2" s="617"/>
      <c r="EN2" s="617"/>
      <c r="EO2" s="617"/>
      <c r="EP2" s="617"/>
    </row>
    <row r="3" spans="1:168" ht="12" customHeight="1">
      <c r="A3" s="9"/>
      <c r="B3" s="90"/>
      <c r="C3" s="90"/>
      <c r="D3" s="90"/>
      <c r="E3" s="90"/>
      <c r="F3" s="146"/>
      <c r="G3" s="90"/>
      <c r="H3" s="90"/>
      <c r="I3" s="90"/>
      <c r="J3" s="90"/>
      <c r="K3" s="90"/>
      <c r="L3" s="90"/>
      <c r="M3" s="90"/>
      <c r="N3" s="90"/>
      <c r="O3" s="90"/>
      <c r="P3" s="90"/>
      <c r="Q3" s="90"/>
      <c r="R3" s="90"/>
      <c r="S3" s="90"/>
      <c r="T3" s="90"/>
      <c r="U3" s="90"/>
      <c r="V3" s="90"/>
      <c r="W3" s="90"/>
      <c r="X3" s="90"/>
      <c r="Y3" s="90"/>
      <c r="Z3" s="90"/>
      <c r="AA3" s="90"/>
      <c r="AB3" s="90"/>
      <c r="AC3" s="90"/>
      <c r="AD3" s="90"/>
      <c r="AE3" s="90"/>
      <c r="AF3" s="90"/>
      <c r="AG3" s="90"/>
      <c r="AH3" s="90"/>
      <c r="AI3" s="90"/>
      <c r="AJ3" s="90"/>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c r="BP3" s="90"/>
      <c r="BQ3" s="90"/>
      <c r="BR3" s="90"/>
      <c r="BS3" s="90"/>
      <c r="BT3" s="90"/>
      <c r="BU3" s="90"/>
      <c r="BV3" s="90"/>
      <c r="BW3" s="90"/>
      <c r="BX3" s="90"/>
      <c r="BY3" s="90"/>
      <c r="BZ3" s="90"/>
      <c r="CA3" s="90"/>
      <c r="CB3" s="90"/>
      <c r="CC3" s="90"/>
      <c r="CD3" s="90"/>
      <c r="CE3" s="90"/>
      <c r="CF3" s="90"/>
      <c r="CG3" s="90"/>
      <c r="CH3" s="90"/>
      <c r="CI3" s="90"/>
      <c r="CJ3" s="90"/>
      <c r="CK3" s="90"/>
      <c r="CL3" s="90"/>
      <c r="CM3" s="90"/>
      <c r="CN3" s="90"/>
      <c r="CO3" s="90"/>
      <c r="CP3" s="90"/>
      <c r="CQ3" s="90"/>
      <c r="CR3" s="90"/>
      <c r="CS3" s="90"/>
      <c r="CT3" s="90"/>
      <c r="CU3" s="90"/>
      <c r="CV3" s="90"/>
      <c r="CW3" s="90"/>
      <c r="CX3" s="90"/>
      <c r="CY3" s="90"/>
      <c r="CZ3" s="90"/>
      <c r="DA3" s="90"/>
      <c r="DB3" s="90"/>
      <c r="DC3" s="90"/>
      <c r="DD3" s="90"/>
      <c r="DE3" s="90"/>
      <c r="DF3" s="90"/>
      <c r="DG3" s="90"/>
      <c r="DH3" s="90"/>
      <c r="DI3" s="90"/>
      <c r="DJ3" s="90"/>
      <c r="DK3" s="90"/>
      <c r="DL3" s="90"/>
      <c r="DM3" s="90"/>
      <c r="DN3" s="90"/>
      <c r="DO3" s="90"/>
      <c r="DP3" s="90"/>
      <c r="DQ3" s="90"/>
      <c r="DR3" s="90"/>
      <c r="DS3" s="90"/>
      <c r="DT3" s="90"/>
      <c r="DU3" s="90"/>
      <c r="DV3" s="90"/>
      <c r="DW3" s="90"/>
      <c r="DX3" s="90"/>
      <c r="DY3" s="90"/>
      <c r="DZ3" s="90"/>
      <c r="EA3" s="90"/>
      <c r="EB3" s="90"/>
      <c r="EC3" s="90"/>
      <c r="ED3" s="90"/>
      <c r="EE3" s="90"/>
      <c r="EF3" s="90"/>
      <c r="EG3" s="90"/>
      <c r="EH3" s="90"/>
      <c r="EI3" s="90"/>
      <c r="EJ3" s="90"/>
      <c r="EK3" s="90"/>
      <c r="EL3" s="90"/>
      <c r="EM3" s="90"/>
      <c r="EN3" s="90"/>
      <c r="EO3" s="90"/>
      <c r="EP3" s="90"/>
      <c r="EQ3" s="145"/>
      <c r="ER3" s="9"/>
      <c r="ES3" s="9"/>
      <c r="ET3" s="9"/>
      <c r="EU3" s="9"/>
      <c r="EV3" s="9"/>
      <c r="EW3" s="9"/>
      <c r="EX3" s="9"/>
      <c r="EY3" s="9"/>
      <c r="EZ3" s="9"/>
      <c r="FA3" s="9"/>
      <c r="FB3" s="9"/>
      <c r="FC3" s="9"/>
      <c r="FD3" s="9"/>
    </row>
    <row r="4" spans="1:168" ht="20.25" customHeight="1">
      <c r="A4" s="9"/>
      <c r="B4" s="323" t="s">
        <v>441</v>
      </c>
      <c r="D4" s="384" t="str">
        <f>IF('1.Fundamentos'!F8="","",'1.Fundamentos'!F8)</f>
        <v>P25</v>
      </c>
      <c r="E4" s="90"/>
      <c r="F4" s="146"/>
      <c r="G4" s="815" t="s">
        <v>5</v>
      </c>
      <c r="H4" s="815"/>
      <c r="I4" s="815"/>
      <c r="J4" s="815"/>
      <c r="K4" s="815"/>
      <c r="L4" s="815"/>
      <c r="M4" s="815"/>
      <c r="N4" s="815"/>
      <c r="O4" s="815"/>
      <c r="P4" s="815"/>
      <c r="Q4" s="815"/>
      <c r="R4" s="816"/>
      <c r="S4" s="817" t="str">
        <f>IF('1.Fundamentos'!D8="","",'1.Fundamentos'!D8)</f>
        <v>PRESENCIAL</v>
      </c>
      <c r="T4" s="818"/>
      <c r="U4" s="818"/>
      <c r="V4" s="818"/>
      <c r="W4" s="818"/>
      <c r="X4" s="818"/>
      <c r="Y4" s="818"/>
      <c r="Z4" s="819"/>
      <c r="AA4" s="90"/>
      <c r="AB4" s="90"/>
      <c r="AC4" s="815" t="s">
        <v>15</v>
      </c>
      <c r="AD4" s="815"/>
      <c r="AE4" s="815"/>
      <c r="AF4" s="815"/>
      <c r="AG4" s="815"/>
      <c r="AH4" s="815"/>
      <c r="AI4" s="815"/>
      <c r="AJ4" s="815"/>
      <c r="AK4" s="815"/>
      <c r="AL4" s="816"/>
      <c r="AM4" s="817" t="str">
        <f>IF('1.Fundamentos'!D18="","",'1.Fundamentos'!D18)</f>
        <v/>
      </c>
      <c r="AN4" s="818"/>
      <c r="AO4" s="818"/>
      <c r="AP4" s="818"/>
      <c r="AQ4" s="818"/>
      <c r="AR4" s="818"/>
      <c r="AS4" s="818"/>
      <c r="AT4" s="818"/>
      <c r="AU4" s="819"/>
      <c r="AV4" s="90"/>
      <c r="AW4" s="90"/>
      <c r="AX4" s="90"/>
      <c r="AY4" s="90"/>
      <c r="AZ4" s="90"/>
      <c r="BA4" s="90"/>
      <c r="BB4" s="90"/>
      <c r="BC4" s="90"/>
      <c r="BD4" s="90"/>
      <c r="BE4" s="90"/>
      <c r="BF4" s="90"/>
      <c r="BG4" s="90"/>
      <c r="BH4" s="90"/>
      <c r="BI4" s="90"/>
      <c r="BJ4" s="90"/>
      <c r="BK4" s="90"/>
      <c r="BL4" s="90"/>
      <c r="BM4" s="90"/>
      <c r="BN4" s="90"/>
      <c r="BO4" s="90"/>
      <c r="BP4" s="90"/>
      <c r="BQ4" s="90"/>
      <c r="BR4" s="90"/>
      <c r="BS4" s="90"/>
      <c r="BT4" s="90"/>
      <c r="BU4" s="90"/>
      <c r="BV4" s="90"/>
      <c r="BW4" s="90"/>
      <c r="BX4" s="90"/>
      <c r="BY4" s="90"/>
      <c r="BZ4" s="90"/>
      <c r="CA4" s="90"/>
      <c r="CB4" s="90"/>
      <c r="CC4" s="90"/>
      <c r="CD4" s="90"/>
      <c r="CE4" s="90"/>
      <c r="CF4" s="90"/>
      <c r="CG4" s="90"/>
      <c r="CH4" s="90"/>
      <c r="CI4" s="90"/>
      <c r="CJ4" s="90"/>
      <c r="CK4" s="90"/>
      <c r="CL4" s="90"/>
      <c r="CM4" s="90"/>
      <c r="CN4" s="90"/>
      <c r="CO4" s="90"/>
      <c r="CP4" s="90"/>
      <c r="CQ4" s="90"/>
      <c r="CR4" s="90"/>
      <c r="CS4" s="90"/>
      <c r="CT4" s="90"/>
      <c r="CU4" s="90"/>
      <c r="CV4" s="90"/>
      <c r="CW4" s="90"/>
      <c r="CX4" s="90"/>
      <c r="CY4" s="90"/>
      <c r="CZ4" s="90"/>
      <c r="DA4" s="90"/>
      <c r="DB4" s="90"/>
      <c r="DC4" s="90"/>
      <c r="DD4" s="90"/>
      <c r="DE4" s="90"/>
      <c r="DF4" s="90"/>
      <c r="DG4" s="90"/>
      <c r="DH4" s="90"/>
      <c r="DI4" s="90"/>
      <c r="DJ4" s="90"/>
      <c r="DK4" s="90"/>
      <c r="DL4" s="90"/>
      <c r="DM4" s="90"/>
      <c r="DN4" s="90"/>
      <c r="DO4" s="90"/>
      <c r="DP4" s="90"/>
      <c r="DQ4" s="90"/>
      <c r="DR4" s="90"/>
      <c r="DS4" s="90"/>
      <c r="DT4" s="90"/>
      <c r="DU4" s="90"/>
      <c r="DV4" s="90"/>
      <c r="DW4" s="90"/>
      <c r="DX4" s="90"/>
      <c r="DY4" s="90"/>
      <c r="DZ4" s="90"/>
      <c r="EA4" s="90"/>
      <c r="EB4" s="90"/>
      <c r="EC4" s="90"/>
      <c r="ED4" s="90"/>
      <c r="EE4" s="90"/>
      <c r="EF4" s="90"/>
      <c r="EG4" s="90"/>
      <c r="EH4" s="90"/>
      <c r="EI4" s="90"/>
      <c r="EJ4" s="90"/>
      <c r="EK4" s="90"/>
      <c r="EL4" s="90"/>
      <c r="EM4" s="90"/>
      <c r="EN4" s="90"/>
      <c r="EO4" s="90"/>
      <c r="EP4" s="90"/>
      <c r="EQ4" s="90"/>
      <c r="ER4" s="90"/>
      <c r="ES4" s="90"/>
      <c r="ET4" s="90"/>
      <c r="EU4" s="90"/>
      <c r="EV4" s="90"/>
      <c r="EW4" s="90"/>
      <c r="EX4" s="90"/>
      <c r="EY4" s="145"/>
      <c r="EZ4" s="9"/>
      <c r="FA4" s="9"/>
      <c r="FB4" s="9"/>
      <c r="FC4" s="9"/>
      <c r="FD4" s="9"/>
      <c r="FE4" s="9"/>
      <c r="FF4" s="9"/>
      <c r="FG4" s="9"/>
      <c r="FH4" s="9"/>
      <c r="FI4" s="9"/>
      <c r="FJ4" s="9"/>
      <c r="FK4" s="9"/>
      <c r="FL4" s="9"/>
    </row>
    <row r="5" spans="1:168" ht="12" customHeight="1" thickBot="1">
      <c r="A5" s="9"/>
      <c r="B5" s="90"/>
      <c r="C5" s="90"/>
      <c r="D5" s="90"/>
      <c r="E5" s="90"/>
      <c r="F5" s="146"/>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90"/>
      <c r="BD5" s="90"/>
      <c r="BE5" s="90"/>
      <c r="BF5" s="90"/>
      <c r="BG5" s="90"/>
      <c r="BH5" s="90"/>
      <c r="BI5" s="90"/>
      <c r="BJ5" s="90"/>
      <c r="BK5" s="90"/>
      <c r="BL5" s="90"/>
      <c r="BM5" s="90"/>
      <c r="BN5" s="90"/>
      <c r="BO5" s="90"/>
      <c r="BP5" s="90"/>
      <c r="BQ5" s="90"/>
      <c r="BR5" s="90"/>
      <c r="BS5" s="90"/>
      <c r="BT5" s="90"/>
      <c r="BU5" s="90"/>
      <c r="BV5" s="90"/>
      <c r="BW5" s="90"/>
      <c r="BX5" s="90"/>
      <c r="BY5" s="90"/>
      <c r="BZ5" s="90"/>
      <c r="CA5" s="90"/>
      <c r="CB5" s="90"/>
      <c r="CC5" s="90"/>
      <c r="CD5" s="90"/>
      <c r="CE5" s="90"/>
      <c r="CF5" s="90"/>
      <c r="CG5" s="90"/>
      <c r="CH5" s="90"/>
      <c r="CI5" s="90"/>
      <c r="CJ5" s="90"/>
      <c r="CK5" s="90"/>
      <c r="CL5" s="90"/>
      <c r="CM5" s="90"/>
      <c r="CN5" s="90"/>
      <c r="CO5" s="90"/>
      <c r="CP5" s="90"/>
      <c r="CQ5" s="90"/>
      <c r="CR5" s="90"/>
      <c r="CS5" s="90"/>
      <c r="CT5" s="90"/>
      <c r="CU5" s="90"/>
      <c r="CV5" s="90"/>
      <c r="CW5" s="90"/>
      <c r="CX5" s="90"/>
      <c r="CY5" s="90"/>
      <c r="CZ5" s="90"/>
      <c r="DA5" s="90"/>
      <c r="DB5" s="90"/>
      <c r="DC5" s="90"/>
      <c r="DD5" s="90"/>
      <c r="DE5" s="90"/>
      <c r="DF5" s="90"/>
      <c r="DG5" s="90"/>
      <c r="DH5" s="90"/>
      <c r="DI5" s="90"/>
      <c r="DJ5" s="90"/>
      <c r="DK5" s="90"/>
      <c r="DL5" s="90"/>
      <c r="DM5" s="90"/>
      <c r="DN5" s="90"/>
      <c r="DO5" s="90"/>
      <c r="DP5" s="90"/>
      <c r="DQ5" s="90"/>
      <c r="DR5" s="90"/>
      <c r="DS5" s="90"/>
      <c r="DT5" s="90"/>
      <c r="DU5" s="90"/>
      <c r="DV5" s="90"/>
      <c r="DW5" s="90"/>
      <c r="DX5" s="90"/>
      <c r="DY5" s="90"/>
      <c r="DZ5" s="90"/>
      <c r="EA5" s="90"/>
      <c r="EB5" s="90"/>
      <c r="EC5" s="90"/>
      <c r="ED5" s="90"/>
      <c r="EE5" s="90"/>
      <c r="EF5" s="90"/>
      <c r="EG5" s="90"/>
      <c r="EH5" s="90"/>
      <c r="EI5" s="90"/>
      <c r="EJ5" s="90"/>
      <c r="EK5" s="90"/>
      <c r="EL5" s="90"/>
      <c r="EM5" s="90"/>
      <c r="EN5" s="90"/>
      <c r="EO5" s="90"/>
      <c r="EP5" s="90"/>
      <c r="EQ5" s="145"/>
      <c r="ER5" s="9"/>
      <c r="ES5" s="9"/>
      <c r="ET5" s="9"/>
      <c r="EU5" s="9"/>
      <c r="EV5" s="9"/>
      <c r="EW5" s="9"/>
      <c r="EX5" s="9"/>
      <c r="EY5" s="9"/>
      <c r="EZ5" s="9"/>
      <c r="FA5" s="9"/>
      <c r="FB5" s="9"/>
      <c r="FC5" s="9"/>
      <c r="FD5" s="9"/>
    </row>
    <row r="6" spans="1:168" ht="22.15" customHeight="1" thickBot="1">
      <c r="A6" s="9"/>
      <c r="B6" s="147"/>
      <c r="C6" s="90"/>
      <c r="D6" s="90"/>
      <c r="E6" s="90"/>
      <c r="F6" s="812" t="s">
        <v>442</v>
      </c>
      <c r="G6" s="813"/>
      <c r="H6" s="813"/>
      <c r="I6" s="813"/>
      <c r="J6" s="813"/>
      <c r="K6" s="813"/>
      <c r="L6" s="813"/>
      <c r="M6" s="813"/>
      <c r="N6" s="813"/>
      <c r="O6" s="814"/>
      <c r="P6" s="812" t="s">
        <v>443</v>
      </c>
      <c r="Q6" s="813"/>
      <c r="R6" s="813"/>
      <c r="S6" s="813"/>
      <c r="T6" s="813"/>
      <c r="U6" s="813"/>
      <c r="V6" s="813"/>
      <c r="W6" s="813"/>
      <c r="X6" s="813"/>
      <c r="Y6" s="814"/>
      <c r="Z6" s="812" t="s">
        <v>444</v>
      </c>
      <c r="AA6" s="813"/>
      <c r="AB6" s="813"/>
      <c r="AC6" s="813"/>
      <c r="AD6" s="813"/>
      <c r="AE6" s="813"/>
      <c r="AF6" s="813"/>
      <c r="AG6" s="813"/>
      <c r="AH6" s="813"/>
      <c r="AI6" s="814"/>
      <c r="AJ6" s="812" t="s">
        <v>445</v>
      </c>
      <c r="AK6" s="813"/>
      <c r="AL6" s="813"/>
      <c r="AM6" s="813"/>
      <c r="AN6" s="813"/>
      <c r="AO6" s="813"/>
      <c r="AP6" s="813"/>
      <c r="AQ6" s="813"/>
      <c r="AR6" s="813"/>
      <c r="AS6" s="814"/>
      <c r="AT6" s="812" t="s">
        <v>446</v>
      </c>
      <c r="AU6" s="813"/>
      <c r="AV6" s="813"/>
      <c r="AW6" s="813"/>
      <c r="AX6" s="813"/>
      <c r="AY6" s="813"/>
      <c r="AZ6" s="813"/>
      <c r="BA6" s="813"/>
      <c r="BB6" s="813"/>
      <c r="BC6" s="814"/>
      <c r="BD6" s="812" t="s">
        <v>447</v>
      </c>
      <c r="BE6" s="813"/>
      <c r="BF6" s="813"/>
      <c r="BG6" s="813"/>
      <c r="BH6" s="813"/>
      <c r="BI6" s="813"/>
      <c r="BJ6" s="813"/>
      <c r="BK6" s="813"/>
      <c r="BL6" s="813"/>
      <c r="BM6" s="814"/>
      <c r="BN6" s="812" t="s">
        <v>448</v>
      </c>
      <c r="BO6" s="813"/>
      <c r="BP6" s="813"/>
      <c r="BQ6" s="813"/>
      <c r="BR6" s="813"/>
      <c r="BS6" s="813"/>
      <c r="BT6" s="813"/>
      <c r="BU6" s="813"/>
      <c r="BV6" s="813"/>
      <c r="BW6" s="814"/>
      <c r="BX6" s="812" t="s">
        <v>449</v>
      </c>
      <c r="BY6" s="813"/>
      <c r="BZ6" s="813"/>
      <c r="CA6" s="813"/>
      <c r="CB6" s="813"/>
      <c r="CC6" s="813"/>
      <c r="CD6" s="813"/>
      <c r="CE6" s="813"/>
      <c r="CF6" s="813"/>
      <c r="CG6" s="814"/>
      <c r="CH6" s="812" t="s">
        <v>450</v>
      </c>
      <c r="CI6" s="813"/>
      <c r="CJ6" s="813"/>
      <c r="CK6" s="813"/>
      <c r="CL6" s="813"/>
      <c r="CM6" s="813"/>
      <c r="CN6" s="813"/>
      <c r="CO6" s="813"/>
      <c r="CP6" s="813"/>
      <c r="CQ6" s="814"/>
      <c r="CR6" s="812" t="s">
        <v>451</v>
      </c>
      <c r="CS6" s="813"/>
      <c r="CT6" s="813"/>
      <c r="CU6" s="813"/>
      <c r="CV6" s="813"/>
      <c r="CW6" s="813"/>
      <c r="CX6" s="813"/>
      <c r="CY6" s="813"/>
      <c r="CZ6" s="813"/>
      <c r="DA6" s="814"/>
      <c r="DB6" s="812" t="s">
        <v>452</v>
      </c>
      <c r="DC6" s="813"/>
      <c r="DD6" s="813"/>
      <c r="DE6" s="813"/>
      <c r="DF6" s="813"/>
      <c r="DG6" s="813"/>
      <c r="DH6" s="813"/>
      <c r="DI6" s="813"/>
      <c r="DJ6" s="813"/>
      <c r="DK6" s="814"/>
      <c r="DL6" s="812" t="s">
        <v>453</v>
      </c>
      <c r="DM6" s="813"/>
      <c r="DN6" s="813"/>
      <c r="DO6" s="813"/>
      <c r="DP6" s="813"/>
      <c r="DQ6" s="813"/>
      <c r="DR6" s="813"/>
      <c r="DS6" s="813"/>
      <c r="DT6" s="813"/>
      <c r="DU6" s="814"/>
      <c r="DV6" s="812" t="s">
        <v>454</v>
      </c>
      <c r="DW6" s="813"/>
      <c r="DX6" s="813"/>
      <c r="DY6" s="813"/>
      <c r="DZ6" s="813"/>
      <c r="EA6" s="813"/>
      <c r="EB6" s="813"/>
      <c r="EC6" s="813"/>
      <c r="ED6" s="813"/>
      <c r="EE6" s="814"/>
      <c r="EF6" s="812" t="s">
        <v>455</v>
      </c>
      <c r="EG6" s="813"/>
      <c r="EH6" s="813"/>
      <c r="EI6" s="813"/>
      <c r="EJ6" s="813"/>
      <c r="EK6" s="813"/>
      <c r="EL6" s="813"/>
      <c r="EM6" s="813"/>
      <c r="EN6" s="813"/>
      <c r="EO6" s="814"/>
      <c r="EP6" s="90"/>
      <c r="EQ6" s="145"/>
      <c r="ER6" s="9"/>
      <c r="ES6" s="9"/>
      <c r="ET6" s="9"/>
      <c r="EU6" s="9"/>
      <c r="EV6" s="9"/>
      <c r="EW6" s="9"/>
      <c r="EX6" s="9"/>
      <c r="EY6" s="9"/>
      <c r="EZ6" s="9"/>
      <c r="FA6" s="9"/>
      <c r="FB6" s="9"/>
      <c r="FC6" s="9"/>
      <c r="FD6" s="9"/>
    </row>
    <row r="7" spans="1:168" ht="96.75" customHeight="1">
      <c r="A7" s="148"/>
      <c r="B7" s="823" t="s">
        <v>456</v>
      </c>
      <c r="C7" s="824"/>
      <c r="D7" s="825"/>
      <c r="E7" s="149"/>
      <c r="F7" s="270" t="str">
        <f>IF('3.Plan de Estudios'!E19="","",'3.Plan de Estudios'!E19)</f>
        <v>ADMINISTRACIÓN PARA LOS NEGOCIOS</v>
      </c>
      <c r="G7" s="271" t="str">
        <f>IF('3.Plan de Estudios'!E20="","",'3.Plan de Estudios'!E20)</f>
        <v>DESARROLLO HUMANO</v>
      </c>
      <c r="H7" s="271" t="str">
        <f>IF('3.Plan de Estudios'!E21="","",'3.Plan de Estudios'!E21)</f>
        <v>ENGLISH I</v>
      </c>
      <c r="I7" s="271" t="str">
        <f>IF('3.Plan de Estudios'!E22="","",'3.Plan de Estudios'!E22)</f>
        <v>LENGUAJE I</v>
      </c>
      <c r="J7" s="271" t="str">
        <f>IF('3.Plan de Estudios'!E23="","",'3.Plan de Estudios'!E23)</f>
        <v>MATEMÁTICA</v>
      </c>
      <c r="K7" s="271" t="str">
        <f>IF('3.Plan de Estudios'!E24="","",'3.Plan de Estudios'!E24)</f>
        <v/>
      </c>
      <c r="L7" s="271" t="str">
        <f>IF('3.Plan de Estudios'!E25="","",'3.Plan de Estudios'!E25)</f>
        <v/>
      </c>
      <c r="M7" s="271" t="str">
        <f>IF('3.Plan de Estudios'!E26="","",'3.Plan de Estudios'!E26)</f>
        <v/>
      </c>
      <c r="N7" s="271" t="str">
        <f>IF('3.Plan de Estudios'!E27="","",'3.Plan de Estudios'!E27)</f>
        <v/>
      </c>
      <c r="O7" s="273" t="str">
        <f>IF('3.Plan de Estudios'!E28="","",'3.Plan de Estudios'!E28)</f>
        <v/>
      </c>
      <c r="P7" s="270" t="str">
        <f>IF('3.Plan de Estudios'!E30="","",'3.Plan de Estudios'!E30)</f>
        <v>CULTURA POLÍTICA Y REALIDAD DE LA EDUCACIÓN PERUANA</v>
      </c>
      <c r="Q7" s="271" t="str">
        <f>IF('3.Plan de Estudios'!E31="","",'3.Plan de Estudios'!E31)</f>
        <v>ENGLISH II</v>
      </c>
      <c r="R7" s="271" t="str">
        <f>IF('3.Plan de Estudios'!E32="","",'3.Plan de Estudios'!E32)</f>
        <v>HISTORIA Y FILOSOFÍA DE LA EDUCACIÓN</v>
      </c>
      <c r="S7" s="271" t="str">
        <f>IF('3.Plan de Estudios'!E33="","",'3.Plan de Estudios'!E33)</f>
        <v>LENGUAJE II</v>
      </c>
      <c r="T7" s="271" t="str">
        <f>IF('3.Plan de Estudios'!E34="","",'3.Plan de Estudios'!E34)</f>
        <v>MARKETING</v>
      </c>
      <c r="U7" s="271" t="str">
        <f>IF('3.Plan de Estudios'!E35="","",'3.Plan de Estudios'!E35)</f>
        <v>PSICOLOGÍA GENERAL</v>
      </c>
      <c r="V7" s="271" t="str">
        <f>IF('3.Plan de Estudios'!E36="","",'3.Plan de Estudios'!E36)</f>
        <v/>
      </c>
      <c r="W7" s="271" t="str">
        <f>IF('3.Plan de Estudios'!E37="","",'3.Plan de Estudios'!E37)</f>
        <v/>
      </c>
      <c r="X7" s="271" t="str">
        <f>IF('3.Plan de Estudios'!E38="","",'3.Plan de Estudios'!E38)</f>
        <v/>
      </c>
      <c r="Y7" s="273" t="str">
        <f>IF('3.Plan de Estudios'!E39="","",'3.Plan de Estudios'!E39)</f>
        <v/>
      </c>
      <c r="Z7" s="270" t="str">
        <f>IF('3.Plan de Estudios'!E41="","",'3.Plan de Estudios'!E41)</f>
        <v>ENGLISH III</v>
      </c>
      <c r="AA7" s="271" t="str">
        <f>IF('3.Plan de Estudios'!E42="","",'3.Plan de Estudios'!E42)</f>
        <v>ESTADÍSTICA GENERAL</v>
      </c>
      <c r="AB7" s="271" t="str">
        <f>IF('3.Plan de Estudios'!E43="","",'3.Plan de Estudios'!E43)</f>
        <v>INFORMÁTICA APLICADA A LA EDUCACIÓN</v>
      </c>
      <c r="AC7" s="271" t="str">
        <f>IF('3.Plan de Estudios'!E44="","",'3.Plan de Estudios'!E44)</f>
        <v>INTERPRETACIÓN DE TEXTOS</v>
      </c>
      <c r="AD7" s="271" t="str">
        <f>IF('3.Plan de Estudios'!E45="","",'3.Plan de Estudios'!E45)</f>
        <v>REALIDAD NACIONAL Y GLOBALIZACIÓN</v>
      </c>
      <c r="AE7" s="272" t="str">
        <f>IF('3.Plan de Estudios'!E46="","",'3.Plan de Estudios'!E46)</f>
        <v>TEORÍA DE LA EDUCACIÓN</v>
      </c>
      <c r="AF7" s="271" t="str">
        <f>IF('3.Plan de Estudios'!E47="","",'3.Plan de Estudios'!E47)</f>
        <v/>
      </c>
      <c r="AG7" s="271" t="str">
        <f>IF('3.Plan de Estudios'!E48="","",'3.Plan de Estudios'!E48)</f>
        <v/>
      </c>
      <c r="AH7" s="271" t="str">
        <f>IF('3.Plan de Estudios'!E49="","",'3.Plan de Estudios'!E49)</f>
        <v/>
      </c>
      <c r="AI7" s="273" t="str">
        <f>IF('3.Plan de Estudios'!E50="","",'3.Plan de Estudios'!E50)</f>
        <v/>
      </c>
      <c r="AJ7" s="270" t="str">
        <f>IF('3.Plan de Estudios'!E52="","",'3.Plan de Estudios'!E52)</f>
        <v>DISEÑO Y PROGRAMACIÓN CURRICULAR</v>
      </c>
      <c r="AK7" s="271" t="str">
        <f>IF('3.Plan de Estudios'!E53="","",'3.Plan de Estudios'!E53)</f>
        <v>ENGLISH IV</v>
      </c>
      <c r="AL7" s="271" t="str">
        <f>IF('3.Plan de Estudios'!E54="","",'3.Plan de Estudios'!E54)</f>
        <v>ENGLISH VOCABULARY</v>
      </c>
      <c r="AM7" s="271" t="str">
        <f>IF('3.Plan de Estudios'!E55="","",'3.Plan de Estudios'!E55)</f>
        <v>METODOLOGÍA DE LA INVESTIGACIÓN</v>
      </c>
      <c r="AN7" s="271" t="str">
        <f>IF('3.Plan de Estudios'!E56="","",'3.Plan de Estudios'!E56)</f>
        <v>PRINCIPIOS DE ECONOMÍA</v>
      </c>
      <c r="AO7" s="271" t="str">
        <f>IF('3.Plan de Estudios'!E57="","",'3.Plan de Estudios'!E57)</f>
        <v/>
      </c>
      <c r="AP7" s="271" t="str">
        <f>IF('3.Plan de Estudios'!E58="","",'3.Plan de Estudios'!E58)</f>
        <v/>
      </c>
      <c r="AQ7" s="271" t="str">
        <f>IF('3.Plan de Estudios'!E59="","",'3.Plan de Estudios'!E59)</f>
        <v/>
      </c>
      <c r="AR7" s="271" t="str">
        <f>IF('3.Plan de Estudios'!E60="","",'3.Plan de Estudios'!E60)</f>
        <v/>
      </c>
      <c r="AS7" s="273" t="str">
        <f>IF('3.Plan de Estudios'!E61="","",'3.Plan de Estudios'!E61)</f>
        <v/>
      </c>
      <c r="AT7" s="270" t="str">
        <f>IF('3.Plan de Estudios'!E63="","",'3.Plan de Estudios'!E63)</f>
        <v>ENGLISH V</v>
      </c>
      <c r="AU7" s="271" t="str">
        <f>IF('3.Plan de Estudios'!E64="","",'3.Plan de Estudios'!E64)</f>
        <v>ESTRATEGIAS DE ENSEÑANZA APRENDIZAJE</v>
      </c>
      <c r="AV7" s="271" t="str">
        <f>IF('3.Plan de Estudios'!E65="","",'3.Plan de Estudios'!E65)</f>
        <v>ÉTICA Y CIUDADANÍA</v>
      </c>
      <c r="AW7" s="271" t="str">
        <f>IF('3.Plan de Estudios'!E66="","",'3.Plan de Estudios'!E66)</f>
        <v>FOUNDATIONS OF GENERAL LINGUISTICS</v>
      </c>
      <c r="AX7" s="271" t="str">
        <f>IF('3.Plan de Estudios'!E67="","",'3.Plan de Estudios'!E67)</f>
        <v>FUNDAMENTOS DE LAS FINANZAS</v>
      </c>
      <c r="AY7" s="271" t="str">
        <f>IF('3.Plan de Estudios'!E68="","",'3.Plan de Estudios'!E68)</f>
        <v>PSICOLOGÍA EVOLUTIVA PARA EDUCACIÓN</v>
      </c>
      <c r="AZ7" s="271" t="str">
        <f>IF('3.Plan de Estudios'!E69="","",'3.Plan de Estudios'!E69)</f>
        <v/>
      </c>
      <c r="BA7" s="271" t="str">
        <f>IF('3.Plan de Estudios'!E70="","",'3.Plan de Estudios'!E70)</f>
        <v/>
      </c>
      <c r="BB7" s="271" t="str">
        <f>IF('3.Plan de Estudios'!E71="","",'3.Plan de Estudios'!E71)</f>
        <v/>
      </c>
      <c r="BC7" s="273" t="str">
        <f>IF('3.Plan de Estudios'!E72="","",'3.Plan de Estudios'!E72)</f>
        <v/>
      </c>
      <c r="BD7" s="270" t="str">
        <f>IF('3.Plan de Estudios'!E74="","",'3.Plan de Estudios'!E74)</f>
        <v>ENGLISH LANGUAGE PHONETICS</v>
      </c>
      <c r="BE7" s="271" t="str">
        <f>IF('3.Plan de Estudios'!E75="","",'3.Plan de Estudios'!E75)</f>
        <v>ENGLISH VI: RREL</v>
      </c>
      <c r="BF7" s="271" t="str">
        <f>IF('3.Plan de Estudios'!E76="","",'3.Plan de Estudios'!E76)</f>
        <v>GERENCIA DE INSTITUCIONES EDUCATIVAS</v>
      </c>
      <c r="BG7" s="271" t="str">
        <f>IF('3.Plan de Estudios'!E77="","",'3.Plan de Estudios'!E77)</f>
        <v>PUBLIC SPEAKING</v>
      </c>
      <c r="BH7" s="271" t="str">
        <f>IF('3.Plan de Estudios'!E78="","",'3.Plan de Estudios'!E78)</f>
        <v>SOFTWARE EDUCATIVO</v>
      </c>
      <c r="BI7" s="271" t="str">
        <f>IF('3.Plan de Estudios'!E79="","",'3.Plan de Estudios'!E79)</f>
        <v>TEACHING ENGLISH AS SECOND LANGUAGE: METHODS &amp; S. I</v>
      </c>
      <c r="BJ7" s="271" t="str">
        <f>IF('3.Plan de Estudios'!E80="","",'3.Plan de Estudios'!E80)</f>
        <v/>
      </c>
      <c r="BK7" s="271" t="str">
        <f>IF('3.Plan de Estudios'!E81="","",'3.Plan de Estudios'!E81)</f>
        <v/>
      </c>
      <c r="BL7" s="271" t="str">
        <f>IF('3.Plan de Estudios'!E82="","",'3.Plan de Estudios'!E82)</f>
        <v/>
      </c>
      <c r="BM7" s="273" t="str">
        <f>IF('3.Plan de Estudios'!E83="","",'3.Plan de Estudios'!E83)</f>
        <v/>
      </c>
      <c r="BN7" s="270" t="str">
        <f>IF('3.Plan de Estudios'!E85="","",'3.Plan de Estudios'!E85)</f>
        <v>ENGLISH COMPOSITION</v>
      </c>
      <c r="BO7" s="271" t="str">
        <f>IF('3.Plan de Estudios'!E86="","",'3.Plan de Estudios'!E86)</f>
        <v>INVESTIGACIÓN EDUCACIONAL</v>
      </c>
      <c r="BP7" s="271" t="str">
        <f>IF('3.Plan de Estudios'!E87="","",'3.Plan de Estudios'!E87)</f>
        <v>PROYECTO INTEGRADOR</v>
      </c>
      <c r="BQ7" s="271" t="str">
        <f>IF('3.Plan de Estudios'!E88="","",'3.Plan de Estudios'!E88)</f>
        <v>TEACHING ENGLISH AS SECOND LANGUAGE: METHODS &amp; S. II</v>
      </c>
      <c r="BR7" s="271" t="str">
        <f>IF('3.Plan de Estudios'!E89="","",'3.Plan de Estudios'!E89)</f>
        <v>ELECTIVO 1</v>
      </c>
      <c r="BS7" s="271" t="str">
        <f>IF('3.Plan de Estudios'!E90="","",'3.Plan de Estudios'!E90)</f>
        <v/>
      </c>
      <c r="BT7" s="271" t="str">
        <f>IF('3.Plan de Estudios'!E91="","",'3.Plan de Estudios'!E91)</f>
        <v/>
      </c>
      <c r="BU7" s="271" t="str">
        <f>IF('3.Plan de Estudios'!E92="","",'3.Plan de Estudios'!E92)</f>
        <v/>
      </c>
      <c r="BV7" s="271" t="str">
        <f>IF('3.Plan de Estudios'!E93="","",'3.Plan de Estudios'!E93)</f>
        <v/>
      </c>
      <c r="BW7" s="273" t="str">
        <f>IF('3.Plan de Estudios'!E94="","",'3.Plan de Estudios'!E94)</f>
        <v/>
      </c>
      <c r="BX7" s="270" t="str">
        <f>IF('3.Plan de Estudios'!E96="","",'3.Plan de Estudios'!E96)</f>
        <v>ESL: LEARNER STRATEGIES</v>
      </c>
      <c r="BY7" s="271" t="str">
        <f>IF('3.Plan de Estudios'!E97="","",'3.Plan de Estudios'!E97)</f>
        <v>LISTENING COMPREHENSION</v>
      </c>
      <c r="BZ7" s="271" t="str">
        <f>IF('3.Plan de Estudios'!E98="","",'3.Plan de Estudios'!E98)</f>
        <v>ORGANIZACIÓN DE LA INFORMACIÓN</v>
      </c>
      <c r="CA7" s="271" t="str">
        <f>IF('3.Plan de Estudios'!E99="","",'3.Plan de Estudios'!E99)</f>
        <v>PRÁCTICA PRE-PROFESIONAL INICIAL</v>
      </c>
      <c r="CB7" s="271" t="str">
        <f>IF('3.Plan de Estudios'!E100="","",'3.Plan de Estudios'!E100)</f>
        <v>ELECTIVO 2</v>
      </c>
      <c r="CC7" s="271" t="str">
        <f>IF('3.Plan de Estudios'!E101="","",'3.Plan de Estudios'!E101)</f>
        <v/>
      </c>
      <c r="CD7" s="271" t="str">
        <f>IF('3.Plan de Estudios'!E102="","",'3.Plan de Estudios'!E102)</f>
        <v/>
      </c>
      <c r="CE7" s="271" t="str">
        <f>IF('3.Plan de Estudios'!E103="","",'3.Plan de Estudios'!E103)</f>
        <v/>
      </c>
      <c r="CF7" s="271" t="str">
        <f>IF('3.Plan de Estudios'!E104="","",'3.Plan de Estudios'!E104)</f>
        <v/>
      </c>
      <c r="CG7" s="273" t="str">
        <f>IF('3.Plan de Estudios'!E105="","",'3.Plan de Estudios'!E105)</f>
        <v/>
      </c>
      <c r="CH7" s="270" t="str">
        <f>IF('3.Plan de Estudios'!E107="","",'3.Plan de Estudios'!E107)</f>
        <v>MICROCOMPUTERS &amp; MEDIA IN THE ESL CLASSROOM</v>
      </c>
      <c r="CI7" s="271" t="str">
        <f>IF('3.Plan de Estudios'!E108="","",'3.Plan de Estudios'!E108)</f>
        <v>PLANIFICACIÓN DE CLASES Y ACTIVIDADES</v>
      </c>
      <c r="CJ7" s="271" t="str">
        <f>IF('3.Plan de Estudios'!E109="","",'3.Plan de Estudios'!E109)</f>
        <v>PRÁCTICA PRE-PROFESIONAL INTERMEDIA</v>
      </c>
      <c r="CK7" s="271" t="str">
        <f>IF('3.Plan de Estudios'!E110="","",'3.Plan de Estudios'!E110)</f>
        <v xml:space="preserve">PROJECTS IN THE CLASSROOM </v>
      </c>
      <c r="CL7" s="271" t="str">
        <f>IF('3.Plan de Estudios'!E111="","",'3.Plan de Estudios'!E111)</f>
        <v>SISTEMATIZACIÓN DE LA INFORMACIÓN</v>
      </c>
      <c r="CM7" s="271" t="str">
        <f>IF('3.Plan de Estudios'!E112="","",'3.Plan de Estudios'!E112)</f>
        <v>ELECTIVO 3</v>
      </c>
      <c r="CN7" s="271" t="str">
        <f>IF('3.Plan de Estudios'!E113="","",'3.Plan de Estudios'!E113)</f>
        <v/>
      </c>
      <c r="CO7" s="271" t="str">
        <f>IF('3.Plan de Estudios'!E114="","",'3.Plan de Estudios'!E114)</f>
        <v/>
      </c>
      <c r="CP7" s="271" t="str">
        <f>IF('3.Plan de Estudios'!E115="","",'3.Plan de Estudios'!E115)</f>
        <v/>
      </c>
      <c r="CQ7" s="273" t="str">
        <f>IF('3.Plan de Estudios'!E116="","",'3.Plan de Estudios'!E116)</f>
        <v/>
      </c>
      <c r="CR7" s="270" t="str" cm="1">
        <f t="array" ref="CR7:DA7">TRANSPOSE('7.Sumillas'!D98:D107)</f>
        <v>COACHING EDUCATIVO</v>
      </c>
      <c r="CS7" s="271" t="str">
        <v>INFORME Y SUSTENTACIÓN DEL PROYECTO DE INVESTIGACIÓN</v>
      </c>
      <c r="CT7" s="271" t="str">
        <v>LEGISLACIÓN EDUCATIVA</v>
      </c>
      <c r="CU7" s="271" t="str">
        <v>PRÁCTICA PRE-PROFESIONAL INTENSIVA</v>
      </c>
      <c r="CV7" s="271" t="str">
        <v>ELECTIVO 4</v>
      </c>
      <c r="CW7" s="271" t="str">
        <v/>
      </c>
      <c r="CX7" s="271" t="str">
        <v/>
      </c>
      <c r="CY7" s="271" t="str">
        <v/>
      </c>
      <c r="CZ7" s="271" t="str">
        <v/>
      </c>
      <c r="DA7" s="273" t="str">
        <v/>
      </c>
      <c r="DB7" s="270" t="str" cm="1">
        <f t="array" ref="DB7:DK7">TRANSPOSE('7.Sumillas'!D108:D117)</f>
        <v/>
      </c>
      <c r="DC7" s="271" t="str">
        <v/>
      </c>
      <c r="DD7" s="271" t="str">
        <v/>
      </c>
      <c r="DE7" s="271" t="str">
        <v/>
      </c>
      <c r="DF7" s="271" t="str">
        <v/>
      </c>
      <c r="DG7" s="271" t="str">
        <v/>
      </c>
      <c r="DH7" s="271" t="str">
        <v/>
      </c>
      <c r="DI7" s="271" t="str">
        <v/>
      </c>
      <c r="DJ7" s="271" t="str">
        <v/>
      </c>
      <c r="DK7" s="273" t="str">
        <v/>
      </c>
      <c r="DL7" s="270" t="str" cm="1">
        <f t="array" ref="DL7:DU7">TRANSPOSE('7.Sumillas'!D118:D127)</f>
        <v/>
      </c>
      <c r="DM7" s="271" t="str">
        <v/>
      </c>
      <c r="DN7" s="271" t="str">
        <v/>
      </c>
      <c r="DO7" s="271" t="str">
        <v/>
      </c>
      <c r="DP7" s="271" t="str">
        <v/>
      </c>
      <c r="DQ7" s="271" t="str">
        <v/>
      </c>
      <c r="DR7" s="271" t="str">
        <v/>
      </c>
      <c r="DS7" s="271" t="str">
        <v/>
      </c>
      <c r="DT7" s="271" t="str">
        <v/>
      </c>
      <c r="DU7" s="273" t="str">
        <v/>
      </c>
      <c r="DV7" s="270" t="str" cm="1">
        <f t="array" ref="DV7:EE7">TRANSPOSE('7.Sumillas'!D128:D137)</f>
        <v/>
      </c>
      <c r="DW7" s="271" t="str">
        <v/>
      </c>
      <c r="DX7" s="271" t="str">
        <v/>
      </c>
      <c r="DY7" s="271" t="str">
        <v/>
      </c>
      <c r="DZ7" s="271" t="str">
        <v/>
      </c>
      <c r="EA7" s="271" t="str">
        <v/>
      </c>
      <c r="EB7" s="271" t="str">
        <v/>
      </c>
      <c r="EC7" s="271" t="str">
        <v/>
      </c>
      <c r="ED7" s="271" t="str">
        <v/>
      </c>
      <c r="EE7" s="273" t="str">
        <v/>
      </c>
      <c r="EF7" s="270" t="str">
        <f>IF('3.Plan de Estudios'!E162="","",'3.Plan de Estudios'!E162)</f>
        <v/>
      </c>
      <c r="EG7" s="271" t="str">
        <f>IF('3.Plan de Estudios'!E163="","",'3.Plan de Estudios'!E163)</f>
        <v/>
      </c>
      <c r="EH7" s="271" t="str">
        <f>IF('3.Plan de Estudios'!E164="","",'3.Plan de Estudios'!E164)</f>
        <v/>
      </c>
      <c r="EI7" s="271" t="str">
        <f>IF('3.Plan de Estudios'!E165="","",'3.Plan de Estudios'!E165)</f>
        <v/>
      </c>
      <c r="EJ7" s="271" t="str">
        <f>IF('3.Plan de Estudios'!E166="","",'3.Plan de Estudios'!E166)</f>
        <v/>
      </c>
      <c r="EK7" s="271" t="str">
        <f>IF('3.Plan de Estudios'!E167="","",'3.Plan de Estudios'!E167)</f>
        <v/>
      </c>
      <c r="EL7" s="271" t="str">
        <f>IF('3.Plan de Estudios'!E168="","",'3.Plan de Estudios'!E168)</f>
        <v/>
      </c>
      <c r="EM7" s="271" t="str">
        <f>IF('3.Plan de Estudios'!E169="","",'3.Plan de Estudios'!E169)</f>
        <v/>
      </c>
      <c r="EN7" s="271" t="str">
        <f>IF('3.Plan de Estudios'!E170="","",'3.Plan de Estudios'!E170)</f>
        <v/>
      </c>
      <c r="EO7" s="273" t="str">
        <f>IF('3.Plan de Estudios'!E171="","",'3.Plan de Estudios'!E171)</f>
        <v/>
      </c>
      <c r="EP7" s="150" t="s">
        <v>457</v>
      </c>
      <c r="EQ7" s="145"/>
      <c r="ER7" s="9"/>
    </row>
    <row r="8" spans="1:168" ht="17.25" customHeight="1">
      <c r="A8" s="148"/>
      <c r="B8" s="151" t="str">
        <f>IF('1.Fundamentos'!B52="","",'1.Fundamentos'!B52)</f>
        <v>CG1: Comunicación Integral</v>
      </c>
      <c r="C8" s="152" t="s">
        <v>78</v>
      </c>
      <c r="D8" s="153" t="str">
        <f>IF('1.Fundamentos'!F52="","",'1.Fundamentos'!F52)</f>
        <v>Elabora textos académicos escritos y comunicaciones orales con una estructura básica para exponer con eficiencia sus ideas en un entorno académico y/o social.</v>
      </c>
      <c r="E8" s="154" t="str">
        <f>IF(D8="","",CONCATENATE(B8,":",C8," ",D8))</f>
        <v>CG1: Comunicación Integral:N1 Elabora textos académicos escritos y comunicaciones orales con una estructura básica para exponer con eficiencia sus ideas en un entorno académico y/o social.</v>
      </c>
      <c r="F8" s="204" t="str">
        <f>IF(ISERROR(VLOOKUP(CONCATENATE($F$7,"-",MID(E8,1,100)),DATOS!Z:AA,2,0)),"",VLOOKUP(CONCATENATE($F$7,"-",MID(E8,1,100)),DATOS!Z:AA,2,0))</f>
        <v/>
      </c>
      <c r="G8" s="205" t="str">
        <f>IF(ISERROR(VLOOKUP(CONCATENATE($G$7,"-",MID(E8,1,100)),DATOS!Z:AA,2,0)),"",VLOOKUP(CONCATENATE($G$7,"-",MID(E8,1,100)),DATOS!Z:AA,2,0))</f>
        <v/>
      </c>
      <c r="H8" s="205" t="str">
        <f>IF(ISERROR(VLOOKUP(CONCATENATE($H$7,"-",MID(E8,1,100)),DATOS!Z:AA,2,0)),"",VLOOKUP(CONCATENATE($H$7,"-",MID(E8,1,100)),DATOS!Z:AA,2,0))</f>
        <v/>
      </c>
      <c r="I8" s="205" t="str">
        <f>IF(ISERROR(VLOOKUP(CONCATENATE($I$7,"-",MID(E8,1,100)),DATOS!Z:AA,2,0)),"",VLOOKUP(CONCATENATE($I$7,"-",MID(E8,1,100)),DATOS!Z:AA,2,0))</f>
        <v>a</v>
      </c>
      <c r="J8" s="205" t="str">
        <f>IF(ISERROR(VLOOKUP(CONCATENATE($J$7,"-",MID(E8,1,100)),DATOS!Z:AA,2,0)),"",VLOOKUP(CONCATENATE($J$7,"-",MID(E8,1,100)),DATOS!Z:AA,2,0))</f>
        <v>a</v>
      </c>
      <c r="K8" s="205" t="str">
        <f>IF(ISERROR(VLOOKUP(CONCATENATE($K$7,"-",MID(E8,1,100)),DATOS!Z:AA,2,0)),"",VLOOKUP(CONCATENATE($K$7,"-",MID(E8,1,100)),DATOS!Z:AA,2,0))</f>
        <v/>
      </c>
      <c r="L8" s="205" t="str">
        <f>IF(ISERROR(VLOOKUP(CONCATENATE($L$7,"-",MID(E8,1,100)),DATOS!Z:AA,2,0)),"",VLOOKUP(CONCATENATE($L$7,"-",MID(E8,1,100)),DATOS!Z:AA,2,0))</f>
        <v/>
      </c>
      <c r="M8" s="205" t="str">
        <f>IF(ISERROR(VLOOKUP(CONCATENATE($M$7,"-",MID(E8,1,100)),DATOS!Z:AA,2,0)),"",VLOOKUP(CONCATENATE($M$7,"-",MID(E8,1,100)),DATOS!Z:AA,2,0))</f>
        <v/>
      </c>
      <c r="N8" s="205" t="str">
        <f>IF(ISERROR(VLOOKUP(CONCATENATE($N$7,"-",MID(E8,1,100)),DATOS!Z:AA,2,0)),"",VLOOKUP(CONCATENATE($N$7,"-",MID(E8,1,100)),DATOS!Z:AA,2,0))</f>
        <v/>
      </c>
      <c r="O8" s="206" t="str">
        <f>IF(ISERROR(VLOOKUP(CONCATENATE($O$7,"-",MID(E8,1,100)),DATOS!Z:AA,2,0)),"",VLOOKUP(CONCATENATE($O$7,"-",MID(E8,1,100)),DATOS!Z:AA,2,0))</f>
        <v/>
      </c>
      <c r="P8" s="204" t="str">
        <f>IF(ISERROR(VLOOKUP(CONCATENATE($P$7,"-",MID(E8,1,100)),DATOS!Z:AA,2,0)),"",VLOOKUP(CONCATENATE($P$7,"-",MID(E8,1,100)),DATOS!Z:AA,2,0))</f>
        <v/>
      </c>
      <c r="Q8" s="205" t="str">
        <f>IF(ISERROR(VLOOKUP(CONCATENATE($Q$7,"-",MID(E8,1,100)),DATOS!Z:AA,2,0)),"",VLOOKUP(CONCATENATE($Q$7,"-",MID(E8,1,100)),DATOS!Z:AA,2,0))</f>
        <v/>
      </c>
      <c r="R8" s="205" t="str">
        <f>IF(ISERROR(VLOOKUP(CONCATENATE($R$7,"-",MID(E8,1,100)),DATOS!Z:AA,2,0)),"",VLOOKUP(CONCATENATE($R$7,"-",MID(E8,1,100)),DATOS!Z:AA,2,0))</f>
        <v/>
      </c>
      <c r="S8" s="205" t="str">
        <f>IF(ISERROR(VLOOKUP(CONCATENATE($S$7,"-",MID(E8,1,100)),DATOS!Z:AA,2,0)),"",VLOOKUP(CONCATENATE($S$7,"-",MID(E8,1,100)),DATOS!Z:AA,2,0))</f>
        <v>a</v>
      </c>
      <c r="T8" s="205" t="str">
        <f>IF(ISERROR(VLOOKUP(CONCATENATE($T$7,"-",MID(E8,1,100)),DATOS!Z:AA,2,0)),"",VLOOKUP(CONCATENATE($T$7,"-",MID(E8,1,100)),DATOS!Z:AA,2,0))</f>
        <v/>
      </c>
      <c r="U8" s="205" t="str">
        <f>IF(ISERROR(VLOOKUP(CONCATENATE($U$7,"-",MID(E8,1,100)),DATOS!Z:AA,2,0)),"",VLOOKUP(CONCATENATE($U$7,"-",MID(E8,1,100)),DATOS!Z:AA,2,0))</f>
        <v/>
      </c>
      <c r="V8" s="205" t="str">
        <f>IF(ISERROR(VLOOKUP(CONCATENATE($V$7,"-",MID(E8,1,100)),DATOS!Z:AA,2,0)),"",VLOOKUP(CONCATENATE($V$7,"-",MID(E8,1,100)),DATOS!Z:AA,2,0))</f>
        <v/>
      </c>
      <c r="W8" s="205" t="str">
        <f>IF(ISERROR(VLOOKUP(CONCATENATE($W$7,"-",MID(E8,1,100)),DATOS!Z:AA,2,0)),"",VLOOKUP(CONCATENATE($W$7,"-",MID(E8,1,100)),DATOS!Z:AA,2,0))</f>
        <v/>
      </c>
      <c r="X8" s="205" t="str">
        <f>IF(ISERROR(VLOOKUP(CONCATENATE($X$7,"-",MID(E8,1,100)),DATOS!Z:AA,2,0)),"",VLOOKUP(CONCATENATE($X$7,"-",MID(E8,1,100)),DATOS!Z:AA,2,0))</f>
        <v/>
      </c>
      <c r="Y8" s="206" t="str">
        <f>IF(ISERROR(VLOOKUP(CONCATENATE($Y$7,"-",MID(E8,1,100)),DATOS!Z:AA,2,0)),"",VLOOKUP(CONCATENATE($Y$7,"-",MID(E8,1,100)),DATOS!Z:AA,2,0))</f>
        <v/>
      </c>
      <c r="Z8" s="204" t="str">
        <f>IF(ISERROR(VLOOKUP(CONCATENATE($Z$7,"-",MID(E8,1,100)),DATOS!Z:AA,2,0)),"",VLOOKUP(CONCATENATE($Z$7,"-",MID(E8,1,100)),DATOS!Z:AA,2,0))</f>
        <v/>
      </c>
      <c r="AA8" s="205" t="str">
        <f>IF(ISERROR(VLOOKUP(CONCATENATE($AA$7,"-",MID(E8,1,100)),DATOS!Z:AA,2,0)),"",VLOOKUP(CONCATENATE($AA$7,"-",MID(E8,1,100)),DATOS!Z:AA,2,0))</f>
        <v/>
      </c>
      <c r="AB8" s="205" t="str">
        <f>IF(ISERROR(VLOOKUP(CONCATENATE($AB$7,"-",MID(E8,1,100)),DATOS!Z:AA,2,0)),"",VLOOKUP(CONCATENATE($AB$7,"-",MID(E8,1,100)),DATOS!Z:AA,2,0))</f>
        <v/>
      </c>
      <c r="AC8" s="205" t="str">
        <f>IF(ISERROR(VLOOKUP(CONCATENATE($AC$7,"-",MID(E8,1,100)),DATOS!Z:AA,2,0)),"",VLOOKUP(CONCATENATE($AC$7,"-",MID(E8,1,100)),DATOS!Z:AA,2,0))</f>
        <v/>
      </c>
      <c r="AD8" s="205" t="str">
        <f>IF(ISERROR(VLOOKUP(CONCATENATE($AD$7,"-",MID(E8,1,100)),DATOS!Z:AA,2,0)),"",VLOOKUP(CONCATENATE($AD$7,"-",MID(E8,1,100)),DATOS!Z:AA,2,0))</f>
        <v/>
      </c>
      <c r="AE8" s="205" t="str">
        <f>IF(ISERROR(VLOOKUP(CONCATENATE($AE$7,"-",MID(E8,1,100)),DATOS!Z:AA,2,0)),"",VLOOKUP(CONCATENATE($AE$7,"-",MID(E8,1,100)),DATOS!Z:AA,2,0))</f>
        <v/>
      </c>
      <c r="AF8" s="205" t="str">
        <f>IF(ISERROR(VLOOKUP(CONCATENATE($AF$7,"-",MID(E8,1,100)),DATOS!Z:AA,2,0)),"",VLOOKUP(CONCATENATE($AF$7,"-",MID(E8,1,100)),DATOS!Z:AA,2,0))</f>
        <v/>
      </c>
      <c r="AG8" s="205" t="str">
        <f>IF(ISERROR(VLOOKUP(CONCATENATE($AG$7,"-",MID(E8,1,100)),DATOS!Z:AA,2,0)),"",VLOOKUP(CONCATENATE($AG$7,"-",MID(E8,1,100)),DATOS!Z:AA,2,0))</f>
        <v/>
      </c>
      <c r="AH8" s="205" t="str">
        <f>IF(ISERROR(VLOOKUP(CONCATENATE($AH$7,"-",MID(E8,1,100)),DATOS!Z:AA,2,0)),"",VLOOKUP(CONCATENATE($AH$7,"-",MID(E8,1,100)),DATOS!Z:AA,2,0))</f>
        <v/>
      </c>
      <c r="AI8" s="206" t="str">
        <f>IF(ISERROR(VLOOKUP(CONCATENATE($AI$7,"-",MID(E8,1,100)),DATOS!Z:AA,2,0)),"",VLOOKUP(CONCATENATE($AI$7,"-",MID(E8,1,100)),DATOS!Z:AA,2,0))</f>
        <v/>
      </c>
      <c r="AJ8" s="204" t="str">
        <f>IF(ISERROR(VLOOKUP(CONCATENATE($AJ$7,"-",MID(E8,1,100)),DATOS!Z:AA,2,0)),"",VLOOKUP(CONCATENATE($AJ$7,"-",MID(E8,1,100)),DATOS!Z:AA,2,0))</f>
        <v/>
      </c>
      <c r="AK8" s="205" t="str">
        <f>IF(ISERROR(VLOOKUP(CONCATENATE($AK$7,"-",MID(E8,1,100)),DATOS!Z:AA,2,0)),"",VLOOKUP(CONCATENATE($AK$7,"-",MID(E8,1,100)),DATOS!Z:AA,2,0))</f>
        <v/>
      </c>
      <c r="AL8" s="205" t="str">
        <f>IF(ISERROR(VLOOKUP(CONCATENATE($AL$7,"-",MID(E8,1,100)),DATOS!Z:AA,2,0)),"",VLOOKUP(CONCATENATE($AL$7,"-",MID(E8,1,100)),DATOS!Z:AA,2,0))</f>
        <v/>
      </c>
      <c r="AM8" s="205" t="str">
        <f>IF(ISERROR(VLOOKUP(CONCATENATE($AM$7,"-",MID(E8,1,100)),DATOS!Z:AA,2,0)),"",VLOOKUP(CONCATENATE($AM$7,"-",MID(E8,1,100)),DATOS!Z:AA,2,0))</f>
        <v/>
      </c>
      <c r="AN8" s="205" t="str">
        <f>IF(ISERROR(VLOOKUP(CONCATENATE($AN$7,"-",MID(E8,1,100)),DATOS!Z:AA,2,0)),"",VLOOKUP(CONCATENATE($AN$7,"-",MID(E8,1,100)),DATOS!Z:AA,2,0))</f>
        <v/>
      </c>
      <c r="AO8" s="205" t="str">
        <f>IF(ISERROR(VLOOKUP(CONCATENATE($AO$7,"-",MID(E8,1,100)),DATOS!Z:AA,2,0)),"",VLOOKUP(CONCATENATE($AO$7,"-",MID(E8,1,100)),DATOS!Z:AA,2,0))</f>
        <v/>
      </c>
      <c r="AP8" s="205" t="str">
        <f>IF(ISERROR(VLOOKUP(CONCATENATE($AP$7,"-",MID(E8,1,100)),DATOS!Z:AA,2,0)),"",VLOOKUP(CONCATENATE($AP$7,"-",MID(E8,1,100)),DATOS!Z:AA,2,0))</f>
        <v/>
      </c>
      <c r="AQ8" s="205" t="str">
        <f>IF(ISERROR(VLOOKUP(CONCATENATE($AQ$7,"-",MID(E8,1,100)),DATOS!Z:AA,2,0)),"",VLOOKUP(CONCATENATE($AQ$7,"-",MID(E8,1,100)),DATOS!Z:AA,2,0))</f>
        <v/>
      </c>
      <c r="AR8" s="205" t="str">
        <f>IF(ISERROR(VLOOKUP(CONCATENATE($AR$7,"-",MID(E8,1,100)),DATOS!Z:AA,2,0)),"",VLOOKUP(CONCATENATE($AR$7,"-",MID(E8,1,100)),DATOS!Z:AA,2,0))</f>
        <v/>
      </c>
      <c r="AS8" s="206" t="str">
        <f>IF(ISERROR(VLOOKUP(CONCATENATE($AS$7,"-",MID(E8,1,100)),DATOS!Z:AA,2,0)),"",VLOOKUP(CONCATENATE($AS$7,"-",MID(E8,1,100)),DATOS!Z:AA,2,0))</f>
        <v/>
      </c>
      <c r="AT8" s="155" t="str">
        <f>IF(ISERROR(VLOOKUP(CONCATENATE($AT$7,"-",MID(E8,1,100)),DATOS!Z:AA,2,0)),"",VLOOKUP(CONCATENATE($AT$7,"-",MID(E8,1,100)),DATOS!Z:AA,2,0))</f>
        <v/>
      </c>
      <c r="AU8" s="156" t="str">
        <f>IF(ISERROR(VLOOKUP(CONCATENATE($AU$7,"-",MID(E8,1,100)),DATOS!Z:AA,2,0)),"",VLOOKUP(CONCATENATE($AU$7,"-",MID(E8,1,100)),DATOS!Z:AA,2,0))</f>
        <v/>
      </c>
      <c r="AV8" s="156" t="str">
        <f>IF(ISERROR(VLOOKUP(CONCATENATE($AV$7,"-",MID(E8,1,100)),DATOS!Z:AA,2,0)),"",VLOOKUP(CONCATENATE($AV$7,"-",MID(E8,1,100)),DATOS!Z:AA,2,0))</f>
        <v/>
      </c>
      <c r="AW8" s="156" t="str">
        <f>IF(ISERROR(VLOOKUP(CONCATENATE($AW$7,"-",MID(E8,1,100)),DATOS!Z:AA,2,0)),"",VLOOKUP(CONCATENATE($AW$7,"-",MID(E8,1,100)),DATOS!Z:AA,2,0))</f>
        <v/>
      </c>
      <c r="AX8" s="156" t="str">
        <f>IF(ISERROR(VLOOKUP(CONCATENATE($AX$7,"-",MID(E8,1,100)),DATOS!Z:AA,2,0)),"",VLOOKUP(CONCATENATE($AX$7,"-",MID(E8,1,100)),DATOS!Z:AA,2,0))</f>
        <v/>
      </c>
      <c r="AY8" s="156" t="str">
        <f>IF(ISERROR(VLOOKUP(CONCATENATE($AY$7,"-",MID(E8,1,100)),DATOS!Z:AA,2,0)),"",VLOOKUP(CONCATENATE($AY$7,"-",MID(E8,1,100)),DATOS!Z:AA,2,0))</f>
        <v/>
      </c>
      <c r="AZ8" s="156" t="str">
        <f>IF(ISERROR(VLOOKUP(CONCATENATE($AZ$7,"-",MID(E8,1,100)),DATOS!Z:AA,2,0)),"",VLOOKUP(CONCATENATE($AZ$7,"-",MID(E8,1,100)),DATOS!Z:AA,2,0))</f>
        <v/>
      </c>
      <c r="BA8" s="156" t="str">
        <f>IF(ISERROR(VLOOKUP(CONCATENATE($BA$7,"-",MID(E8,1,100)),DATOS!Z:AA,2,0)),"",VLOOKUP(CONCATENATE($BA$7,"-",MID(E8,1,100)),DATOS!Z:AA,2,0))</f>
        <v/>
      </c>
      <c r="BB8" s="156" t="str">
        <f>IF(ISERROR(VLOOKUP(CONCATENATE($BB$7,"-",MID(E8,1,100)),DATOS!Z:AA,2,0)),"",VLOOKUP(CONCATENATE($BB$7,"-",MID(E8,1,100)),DATOS!Z:AA,2,0))</f>
        <v/>
      </c>
      <c r="BC8" s="157" t="str">
        <f>IF(ISERROR(VLOOKUP(CONCATENATE($BC$7,"-",MID(E8,1,100)),DATOS!Z:AA,2,0)),"",VLOOKUP(CONCATENATE($BC$7,"-",MID(E8,1,100)),DATOS!Z:AA,2,0))</f>
        <v/>
      </c>
      <c r="BD8" s="155" t="str">
        <f>IF(ISERROR(VLOOKUP(CONCATENATE($BD$7,"-",MID(E8,1,100)),DATOS!Z:AA,2,0)),"",VLOOKUP(CONCATENATE($BD$7,"-",MID(E8,1,100)),DATOS!Z:AA,2,0))</f>
        <v/>
      </c>
      <c r="BE8" s="156" t="str">
        <f>IF(ISERROR(VLOOKUP(CONCATENATE($BE$7,"-",MID(E8,1,100)),DATOS!Z:AA,2,0)),"",VLOOKUP(CONCATENATE($BE$7,"-",MID(E8,1,100)),DATOS!Z:AA,2,0))</f>
        <v/>
      </c>
      <c r="BF8" s="156" t="str">
        <f>IF(ISERROR(VLOOKUP(CONCATENATE($BF$7,"-",MID(E8,1,100)),DATOS!Z:AA,2,0)),"",VLOOKUP(CONCATENATE($BF$7,"-",MID(E8,1,100)),DATOS!Z:AA,2,0))</f>
        <v/>
      </c>
      <c r="BG8" s="156" t="str">
        <f>IF(ISERROR(VLOOKUP(CONCATENATE($BG$7,"-",MID(E8,1,100)),DATOS!Z:AA,2,0)),"",VLOOKUP(CONCATENATE($BG$7,"-",MID(E8,1,100)),DATOS!Z:AA,2,0))</f>
        <v/>
      </c>
      <c r="BH8" s="156" t="str">
        <f>IF(ISERROR(VLOOKUP(CONCATENATE($BH$7,"-",MID(E8,1,100)),DATOS!Z:AA,2,0)),"",VLOOKUP(CONCATENATE($BH$7,"-",MID(E8,1,100)),DATOS!Z:AA,2,0))</f>
        <v/>
      </c>
      <c r="BI8" s="156" t="str">
        <f>IF(ISERROR(VLOOKUP(CONCATENATE($BI$7,"-",MID(E8,1,100)),DATOS!Z:AA,2,0)),"",VLOOKUP(CONCATENATE($BI$7,"-",MID(E8,1,100)),DATOS!Z:AA,2,0))</f>
        <v/>
      </c>
      <c r="BJ8" s="156" t="str">
        <f>IF(ISERROR(VLOOKUP(CONCATENATE($BJ$7,"-",MID(E8,1,100)),DATOS!Z:AA,2,0)),"",VLOOKUP(CONCATENATE($BJ$7,"-",MID(E8,1,100)),DATOS!Z:AA,2,0))</f>
        <v/>
      </c>
      <c r="BK8" s="156" t="str">
        <f>IF(ISERROR(VLOOKUP(CONCATENATE($BK$7,"-",MID(E8,1,100)),DATOS!Z:AA,2,0)),"",VLOOKUP(CONCATENATE($BK$7,"-",MID(E8,1,100)),DATOS!Z:AA,2,0))</f>
        <v/>
      </c>
      <c r="BL8" s="156" t="str">
        <f>IF(ISERROR(VLOOKUP(CONCATENATE($BL$7,"-",MID(E8,1,100)),DATOS!Z:AA,2,0)),"",VLOOKUP(CONCATENATE($BL$7,"-",MID(E8,1,100)),DATOS!Z:AA,2,0))</f>
        <v/>
      </c>
      <c r="BM8" s="157" t="str">
        <f>IF(ISERROR(VLOOKUP(CONCATENATE($BM$7,"-",MID(E8,1,100)),DATOS!Z:AA,2,0)),"",VLOOKUP(CONCATENATE($BM$7,"-",MID(E8,1,100)),DATOS!Z:AA,2,0))</f>
        <v/>
      </c>
      <c r="BN8" s="155" t="str">
        <f>IF(ISERROR(VLOOKUP(CONCATENATE($BN$7,"-",MID(E8,1,100)),DATOS!Z:AA,2,0)),"",VLOOKUP(CONCATENATE($BN$7,"-",MID(E8,1,100)),DATOS!Z:AA,2,0))</f>
        <v/>
      </c>
      <c r="BO8" s="156" t="str">
        <f>IF(ISERROR(VLOOKUP(CONCATENATE($BO$7,"-",MID(E8,1,100)),DATOS!Z:AA,2,0)),"",VLOOKUP(CONCATENATE($BO$7,"-",MID(E8,1,100)),DATOS!Z:AA,2,0))</f>
        <v/>
      </c>
      <c r="BP8" s="156" t="str">
        <f>IF(ISERROR(VLOOKUP(CONCATENATE($BP$7,"-",MID(E8,1,100)),DATOS!Z:AA,2,0)),"",VLOOKUP(CONCATENATE($BP$7,"-",MID(E8,1,100)),DATOS!Z:AA,2,0))</f>
        <v/>
      </c>
      <c r="BQ8" s="156" t="str">
        <f>IF(ISERROR(VLOOKUP(CONCATENATE($BQ$7,"-",MID(E8,1,100)),DATOS!Z:AA,2,0)),"",VLOOKUP(CONCATENATE($BQ$7,"-",MID(E8,1,100)),DATOS!Z:AA,2,0))</f>
        <v/>
      </c>
      <c r="BR8" s="156" t="str">
        <f>IF(ISERROR(VLOOKUP(CONCATENATE($BR$7,"-",MID(E8,1,100)),DATOS!Z:AA,2,0)),"",VLOOKUP(CONCATENATE($BR$7,"-",MID(E8,1,100)),DATOS!Z:AA,2,0))</f>
        <v/>
      </c>
      <c r="BS8" s="156" t="str">
        <f>IF(ISERROR(VLOOKUP(CONCATENATE($BS$7,"-",MID(E8,1,100)),DATOS!Z:AA,2,0)),"",VLOOKUP(CONCATENATE($BS$7,"-",MID(E8,1,100)),DATOS!Z:AA,2,0))</f>
        <v/>
      </c>
      <c r="BT8" s="156" t="str">
        <f>IF(ISERROR(VLOOKUP(CONCATENATE($BT$7,"-",MID(E8,1,100)),DATOS!Z:AA,2,0)),"",VLOOKUP(CONCATENATE($BT$7,"-",MID(E8,1,100)),DATOS!Z:AA,2,0))</f>
        <v/>
      </c>
      <c r="BU8" s="156" t="str">
        <f>IF(ISERROR(VLOOKUP(CONCATENATE($BU$7,"-",MID(E8,1,100)),DATOS!Z:AA,2,0)),"",VLOOKUP(CONCATENATE($BU$7,"-",MID(E8,1,100)),DATOS!Z:AA,2,0))</f>
        <v/>
      </c>
      <c r="BV8" s="156" t="str">
        <f>IF(ISERROR(VLOOKUP(CONCATENATE($BV$7,"-",MID(E8,1,100)),DATOS!Z:AA,2,0)),"",VLOOKUP(CONCATENATE($BV$7,"-",MID(E8,1,100)),DATOS!Z:AA,2,0))</f>
        <v/>
      </c>
      <c r="BW8" s="157" t="str">
        <f>IF(ISERROR(VLOOKUP(CONCATENATE($BW$7,"-",MID(E8,1,100)),DATOS!Z:AA,2,0)),"",VLOOKUP(CONCATENATE($BW$7,"-",MID(E8,1,100)),DATOS!Z:AA,2,0))</f>
        <v/>
      </c>
      <c r="BX8" s="155" t="str">
        <f>IF(ISERROR(VLOOKUP(CONCATENATE($BX$7,"-",MID(E8,1,100)),DATOS!Z:AA,2,0)),"",VLOOKUP(CONCATENATE($BX$7,"-",MID(E8,1,100)),DATOS!Z:AA,2,0))</f>
        <v/>
      </c>
      <c r="BY8" s="156" t="str">
        <f>IF(ISERROR(VLOOKUP(CONCATENATE($BY$7,"-",MID(E8,1,100)),DATOS!Z:AA,2,0)),"",VLOOKUP(CONCATENATE($BY$7,"-",MID(E8,1,100)),DATOS!Z:AA,2,0))</f>
        <v/>
      </c>
      <c r="BZ8" s="156" t="str">
        <f>IF(ISERROR(VLOOKUP(CONCATENATE($BZ$7,"-",MID(E8,1,100)),DATOS!Z:AA,2,0)),"",VLOOKUP(CONCATENATE($BZ$7,"-",MID(E8,1,100)),DATOS!Z:AA,2,0))</f>
        <v/>
      </c>
      <c r="CA8" s="156" t="str">
        <f>IF(ISERROR(VLOOKUP(CONCATENATE($CA$7,"-",MID(E8,1,100)),DATOS!Z:AA,2,0)),"",VLOOKUP(CONCATENATE($CA$7,"-",MID(E8,1,100)),DATOS!Z:AA,2,0))</f>
        <v/>
      </c>
      <c r="CB8" s="156" t="str">
        <f>IF(ISERROR(VLOOKUP(CONCATENATE($CB$7,"-",MID(E8,1,100)),DATOS!Z:AA,2,0)),"",VLOOKUP(CONCATENATE($CB$7,"-",MID(E8,1,100)),DATOS!Z:AA,2,0))</f>
        <v/>
      </c>
      <c r="CC8" s="156" t="str">
        <f>IF(ISERROR(VLOOKUP(CONCATENATE($CC$7,"-",MID(E8,1,100)),DATOS!Z:AA,2,0)),"",VLOOKUP(CONCATENATE($CC$7,"-",MID(E8,1,100)),DATOS!Z:AA,2,0))</f>
        <v/>
      </c>
      <c r="CD8" s="156" t="str">
        <f>IF(ISERROR(VLOOKUP(CONCATENATE($CD$7,"-",MID(E8,1,100)),DATOS!Z:AA,2,0)),"",VLOOKUP(CONCATENATE($CD$7,"-",MID(E8,1,100)),DATOS!Z:AA,2,0))</f>
        <v/>
      </c>
      <c r="CE8" s="156" t="str">
        <f>IF(ISERROR(VLOOKUP(CONCATENATE($CE$7,"-",MID(E8,1,100)),DATOS!Z:AA,2,0)),"",VLOOKUP(CONCATENATE($CE$7,"-",MID(E8,1,100)),DATOS!Z:AA,2,0))</f>
        <v/>
      </c>
      <c r="CF8" s="156" t="str">
        <f>IF(ISERROR(VLOOKUP(CONCATENATE($CF$7,"-",MID(E8,1,100)),DATOS!Z:AA,2,0)),"",VLOOKUP(CONCATENATE($CF$7,"-",MID(E8,1,100)),DATOS!Z:AA,2,0))</f>
        <v/>
      </c>
      <c r="CG8" s="157" t="str">
        <f>IF(ISERROR(VLOOKUP(CONCATENATE($CG$7,"-",MID(E8,1,100)),DATOS!Z:AA,2,0)),"",VLOOKUP(CONCATENATE($CG$7,"-",MID(E8,1,100)),DATOS!Z:AA,2,0))</f>
        <v/>
      </c>
      <c r="CH8" s="155" t="str">
        <f>IF(ISERROR(VLOOKUP(CONCATENATE($CH$7,"-",MID(E8,1,100)),DATOS!Z:AA,2,0)),"",VLOOKUP(CONCATENATE($CH$7,"-",MID(E8,1,100)),DATOS!Z:AA,2,0))</f>
        <v/>
      </c>
      <c r="CI8" s="156" t="str">
        <f>IF(ISERROR(VLOOKUP(CONCATENATE($CI$7,"-",MID(E8,1,100)),DATOS!Z:AA,2,0)),"",VLOOKUP(CONCATENATE($CI$7,"-",MID(E8,1,100)),DATOS!Z:AA,2,0))</f>
        <v/>
      </c>
      <c r="CJ8" s="156" t="str">
        <f>IF(ISERROR(VLOOKUP(CONCATENATE($CJ$7,"-",MID(E8,1,100)),DATOS!Z:AA,2,0)),"",VLOOKUP(CONCATENATE($CJ$7,"-",MID(E8,1,100)),DATOS!Z:AA,2,0))</f>
        <v/>
      </c>
      <c r="CK8" s="156" t="str">
        <f>IF(ISERROR(VLOOKUP(CONCATENATE($CK$7,"-",MID(E8,1,100)),DATOS!Z:AA,2,0)),"",VLOOKUP(CONCATENATE($CK$7,"-",MID(E8,1,100)),DATOS!Z:AA,2,0))</f>
        <v/>
      </c>
      <c r="CL8" s="156" t="str">
        <f>IF(ISERROR(VLOOKUP(CONCATENATE($CL$7,"-",MID(E8,1,100)),DATOS!Z:AA,2,0)),"",VLOOKUP(CONCATENATE($CL$7,"-",MID(E8,1,100)),DATOS!Z:AA,2,0))</f>
        <v/>
      </c>
      <c r="CM8" s="156" t="str">
        <f>IF(ISERROR(VLOOKUP(CONCATENATE($CM$7,"-",MID(E8,1,100)),DATOS!Z:AA,2,0)),"",VLOOKUP(CONCATENATE($CM$7,"-",MID(E8,1,100)),DATOS!Z:AA,2,0))</f>
        <v/>
      </c>
      <c r="CN8" s="156" t="str">
        <f>IF(ISERROR(VLOOKUP(CONCATENATE($CN$7,"-",MID(E8,1,100)),DATOS!Z:AA,2,0)),"",VLOOKUP(CONCATENATE($CN$7,"-",MID(E8,1,100)),DATOS!Z:AA,2,0))</f>
        <v/>
      </c>
      <c r="CO8" s="156" t="str">
        <f>IF(ISERROR(VLOOKUP(CONCATENATE($CO$7,"-",MID(E8,1,100)),DATOS!Z:AA,2,0)),"",VLOOKUP(CONCATENATE($CO$7,"-",MID(E8,1,100)),DATOS!Z:AA,2,0))</f>
        <v/>
      </c>
      <c r="CP8" s="194" t="str">
        <f>IF(ISERROR(VLOOKUP(CONCATENATE($CP$7,"-",MID(E8,1,100)),DATOS!Z:AA,2,0)),"",VLOOKUP(CONCATENATE($CP$7,"-",MID(E8,1,100)),DATOS!Z:AA,2,0))</f>
        <v/>
      </c>
      <c r="CQ8" s="157" t="str">
        <f>IF(ISERROR(VLOOKUP(CONCATENATE($CQ$7,"-",MID(E8,1,100)),DATOS!Z:AA,2,0)),"",VLOOKUP(CONCATENATE($CQ$7,"-",MID(E8,1,100)),DATOS!Z:AA,2,0))</f>
        <v/>
      </c>
      <c r="CR8" s="155" t="str">
        <f>IF(ISERROR(VLOOKUP(CONCATENATE(CR$7,"-",MID($E8,1,100)),DATOS!$Z:$AA,2,0)),"",VLOOKUP(CONCATENATE(CR$7,"-",MID($E8,1,100)),DATOS!$Z:$AA,2,0))</f>
        <v/>
      </c>
      <c r="CS8" s="156" t="str">
        <f>IF(ISERROR(VLOOKUP(CONCATENATE(CS$7,"-",MID($E8,1,100)),DATOS!$Z:$AA,2,0)),"",VLOOKUP(CONCATENATE(CS$7,"-",MID($E8,1,100)),DATOS!$Z:$AA,2,0))</f>
        <v/>
      </c>
      <c r="CT8" s="156" t="str">
        <f>IF(ISERROR(VLOOKUP(CONCATENATE(CT$7,"-",MID($E8,1,100)),DATOS!$Z:$AA,2,0)),"",VLOOKUP(CONCATENATE(CT$7,"-",MID($E8,1,100)),DATOS!$Z:$AA,2,0))</f>
        <v/>
      </c>
      <c r="CU8" s="156" t="str">
        <f>IF(ISERROR(VLOOKUP(CONCATENATE(CU$7,"-",MID($E8,1,100)),DATOS!$Z:$AA,2,0)),"",VLOOKUP(CONCATENATE(CU$7,"-",MID($E8,1,100)),DATOS!$Z:$AA,2,0))</f>
        <v/>
      </c>
      <c r="CV8" s="156" t="str">
        <f>IF(ISERROR(VLOOKUP(CONCATENATE(CV$7,"-",MID($E8,1,100)),DATOS!$Z:$AA,2,0)),"",VLOOKUP(CONCATENATE(CV$7,"-",MID($E8,1,100)),DATOS!$Z:$AA,2,0))</f>
        <v/>
      </c>
      <c r="CW8" s="156" t="str">
        <f>IF(ISERROR(VLOOKUP(CONCATENATE(CW$7,"-",MID($E8,1,100)),DATOS!$Z:$AA,2,0)),"",VLOOKUP(CONCATENATE(CW$7,"-",MID($E8,1,100)),DATOS!$Z:$AA,2,0))</f>
        <v/>
      </c>
      <c r="CX8" s="156" t="str">
        <f>IF(ISERROR(VLOOKUP(CONCATENATE(CX$7,"-",MID($E8,1,100)),DATOS!$Z:$AA,2,0)),"",VLOOKUP(CONCATENATE(CX$7,"-",MID($E8,1,100)),DATOS!$Z:$AA,2,0))</f>
        <v/>
      </c>
      <c r="CY8" s="156" t="str">
        <f>IF(ISERROR(VLOOKUP(CONCATENATE(CY$7,"-",MID($E8,1,100)),DATOS!$Z:$AA,2,0)),"",VLOOKUP(CONCATENATE(CY$7,"-",MID($E8,1,100)),DATOS!$Z:$AA,2,0))</f>
        <v/>
      </c>
      <c r="CZ8" s="194" t="str">
        <f>IF(ISERROR(VLOOKUP(CONCATENATE(CZ$7,"-",MID($E8,1,100)),DATOS!$Z:$AA,2,0)),"",VLOOKUP(CONCATENATE(CZ$7,"-",MID($E8,1,100)),DATOS!$Z:$AA,2,0))</f>
        <v/>
      </c>
      <c r="DA8" s="157" t="str">
        <f>IF(ISERROR(VLOOKUP(CONCATENATE(DA$7,"-",MID($E8,1,100)),DATOS!$Z:$AA,2,0)),"",VLOOKUP(CONCATENATE(DA$7,"-",MID($E8,1,100)),DATOS!$Z:$AA,2,0))</f>
        <v/>
      </c>
      <c r="DB8" s="155" t="str">
        <f>IF(ISERROR(VLOOKUP(CONCATENATE(DB$7,"-",MID($E8,1,100)),DATOS!$Z:$AA,2,0)),"",VLOOKUP(CONCATENATE(DB$7,"-",MID($E8,1,100)),DATOS!$Z:$AA,2,0))</f>
        <v/>
      </c>
      <c r="DC8" s="156" t="str">
        <f>IF(ISERROR(VLOOKUP(CONCATENATE(DC$7,"-",MID($E8,1,100)),DATOS!$Z:$AA,2,0)),"",VLOOKUP(CONCATENATE(DC$7,"-",MID($E8,1,100)),DATOS!$Z:$AA,2,0))</f>
        <v/>
      </c>
      <c r="DD8" s="156" t="str">
        <f>IF(ISERROR(VLOOKUP(CONCATENATE(DD$7,"-",MID($E8,1,100)),DATOS!$Z:$AA,2,0)),"",VLOOKUP(CONCATENATE(DD$7,"-",MID($E8,1,100)),DATOS!$Z:$AA,2,0))</f>
        <v/>
      </c>
      <c r="DE8" s="156" t="str">
        <f>IF(ISERROR(VLOOKUP(CONCATENATE(DE$7,"-",MID($E8,1,100)),DATOS!$Z:$AA,2,0)),"",VLOOKUP(CONCATENATE(DE$7,"-",MID($E8,1,100)),DATOS!$Z:$AA,2,0))</f>
        <v/>
      </c>
      <c r="DF8" s="156" t="str">
        <f>IF(ISERROR(VLOOKUP(CONCATENATE(DF$7,"-",MID($E8,1,100)),DATOS!$Z:$AA,2,0)),"",VLOOKUP(CONCATENATE(DF$7,"-",MID($E8,1,100)),DATOS!$Z:$AA,2,0))</f>
        <v/>
      </c>
      <c r="DG8" s="156" t="str">
        <f>IF(ISERROR(VLOOKUP(CONCATENATE(DG$7,"-",MID($E8,1,100)),DATOS!$Z:$AA,2,0)),"",VLOOKUP(CONCATENATE(DG$7,"-",MID($E8,1,100)),DATOS!$Z:$AA,2,0))</f>
        <v/>
      </c>
      <c r="DH8" s="156" t="str">
        <f>IF(ISERROR(VLOOKUP(CONCATENATE(DH$7,"-",MID($E8,1,100)),DATOS!$Z:$AA,2,0)),"",VLOOKUP(CONCATENATE(DH$7,"-",MID($E8,1,100)),DATOS!$Z:$AA,2,0))</f>
        <v/>
      </c>
      <c r="DI8" s="156" t="str">
        <f>IF(ISERROR(VLOOKUP(CONCATENATE(DI$7,"-",MID($E8,1,100)),DATOS!$Z:$AA,2,0)),"",VLOOKUP(CONCATENATE(DI$7,"-",MID($E8,1,100)),DATOS!$Z:$AA,2,0))</f>
        <v/>
      </c>
      <c r="DJ8" s="194" t="str">
        <f>IF(ISERROR(VLOOKUP(CONCATENATE(DJ$7,"-",MID($E8,1,100)),DATOS!$Z:$AA,2,0)),"",VLOOKUP(CONCATENATE(DJ$7,"-",MID($E8,1,100)),DATOS!$Z:$AA,2,0))</f>
        <v/>
      </c>
      <c r="DK8" s="157" t="str">
        <f>IF(ISERROR(VLOOKUP(CONCATENATE(DK$7,"-",MID($E8,1,100)),DATOS!$Z:$AA,2,0)),"",VLOOKUP(CONCATENATE(DK$7,"-",MID($E8,1,100)),DATOS!$Z:$AA,2,0))</f>
        <v/>
      </c>
      <c r="DL8" s="155" t="str">
        <f>IF(ISERROR(VLOOKUP(CONCATENATE(DL$7,"-",MID($E8,1,100)),DATOS!$Z:$AA,2,0)),"",VLOOKUP(CONCATENATE(DL$7,"-",MID($E8,1,100)),DATOS!$Z:$AA,2,0))</f>
        <v/>
      </c>
      <c r="DM8" s="156" t="str">
        <f>IF(ISERROR(VLOOKUP(CONCATENATE(DM$7,"-",MID($E8,1,100)),DATOS!$Z:$AA,2,0)),"",VLOOKUP(CONCATENATE(DM$7,"-",MID($E8,1,100)),DATOS!$Z:$AA,2,0))</f>
        <v/>
      </c>
      <c r="DN8" s="156" t="str">
        <f>IF(ISERROR(VLOOKUP(CONCATENATE(DN$7,"-",MID($E8,1,100)),DATOS!$Z:$AA,2,0)),"",VLOOKUP(CONCATENATE(DN$7,"-",MID($E8,1,100)),DATOS!$Z:$AA,2,0))</f>
        <v/>
      </c>
      <c r="DO8" s="156" t="str">
        <f>IF(ISERROR(VLOOKUP(CONCATENATE(DO$7,"-",MID($E8,1,100)),DATOS!$Z:$AA,2,0)),"",VLOOKUP(CONCATENATE(DO$7,"-",MID($E8,1,100)),DATOS!$Z:$AA,2,0))</f>
        <v/>
      </c>
      <c r="DP8" s="156" t="str">
        <f>IF(ISERROR(VLOOKUP(CONCATENATE(DP$7,"-",MID($E8,1,100)),DATOS!$Z:$AA,2,0)),"",VLOOKUP(CONCATENATE(DP$7,"-",MID($E8,1,100)),DATOS!$Z:$AA,2,0))</f>
        <v/>
      </c>
      <c r="DQ8" s="156" t="str">
        <f>IF(ISERROR(VLOOKUP(CONCATENATE(DQ$7,"-",MID($E8,1,100)),DATOS!$Z:$AA,2,0)),"",VLOOKUP(CONCATENATE(DQ$7,"-",MID($E8,1,100)),DATOS!$Z:$AA,2,0))</f>
        <v/>
      </c>
      <c r="DR8" s="156" t="str">
        <f>IF(ISERROR(VLOOKUP(CONCATENATE(DR$7,"-",MID($E8,1,100)),DATOS!$Z:$AA,2,0)),"",VLOOKUP(CONCATENATE(DR$7,"-",MID($E8,1,100)),DATOS!$Z:$AA,2,0))</f>
        <v/>
      </c>
      <c r="DS8" s="156" t="str">
        <f>IF(ISERROR(VLOOKUP(CONCATENATE(DS$7,"-",MID($E8,1,100)),DATOS!$Z:$AA,2,0)),"",VLOOKUP(CONCATENATE(DS$7,"-",MID($E8,1,100)),DATOS!$Z:$AA,2,0))</f>
        <v/>
      </c>
      <c r="DT8" s="194" t="str">
        <f>IF(ISERROR(VLOOKUP(CONCATENATE(DT$7,"-",MID($E8,1,100)),DATOS!$Z:$AA,2,0)),"",VLOOKUP(CONCATENATE(DT$7,"-",MID($E8,1,100)),DATOS!$Z:$AA,2,0))</f>
        <v/>
      </c>
      <c r="DU8" s="157" t="str">
        <f>IF(ISERROR(VLOOKUP(CONCATENATE(DU$7,"-",MID($E8,1,100)),DATOS!$Z:$AA,2,0)),"",VLOOKUP(CONCATENATE(DU$7,"-",MID($E8,1,100)),DATOS!$Z:$AA,2,0))</f>
        <v/>
      </c>
      <c r="DV8" s="155" t="str">
        <f>IF(ISERROR(VLOOKUP(CONCATENATE(DV$7,"-",MID($E8,1,100)),DATOS!$Z:$AA,2,0)),"",VLOOKUP(CONCATENATE(DV$7,"-",MID($E8,1,100)),DATOS!$Z:$AA,2,0))</f>
        <v/>
      </c>
      <c r="DW8" s="156" t="str">
        <f>IF(ISERROR(VLOOKUP(CONCATENATE(DW$7,"-",MID($E8,1,100)),DATOS!$Z:$AA,2,0)),"",VLOOKUP(CONCATENATE(DW$7,"-",MID($E8,1,100)),DATOS!$Z:$AA,2,0))</f>
        <v/>
      </c>
      <c r="DX8" s="156" t="str">
        <f>IF(ISERROR(VLOOKUP(CONCATENATE(DX$7,"-",MID($E8,1,100)),DATOS!$Z:$AA,2,0)),"",VLOOKUP(CONCATENATE(DX$7,"-",MID($E8,1,100)),DATOS!$Z:$AA,2,0))</f>
        <v/>
      </c>
      <c r="DY8" s="156" t="str">
        <f>IF(ISERROR(VLOOKUP(CONCATENATE(DY$7,"-",MID($E8,1,100)),DATOS!$Z:$AA,2,0)),"",VLOOKUP(CONCATENATE(DY$7,"-",MID($E8,1,100)),DATOS!$Z:$AA,2,0))</f>
        <v/>
      </c>
      <c r="DZ8" s="156" t="str">
        <f>IF(ISERROR(VLOOKUP(CONCATENATE(DZ$7,"-",MID($E8,1,100)),DATOS!$Z:$AA,2,0)),"",VLOOKUP(CONCATENATE(DZ$7,"-",MID($E8,1,100)),DATOS!$Z:$AA,2,0))</f>
        <v/>
      </c>
      <c r="EA8" s="156" t="str">
        <f>IF(ISERROR(VLOOKUP(CONCATENATE(EA$7,"-",MID($E8,1,100)),DATOS!$Z:$AA,2,0)),"",VLOOKUP(CONCATENATE(EA$7,"-",MID($E8,1,100)),DATOS!$Z:$AA,2,0))</f>
        <v/>
      </c>
      <c r="EB8" s="156" t="str">
        <f>IF(ISERROR(VLOOKUP(CONCATENATE(EB$7,"-",MID($E8,1,100)),DATOS!$Z:$AA,2,0)),"",VLOOKUP(CONCATENATE(EB$7,"-",MID($E8,1,100)),DATOS!$Z:$AA,2,0))</f>
        <v/>
      </c>
      <c r="EC8" s="156" t="str">
        <f>IF(ISERROR(VLOOKUP(CONCATENATE(EC$7,"-",MID($E8,1,100)),DATOS!$Z:$AA,2,0)),"",VLOOKUP(CONCATENATE(EC$7,"-",MID($E8,1,100)),DATOS!$Z:$AA,2,0))</f>
        <v/>
      </c>
      <c r="ED8" s="194" t="str">
        <f>IF(ISERROR(VLOOKUP(CONCATENATE(ED$7,"-",MID($E8,1,100)),DATOS!$Z:$AA,2,0)),"",VLOOKUP(CONCATENATE(ED$7,"-",MID($E8,1,100)),DATOS!$Z:$AA,2,0))</f>
        <v/>
      </c>
      <c r="EE8" s="157" t="str">
        <f>IF(ISERROR(VLOOKUP(CONCATENATE(EE$7,"-",MID($E8,1,100)),DATOS!$Z:$AA,2,0)),"",VLOOKUP(CONCATENATE(EE$7,"-",MID($E8,1,100)),DATOS!$Z:$AA,2,0))</f>
        <v/>
      </c>
      <c r="EF8" s="155" t="str">
        <f>IF(ISERROR(VLOOKUP(CONCATENATE($EF$7,"-",MID(E8,1,100)),DATOS!Z:AA,2,0)),"",VLOOKUP(CONCATENATE($EF$7,"-",MID(E8,1,100)),DATOS!Z:AA,2,0))</f>
        <v/>
      </c>
      <c r="EG8" s="156" t="str">
        <f>IF(ISERROR(VLOOKUP(CONCATENATE($EG$7,"-",MID(E8,1,100)),DATOS!Z:AA,2,0)),"",VLOOKUP(CONCATENATE($EG$7,"-",MID(E8,1,100)),DATOS!Z:AA,2,0))</f>
        <v/>
      </c>
      <c r="EH8" s="156" t="str">
        <f>IF(ISERROR(VLOOKUP(CONCATENATE($EH$7,"-",MID(E8,1,100)),DATOS!Z:AA,2,0)),"",VLOOKUP(CONCATENATE($EH$7,"-",MID(E8,1,100)),DATOS!Z:AA,2,0))</f>
        <v/>
      </c>
      <c r="EI8" s="156" t="str">
        <f>IF(ISERROR(VLOOKUP(CONCATENATE($EI$7,"-",MID(E8,1,100)),DATOS!Z:AA,2,0)),"",VLOOKUP(CONCATENATE($EI$7,"-",MID(E8,1,100)),DATOS!Z:AA,2,0))</f>
        <v/>
      </c>
      <c r="EJ8" s="156" t="str">
        <f>IF(ISERROR(VLOOKUP(CONCATENATE($EJ$7,"-",MID(E8,1,100)),DATOS!Z:AA,2,0)),"",VLOOKUP(CONCATENATE($EJ$7,"-",MID(E8,1,100)),DATOS!Z:AA,2,0))</f>
        <v/>
      </c>
      <c r="EK8" s="156" t="str">
        <f>IF(ISERROR(VLOOKUP(CONCATENATE($EK$7,"-",MID(E8,1,100)),DATOS!Z:AA,2,0)),"",VLOOKUP(CONCATENATE($EK$7,"-",MID(E8,1,100)),DATOS!Z:AA,2,0))</f>
        <v/>
      </c>
      <c r="EL8" s="156" t="str">
        <f>IF(ISERROR(VLOOKUP(CONCATENATE($EL$7,"-",MID(E8,1,100)),DATOS!Z:AA,2,0)),"",VLOOKUP(CONCATENATE($EL$7,"-",MID(E8,1,100)),DATOS!Z:AA,2,0))</f>
        <v/>
      </c>
      <c r="EM8" s="156" t="str">
        <f>IF(ISERROR(VLOOKUP(CONCATENATE($EM$7,"-",MID(E8,1,100)),DATOS!Z:AA,2,0)),"",VLOOKUP(CONCATENATE($EM$7,"-",MID(E8,1,100)),DATOS!Z:AA,2,0))</f>
        <v/>
      </c>
      <c r="EN8" s="156" t="str">
        <f>IF(ISERROR(VLOOKUP(CONCATENATE($EN$7,"-",MID(E8,1,100)),DATOS!Z:AA,2,0)),"",VLOOKUP(CONCATENATE($EN$7,"-",MID(E8,1,100)),DATOS!Z:AA,2,0))</f>
        <v/>
      </c>
      <c r="EO8" s="157" t="str">
        <f>IF(ISERROR(VLOOKUP(CONCATENATE($EO$7,"-",MID(E8,1,100)),DATOS!Z:AA,2,0)),"",VLOOKUP(CONCATENATE($EO$7,"-",MID(E8,1,100)),DATOS!Z:AA,2,0))</f>
        <v/>
      </c>
      <c r="EP8" s="158">
        <f t="shared" ref="EP8:EP43" si="0">COUNTIF(F8:EO8,"a")</f>
        <v>3</v>
      </c>
      <c r="EQ8" s="159" t="str">
        <f t="shared" ref="EQ8:EQ43" si="1">CONCATENATE(B8,"-", C8)</f>
        <v>CG1: Comunicación Integral-N1</v>
      </c>
    </row>
    <row r="9" spans="1:168" ht="17.25" customHeight="1">
      <c r="A9" s="148"/>
      <c r="B9" s="160" t="str">
        <f>IF('1.Fundamentos'!B52="","",'1.Fundamentos'!B52)</f>
        <v>CG1: Comunicación Integral</v>
      </c>
      <c r="C9" s="161" t="s">
        <v>82</v>
      </c>
      <c r="D9" s="162" t="str">
        <f>IF('1.Fundamentos'!E52="","",'1.Fundamentos'!E52)</f>
        <v>Elabora textos académicos escritos y comunicaciones orales con una estructura elaborada en el cual se reconoce la revisión de fuentes y documentación apropiada para comunicar sus ideas en un entorno académico y/o social.</v>
      </c>
      <c r="E9" s="163" t="str">
        <f t="shared" ref="E9:E42" si="2">IF(D9="","",CONCATENATE(B9,":",C9," ",D9))</f>
        <v>CG1: Comunicación Integral:N2 Elabora textos académicos escritos y comunicaciones orales con una estructura elaborada en el cual se reconoce la revisión de fuentes y documentación apropiada para comunicar sus ideas en un entorno académico y/o social.</v>
      </c>
      <c r="F9" s="164" t="str">
        <f>IF(ISERROR(VLOOKUP(CONCATENATE($F$7,"-",MID(E9,1,100)),DATOS!Z:AA,2,0)),"",VLOOKUP(CONCATENATE($F$7,"-",MID(E9,1,100)),DATOS!Z:AA,2,0))</f>
        <v/>
      </c>
      <c r="G9" s="165" t="str">
        <f>IF(ISERROR(VLOOKUP(CONCATENATE($G$7,"-",MID(E9,1,100)),DATOS!Z:AA,2,0)),"",VLOOKUP(CONCATENATE($G$7,"-",MID(E9,1,100)),DATOS!Z:AA,2,0))</f>
        <v/>
      </c>
      <c r="H9" s="165" t="str">
        <f>IF(ISERROR(VLOOKUP(CONCATENATE($H$7,"-",MID(E9,1,100)),DATOS!Z:AA,2,0)),"",VLOOKUP(CONCATENATE($H$7,"-",MID(E9,1,100)),DATOS!Z:AA,2,0))</f>
        <v/>
      </c>
      <c r="I9" s="165" t="str">
        <f>IF(ISERROR(VLOOKUP(CONCATENATE($I$7,"-",MID(E9,1,100)),DATOS!Z:AA,2,0)),"",VLOOKUP(CONCATENATE($I$7,"-",MID(E9,1,100)),DATOS!Z:AA,2,0))</f>
        <v/>
      </c>
      <c r="J9" s="165" t="str">
        <f>IF(ISERROR(VLOOKUP(CONCATENATE($J$7,"-",MID(E9,1,100)),DATOS!Z:AA,2,0)),"",VLOOKUP(CONCATENATE($J$7,"-",MID(E9,1,100)),DATOS!Z:AA,2,0))</f>
        <v/>
      </c>
      <c r="K9" s="165" t="str">
        <f>IF(ISERROR(VLOOKUP(CONCATENATE($K$7,"-",MID(E9,1,100)),DATOS!Z:AA,2,0)),"",VLOOKUP(CONCATENATE($K$7,"-",MID(E9,1,100)),DATOS!Z:AA,2,0))</f>
        <v/>
      </c>
      <c r="L9" s="165" t="str">
        <f>IF(ISERROR(VLOOKUP(CONCATENATE($L$7,"-",MID(E9,1,100)),DATOS!Z:AA,2,0)),"",VLOOKUP(CONCATENATE($L$7,"-",MID(E9,1,100)),DATOS!Z:AA,2,0))</f>
        <v/>
      </c>
      <c r="M9" s="165" t="str">
        <f>IF(ISERROR(VLOOKUP(CONCATENATE($M$7,"-",MID(E9,1,100)),DATOS!Z:AA,2,0)),"",VLOOKUP(CONCATENATE($M$7,"-",MID(E9,1,100)),DATOS!Z:AA,2,0))</f>
        <v/>
      </c>
      <c r="N9" s="165" t="str">
        <f>IF(ISERROR(VLOOKUP(CONCATENATE($N$7,"-",MID(E9,1,100)),DATOS!Z:AA,2,0)),"",VLOOKUP(CONCATENATE($N$7,"-",MID(E9,1,100)),DATOS!Z:AA,2,0))</f>
        <v/>
      </c>
      <c r="O9" s="166" t="str">
        <f>IF(ISERROR(VLOOKUP(CONCATENATE($O$7,"-",MID(E9,1,100)),DATOS!Z:AA,2,0)),"",VLOOKUP(CONCATENATE($O$7,"-",MID(E9,1,100)),DATOS!Z:AA,2,0))</f>
        <v/>
      </c>
      <c r="P9" s="164" t="str">
        <f>IF(ISERROR(VLOOKUP(CONCATENATE($P$7,"-",MID(E9,1,100)),DATOS!Z:AA,2,0)),"",VLOOKUP(CONCATENATE($P$7,"-",MID(E9,1,100)),DATOS!Z:AA,2,0))</f>
        <v/>
      </c>
      <c r="Q9" s="165" t="str">
        <f>IF(ISERROR(VLOOKUP(CONCATENATE($Q$7,"-",MID(E9,1,100)),DATOS!Z:AA,2,0)),"",VLOOKUP(CONCATENATE($Q$7,"-",MID(E9,1,100)),DATOS!Z:AA,2,0))</f>
        <v/>
      </c>
      <c r="R9" s="165" t="str">
        <f>IF(ISERROR(VLOOKUP(CONCATENATE($R$7,"-",MID(E9,1,100)),DATOS!Z:AA,2,0)),"",VLOOKUP(CONCATENATE($R$7,"-",MID(E9,1,100)),DATOS!Z:AA,2,0))</f>
        <v/>
      </c>
      <c r="S9" s="165" t="str">
        <f>IF(ISERROR(VLOOKUP(CONCATENATE($S$7,"-",MID(E9,1,100)),DATOS!Z:AA,2,0)),"",VLOOKUP(CONCATENATE($S$7,"-",MID(E9,1,100)),DATOS!Z:AA,2,0))</f>
        <v/>
      </c>
      <c r="T9" s="165" t="str">
        <f>IF(ISERROR(VLOOKUP(CONCATENATE($T$7,"-",MID(E9,1,100)),DATOS!Z:AA,2,0)),"",VLOOKUP(CONCATENATE($T$7,"-",MID(E9,1,100)),DATOS!Z:AA,2,0))</f>
        <v/>
      </c>
      <c r="U9" s="165" t="str">
        <f>IF(ISERROR(VLOOKUP(CONCATENATE($U$7,"-",MID(E9,1,100)),DATOS!Z:AA,2,0)),"",VLOOKUP(CONCATENATE($U$7,"-",MID(E9,1,100)),DATOS!Z:AA,2,0))</f>
        <v/>
      </c>
      <c r="V9" s="165" t="str">
        <f>IF(ISERROR(VLOOKUP(CONCATENATE($V$7,"-",MID(E9,1,100)),DATOS!Z:AA,2,0)),"",VLOOKUP(CONCATENATE($V$7,"-",MID(E9,1,100)),DATOS!Z:AA,2,0))</f>
        <v/>
      </c>
      <c r="W9" s="165" t="str">
        <f>IF(ISERROR(VLOOKUP(CONCATENATE($W$7,"-",MID(E9,1,100)),DATOS!Z:AA,2,0)),"",VLOOKUP(CONCATENATE($W$7,"-",MID(E9,1,100)),DATOS!Z:AA,2,0))</f>
        <v/>
      </c>
      <c r="X9" s="165" t="str">
        <f>IF(ISERROR(VLOOKUP(CONCATENATE($X$7,"-",MID(E9,1,100)),DATOS!Z:AA,2,0)),"",VLOOKUP(CONCATENATE($X$7,"-",MID(E9,1,100)),DATOS!Z:AA,2,0))</f>
        <v/>
      </c>
      <c r="Y9" s="166" t="str">
        <f>IF(ISERROR(VLOOKUP(CONCATENATE($Y$7,"-",MID(E9,1,100)),DATOS!Z:AA,2,0)),"",VLOOKUP(CONCATENATE($Y$7,"-",MID(E9,1,100)),DATOS!Z:AA,2,0))</f>
        <v/>
      </c>
      <c r="Z9" s="164" t="str">
        <f>IF(ISERROR(VLOOKUP(CONCATENATE($Z$7,"-",MID(E9,1,100)),DATOS!Z:AA,2,0)),"",VLOOKUP(CONCATENATE($Z$7,"-",MID(E9,1,100)),DATOS!Z:AA,2,0))</f>
        <v/>
      </c>
      <c r="AA9" s="165" t="str">
        <f>IF(ISERROR(VLOOKUP(CONCATENATE($AA$7,"-",MID(E9,1,100)),DATOS!Z:AA,2,0)),"",VLOOKUP(CONCATENATE($AA$7,"-",MID(E9,1,100)),DATOS!Z:AA,2,0))</f>
        <v/>
      </c>
      <c r="AB9" s="165" t="str">
        <f>IF(ISERROR(VLOOKUP(CONCATENATE($AB$7,"-",MID(E9,1,100)),DATOS!Z:AA,2,0)),"",VLOOKUP(CONCATENATE($AB$7,"-",MID(E9,1,100)),DATOS!Z:AA,2,0))</f>
        <v/>
      </c>
      <c r="AC9" s="165" t="str">
        <f>IF(ISERROR(VLOOKUP(CONCATENATE($AC$7,"-",MID(E9,1,100)),DATOS!Z:AA,2,0)),"",VLOOKUP(CONCATENATE($AC$7,"-",MID(E9,1,100)),DATOS!Z:AA,2,0))</f>
        <v/>
      </c>
      <c r="AD9" s="165" t="str">
        <f>IF(ISERROR(VLOOKUP(CONCATENATE($AD$7,"-",MID(E9,1,100)),DATOS!Z:AA,2,0)),"",VLOOKUP(CONCATENATE($AD$7,"-",MID(E9,1,100)),DATOS!Z:AA,2,0))</f>
        <v/>
      </c>
      <c r="AE9" s="165" t="str">
        <f>IF(ISERROR(VLOOKUP(CONCATENATE($AE$7,"-",MID(E9,1,100)),DATOS!Z:AA,2,0)),"",VLOOKUP(CONCATENATE($AE$7,"-",MID(E9,1,100)),DATOS!Z:AA,2,0))</f>
        <v/>
      </c>
      <c r="AF9" s="165" t="str">
        <f>IF(ISERROR(VLOOKUP(CONCATENATE($AF$7,"-",MID(E9,1,100)),DATOS!Z:AA,2,0)),"",VLOOKUP(CONCATENATE($AF$7,"-",MID(E9,1,100)),DATOS!Z:AA,2,0))</f>
        <v/>
      </c>
      <c r="AG9" s="165" t="str">
        <f>IF(ISERROR(VLOOKUP(CONCATENATE($AG$7,"-",MID(E9,1,100)),DATOS!Z:AA,2,0)),"",VLOOKUP(CONCATENATE($AG$7,"-",MID(E9,1,100)),DATOS!Z:AA,2,0))</f>
        <v/>
      </c>
      <c r="AH9" s="165" t="str">
        <f>IF(ISERROR(VLOOKUP(CONCATENATE($AH$7,"-",MID(E9,1,100)),DATOS!Z:AA,2,0)),"",VLOOKUP(CONCATENATE($AH$7,"-",MID(E9,1,100)),DATOS!Z:AA,2,0))</f>
        <v/>
      </c>
      <c r="AI9" s="166" t="str">
        <f>IF(ISERROR(VLOOKUP(CONCATENATE($AI$7,"-",MID(E9,1,100)),DATOS!Z:AA,2,0)),"",VLOOKUP(CONCATENATE($AI$7,"-",MID(E9,1,100)),DATOS!Z:AA,2,0))</f>
        <v/>
      </c>
      <c r="AJ9" s="164" t="str">
        <f>IF(ISERROR(VLOOKUP(CONCATENATE($AJ$7,"-",MID(E9,1,100)),DATOS!Z:AA,2,0)),"",VLOOKUP(CONCATENATE($AJ$7,"-",MID(E9,1,100)),DATOS!Z:AA,2,0))</f>
        <v/>
      </c>
      <c r="AK9" s="165" t="str">
        <f>IF(ISERROR(VLOOKUP(CONCATENATE($AK$7,"-",MID(E9,1,100)),DATOS!Z:AA,2,0)),"",VLOOKUP(CONCATENATE($AK$7,"-",MID(E9,1,100)),DATOS!Z:AA,2,0))</f>
        <v/>
      </c>
      <c r="AL9" s="165" t="str">
        <f>IF(ISERROR(VLOOKUP(CONCATENATE($AL$7,"-",MID(E9,1,100)),DATOS!Z:AA,2,0)),"",VLOOKUP(CONCATENATE($AL$7,"-",MID(E9,1,100)),DATOS!Z:AA,2,0))</f>
        <v/>
      </c>
      <c r="AM9" s="165" t="str">
        <f>IF(ISERROR(VLOOKUP(CONCATENATE($AM$7,"-",MID(E9,1,100)),DATOS!Z:AA,2,0)),"",VLOOKUP(CONCATENATE($AM$7,"-",MID(E9,1,100)),DATOS!Z:AA,2,0))</f>
        <v/>
      </c>
      <c r="AN9" s="165" t="str">
        <f>IF(ISERROR(VLOOKUP(CONCATENATE($AN$7,"-",MID(E9,1,100)),DATOS!Z:AA,2,0)),"",VLOOKUP(CONCATENATE($AN$7,"-",MID(E9,1,100)),DATOS!Z:AA,2,0))</f>
        <v/>
      </c>
      <c r="AO9" s="165" t="str">
        <f>IF(ISERROR(VLOOKUP(CONCATENATE($AO$7,"-",MID(E9,1,100)),DATOS!Z:AA,2,0)),"",VLOOKUP(CONCATENATE($AO$7,"-",MID(E9,1,100)),DATOS!Z:AA,2,0))</f>
        <v/>
      </c>
      <c r="AP9" s="165" t="str">
        <f>IF(ISERROR(VLOOKUP(CONCATENATE($AP$7,"-",MID(E9,1,100)),DATOS!Z:AA,2,0)),"",VLOOKUP(CONCATENATE($AP$7,"-",MID(E9,1,100)),DATOS!Z:AA,2,0))</f>
        <v/>
      </c>
      <c r="AQ9" s="165" t="str">
        <f>IF(ISERROR(VLOOKUP(CONCATENATE($AQ$7,"-",MID(E9,1,100)),DATOS!Z:AA,2,0)),"",VLOOKUP(CONCATENATE($AQ$7,"-",MID(E9,1,100)),DATOS!Z:AA,2,0))</f>
        <v/>
      </c>
      <c r="AR9" s="165" t="str">
        <f>IF(ISERROR(VLOOKUP(CONCATENATE($AR$7,"-",MID(E9,1,100)),DATOS!Z:AA,2,0)),"",VLOOKUP(CONCATENATE($AR$7,"-",MID(E9,1,100)),DATOS!Z:AA,2,0))</f>
        <v/>
      </c>
      <c r="AS9" s="166" t="str">
        <f>IF(ISERROR(VLOOKUP(CONCATENATE($AS$7,"-",MID(E9,1,100)),DATOS!Z:AA,2,0)),"",VLOOKUP(CONCATENATE($AS$7,"-",MID(E9,1,100)),DATOS!Z:AA,2,0))</f>
        <v/>
      </c>
      <c r="AT9" s="207" t="str">
        <f>IF(ISERROR(VLOOKUP(CONCATENATE($AT$7,"-",MID(E9,1,100)),DATOS!Z:AA,2,0)),"",VLOOKUP(CONCATENATE($AT$7,"-",MID(E9,1,100)),DATOS!Z:AA,2,0))</f>
        <v/>
      </c>
      <c r="AU9" s="208" t="str">
        <f>IF(ISERROR(VLOOKUP(CONCATENATE($AU$7,"-",MID(E9,1,100)),DATOS!Z:AA,2,0)),"",VLOOKUP(CONCATENATE($AU$7,"-",MID(E9,1,100)),DATOS!Z:AA,2,0))</f>
        <v/>
      </c>
      <c r="AV9" s="208" t="str">
        <f>IF(ISERROR(VLOOKUP(CONCATENATE($AV$7,"-",MID(E9,1,100)),DATOS!Z:AA,2,0)),"",VLOOKUP(CONCATENATE($AV$7,"-",MID(E9,1,100)),DATOS!Z:AA,2,0))</f>
        <v/>
      </c>
      <c r="AW9" s="208" t="str">
        <f>IF(ISERROR(VLOOKUP(CONCATENATE($AW$7,"-",MID(E9,1,100)),DATOS!Z:AA,2,0)),"",VLOOKUP(CONCATENATE($AW$7,"-",MID(E9,1,100)),DATOS!Z:AA,2,0))</f>
        <v/>
      </c>
      <c r="AX9" s="208" t="str">
        <f>IF(ISERROR(VLOOKUP(CONCATENATE($AX$7,"-",MID(E9,1,100)),DATOS!Z:AA,2,0)),"",VLOOKUP(CONCATENATE($AX$7,"-",MID(E9,1,100)),DATOS!Z:AA,2,0))</f>
        <v/>
      </c>
      <c r="AY9" s="208" t="str">
        <f>IF(ISERROR(VLOOKUP(CONCATENATE($AY$7,"-",MID(E9,1,100)),DATOS!Z:AA,2,0)),"",VLOOKUP(CONCATENATE($AY$7,"-",MID(E9,1,100)),DATOS!Z:AA,2,0))</f>
        <v/>
      </c>
      <c r="AZ9" s="208" t="str">
        <f>IF(ISERROR(VLOOKUP(CONCATENATE($AZ$7,"-",MID(E9,1,100)),DATOS!Z:AA,2,0)),"",VLOOKUP(CONCATENATE($AZ$7,"-",MID(E9,1,100)),DATOS!Z:AA,2,0))</f>
        <v/>
      </c>
      <c r="BA9" s="208" t="str">
        <f>IF(ISERROR(VLOOKUP(CONCATENATE($BA$7,"-",MID(E9,1,100)),DATOS!Z:AA,2,0)),"",VLOOKUP(CONCATENATE($BA$7,"-",MID(E9,1,100)),DATOS!Z:AA,2,0))</f>
        <v/>
      </c>
      <c r="BB9" s="208" t="str">
        <f>IF(ISERROR(VLOOKUP(CONCATENATE($BB$7,"-",MID(E9,1,100)),DATOS!Z:AA,2,0)),"",VLOOKUP(CONCATENATE($BB$7,"-",MID(E9,1,100)),DATOS!Z:AA,2,0))</f>
        <v/>
      </c>
      <c r="BC9" s="209" t="str">
        <f>IF(ISERROR(VLOOKUP(CONCATENATE($BC$7,"-",MID(E9,1,100)),DATOS!Z:AA,2,0)),"",VLOOKUP(CONCATENATE($BC$7,"-",MID(E9,1,100)),DATOS!Z:AA,2,0))</f>
        <v/>
      </c>
      <c r="BD9" s="207" t="str">
        <f>IF(ISERROR(VLOOKUP(CONCATENATE($BD$7,"-",MID(E9,1,100)),DATOS!Z:AA,2,0)),"",VLOOKUP(CONCATENATE($BD$7,"-",MID(E9,1,100)),DATOS!Z:AA,2,0))</f>
        <v/>
      </c>
      <c r="BE9" s="208" t="str">
        <f>IF(ISERROR(VLOOKUP(CONCATENATE($BE$7,"-",MID(E9,1,100)),DATOS!Z:AA,2,0)),"",VLOOKUP(CONCATENATE($BE$7,"-",MID(E9,1,100)),DATOS!Z:AA,2,0))</f>
        <v/>
      </c>
      <c r="BF9" s="208" t="str">
        <f>IF(ISERROR(VLOOKUP(CONCATENATE($BF$7,"-",MID(E9,1,100)),DATOS!Z:AA,2,0)),"",VLOOKUP(CONCATENATE($BF$7,"-",MID(E9,1,100)),DATOS!Z:AA,2,0))</f>
        <v>a</v>
      </c>
      <c r="BG9" s="208" t="str">
        <f>IF(ISERROR(VLOOKUP(CONCATENATE($BG$7,"-",MID(E9,1,100)),DATOS!Z:AA,2,0)),"",VLOOKUP(CONCATENATE($BG$7,"-",MID(E9,1,100)),DATOS!Z:AA,2,0))</f>
        <v/>
      </c>
      <c r="BH9" s="208" t="str">
        <f>IF(ISERROR(VLOOKUP(CONCATENATE($BH$7,"-",MID(E9,1,100)),DATOS!Z:AA,2,0)),"",VLOOKUP(CONCATENATE($BH$7,"-",MID(E9,1,100)),DATOS!Z:AA,2,0))</f>
        <v/>
      </c>
      <c r="BI9" s="208" t="str">
        <f>IF(ISERROR(VLOOKUP(CONCATENATE($BI$7,"-",MID(E9,1,100)),DATOS!Z:AA,2,0)),"",VLOOKUP(CONCATENATE($BI$7,"-",MID(E9,1,100)),DATOS!Z:AA,2,0))</f>
        <v/>
      </c>
      <c r="BJ9" s="208" t="str">
        <f>IF(ISERROR(VLOOKUP(CONCATENATE($BJ$7,"-",MID(E9,1,100)),DATOS!Z:AA,2,0)),"",VLOOKUP(CONCATENATE($BJ$7,"-",MID(E9,1,100)),DATOS!Z:AA,2,0))</f>
        <v/>
      </c>
      <c r="BK9" s="208" t="str">
        <f>IF(ISERROR(VLOOKUP(CONCATENATE($BK$7,"-",MID(E9,1,100)),DATOS!Z:AA,2,0)),"",VLOOKUP(CONCATENATE($BK$7,"-",MID(E9,1,100)),DATOS!Z:AA,2,0))</f>
        <v/>
      </c>
      <c r="BL9" s="208" t="str">
        <f>IF(ISERROR(VLOOKUP(CONCATENATE($BL$7,"-",MID(E9,1,100)),DATOS!Z:AA,2,0)),"",VLOOKUP(CONCATENATE($BL$7,"-",MID(E9,1,100)),DATOS!Z:AA,2,0))</f>
        <v/>
      </c>
      <c r="BM9" s="209" t="str">
        <f>IF(ISERROR(VLOOKUP(CONCATENATE($BM$7,"-",MID(E9,1,100)),DATOS!Z:AA,2,0)),"",VLOOKUP(CONCATENATE($BM$7,"-",MID(E9,1,100)),DATOS!Z:AA,2,0))</f>
        <v/>
      </c>
      <c r="BN9" s="207" t="str">
        <f>IF(ISERROR(VLOOKUP(CONCATENATE($BN$7,"-",MID(E9,1,100)),DATOS!Z:AA,2,0)),"",VLOOKUP(CONCATENATE($BN$7,"-",MID(E9,1,100)),DATOS!Z:AA,2,0))</f>
        <v/>
      </c>
      <c r="BO9" s="208" t="str">
        <f>IF(ISERROR(VLOOKUP(CONCATENATE($BO$7,"-",MID(E9,1,100)),DATOS!Z:AA,2,0)),"",VLOOKUP(CONCATENATE($BO$7,"-",MID(E9,1,100)),DATOS!Z:AA,2,0))</f>
        <v/>
      </c>
      <c r="BP9" s="208" t="str">
        <f>IF(ISERROR(VLOOKUP(CONCATENATE($BP$7,"-",MID(E9,1,100)),DATOS!Z:AA,2,0)),"",VLOOKUP(CONCATENATE($BP$7,"-",MID(E9,1,100)),DATOS!Z:AA,2,0))</f>
        <v>a</v>
      </c>
      <c r="BQ9" s="208" t="str">
        <f>IF(ISERROR(VLOOKUP(CONCATENATE($BQ$7,"-",MID(E9,1,100)),DATOS!Z:AA,2,0)),"",VLOOKUP(CONCATENATE($BQ$7,"-",MID(E9,1,100)),DATOS!Z:AA,2,0))</f>
        <v/>
      </c>
      <c r="BR9" s="208" t="str">
        <f>IF(ISERROR(VLOOKUP(CONCATENATE($BR$7,"-",MID(E9,1,100)),DATOS!Z:AA,2,0)),"",VLOOKUP(CONCATENATE($BR$7,"-",MID(E9,1,100)),DATOS!Z:AA,2,0))</f>
        <v/>
      </c>
      <c r="BS9" s="208" t="str">
        <f>IF(ISERROR(VLOOKUP(CONCATENATE($BS$7,"-",MID(E9,1,100)),DATOS!Z:AA,2,0)),"",VLOOKUP(CONCATENATE($BS$7,"-",MID(E9,1,100)),DATOS!Z:AA,2,0))</f>
        <v/>
      </c>
      <c r="BT9" s="208" t="str">
        <f>IF(ISERROR(VLOOKUP(CONCATENATE($BT$7,"-",MID(E9,1,100)),DATOS!Z:AA,2,0)),"",VLOOKUP(CONCATENATE($BT$7,"-",MID(E9,1,100)),DATOS!Z:AA,2,0))</f>
        <v/>
      </c>
      <c r="BU9" s="208" t="str">
        <f>IF(ISERROR(VLOOKUP(CONCATENATE($BU$7,"-",MID(E9,1,100)),DATOS!Z:AA,2,0)),"",VLOOKUP(CONCATENATE($BU$7,"-",MID(E9,1,100)),DATOS!Z:AA,2,0))</f>
        <v/>
      </c>
      <c r="BV9" s="208" t="str">
        <f>IF(ISERROR(VLOOKUP(CONCATENATE($BV$7,"-",MID(E9,1,100)),DATOS!Z:AA,2,0)),"",VLOOKUP(CONCATENATE($BV$7,"-",MID(E9,1,100)),DATOS!Z:AA,2,0))</f>
        <v/>
      </c>
      <c r="BW9" s="209" t="str">
        <f>IF(ISERROR(VLOOKUP(CONCATENATE($BW$7,"-",MID(E9,1,100)),DATOS!Z:AA,2,0)),"",VLOOKUP(CONCATENATE($BW$7,"-",MID(E9,1,100)),DATOS!Z:AA,2,0))</f>
        <v/>
      </c>
      <c r="BX9" s="164" t="str">
        <f>IF(ISERROR(VLOOKUP(CONCATENATE($BX$7,"-",MID(E9,1,100)),DATOS!Z:AA,2,0)),"",VLOOKUP(CONCATENATE($BX$7,"-",MID(E9,1,100)),DATOS!Z:AA,2,0))</f>
        <v/>
      </c>
      <c r="BY9" s="165" t="str">
        <f>IF(ISERROR(VLOOKUP(CONCATENATE($BY$7,"-",MID(E9,1,100)),DATOS!Z:AA,2,0)),"",VLOOKUP(CONCATENATE($BY$7,"-",MID(E9,1,100)),DATOS!Z:AA,2,0))</f>
        <v/>
      </c>
      <c r="BZ9" s="165" t="str">
        <f>IF(ISERROR(VLOOKUP(CONCATENATE($BZ$7,"-",MID(E9,1,100)),DATOS!Z:AA,2,0)),"",VLOOKUP(CONCATENATE($BZ$7,"-",MID(E9,1,100)),DATOS!Z:AA,2,0))</f>
        <v/>
      </c>
      <c r="CA9" s="165" t="str">
        <f>IF(ISERROR(VLOOKUP(CONCATENATE($CA$7,"-",MID(E9,1,100)),DATOS!Z:AA,2,0)),"",VLOOKUP(CONCATENATE($CA$7,"-",MID(E9,1,100)),DATOS!Z:AA,2,0))</f>
        <v/>
      </c>
      <c r="CB9" s="165" t="str">
        <f>IF(ISERROR(VLOOKUP(CONCATENATE($CB$7,"-",MID(E9,1,100)),DATOS!Z:AA,2,0)),"",VLOOKUP(CONCATENATE($CB$7,"-",MID(E9,1,100)),DATOS!Z:AA,2,0))</f>
        <v/>
      </c>
      <c r="CC9" s="165" t="str">
        <f>IF(ISERROR(VLOOKUP(CONCATENATE($CC$7,"-",MID(E9,1,100)),DATOS!Z:AA,2,0)),"",VLOOKUP(CONCATENATE($CC$7,"-",MID(E9,1,100)),DATOS!Z:AA,2,0))</f>
        <v/>
      </c>
      <c r="CD9" s="165" t="str">
        <f>IF(ISERROR(VLOOKUP(CONCATENATE($CD$7,"-",MID(E9,1,100)),DATOS!Z:AA,2,0)),"",VLOOKUP(CONCATENATE($CD$7,"-",MID(E9,1,100)),DATOS!Z:AA,2,0))</f>
        <v/>
      </c>
      <c r="CE9" s="165" t="str">
        <f>IF(ISERROR(VLOOKUP(CONCATENATE($CE$7,"-",MID(E9,1,100)),DATOS!Z:AA,2,0)),"",VLOOKUP(CONCATENATE($CE$7,"-",MID(E9,1,100)),DATOS!Z:AA,2,0))</f>
        <v/>
      </c>
      <c r="CF9" s="165" t="str">
        <f>IF(ISERROR(VLOOKUP(CONCATENATE($CF$7,"-",MID(E9,1,100)),DATOS!Z:AA,2,0)),"",VLOOKUP(CONCATENATE($CF$7,"-",MID(E9,1,100)),DATOS!Z:AA,2,0))</f>
        <v/>
      </c>
      <c r="CG9" s="166" t="str">
        <f>IF(ISERROR(VLOOKUP(CONCATENATE($CG$7,"-",MID(E9,1,100)),DATOS!Z:AA,2,0)),"",VLOOKUP(CONCATENATE($CG$7,"-",MID(E9,1,100)),DATOS!Z:AA,2,0))</f>
        <v/>
      </c>
      <c r="CH9" s="164" t="str">
        <f>IF(ISERROR(VLOOKUP(CONCATENATE($CH$7,"-",MID(E9,1,100)),DATOS!Z:AA,2,0)),"",VLOOKUP(CONCATENATE($CH$7,"-",MID(E9,1,100)),DATOS!Z:AA,2,0))</f>
        <v/>
      </c>
      <c r="CI9" s="165" t="str">
        <f>IF(ISERROR(VLOOKUP(CONCATENATE($CI$7,"-",MID(E9,1,100)),DATOS!Z:AA,2,0)),"",VLOOKUP(CONCATENATE($CI$7,"-",MID(E9,1,100)),DATOS!Z:AA,2,0))</f>
        <v/>
      </c>
      <c r="CJ9" s="165" t="str">
        <f>IF(ISERROR(VLOOKUP(CONCATENATE($CJ$7,"-",MID(E9,1,100)),DATOS!Z:AA,2,0)),"",VLOOKUP(CONCATENATE($CJ$7,"-",MID(E9,1,100)),DATOS!Z:AA,2,0))</f>
        <v/>
      </c>
      <c r="CK9" s="165" t="str">
        <f>IF(ISERROR(VLOOKUP(CONCATENATE($CK$7,"-",MID(E9,1,100)),DATOS!Z:AA,2,0)),"",VLOOKUP(CONCATENATE($CK$7,"-",MID(E9,1,100)),DATOS!Z:AA,2,0))</f>
        <v/>
      </c>
      <c r="CL9" s="165" t="str">
        <f>IF(ISERROR(VLOOKUP(CONCATENATE($CL$7,"-",MID(E9,1,100)),DATOS!Z:AA,2,0)),"",VLOOKUP(CONCATENATE($CL$7,"-",MID(E9,1,100)),DATOS!Z:AA,2,0))</f>
        <v/>
      </c>
      <c r="CM9" s="165" t="str">
        <f>IF(ISERROR(VLOOKUP(CONCATENATE($CM$7,"-",MID(E9,1,100)),DATOS!Z:AA,2,0)),"",VLOOKUP(CONCATENATE($CM$7,"-",MID(E9,1,100)),DATOS!Z:AA,2,0))</f>
        <v/>
      </c>
      <c r="CN9" s="165" t="str">
        <f>IF(ISERROR(VLOOKUP(CONCATENATE($CN$7,"-",MID(E9,1,100)),DATOS!Z:AA,2,0)),"",VLOOKUP(CONCATENATE($CN$7,"-",MID(E9,1,100)),DATOS!Z:AA,2,0))</f>
        <v/>
      </c>
      <c r="CO9" s="165" t="str">
        <f>IF(ISERROR(VLOOKUP(CONCATENATE($CO$7,"-",MID(E9,1,100)),DATOS!Z:AA,2,0)),"",VLOOKUP(CONCATENATE($CO$7,"-",MID(E9,1,100)),DATOS!Z:AA,2,0))</f>
        <v/>
      </c>
      <c r="CP9" s="195" t="str">
        <f>IF(ISERROR(VLOOKUP(CONCATENATE($CP$7,"-",MID(E9,1,100)),DATOS!Z:AA,2,0)),"",VLOOKUP(CONCATENATE($CP$7,"-",MID(E9,1,100)),DATOS!Z:AA,2,0))</f>
        <v/>
      </c>
      <c r="CQ9" s="166" t="str">
        <f>IF(ISERROR(VLOOKUP(CONCATENATE($CQ$7,"-",MID(E9,1,100)),DATOS!Z:AA,2,0)),"",VLOOKUP(CONCATENATE($CQ$7,"-",MID(E9,1,100)),DATOS!Z:AA,2,0))</f>
        <v/>
      </c>
      <c r="CR9" s="164" t="str">
        <f>IF(ISERROR(VLOOKUP(CONCATENATE(CR$7,"-",MID($E9,1,100)),DATOS!$Z:$AA,2,0)),"",VLOOKUP(CONCATENATE(CR$7,"-",MID($E9,1,100)),DATOS!$Z:$AA,2,0))</f>
        <v/>
      </c>
      <c r="CS9" s="165" t="str">
        <f>IF(ISERROR(VLOOKUP(CONCATENATE(CS$7,"-",MID($E9,1,100)),DATOS!$Z:$AA,2,0)),"",VLOOKUP(CONCATENATE(CS$7,"-",MID($E9,1,100)),DATOS!$Z:$AA,2,0))</f>
        <v/>
      </c>
      <c r="CT9" s="165" t="str">
        <f>IF(ISERROR(VLOOKUP(CONCATENATE(CT$7,"-",MID($E9,1,100)),DATOS!$Z:$AA,2,0)),"",VLOOKUP(CONCATENATE(CT$7,"-",MID($E9,1,100)),DATOS!$Z:$AA,2,0))</f>
        <v/>
      </c>
      <c r="CU9" s="165" t="str">
        <f>IF(ISERROR(VLOOKUP(CONCATENATE(CU$7,"-",MID($E9,1,100)),DATOS!$Z:$AA,2,0)),"",VLOOKUP(CONCATENATE(CU$7,"-",MID($E9,1,100)),DATOS!$Z:$AA,2,0))</f>
        <v/>
      </c>
      <c r="CV9" s="165" t="str">
        <f>IF(ISERROR(VLOOKUP(CONCATENATE(CV$7,"-",MID($E9,1,100)),DATOS!$Z:$AA,2,0)),"",VLOOKUP(CONCATENATE(CV$7,"-",MID($E9,1,100)),DATOS!$Z:$AA,2,0))</f>
        <v/>
      </c>
      <c r="CW9" s="165" t="str">
        <f>IF(ISERROR(VLOOKUP(CONCATENATE(CW$7,"-",MID($E9,1,100)),DATOS!$Z:$AA,2,0)),"",VLOOKUP(CONCATENATE(CW$7,"-",MID($E9,1,100)),DATOS!$Z:$AA,2,0))</f>
        <v/>
      </c>
      <c r="CX9" s="165" t="str">
        <f>IF(ISERROR(VLOOKUP(CONCATENATE(CX$7,"-",MID($E9,1,100)),DATOS!$Z:$AA,2,0)),"",VLOOKUP(CONCATENATE(CX$7,"-",MID($E9,1,100)),DATOS!$Z:$AA,2,0))</f>
        <v/>
      </c>
      <c r="CY9" s="165" t="str">
        <f>IF(ISERROR(VLOOKUP(CONCATENATE(CY$7,"-",MID($E9,1,100)),DATOS!$Z:$AA,2,0)),"",VLOOKUP(CONCATENATE(CY$7,"-",MID($E9,1,100)),DATOS!$Z:$AA,2,0))</f>
        <v/>
      </c>
      <c r="CZ9" s="195" t="str">
        <f>IF(ISERROR(VLOOKUP(CONCATENATE(CZ$7,"-",MID($E9,1,100)),DATOS!$Z:$AA,2,0)),"",VLOOKUP(CONCATENATE(CZ$7,"-",MID($E9,1,100)),DATOS!$Z:$AA,2,0))</f>
        <v/>
      </c>
      <c r="DA9" s="166" t="str">
        <f>IF(ISERROR(VLOOKUP(CONCATENATE(DA$7,"-",MID($E9,1,100)),DATOS!$Z:$AA,2,0)),"",VLOOKUP(CONCATENATE(DA$7,"-",MID($E9,1,100)),DATOS!$Z:$AA,2,0))</f>
        <v/>
      </c>
      <c r="DB9" s="164" t="str">
        <f>IF(ISERROR(VLOOKUP(CONCATENATE(DB$7,"-",MID($E9,1,100)),DATOS!$Z:$AA,2,0)),"",VLOOKUP(CONCATENATE(DB$7,"-",MID($E9,1,100)),DATOS!$Z:$AA,2,0))</f>
        <v/>
      </c>
      <c r="DC9" s="165" t="str">
        <f>IF(ISERROR(VLOOKUP(CONCATENATE(DC$7,"-",MID($E9,1,100)),DATOS!$Z:$AA,2,0)),"",VLOOKUP(CONCATENATE(DC$7,"-",MID($E9,1,100)),DATOS!$Z:$AA,2,0))</f>
        <v/>
      </c>
      <c r="DD9" s="165" t="str">
        <f>IF(ISERROR(VLOOKUP(CONCATENATE(DD$7,"-",MID($E9,1,100)),DATOS!$Z:$AA,2,0)),"",VLOOKUP(CONCATENATE(DD$7,"-",MID($E9,1,100)),DATOS!$Z:$AA,2,0))</f>
        <v/>
      </c>
      <c r="DE9" s="165" t="str">
        <f>IF(ISERROR(VLOOKUP(CONCATENATE(DE$7,"-",MID($E9,1,100)),DATOS!$Z:$AA,2,0)),"",VLOOKUP(CONCATENATE(DE$7,"-",MID($E9,1,100)),DATOS!$Z:$AA,2,0))</f>
        <v/>
      </c>
      <c r="DF9" s="165" t="str">
        <f>IF(ISERROR(VLOOKUP(CONCATENATE(DF$7,"-",MID($E9,1,100)),DATOS!$Z:$AA,2,0)),"",VLOOKUP(CONCATENATE(DF$7,"-",MID($E9,1,100)),DATOS!$Z:$AA,2,0))</f>
        <v/>
      </c>
      <c r="DG9" s="165" t="str">
        <f>IF(ISERROR(VLOOKUP(CONCATENATE(DG$7,"-",MID($E9,1,100)),DATOS!$Z:$AA,2,0)),"",VLOOKUP(CONCATENATE(DG$7,"-",MID($E9,1,100)),DATOS!$Z:$AA,2,0))</f>
        <v/>
      </c>
      <c r="DH9" s="165" t="str">
        <f>IF(ISERROR(VLOOKUP(CONCATENATE(DH$7,"-",MID($E9,1,100)),DATOS!$Z:$AA,2,0)),"",VLOOKUP(CONCATENATE(DH$7,"-",MID($E9,1,100)),DATOS!$Z:$AA,2,0))</f>
        <v/>
      </c>
      <c r="DI9" s="165" t="str">
        <f>IF(ISERROR(VLOOKUP(CONCATENATE(DI$7,"-",MID($E9,1,100)),DATOS!$Z:$AA,2,0)),"",VLOOKUP(CONCATENATE(DI$7,"-",MID($E9,1,100)),DATOS!$Z:$AA,2,0))</f>
        <v/>
      </c>
      <c r="DJ9" s="195" t="str">
        <f>IF(ISERROR(VLOOKUP(CONCATENATE(DJ$7,"-",MID($E9,1,100)),DATOS!$Z:$AA,2,0)),"",VLOOKUP(CONCATENATE(DJ$7,"-",MID($E9,1,100)),DATOS!$Z:$AA,2,0))</f>
        <v/>
      </c>
      <c r="DK9" s="166" t="str">
        <f>IF(ISERROR(VLOOKUP(CONCATENATE(DK$7,"-",MID($E9,1,100)),DATOS!$Z:$AA,2,0)),"",VLOOKUP(CONCATENATE(DK$7,"-",MID($E9,1,100)),DATOS!$Z:$AA,2,0))</f>
        <v/>
      </c>
      <c r="DL9" s="164" t="str">
        <f>IF(ISERROR(VLOOKUP(CONCATENATE(DL$7,"-",MID($E9,1,100)),DATOS!$Z:$AA,2,0)),"",VLOOKUP(CONCATENATE(DL$7,"-",MID($E9,1,100)),DATOS!$Z:$AA,2,0))</f>
        <v/>
      </c>
      <c r="DM9" s="165" t="str">
        <f>IF(ISERROR(VLOOKUP(CONCATENATE(DM$7,"-",MID($E9,1,100)),DATOS!$Z:$AA,2,0)),"",VLOOKUP(CONCATENATE(DM$7,"-",MID($E9,1,100)),DATOS!$Z:$AA,2,0))</f>
        <v/>
      </c>
      <c r="DN9" s="165" t="str">
        <f>IF(ISERROR(VLOOKUP(CONCATENATE(DN$7,"-",MID($E9,1,100)),DATOS!$Z:$AA,2,0)),"",VLOOKUP(CONCATENATE(DN$7,"-",MID($E9,1,100)),DATOS!$Z:$AA,2,0))</f>
        <v/>
      </c>
      <c r="DO9" s="165" t="str">
        <f>IF(ISERROR(VLOOKUP(CONCATENATE(DO$7,"-",MID($E9,1,100)),DATOS!$Z:$AA,2,0)),"",VLOOKUP(CONCATENATE(DO$7,"-",MID($E9,1,100)),DATOS!$Z:$AA,2,0))</f>
        <v/>
      </c>
      <c r="DP9" s="165" t="str">
        <f>IF(ISERROR(VLOOKUP(CONCATENATE(DP$7,"-",MID($E9,1,100)),DATOS!$Z:$AA,2,0)),"",VLOOKUP(CONCATENATE(DP$7,"-",MID($E9,1,100)),DATOS!$Z:$AA,2,0))</f>
        <v/>
      </c>
      <c r="DQ9" s="165" t="str">
        <f>IF(ISERROR(VLOOKUP(CONCATENATE(DQ$7,"-",MID($E9,1,100)),DATOS!$Z:$AA,2,0)),"",VLOOKUP(CONCATENATE(DQ$7,"-",MID($E9,1,100)),DATOS!$Z:$AA,2,0))</f>
        <v/>
      </c>
      <c r="DR9" s="165" t="str">
        <f>IF(ISERROR(VLOOKUP(CONCATENATE(DR$7,"-",MID($E9,1,100)),DATOS!$Z:$AA,2,0)),"",VLOOKUP(CONCATENATE(DR$7,"-",MID($E9,1,100)),DATOS!$Z:$AA,2,0))</f>
        <v/>
      </c>
      <c r="DS9" s="165" t="str">
        <f>IF(ISERROR(VLOOKUP(CONCATENATE(DS$7,"-",MID($E9,1,100)),DATOS!$Z:$AA,2,0)),"",VLOOKUP(CONCATENATE(DS$7,"-",MID($E9,1,100)),DATOS!$Z:$AA,2,0))</f>
        <v/>
      </c>
      <c r="DT9" s="195" t="str">
        <f>IF(ISERROR(VLOOKUP(CONCATENATE(DT$7,"-",MID($E9,1,100)),DATOS!$Z:$AA,2,0)),"",VLOOKUP(CONCATENATE(DT$7,"-",MID($E9,1,100)),DATOS!$Z:$AA,2,0))</f>
        <v/>
      </c>
      <c r="DU9" s="166" t="str">
        <f>IF(ISERROR(VLOOKUP(CONCATENATE(DU$7,"-",MID($E9,1,100)),DATOS!$Z:$AA,2,0)),"",VLOOKUP(CONCATENATE(DU$7,"-",MID($E9,1,100)),DATOS!$Z:$AA,2,0))</f>
        <v/>
      </c>
      <c r="DV9" s="164" t="str">
        <f>IF(ISERROR(VLOOKUP(CONCATENATE(DV$7,"-",MID($E9,1,100)),DATOS!$Z:$AA,2,0)),"",VLOOKUP(CONCATENATE(DV$7,"-",MID($E9,1,100)),DATOS!$Z:$AA,2,0))</f>
        <v/>
      </c>
      <c r="DW9" s="165" t="str">
        <f>IF(ISERROR(VLOOKUP(CONCATENATE(DW$7,"-",MID($E9,1,100)),DATOS!$Z:$AA,2,0)),"",VLOOKUP(CONCATENATE(DW$7,"-",MID($E9,1,100)),DATOS!$Z:$AA,2,0))</f>
        <v/>
      </c>
      <c r="DX9" s="165" t="str">
        <f>IF(ISERROR(VLOOKUP(CONCATENATE(DX$7,"-",MID($E9,1,100)),DATOS!$Z:$AA,2,0)),"",VLOOKUP(CONCATENATE(DX$7,"-",MID($E9,1,100)),DATOS!$Z:$AA,2,0))</f>
        <v/>
      </c>
      <c r="DY9" s="165" t="str">
        <f>IF(ISERROR(VLOOKUP(CONCATENATE(DY$7,"-",MID($E9,1,100)),DATOS!$Z:$AA,2,0)),"",VLOOKUP(CONCATENATE(DY$7,"-",MID($E9,1,100)),DATOS!$Z:$AA,2,0))</f>
        <v/>
      </c>
      <c r="DZ9" s="165" t="str">
        <f>IF(ISERROR(VLOOKUP(CONCATENATE(DZ$7,"-",MID($E9,1,100)),DATOS!$Z:$AA,2,0)),"",VLOOKUP(CONCATENATE(DZ$7,"-",MID($E9,1,100)),DATOS!$Z:$AA,2,0))</f>
        <v/>
      </c>
      <c r="EA9" s="165" t="str">
        <f>IF(ISERROR(VLOOKUP(CONCATENATE(EA$7,"-",MID($E9,1,100)),DATOS!$Z:$AA,2,0)),"",VLOOKUP(CONCATENATE(EA$7,"-",MID($E9,1,100)),DATOS!$Z:$AA,2,0))</f>
        <v/>
      </c>
      <c r="EB9" s="165" t="str">
        <f>IF(ISERROR(VLOOKUP(CONCATENATE(EB$7,"-",MID($E9,1,100)),DATOS!$Z:$AA,2,0)),"",VLOOKUP(CONCATENATE(EB$7,"-",MID($E9,1,100)),DATOS!$Z:$AA,2,0))</f>
        <v/>
      </c>
      <c r="EC9" s="165" t="str">
        <f>IF(ISERROR(VLOOKUP(CONCATENATE(EC$7,"-",MID($E9,1,100)),DATOS!$Z:$AA,2,0)),"",VLOOKUP(CONCATENATE(EC$7,"-",MID($E9,1,100)),DATOS!$Z:$AA,2,0))</f>
        <v/>
      </c>
      <c r="ED9" s="195" t="str">
        <f>IF(ISERROR(VLOOKUP(CONCATENATE(ED$7,"-",MID($E9,1,100)),DATOS!$Z:$AA,2,0)),"",VLOOKUP(CONCATENATE(ED$7,"-",MID($E9,1,100)),DATOS!$Z:$AA,2,0))</f>
        <v/>
      </c>
      <c r="EE9" s="166" t="str">
        <f>IF(ISERROR(VLOOKUP(CONCATENATE(EE$7,"-",MID($E9,1,100)),DATOS!$Z:$AA,2,0)),"",VLOOKUP(CONCATENATE(EE$7,"-",MID($E9,1,100)),DATOS!$Z:$AA,2,0))</f>
        <v/>
      </c>
      <c r="EF9" s="164" t="str">
        <f>IF(ISERROR(VLOOKUP(CONCATENATE($EF$7,"-",MID(E9,1,100)),DATOS!Z:AA,2,0)),"",VLOOKUP(CONCATENATE($EF$7,"-",MID(E9,1,100)),DATOS!Z:AA,2,0))</f>
        <v/>
      </c>
      <c r="EG9" s="165" t="str">
        <f>IF(ISERROR(VLOOKUP(CONCATENATE($EG$7,"-",MID(E9,1,100)),DATOS!Z:AA,2,0)),"",VLOOKUP(CONCATENATE($EG$7,"-",MID(E9,1,100)),DATOS!Z:AA,2,0))</f>
        <v/>
      </c>
      <c r="EH9" s="165" t="str">
        <f>IF(ISERROR(VLOOKUP(CONCATENATE($EH$7,"-",MID(E9,1,100)),DATOS!Z:AA,2,0)),"",VLOOKUP(CONCATENATE($EH$7,"-",MID(E9,1,100)),DATOS!Z:AA,2,0))</f>
        <v/>
      </c>
      <c r="EI9" s="165" t="str">
        <f>IF(ISERROR(VLOOKUP(CONCATENATE($EI$7,"-",MID(E9,1,100)),DATOS!Z:AA,2,0)),"",VLOOKUP(CONCATENATE($EI$7,"-",MID(E9,1,100)),DATOS!Z:AA,2,0))</f>
        <v/>
      </c>
      <c r="EJ9" s="165" t="str">
        <f>IF(ISERROR(VLOOKUP(CONCATENATE($EJ$7,"-",MID(E9,1,100)),DATOS!Z:AA,2,0)),"",VLOOKUP(CONCATENATE($EJ$7,"-",MID(E9,1,100)),DATOS!Z:AA,2,0))</f>
        <v/>
      </c>
      <c r="EK9" s="165" t="str">
        <f>IF(ISERROR(VLOOKUP(CONCATENATE($EK$7,"-",MID(E9,1,100)),DATOS!Z:AA,2,0)),"",VLOOKUP(CONCATENATE($EK$7,"-",MID(E9,1,100)),DATOS!Z:AA,2,0))</f>
        <v/>
      </c>
      <c r="EL9" s="165" t="str">
        <f>IF(ISERROR(VLOOKUP(CONCATENATE($EL$7,"-",MID(E9,1,100)),DATOS!Z:AA,2,0)),"",VLOOKUP(CONCATENATE($EL$7,"-",MID(E9,1,100)),DATOS!Z:AA,2,0))</f>
        <v/>
      </c>
      <c r="EM9" s="165" t="str">
        <f>IF(ISERROR(VLOOKUP(CONCATENATE($EM$7,"-",MID(E9,1,100)),DATOS!Z:AA,2,0)),"",VLOOKUP(CONCATENATE($EM$7,"-",MID(E9,1,100)),DATOS!Z:AA,2,0))</f>
        <v/>
      </c>
      <c r="EN9" s="165" t="str">
        <f>IF(ISERROR(VLOOKUP(CONCATENATE($EN$7,"-",MID(E9,1,100)),DATOS!Z:AA,2,0)),"",VLOOKUP(CONCATENATE($EN$7,"-",MID(E9,1,100)),DATOS!Z:AA,2,0))</f>
        <v/>
      </c>
      <c r="EO9" s="166" t="str">
        <f>IF(ISERROR(VLOOKUP(CONCATENATE($EO$7,"-",MID(E9,1,100)),DATOS!Z:AA,2,0)),"",VLOOKUP(CONCATENATE($EO$7,"-",MID(E9,1,100)),DATOS!Z:AA,2,0))</f>
        <v/>
      </c>
      <c r="EP9" s="167">
        <f t="shared" si="0"/>
        <v>2</v>
      </c>
      <c r="EQ9" s="159" t="str">
        <f t="shared" si="1"/>
        <v>CG1: Comunicación Integral-N2</v>
      </c>
    </row>
    <row r="10" spans="1:168" ht="17.25" customHeight="1">
      <c r="A10" s="148"/>
      <c r="B10" s="168" t="str">
        <f>IF('1.Fundamentos'!B52="","",'1.Fundamentos'!B52)</f>
        <v>CG1: Comunicación Integral</v>
      </c>
      <c r="C10" s="169" t="s">
        <v>84</v>
      </c>
      <c r="D10" s="170" t="str">
        <f>IF('1.Fundamentos'!D52="","",'1.Fundamentos'!D52)</f>
        <v>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v>
      </c>
      <c r="E10" s="171" t="str">
        <f t="shared" si="2"/>
        <v>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v>
      </c>
      <c r="F10" s="172" t="str">
        <f>IF(ISERROR(VLOOKUP(CONCATENATE($F$7,"-",MID(E10,1,100)),DATOS!Z:AA,2,0)),"",VLOOKUP(CONCATENATE($F$7,"-",MID(E10,1,100)),DATOS!Z:AA,2,0))</f>
        <v/>
      </c>
      <c r="G10" s="173" t="str">
        <f>IF(ISERROR(VLOOKUP(CONCATENATE($G$7,"-",MID(E10,1,100)),DATOS!Z:AA,2,0)),"",VLOOKUP(CONCATENATE($G$7,"-",MID(E10,1,100)),DATOS!Z:AA,2,0))</f>
        <v/>
      </c>
      <c r="H10" s="173" t="str">
        <f>IF(ISERROR(VLOOKUP(CONCATENATE($H$7,"-",MID(E10,1,100)),DATOS!Z:AA,2,0)),"",VLOOKUP(CONCATENATE($H$7,"-",MID(E10,1,100)),DATOS!Z:AA,2,0))</f>
        <v/>
      </c>
      <c r="I10" s="173" t="str">
        <f>IF(ISERROR(VLOOKUP(CONCATENATE($I$7,"-",MID(E10,1,100)),DATOS!Z:AA,2,0)),"",VLOOKUP(CONCATENATE($I$7,"-",MID(E10,1,100)),DATOS!Z:AA,2,0))</f>
        <v/>
      </c>
      <c r="J10" s="173" t="str">
        <f>IF(ISERROR(VLOOKUP(CONCATENATE($J$7,"-",MID(E10,1,100)),DATOS!Z:AA,2,0)),"",VLOOKUP(CONCATENATE($J$7,"-",MID(E10,1,100)),DATOS!Z:AA,2,0))</f>
        <v/>
      </c>
      <c r="K10" s="173" t="str">
        <f>IF(ISERROR(VLOOKUP(CONCATENATE($K$7,"-",MID(E10,1,100)),DATOS!Z:AA,2,0)),"",VLOOKUP(CONCATENATE($K$7,"-",MID(E10,1,100)),DATOS!Z:AA,2,0))</f>
        <v/>
      </c>
      <c r="L10" s="173" t="str">
        <f>IF(ISERROR(VLOOKUP(CONCATENATE($L$7,"-",MID(E10,1,100)),DATOS!Z:AA,2,0)),"",VLOOKUP(CONCATENATE($L$7,"-",MID(E10,1,100)),DATOS!Z:AA,2,0))</f>
        <v/>
      </c>
      <c r="M10" s="173" t="str">
        <f>IF(ISERROR(VLOOKUP(CONCATENATE($M$7,"-",MID(E10,1,100)),DATOS!Z:AA,2,0)),"",VLOOKUP(CONCATENATE($M$7,"-",MID(E10,1,100)),DATOS!Z:AA,2,0))</f>
        <v/>
      </c>
      <c r="N10" s="173" t="str">
        <f>IF(ISERROR(VLOOKUP(CONCATENATE($N$7,"-",MID(E10,1,100)),DATOS!Z:AA,2,0)),"",VLOOKUP(CONCATENATE($N$7,"-",MID(E10,1,100)),DATOS!Z:AA,2,0))</f>
        <v/>
      </c>
      <c r="O10" s="174" t="str">
        <f>IF(ISERROR(VLOOKUP(CONCATENATE($O$7,"-",MID(E10,1,100)),DATOS!Z:AA,2,0)),"",VLOOKUP(CONCATENATE($O$7,"-",MID(E10,1,100)),DATOS!Z:AA,2,0))</f>
        <v/>
      </c>
      <c r="P10" s="172" t="str">
        <f>IF(ISERROR(VLOOKUP(CONCATENATE($P$7,"-",MID(E10,1,100)),DATOS!Z:AA,2,0)),"",VLOOKUP(CONCATENATE($P$7,"-",MID(E10,1,100)),DATOS!Z:AA,2,0))</f>
        <v/>
      </c>
      <c r="Q10" s="173" t="str">
        <f>IF(ISERROR(VLOOKUP(CONCATENATE($Q$7,"-",MID(E10,1,100)),DATOS!Z:AA,2,0)),"",VLOOKUP(CONCATENATE($Q$7,"-",MID(E10,1,100)),DATOS!Z:AA,2,0))</f>
        <v/>
      </c>
      <c r="R10" s="173" t="str">
        <f>IF(ISERROR(VLOOKUP(CONCATENATE($R$7,"-",MID(E10,1,100)),DATOS!Z:AA,2,0)),"",VLOOKUP(CONCATENATE($R$7,"-",MID(E10,1,100)),DATOS!Z:AA,2,0))</f>
        <v/>
      </c>
      <c r="S10" s="173" t="str">
        <f>IF(ISERROR(VLOOKUP(CONCATENATE($S$7,"-",MID(E10,1,100)),DATOS!Z:AA,2,0)),"",VLOOKUP(CONCATENATE($S$7,"-",MID(E10,1,100)),DATOS!Z:AA,2,0))</f>
        <v/>
      </c>
      <c r="T10" s="173" t="str">
        <f>IF(ISERROR(VLOOKUP(CONCATENATE($T$7,"-",MID(E10,1,100)),DATOS!Z:AA,2,0)),"",VLOOKUP(CONCATENATE($T$7,"-",MID(E10,1,100)),DATOS!Z:AA,2,0))</f>
        <v/>
      </c>
      <c r="U10" s="173" t="str">
        <f>IF(ISERROR(VLOOKUP(CONCATENATE($U$7,"-",MID(E10,1,100)),DATOS!Z:AA,2,0)),"",VLOOKUP(CONCATENATE($U$7,"-",MID(E10,1,100)),DATOS!Z:AA,2,0))</f>
        <v/>
      </c>
      <c r="V10" s="173" t="str">
        <f>IF(ISERROR(VLOOKUP(CONCATENATE($V$7,"-",MID(E10,1,100)),DATOS!Z:AA,2,0)),"",VLOOKUP(CONCATENATE($V$7,"-",MID(E10,1,100)),DATOS!Z:AA,2,0))</f>
        <v/>
      </c>
      <c r="W10" s="173" t="str">
        <f>IF(ISERROR(VLOOKUP(CONCATENATE($W$7,"-",MID(E10,1,100)),DATOS!Z:AA,2,0)),"",VLOOKUP(CONCATENATE($W$7,"-",MID(E10,1,100)),DATOS!Z:AA,2,0))</f>
        <v/>
      </c>
      <c r="X10" s="173" t="str">
        <f>IF(ISERROR(VLOOKUP(CONCATENATE($X$7,"-",MID(E10,1,100)),DATOS!Z:AA,2,0)),"",VLOOKUP(CONCATENATE($X$7,"-",MID(E10,1,100)),DATOS!Z:AA,2,0))</f>
        <v/>
      </c>
      <c r="Y10" s="174" t="str">
        <f>IF(ISERROR(VLOOKUP(CONCATENATE($Y$7,"-",MID(E10,1,100)),DATOS!Z:AA,2,0)),"",VLOOKUP(CONCATENATE($Y$7,"-",MID(E10,1,100)),DATOS!Z:AA,2,0))</f>
        <v/>
      </c>
      <c r="Z10" s="172" t="str">
        <f>IF(ISERROR(VLOOKUP(CONCATENATE($Z$7,"-",MID(E10,1,100)),DATOS!Z:AA,2,0)),"",VLOOKUP(CONCATENATE($Z$7,"-",MID(E10,1,100)),DATOS!Z:AA,2,0))</f>
        <v/>
      </c>
      <c r="AA10" s="173" t="str">
        <f>IF(ISERROR(VLOOKUP(CONCATENATE($AA$7,"-",MID(E10,1,100)),DATOS!Z:AA,2,0)),"",VLOOKUP(CONCATENATE($AA$7,"-",MID(E10,1,100)),DATOS!Z:AA,2,0))</f>
        <v/>
      </c>
      <c r="AB10" s="173" t="str">
        <f>IF(ISERROR(VLOOKUP(CONCATENATE($AB$7,"-",MID(E10,1,100)),DATOS!Z:AA,2,0)),"",VLOOKUP(CONCATENATE($AB$7,"-",MID(E10,1,100)),DATOS!Z:AA,2,0))</f>
        <v/>
      </c>
      <c r="AC10" s="173" t="str">
        <f>IF(ISERROR(VLOOKUP(CONCATENATE($AC$7,"-",MID(E10,1,100)),DATOS!Z:AA,2,0)),"",VLOOKUP(CONCATENATE($AC$7,"-",MID(E10,1,100)),DATOS!Z:AA,2,0))</f>
        <v/>
      </c>
      <c r="AD10" s="173" t="str">
        <f>IF(ISERROR(VLOOKUP(CONCATENATE($AD$7,"-",MID(E10,1,100)),DATOS!Z:AA,2,0)),"",VLOOKUP(CONCATENATE($AD$7,"-",MID(E10,1,100)),DATOS!Z:AA,2,0))</f>
        <v/>
      </c>
      <c r="AE10" s="173" t="str">
        <f>IF(ISERROR(VLOOKUP(CONCATENATE($AE$7,"-",MID(E10,1,100)),DATOS!Z:AA,2,0)),"",VLOOKUP(CONCATENATE($AE$7,"-",MID(E10,1,100)),DATOS!Z:AA,2,0))</f>
        <v/>
      </c>
      <c r="AF10" s="173" t="str">
        <f>IF(ISERROR(VLOOKUP(CONCATENATE($AF$7,"-",MID(E10,1,100)),DATOS!Z:AA,2,0)),"",VLOOKUP(CONCATENATE($AF$7,"-",MID(E10,1,100)),DATOS!Z:AA,2,0))</f>
        <v/>
      </c>
      <c r="AG10" s="173" t="str">
        <f>IF(ISERROR(VLOOKUP(CONCATENATE($AG$7,"-",MID(E10,1,100)),DATOS!Z:AA,2,0)),"",VLOOKUP(CONCATENATE($AG$7,"-",MID(E10,1,100)),DATOS!Z:AA,2,0))</f>
        <v/>
      </c>
      <c r="AH10" s="173" t="str">
        <f>IF(ISERROR(VLOOKUP(CONCATENATE($AH$7,"-",MID(E10,1,100)),DATOS!Z:AA,2,0)),"",VLOOKUP(CONCATENATE($AH$7,"-",MID(E10,1,100)),DATOS!Z:AA,2,0))</f>
        <v/>
      </c>
      <c r="AI10" s="174" t="str">
        <f>IF(ISERROR(VLOOKUP(CONCATENATE($AI$7,"-",MID(E10,1,100)),DATOS!Z:AA,2,0)),"",VLOOKUP(CONCATENATE($AI$7,"-",MID(E10,1,100)),DATOS!Z:AA,2,0))</f>
        <v/>
      </c>
      <c r="AJ10" s="172" t="str">
        <f>IF(ISERROR(VLOOKUP(CONCATENATE($AJ$7,"-",MID(E10,1,100)),DATOS!Z:AA,2,0)),"",VLOOKUP(CONCATENATE($AJ$7,"-",MID(E10,1,100)),DATOS!Z:AA,2,0))</f>
        <v/>
      </c>
      <c r="AK10" s="173" t="str">
        <f>IF(ISERROR(VLOOKUP(CONCATENATE($AK$7,"-",MID(E10,1,100)),DATOS!Z:AA,2,0)),"",VLOOKUP(CONCATENATE($AK$7,"-",MID(E10,1,100)),DATOS!Z:AA,2,0))</f>
        <v/>
      </c>
      <c r="AL10" s="173" t="str">
        <f>IF(ISERROR(VLOOKUP(CONCATENATE($AL$7,"-",MID(E10,1,100)),DATOS!Z:AA,2,0)),"",VLOOKUP(CONCATENATE($AL$7,"-",MID(E10,1,100)),DATOS!Z:AA,2,0))</f>
        <v/>
      </c>
      <c r="AM10" s="173" t="str">
        <f>IF(ISERROR(VLOOKUP(CONCATENATE($AM$7,"-",MID(E10,1,100)),DATOS!Z:AA,2,0)),"",VLOOKUP(CONCATENATE($AM$7,"-",MID(E10,1,100)),DATOS!Z:AA,2,0))</f>
        <v/>
      </c>
      <c r="AN10" s="173" t="str">
        <f>IF(ISERROR(VLOOKUP(CONCATENATE($AN$7,"-",MID(E10,1,100)),DATOS!Z:AA,2,0)),"",VLOOKUP(CONCATENATE($AN$7,"-",MID(E10,1,100)),DATOS!Z:AA,2,0))</f>
        <v/>
      </c>
      <c r="AO10" s="173" t="str">
        <f>IF(ISERROR(VLOOKUP(CONCATENATE($AO$7,"-",MID(E10,1,100)),DATOS!Z:AA,2,0)),"",VLOOKUP(CONCATENATE($AO$7,"-",MID(E10,1,100)),DATOS!Z:AA,2,0))</f>
        <v/>
      </c>
      <c r="AP10" s="173" t="str">
        <f>IF(ISERROR(VLOOKUP(CONCATENATE($AP$7,"-",MID(E10,1,100)),DATOS!Z:AA,2,0)),"",VLOOKUP(CONCATENATE($AP$7,"-",MID(E10,1,100)),DATOS!Z:AA,2,0))</f>
        <v/>
      </c>
      <c r="AQ10" s="173" t="str">
        <f>IF(ISERROR(VLOOKUP(CONCATENATE($AQ$7,"-",MID(E10,1,100)),DATOS!Z:AA,2,0)),"",VLOOKUP(CONCATENATE($AQ$7,"-",MID(E10,1,100)),DATOS!Z:AA,2,0))</f>
        <v/>
      </c>
      <c r="AR10" s="173" t="str">
        <f>IF(ISERROR(VLOOKUP(CONCATENATE($AR$7,"-",MID(E10,1,100)),DATOS!Z:AA,2,0)),"",VLOOKUP(CONCATENATE($AR$7,"-",MID(E10,1,100)),DATOS!Z:AA,2,0))</f>
        <v/>
      </c>
      <c r="AS10" s="174" t="str">
        <f>IF(ISERROR(VLOOKUP(CONCATENATE($AS$7,"-",MID(E10,1,100)),DATOS!Z:AA,2,0)),"",VLOOKUP(CONCATENATE($AS$7,"-",MID(E10,1,100)),DATOS!Z:AA,2,0))</f>
        <v/>
      </c>
      <c r="AT10" s="172" t="str">
        <f>IF(ISERROR(VLOOKUP(CONCATENATE($AT$7,"-",MID(E10,1,100)),DATOS!Z:AA,2,0)),"",VLOOKUP(CONCATENATE($AT$7,"-",MID(E10,1,100)),DATOS!Z:AA,2,0))</f>
        <v/>
      </c>
      <c r="AU10" s="173" t="str">
        <f>IF(ISERROR(VLOOKUP(CONCATENATE($AU$7,"-",MID(E10,1,100)),DATOS!Z:AA,2,0)),"",VLOOKUP(CONCATENATE($AU$7,"-",MID(E10,1,100)),DATOS!Z:AA,2,0))</f>
        <v/>
      </c>
      <c r="AV10" s="173" t="str">
        <f>IF(ISERROR(VLOOKUP(CONCATENATE($AV$7,"-",MID(E10,1,100)),DATOS!Z:AA,2,0)),"",VLOOKUP(CONCATENATE($AV$7,"-",MID(E10,1,100)),DATOS!Z:AA,2,0))</f>
        <v/>
      </c>
      <c r="AW10" s="173" t="str">
        <f>IF(ISERROR(VLOOKUP(CONCATENATE($AW$7,"-",MID(E10,1,100)),DATOS!Z:AA,2,0)),"",VLOOKUP(CONCATENATE($AW$7,"-",MID(E10,1,100)),DATOS!Z:AA,2,0))</f>
        <v/>
      </c>
      <c r="AX10" s="173" t="str">
        <f>IF(ISERROR(VLOOKUP(CONCATENATE($AX$7,"-",MID(E10,1,100)),DATOS!Z:AA,2,0)),"",VLOOKUP(CONCATENATE($AX$7,"-",MID(E10,1,100)),DATOS!Z:AA,2,0))</f>
        <v/>
      </c>
      <c r="AY10" s="173" t="str">
        <f>IF(ISERROR(VLOOKUP(CONCATENATE($AY$7,"-",MID(E10,1,100)),DATOS!Z:AA,2,0)),"",VLOOKUP(CONCATENATE($AY$7,"-",MID(E10,1,100)),DATOS!Z:AA,2,0))</f>
        <v/>
      </c>
      <c r="AZ10" s="173" t="str">
        <f>IF(ISERROR(VLOOKUP(CONCATENATE($AZ$7,"-",MID(E10,1,100)),DATOS!Z:AA,2,0)),"",VLOOKUP(CONCATENATE($AZ$7,"-",MID(E10,1,100)),DATOS!Z:AA,2,0))</f>
        <v/>
      </c>
      <c r="BA10" s="173" t="str">
        <f>IF(ISERROR(VLOOKUP(CONCATENATE($BA$7,"-",MID(E10,1,100)),DATOS!Z:AA,2,0)),"",VLOOKUP(CONCATENATE($BA$7,"-",MID(E10,1,100)),DATOS!Z:AA,2,0))</f>
        <v/>
      </c>
      <c r="BB10" s="173" t="str">
        <f>IF(ISERROR(VLOOKUP(CONCATENATE($BB$7,"-",MID(E10,1,100)),DATOS!Z:AA,2,0)),"",VLOOKUP(CONCATENATE($BB$7,"-",MID(E10,1,100)),DATOS!Z:AA,2,0))</f>
        <v/>
      </c>
      <c r="BC10" s="174" t="str">
        <f>IF(ISERROR(VLOOKUP(CONCATENATE($BC$7,"-",MID(E10,1,100)),DATOS!Z:AA,2,0)),"",VLOOKUP(CONCATENATE($BC$7,"-",MID(E10,1,100)),DATOS!Z:AA,2,0))</f>
        <v/>
      </c>
      <c r="BD10" s="172" t="str">
        <f>IF(ISERROR(VLOOKUP(CONCATENATE($BD$7,"-",MID(E10,1,100)),DATOS!Z:AA,2,0)),"",VLOOKUP(CONCATENATE($BD$7,"-",MID(E10,1,100)),DATOS!Z:AA,2,0))</f>
        <v/>
      </c>
      <c r="BE10" s="173" t="str">
        <f>IF(ISERROR(VLOOKUP(CONCATENATE($BE$7,"-",MID(E10,1,100)),DATOS!Z:AA,2,0)),"",VLOOKUP(CONCATENATE($BE$7,"-",MID(E10,1,100)),DATOS!Z:AA,2,0))</f>
        <v/>
      </c>
      <c r="BF10" s="173" t="str">
        <f>IF(ISERROR(VLOOKUP(CONCATENATE($BF$7,"-",MID(E10,1,100)),DATOS!Z:AA,2,0)),"",VLOOKUP(CONCATENATE($BF$7,"-",MID(E10,1,100)),DATOS!Z:AA,2,0))</f>
        <v/>
      </c>
      <c r="BG10" s="173" t="str">
        <f>IF(ISERROR(VLOOKUP(CONCATENATE($BG$7,"-",MID(E10,1,100)),DATOS!Z:AA,2,0)),"",VLOOKUP(CONCATENATE($BG$7,"-",MID(E10,1,100)),DATOS!Z:AA,2,0))</f>
        <v/>
      </c>
      <c r="BH10" s="173" t="str">
        <f>IF(ISERROR(VLOOKUP(CONCATENATE($BH$7,"-",MID(E10,1,100)),DATOS!Z:AA,2,0)),"",VLOOKUP(CONCATENATE($BH$7,"-",MID(E10,1,100)),DATOS!Z:AA,2,0))</f>
        <v/>
      </c>
      <c r="BI10" s="173" t="str">
        <f>IF(ISERROR(VLOOKUP(CONCATENATE($BI$7,"-",MID(E10,1,100)),DATOS!Z:AA,2,0)),"",VLOOKUP(CONCATENATE($BI$7,"-",MID(E10,1,100)),DATOS!Z:AA,2,0))</f>
        <v/>
      </c>
      <c r="BJ10" s="173" t="str">
        <f>IF(ISERROR(VLOOKUP(CONCATENATE($BJ$7,"-",MID(E10,1,100)),DATOS!Z:AA,2,0)),"",VLOOKUP(CONCATENATE($BJ$7,"-",MID(E10,1,100)),DATOS!Z:AA,2,0))</f>
        <v/>
      </c>
      <c r="BK10" s="173" t="str">
        <f>IF(ISERROR(VLOOKUP(CONCATENATE($BK$7,"-",MID(E10,1,100)),DATOS!Z:AA,2,0)),"",VLOOKUP(CONCATENATE($BK$7,"-",MID(E10,1,100)),DATOS!Z:AA,2,0))</f>
        <v/>
      </c>
      <c r="BL10" s="173" t="str">
        <f>IF(ISERROR(VLOOKUP(CONCATENATE($BL$7,"-",MID(E10,1,100)),DATOS!Z:AA,2,0)),"",VLOOKUP(CONCATENATE($BL$7,"-",MID(E10,1,100)),DATOS!Z:AA,2,0))</f>
        <v/>
      </c>
      <c r="BM10" s="174" t="str">
        <f>IF(ISERROR(VLOOKUP(CONCATENATE($BM$7,"-",MID(E10,1,100)),DATOS!Z:AA,2,0)),"",VLOOKUP(CONCATENATE($BM$7,"-",MID(E10,1,100)),DATOS!Z:AA,2,0))</f>
        <v/>
      </c>
      <c r="BN10" s="172" t="str">
        <f>IF(ISERROR(VLOOKUP(CONCATENATE($BN$7,"-",MID(E10,1,100)),DATOS!Z:AA,2,0)),"",VLOOKUP(CONCATENATE($BN$7,"-",MID(E10,1,100)),DATOS!Z:AA,2,0))</f>
        <v/>
      </c>
      <c r="BO10" s="173" t="str">
        <f>IF(ISERROR(VLOOKUP(CONCATENATE($BO$7,"-",MID(E10,1,100)),DATOS!Z:AA,2,0)),"",VLOOKUP(CONCATENATE($BO$7,"-",MID(E10,1,100)),DATOS!Z:AA,2,0))</f>
        <v/>
      </c>
      <c r="BP10" s="173" t="str">
        <f>IF(ISERROR(VLOOKUP(CONCATENATE($BP$7,"-",MID(E10,1,100)),DATOS!Z:AA,2,0)),"",VLOOKUP(CONCATENATE($BP$7,"-",MID(E10,1,100)),DATOS!Z:AA,2,0))</f>
        <v/>
      </c>
      <c r="BQ10" s="173" t="str">
        <f>IF(ISERROR(VLOOKUP(CONCATENATE($BQ$7,"-",MID(E10,1,100)),DATOS!Z:AA,2,0)),"",VLOOKUP(CONCATENATE($BQ$7,"-",MID(E10,1,100)),DATOS!Z:AA,2,0))</f>
        <v/>
      </c>
      <c r="BR10" s="173" t="str">
        <f>IF(ISERROR(VLOOKUP(CONCATENATE($BR$7,"-",MID(E10,1,100)),DATOS!Z:AA,2,0)),"",VLOOKUP(CONCATENATE($BR$7,"-",MID(E10,1,100)),DATOS!Z:AA,2,0))</f>
        <v/>
      </c>
      <c r="BS10" s="173" t="str">
        <f>IF(ISERROR(VLOOKUP(CONCATENATE($BS$7,"-",MID(E10,1,100)),DATOS!Z:AA,2,0)),"",VLOOKUP(CONCATENATE($BS$7,"-",MID(E10,1,100)),DATOS!Z:AA,2,0))</f>
        <v/>
      </c>
      <c r="BT10" s="173" t="str">
        <f>IF(ISERROR(VLOOKUP(CONCATENATE($BT$7,"-",MID(E10,1,100)),DATOS!Z:AA,2,0)),"",VLOOKUP(CONCATENATE($BT$7,"-",MID(E10,1,100)),DATOS!Z:AA,2,0))</f>
        <v/>
      </c>
      <c r="BU10" s="173" t="str">
        <f>IF(ISERROR(VLOOKUP(CONCATENATE($BU$7,"-",MID(E10,1,100)),DATOS!Z:AA,2,0)),"",VLOOKUP(CONCATENATE($BU$7,"-",MID(E10,1,100)),DATOS!Z:AA,2,0))</f>
        <v/>
      </c>
      <c r="BV10" s="173" t="str">
        <f>IF(ISERROR(VLOOKUP(CONCATENATE($BV$7,"-",MID(E10,1,100)),DATOS!Z:AA,2,0)),"",VLOOKUP(CONCATENATE($BV$7,"-",MID(E10,1,100)),DATOS!Z:AA,2,0))</f>
        <v/>
      </c>
      <c r="BW10" s="174" t="str">
        <f>IF(ISERROR(VLOOKUP(CONCATENATE($BW$7,"-",MID(E10,1,100)),DATOS!Z:AA,2,0)),"",VLOOKUP(CONCATENATE($BW$7,"-",MID(E10,1,100)),DATOS!Z:AA,2,0))</f>
        <v/>
      </c>
      <c r="BX10" s="210" t="str">
        <f>IF(ISERROR(VLOOKUP(CONCATENATE($BX$7,"-",MID(E10,1,100)),DATOS!Z:AA,2,0)),"",VLOOKUP(CONCATENATE($BX$7,"-",MID(E10,1,100)),DATOS!Z:AA,2,0))</f>
        <v/>
      </c>
      <c r="BY10" s="211" t="str">
        <f>IF(ISERROR(VLOOKUP(CONCATENATE($BY$7,"-",MID(E10,1,100)),DATOS!Z:AA,2,0)),"",VLOOKUP(CONCATENATE($BY$7,"-",MID(E10,1,100)),DATOS!Z:AA,2,0))</f>
        <v/>
      </c>
      <c r="BZ10" s="211" t="str">
        <f>IF(ISERROR(VLOOKUP(CONCATENATE($BZ$7,"-",MID(E10,1,100)),DATOS!Z:AA,2,0)),"",VLOOKUP(CONCATENATE($BZ$7,"-",MID(E10,1,100)),DATOS!Z:AA,2,0))</f>
        <v/>
      </c>
      <c r="CA10" s="211" t="str">
        <f>IF(ISERROR(VLOOKUP(CONCATENATE($CA$7,"-",MID(E10,1,100)),DATOS!Z:AA,2,0)),"",VLOOKUP(CONCATENATE($CA$7,"-",MID(E10,1,100)),DATOS!Z:AA,2,0))</f>
        <v/>
      </c>
      <c r="CB10" s="211" t="str">
        <f>IF(ISERROR(VLOOKUP(CONCATENATE($CB$7,"-",MID(E10,1,100)),DATOS!Z:AA,2,0)),"",VLOOKUP(CONCATENATE($CB$7,"-",MID(E10,1,100)),DATOS!Z:AA,2,0))</f>
        <v/>
      </c>
      <c r="CC10" s="211" t="str">
        <f>IF(ISERROR(VLOOKUP(CONCATENATE($CC$7,"-",MID(E10,1,100)),DATOS!Z:AA,2,0)),"",VLOOKUP(CONCATENATE($CC$7,"-",MID(E10,1,100)),DATOS!Z:AA,2,0))</f>
        <v/>
      </c>
      <c r="CD10" s="211" t="str">
        <f>IF(ISERROR(VLOOKUP(CONCATENATE($CD$7,"-",MID(E10,1,100)),DATOS!Z:AA,2,0)),"",VLOOKUP(CONCATENATE($CD$7,"-",MID(E10,1,100)),DATOS!Z:AA,2,0))</f>
        <v/>
      </c>
      <c r="CE10" s="211" t="str">
        <f>IF(ISERROR(VLOOKUP(CONCATENATE($CE$7,"-",MID(E10,1,100)),DATOS!Z:AA,2,0)),"",VLOOKUP(CONCATENATE($CE$7,"-",MID(E10,1,100)),DATOS!Z:AA,2,0))</f>
        <v/>
      </c>
      <c r="CF10" s="211" t="str">
        <f>IF(ISERROR(VLOOKUP(CONCATENATE($CF$7,"-",MID(E10,1,100)),DATOS!Z:AA,2,0)),"",VLOOKUP(CONCATENATE($CF$7,"-",MID(E10,1,100)),DATOS!Z:AA,2,0))</f>
        <v/>
      </c>
      <c r="CG10" s="212" t="str">
        <f>IF(ISERROR(VLOOKUP(CONCATENATE($CG$7,"-",MID(E10,1,100)),DATOS!Z:AA,2,0)),"",VLOOKUP(CONCATENATE($CG$7,"-",MID(E10,1,100)),DATOS!Z:AA,2,0))</f>
        <v/>
      </c>
      <c r="CH10" s="210" t="str">
        <f>IF(ISERROR(VLOOKUP(CONCATENATE($CH$7,"-",MID(E10,1,100)),DATOS!Z:AA,2,0)),"",VLOOKUP(CONCATENATE($CH$7,"-",MID(E10,1,100)),DATOS!Z:AA,2,0))</f>
        <v/>
      </c>
      <c r="CI10" s="211" t="str">
        <f>IF(ISERROR(VLOOKUP(CONCATENATE($CI$7,"-",MID(E10,1,100)),DATOS!Z:AA,2,0)),"",VLOOKUP(CONCATENATE($CI$7,"-",MID(E10,1,100)),DATOS!Z:AA,2,0))</f>
        <v>a</v>
      </c>
      <c r="CJ10" s="211" t="str">
        <f>IF(ISERROR(VLOOKUP(CONCATENATE($CJ$7,"-",MID(E10,1,100)),DATOS!Z:AA,2,0)),"",VLOOKUP(CONCATENATE($CJ$7,"-",MID(E10,1,100)),DATOS!Z:AA,2,0))</f>
        <v/>
      </c>
      <c r="CK10" s="211" t="str">
        <f>IF(ISERROR(VLOOKUP(CONCATENATE($CK$7,"-",MID(E10,1,100)),DATOS!Z:AA,2,0)),"",VLOOKUP(CONCATENATE($CK$7,"-",MID(E10,1,100)),DATOS!Z:AA,2,0))</f>
        <v/>
      </c>
      <c r="CL10" s="211" t="str">
        <f>IF(ISERROR(VLOOKUP(CONCATENATE($CL$7,"-",MID(E10,1,100)),DATOS!Z:AA,2,0)),"",VLOOKUP(CONCATENATE($CL$7,"-",MID(E10,1,100)),DATOS!Z:AA,2,0))</f>
        <v>a</v>
      </c>
      <c r="CM10" s="211" t="str">
        <f>IF(ISERROR(VLOOKUP(CONCATENATE($CM$7,"-",MID(E10,1,100)),DATOS!Z:AA,2,0)),"",VLOOKUP(CONCATENATE($CM$7,"-",MID(E10,1,100)),DATOS!Z:AA,2,0))</f>
        <v/>
      </c>
      <c r="CN10" s="211" t="str">
        <f>IF(ISERROR(VLOOKUP(CONCATENATE($CN$7,"-",MID(E10,1,100)),DATOS!Z:AA,2,0)),"",VLOOKUP(CONCATENATE($CN$7,"-",MID(E10,1,100)),DATOS!Z:AA,2,0))</f>
        <v/>
      </c>
      <c r="CO10" s="211" t="str">
        <f>IF(ISERROR(VLOOKUP(CONCATENATE($CO$7,"-",MID(E10,1,100)),DATOS!Z:AA,2,0)),"",VLOOKUP(CONCATENATE($CO$7,"-",MID(E10,1,100)),DATOS!Z:AA,2,0))</f>
        <v/>
      </c>
      <c r="CP10" s="213" t="str">
        <f>IF(ISERROR(VLOOKUP(CONCATENATE($CP$7,"-",MID(E10,1,100)),DATOS!Z:AA,2,0)),"",VLOOKUP(CONCATENATE($CP$7,"-",MID(E10,1,100)),DATOS!Z:AA,2,0))</f>
        <v/>
      </c>
      <c r="CQ10" s="212" t="str">
        <f>IF(ISERROR(VLOOKUP(CONCATENATE($CQ$7,"-",MID(E10,1,100)),DATOS!Z:AA,2,0)),"",VLOOKUP(CONCATENATE($CQ$7,"-",MID(E10,1,100)),DATOS!Z:AA,2,0))</f>
        <v/>
      </c>
      <c r="CR10" s="210" t="str">
        <f>IF(ISERROR(VLOOKUP(CONCATENATE(CR$7,"-",MID($E10,1,100)),DATOS!$Z:$AA,2,0)),"",VLOOKUP(CONCATENATE(CR$7,"-",MID($E10,1,100)),DATOS!$Z:$AA,2,0))</f>
        <v/>
      </c>
      <c r="CS10" s="211" t="str">
        <f>IF(ISERROR(VLOOKUP(CONCATENATE(CS$7,"-",MID($E10,1,100)),DATOS!$Z:$AA,2,0)),"",VLOOKUP(CONCATENATE(CS$7,"-",MID($E10,1,100)),DATOS!$Z:$AA,2,0))</f>
        <v/>
      </c>
      <c r="CT10" s="211" t="str">
        <f>IF(ISERROR(VLOOKUP(CONCATENATE(CT$7,"-",MID($E10,1,100)),DATOS!$Z:$AA,2,0)),"",VLOOKUP(CONCATENATE(CT$7,"-",MID($E10,1,100)),DATOS!$Z:$AA,2,0))</f>
        <v/>
      </c>
      <c r="CU10" s="211" t="str">
        <f>IF(ISERROR(VLOOKUP(CONCATENATE(CU$7,"-",MID($E10,1,100)),DATOS!$Z:$AA,2,0)),"",VLOOKUP(CONCATENATE(CU$7,"-",MID($E10,1,100)),DATOS!$Z:$AA,2,0))</f>
        <v/>
      </c>
      <c r="CV10" s="211" t="str">
        <f>IF(ISERROR(VLOOKUP(CONCATENATE(CV$7,"-",MID($E10,1,100)),DATOS!$Z:$AA,2,0)),"",VLOOKUP(CONCATENATE(CV$7,"-",MID($E10,1,100)),DATOS!$Z:$AA,2,0))</f>
        <v/>
      </c>
      <c r="CW10" s="211" t="str">
        <f>IF(ISERROR(VLOOKUP(CONCATENATE(CW$7,"-",MID($E10,1,100)),DATOS!$Z:$AA,2,0)),"",VLOOKUP(CONCATENATE(CW$7,"-",MID($E10,1,100)),DATOS!$Z:$AA,2,0))</f>
        <v/>
      </c>
      <c r="CX10" s="211" t="str">
        <f>IF(ISERROR(VLOOKUP(CONCATENATE(CX$7,"-",MID($E10,1,100)),DATOS!$Z:$AA,2,0)),"",VLOOKUP(CONCATENATE(CX$7,"-",MID($E10,1,100)),DATOS!$Z:$AA,2,0))</f>
        <v/>
      </c>
      <c r="CY10" s="211" t="str">
        <f>IF(ISERROR(VLOOKUP(CONCATENATE(CY$7,"-",MID($E10,1,100)),DATOS!$Z:$AA,2,0)),"",VLOOKUP(CONCATENATE(CY$7,"-",MID($E10,1,100)),DATOS!$Z:$AA,2,0))</f>
        <v/>
      </c>
      <c r="CZ10" s="213" t="str">
        <f>IF(ISERROR(VLOOKUP(CONCATENATE(CZ$7,"-",MID($E10,1,100)),DATOS!$Z:$AA,2,0)),"",VLOOKUP(CONCATENATE(CZ$7,"-",MID($E10,1,100)),DATOS!$Z:$AA,2,0))</f>
        <v/>
      </c>
      <c r="DA10" s="212" t="str">
        <f>IF(ISERROR(VLOOKUP(CONCATENATE(DA$7,"-",MID($E10,1,100)),DATOS!$Z:$AA,2,0)),"",VLOOKUP(CONCATENATE(DA$7,"-",MID($E10,1,100)),DATOS!$Z:$AA,2,0))</f>
        <v/>
      </c>
      <c r="DB10" s="210" t="str">
        <f>IF(ISERROR(VLOOKUP(CONCATENATE(DB$7,"-",MID($E10,1,100)),DATOS!$Z:$AA,2,0)),"",VLOOKUP(CONCATENATE(DB$7,"-",MID($E10,1,100)),DATOS!$Z:$AA,2,0))</f>
        <v/>
      </c>
      <c r="DC10" s="211" t="str">
        <f>IF(ISERROR(VLOOKUP(CONCATENATE(DC$7,"-",MID($E10,1,100)),DATOS!$Z:$AA,2,0)),"",VLOOKUP(CONCATENATE(DC$7,"-",MID($E10,1,100)),DATOS!$Z:$AA,2,0))</f>
        <v/>
      </c>
      <c r="DD10" s="211" t="str">
        <f>IF(ISERROR(VLOOKUP(CONCATENATE(DD$7,"-",MID($E10,1,100)),DATOS!$Z:$AA,2,0)),"",VLOOKUP(CONCATENATE(DD$7,"-",MID($E10,1,100)),DATOS!$Z:$AA,2,0))</f>
        <v/>
      </c>
      <c r="DE10" s="211" t="str">
        <f>IF(ISERROR(VLOOKUP(CONCATENATE(DE$7,"-",MID($E10,1,100)),DATOS!$Z:$AA,2,0)),"",VLOOKUP(CONCATENATE(DE$7,"-",MID($E10,1,100)),DATOS!$Z:$AA,2,0))</f>
        <v/>
      </c>
      <c r="DF10" s="211" t="str">
        <f>IF(ISERROR(VLOOKUP(CONCATENATE(DF$7,"-",MID($E10,1,100)),DATOS!$Z:$AA,2,0)),"",VLOOKUP(CONCATENATE(DF$7,"-",MID($E10,1,100)),DATOS!$Z:$AA,2,0))</f>
        <v/>
      </c>
      <c r="DG10" s="211" t="str">
        <f>IF(ISERROR(VLOOKUP(CONCATENATE(DG$7,"-",MID($E10,1,100)),DATOS!$Z:$AA,2,0)),"",VLOOKUP(CONCATENATE(DG$7,"-",MID($E10,1,100)),DATOS!$Z:$AA,2,0))</f>
        <v/>
      </c>
      <c r="DH10" s="211" t="str">
        <f>IF(ISERROR(VLOOKUP(CONCATENATE(DH$7,"-",MID($E10,1,100)),DATOS!$Z:$AA,2,0)),"",VLOOKUP(CONCATENATE(DH$7,"-",MID($E10,1,100)),DATOS!$Z:$AA,2,0))</f>
        <v/>
      </c>
      <c r="DI10" s="211" t="str">
        <f>IF(ISERROR(VLOOKUP(CONCATENATE(DI$7,"-",MID($E10,1,100)),DATOS!$Z:$AA,2,0)),"",VLOOKUP(CONCATENATE(DI$7,"-",MID($E10,1,100)),DATOS!$Z:$AA,2,0))</f>
        <v/>
      </c>
      <c r="DJ10" s="213" t="str">
        <f>IF(ISERROR(VLOOKUP(CONCATENATE(DJ$7,"-",MID($E10,1,100)),DATOS!$Z:$AA,2,0)),"",VLOOKUP(CONCATENATE(DJ$7,"-",MID($E10,1,100)),DATOS!$Z:$AA,2,0))</f>
        <v/>
      </c>
      <c r="DK10" s="212" t="str">
        <f>IF(ISERROR(VLOOKUP(CONCATENATE(DK$7,"-",MID($E10,1,100)),DATOS!$Z:$AA,2,0)),"",VLOOKUP(CONCATENATE(DK$7,"-",MID($E10,1,100)),DATOS!$Z:$AA,2,0))</f>
        <v/>
      </c>
      <c r="DL10" s="210" t="str">
        <f>IF(ISERROR(VLOOKUP(CONCATENATE(DL$7,"-",MID($E10,1,100)),DATOS!$Z:$AA,2,0)),"",VLOOKUP(CONCATENATE(DL$7,"-",MID($E10,1,100)),DATOS!$Z:$AA,2,0))</f>
        <v/>
      </c>
      <c r="DM10" s="211" t="str">
        <f>IF(ISERROR(VLOOKUP(CONCATENATE(DM$7,"-",MID($E10,1,100)),DATOS!$Z:$AA,2,0)),"",VLOOKUP(CONCATENATE(DM$7,"-",MID($E10,1,100)),DATOS!$Z:$AA,2,0))</f>
        <v/>
      </c>
      <c r="DN10" s="211" t="str">
        <f>IF(ISERROR(VLOOKUP(CONCATENATE(DN$7,"-",MID($E10,1,100)),DATOS!$Z:$AA,2,0)),"",VLOOKUP(CONCATENATE(DN$7,"-",MID($E10,1,100)),DATOS!$Z:$AA,2,0))</f>
        <v/>
      </c>
      <c r="DO10" s="211" t="str">
        <f>IF(ISERROR(VLOOKUP(CONCATENATE(DO$7,"-",MID($E10,1,100)),DATOS!$Z:$AA,2,0)),"",VLOOKUP(CONCATENATE(DO$7,"-",MID($E10,1,100)),DATOS!$Z:$AA,2,0))</f>
        <v/>
      </c>
      <c r="DP10" s="211" t="str">
        <f>IF(ISERROR(VLOOKUP(CONCATENATE(DP$7,"-",MID($E10,1,100)),DATOS!$Z:$AA,2,0)),"",VLOOKUP(CONCATENATE(DP$7,"-",MID($E10,1,100)),DATOS!$Z:$AA,2,0))</f>
        <v/>
      </c>
      <c r="DQ10" s="211" t="str">
        <f>IF(ISERROR(VLOOKUP(CONCATENATE(DQ$7,"-",MID($E10,1,100)),DATOS!$Z:$AA,2,0)),"",VLOOKUP(CONCATENATE(DQ$7,"-",MID($E10,1,100)),DATOS!$Z:$AA,2,0))</f>
        <v/>
      </c>
      <c r="DR10" s="211" t="str">
        <f>IF(ISERROR(VLOOKUP(CONCATENATE(DR$7,"-",MID($E10,1,100)),DATOS!$Z:$AA,2,0)),"",VLOOKUP(CONCATENATE(DR$7,"-",MID($E10,1,100)),DATOS!$Z:$AA,2,0))</f>
        <v/>
      </c>
      <c r="DS10" s="211" t="str">
        <f>IF(ISERROR(VLOOKUP(CONCATENATE(DS$7,"-",MID($E10,1,100)),DATOS!$Z:$AA,2,0)),"",VLOOKUP(CONCATENATE(DS$7,"-",MID($E10,1,100)),DATOS!$Z:$AA,2,0))</f>
        <v/>
      </c>
      <c r="DT10" s="213" t="str">
        <f>IF(ISERROR(VLOOKUP(CONCATENATE(DT$7,"-",MID($E10,1,100)),DATOS!$Z:$AA,2,0)),"",VLOOKUP(CONCATENATE(DT$7,"-",MID($E10,1,100)),DATOS!$Z:$AA,2,0))</f>
        <v/>
      </c>
      <c r="DU10" s="212" t="str">
        <f>IF(ISERROR(VLOOKUP(CONCATENATE(DU$7,"-",MID($E10,1,100)),DATOS!$Z:$AA,2,0)),"",VLOOKUP(CONCATENATE(DU$7,"-",MID($E10,1,100)),DATOS!$Z:$AA,2,0))</f>
        <v/>
      </c>
      <c r="DV10" s="210" t="str">
        <f>IF(ISERROR(VLOOKUP(CONCATENATE(DV$7,"-",MID($E10,1,100)),DATOS!$Z:$AA,2,0)),"",VLOOKUP(CONCATENATE(DV$7,"-",MID($E10,1,100)),DATOS!$Z:$AA,2,0))</f>
        <v/>
      </c>
      <c r="DW10" s="211" t="str">
        <f>IF(ISERROR(VLOOKUP(CONCATENATE(DW$7,"-",MID($E10,1,100)),DATOS!$Z:$AA,2,0)),"",VLOOKUP(CONCATENATE(DW$7,"-",MID($E10,1,100)),DATOS!$Z:$AA,2,0))</f>
        <v/>
      </c>
      <c r="DX10" s="211" t="str">
        <f>IF(ISERROR(VLOOKUP(CONCATENATE(DX$7,"-",MID($E10,1,100)),DATOS!$Z:$AA,2,0)),"",VLOOKUP(CONCATENATE(DX$7,"-",MID($E10,1,100)),DATOS!$Z:$AA,2,0))</f>
        <v/>
      </c>
      <c r="DY10" s="211" t="str">
        <f>IF(ISERROR(VLOOKUP(CONCATENATE(DY$7,"-",MID($E10,1,100)),DATOS!$Z:$AA,2,0)),"",VLOOKUP(CONCATENATE(DY$7,"-",MID($E10,1,100)),DATOS!$Z:$AA,2,0))</f>
        <v/>
      </c>
      <c r="DZ10" s="211" t="str">
        <f>IF(ISERROR(VLOOKUP(CONCATENATE(DZ$7,"-",MID($E10,1,100)),DATOS!$Z:$AA,2,0)),"",VLOOKUP(CONCATENATE(DZ$7,"-",MID($E10,1,100)),DATOS!$Z:$AA,2,0))</f>
        <v/>
      </c>
      <c r="EA10" s="211" t="str">
        <f>IF(ISERROR(VLOOKUP(CONCATENATE(EA$7,"-",MID($E10,1,100)),DATOS!$Z:$AA,2,0)),"",VLOOKUP(CONCATENATE(EA$7,"-",MID($E10,1,100)),DATOS!$Z:$AA,2,0))</f>
        <v/>
      </c>
      <c r="EB10" s="211" t="str">
        <f>IF(ISERROR(VLOOKUP(CONCATENATE(EB$7,"-",MID($E10,1,100)),DATOS!$Z:$AA,2,0)),"",VLOOKUP(CONCATENATE(EB$7,"-",MID($E10,1,100)),DATOS!$Z:$AA,2,0))</f>
        <v/>
      </c>
      <c r="EC10" s="211" t="str">
        <f>IF(ISERROR(VLOOKUP(CONCATENATE(EC$7,"-",MID($E10,1,100)),DATOS!$Z:$AA,2,0)),"",VLOOKUP(CONCATENATE(EC$7,"-",MID($E10,1,100)),DATOS!$Z:$AA,2,0))</f>
        <v/>
      </c>
      <c r="ED10" s="213" t="str">
        <f>IF(ISERROR(VLOOKUP(CONCATENATE(ED$7,"-",MID($E10,1,100)),DATOS!$Z:$AA,2,0)),"",VLOOKUP(CONCATENATE(ED$7,"-",MID($E10,1,100)),DATOS!$Z:$AA,2,0))</f>
        <v/>
      </c>
      <c r="EE10" s="212" t="str">
        <f>IF(ISERROR(VLOOKUP(CONCATENATE(EE$7,"-",MID($E10,1,100)),DATOS!$Z:$AA,2,0)),"",VLOOKUP(CONCATENATE(EE$7,"-",MID($E10,1,100)),DATOS!$Z:$AA,2,0))</f>
        <v/>
      </c>
      <c r="EF10" s="210" t="str">
        <f>IF(ISERROR(VLOOKUP(CONCATENATE($EF$7,"-",MID(E10,1,100)),DATOS!Z:AA,2,0)),"",VLOOKUP(CONCATENATE($EF$7,"-",MID(E10,1,100)),DATOS!Z:AA,2,0))</f>
        <v/>
      </c>
      <c r="EG10" s="211" t="str">
        <f>IF(ISERROR(VLOOKUP(CONCATENATE($EG$7,"-",MID(E10,1,100)),DATOS!Z:AA,2,0)),"",VLOOKUP(CONCATENATE($EG$7,"-",MID(E10,1,100)),DATOS!Z:AA,2,0))</f>
        <v/>
      </c>
      <c r="EH10" s="211" t="str">
        <f>IF(ISERROR(VLOOKUP(CONCATENATE($EH$7,"-",MID(E10,1,100)),DATOS!Z:AA,2,0)),"",VLOOKUP(CONCATENATE($EH$7,"-",MID(E10,1,100)),DATOS!Z:AA,2,0))</f>
        <v/>
      </c>
      <c r="EI10" s="211" t="str">
        <f>IF(ISERROR(VLOOKUP(CONCATENATE($EI$7,"-",MID(E10,1,100)),DATOS!Z:AA,2,0)),"",VLOOKUP(CONCATENATE($EI$7,"-",MID(E10,1,100)),DATOS!Z:AA,2,0))</f>
        <v/>
      </c>
      <c r="EJ10" s="211" t="str">
        <f>IF(ISERROR(VLOOKUP(CONCATENATE($EJ$7,"-",MID(E10,1,100)),DATOS!Z:AA,2,0)),"",VLOOKUP(CONCATENATE($EJ$7,"-",MID(E10,1,100)),DATOS!Z:AA,2,0))</f>
        <v/>
      </c>
      <c r="EK10" s="211" t="str">
        <f>IF(ISERROR(VLOOKUP(CONCATENATE($EK$7,"-",MID(E10,1,100)),DATOS!Z:AA,2,0)),"",VLOOKUP(CONCATENATE($EK$7,"-",MID(E10,1,100)),DATOS!Z:AA,2,0))</f>
        <v/>
      </c>
      <c r="EL10" s="211" t="str">
        <f>IF(ISERROR(VLOOKUP(CONCATENATE($EL$7,"-",MID(E10,1,100)),DATOS!Z:AA,2,0)),"",VLOOKUP(CONCATENATE($EL$7,"-",MID(E10,1,100)),DATOS!Z:AA,2,0))</f>
        <v/>
      </c>
      <c r="EM10" s="211" t="str">
        <f>IF(ISERROR(VLOOKUP(CONCATENATE($EM$7,"-",MID(E10,1,100)),DATOS!Z:AA,2,0)),"",VLOOKUP(CONCATENATE($EM$7,"-",MID(E10,1,100)),DATOS!Z:AA,2,0))</f>
        <v/>
      </c>
      <c r="EN10" s="211" t="str">
        <f>IF(ISERROR(VLOOKUP(CONCATENATE($EN$7,"-",MID(E10,1,100)),DATOS!Z:AA,2,0)),"",VLOOKUP(CONCATENATE($EN$7,"-",MID(E10,1,100)),DATOS!Z:AA,2,0))</f>
        <v/>
      </c>
      <c r="EO10" s="212" t="str">
        <f>IF(ISERROR(VLOOKUP(CONCATENATE($EO$7,"-",MID(E10,1,100)),DATOS!Z:AA,2,0)),"",VLOOKUP(CONCATENATE($EO$7,"-",MID(E10,1,100)),DATOS!Z:AA,2,0))</f>
        <v/>
      </c>
      <c r="EP10" s="175">
        <f t="shared" si="0"/>
        <v>2</v>
      </c>
      <c r="EQ10" s="159" t="str">
        <f t="shared" si="1"/>
        <v>CG1: Comunicación Integral-N3</v>
      </c>
    </row>
    <row r="11" spans="1:168" ht="17.25" customHeight="1">
      <c r="A11" s="148"/>
      <c r="B11" s="151" t="str">
        <f>IF('1.Fundamentos'!B53="","",'1.Fundamentos'!B53)</f>
        <v>CG2: Comunicación Bilingüe</v>
      </c>
      <c r="C11" s="152" t="s">
        <v>78</v>
      </c>
      <c r="D11" s="153" t="str">
        <f>IF('1.Fundamentos'!F53="","",'1.Fundamentos'!F53)</f>
        <v>Aplica las competencias correspondientes al nivel A2 según los estándares del Marco de Referencia de la Comunidad Europea (CEFR).</v>
      </c>
      <c r="E11" s="154" t="str">
        <f t="shared" si="2"/>
        <v>CG2: Comunicación Bilingüe:N1 Aplica las competencias correspondientes al nivel A2 según los estándares del Marco de Referencia de la Comunidad Europea (CEFR).</v>
      </c>
      <c r="F11" s="204" t="str">
        <f>IF(ISERROR(VLOOKUP(CONCATENATE($F$7,"-",MID(E11,1,100)),DATOS!Z:AA,2,0)),"",VLOOKUP(CONCATENATE($F$7,"-",MID(E11,1,100)),DATOS!Z:AA,2,0))</f>
        <v/>
      </c>
      <c r="G11" s="205" t="str">
        <f>IF(ISERROR(VLOOKUP(CONCATENATE($G$7,"-",MID(E11,1,100)),DATOS!Z:AA,2,0)),"",VLOOKUP(CONCATENATE($G$7,"-",MID(E11,1,100)),DATOS!Z:AA,2,0))</f>
        <v/>
      </c>
      <c r="H11" s="205" t="str">
        <f>IF(ISERROR(VLOOKUP(CONCATENATE($H$7,"-",MID(E11,1,100)),DATOS!Z:AA,2,0)),"",VLOOKUP(CONCATENATE($H$7,"-",MID(E11,1,100)),DATOS!Z:AA,2,0))</f>
        <v>a</v>
      </c>
      <c r="I11" s="205" t="str">
        <f>IF(ISERROR(VLOOKUP(CONCATENATE($I$7,"-",MID(E11,1,100)),DATOS!Z:AA,2,0)),"",VLOOKUP(CONCATENATE($I$7,"-",MID(E11,1,100)),DATOS!Z:AA,2,0))</f>
        <v/>
      </c>
      <c r="J11" s="205" t="str">
        <f>IF(ISERROR(VLOOKUP(CONCATENATE($J$7,"-",MID(E11,1,100)),DATOS!Z:AA,2,0)),"",VLOOKUP(CONCATENATE($J$7,"-",MID(E11,1,100)),DATOS!Z:AA,2,0))</f>
        <v/>
      </c>
      <c r="K11" s="205" t="str">
        <f>IF(ISERROR(VLOOKUP(CONCATENATE($K$7,"-",MID(E11,1,100)),DATOS!Z:AA,2,0)),"",VLOOKUP(CONCATENATE($K$7,"-",MID(E11,1,100)),DATOS!Z:AA,2,0))</f>
        <v/>
      </c>
      <c r="L11" s="205" t="str">
        <f>IF(ISERROR(VLOOKUP(CONCATENATE($L$7,"-",MID(E11,1,100)),DATOS!Z:AA,2,0)),"",VLOOKUP(CONCATENATE($L$7,"-",MID(E11,1,100)),DATOS!Z:AA,2,0))</f>
        <v/>
      </c>
      <c r="M11" s="205" t="str">
        <f>IF(ISERROR(VLOOKUP(CONCATENATE($M$7,"-",MID(E11,1,100)),DATOS!Z:AA,2,0)),"",VLOOKUP(CONCATENATE($M$7,"-",MID(E11,1,100)),DATOS!Z:AA,2,0))</f>
        <v/>
      </c>
      <c r="N11" s="205" t="str">
        <f>IF(ISERROR(VLOOKUP(CONCATENATE($N$7,"-",MID(E11,1,100)),DATOS!Z:AA,2,0)),"",VLOOKUP(CONCATENATE($N$7,"-",MID(E11,1,100)),DATOS!Z:AA,2,0))</f>
        <v/>
      </c>
      <c r="O11" s="206" t="str">
        <f>IF(ISERROR(VLOOKUP(CONCATENATE($O$7,"-",MID(E11,1,100)),DATOS!Z:AA,2,0)),"",VLOOKUP(CONCATENATE($O$7,"-",MID(E11,1,100)),DATOS!Z:AA,2,0))</f>
        <v/>
      </c>
      <c r="P11" s="204" t="str">
        <f>IF(ISERROR(VLOOKUP(CONCATENATE($P$7,"-",MID(E11,1,100)),DATOS!Z:AA,2,0)),"",VLOOKUP(CONCATENATE($P$7,"-",MID(E11,1,100)),DATOS!Z:AA,2,0))</f>
        <v/>
      </c>
      <c r="Q11" s="205" t="str">
        <f>IF(ISERROR(VLOOKUP(CONCATENATE($Q$7,"-",MID(E11,1,100)),DATOS!Z:AA,2,0)),"",VLOOKUP(CONCATENATE($Q$7,"-",MID(E11,1,100)),DATOS!Z:AA,2,0))</f>
        <v>a</v>
      </c>
      <c r="R11" s="205" t="str">
        <f>IF(ISERROR(VLOOKUP(CONCATENATE($R$7,"-",MID(E11,1,100)),DATOS!Z:AA,2,0)),"",VLOOKUP(CONCATENATE($R$7,"-",MID(E11,1,100)),DATOS!Z:AA,2,0))</f>
        <v/>
      </c>
      <c r="S11" s="205" t="str">
        <f>IF(ISERROR(VLOOKUP(CONCATENATE($S$7,"-",MID(E11,1,100)),DATOS!Z:AA,2,0)),"",VLOOKUP(CONCATENATE($S$7,"-",MID(E11,1,100)),DATOS!Z:AA,2,0))</f>
        <v/>
      </c>
      <c r="T11" s="205" t="str">
        <f>IF(ISERROR(VLOOKUP(CONCATENATE($T$7,"-",MID(E11,1,100)),DATOS!Z:AA,2,0)),"",VLOOKUP(CONCATENATE($T$7,"-",MID(E11,1,100)),DATOS!Z:AA,2,0))</f>
        <v/>
      </c>
      <c r="U11" s="205" t="str">
        <f>IF(ISERROR(VLOOKUP(CONCATENATE($U$7,"-",MID(E11,1,100)),DATOS!Z:AA,2,0)),"",VLOOKUP(CONCATENATE($U$7,"-",MID(E11,1,100)),DATOS!Z:AA,2,0))</f>
        <v/>
      </c>
      <c r="V11" s="205" t="str">
        <f>IF(ISERROR(VLOOKUP(CONCATENATE($V$7,"-",MID(E11,1,100)),DATOS!Z:AA,2,0)),"",VLOOKUP(CONCATENATE($V$7,"-",MID(E11,1,100)),DATOS!Z:AA,2,0))</f>
        <v/>
      </c>
      <c r="W11" s="205" t="str">
        <f>IF(ISERROR(VLOOKUP(CONCATENATE($W$7,"-",MID(E11,1,100)),DATOS!Z:AA,2,0)),"",VLOOKUP(CONCATENATE($W$7,"-",MID(E11,1,100)),DATOS!Z:AA,2,0))</f>
        <v/>
      </c>
      <c r="X11" s="205" t="str">
        <f>IF(ISERROR(VLOOKUP(CONCATENATE($X$7,"-",MID(E11,1,100)),DATOS!Z:AA,2,0)),"",VLOOKUP(CONCATENATE($X$7,"-",MID(E11,1,100)),DATOS!Z:AA,2,0))</f>
        <v/>
      </c>
      <c r="Y11" s="206" t="str">
        <f>IF(ISERROR(VLOOKUP(CONCATENATE($Y$7,"-",MID(E11,1,100)),DATOS!Z:AA,2,0)),"",VLOOKUP(CONCATENATE($Y$7,"-",MID(E11,1,100)),DATOS!Z:AA,2,0))</f>
        <v/>
      </c>
      <c r="Z11" s="204" t="str">
        <f>IF(ISERROR(VLOOKUP(CONCATENATE($Z$7,"-",MID(E11,1,100)),DATOS!Z:AA,2,0)),"",VLOOKUP(CONCATENATE($Z$7,"-",MID(E11,1,100)),DATOS!Z:AA,2,0))</f>
        <v>a</v>
      </c>
      <c r="AA11" s="205" t="str">
        <f>IF(ISERROR(VLOOKUP(CONCATENATE($AA$7,"-",MID(E11,1,100)),DATOS!Z:AA,2,0)),"",VLOOKUP(CONCATENATE($AA$7,"-",MID(E11,1,100)),DATOS!Z:AA,2,0))</f>
        <v/>
      </c>
      <c r="AB11" s="205" t="str">
        <f>IF(ISERROR(VLOOKUP(CONCATENATE($AB$7,"-",MID(E11,1,100)),DATOS!Z:AA,2,0)),"",VLOOKUP(CONCATENATE($AB$7,"-",MID(E11,1,100)),DATOS!Z:AA,2,0))</f>
        <v/>
      </c>
      <c r="AC11" s="205" t="str">
        <f>IF(ISERROR(VLOOKUP(CONCATENATE($AC$7,"-",MID(E11,1,100)),DATOS!Z:AA,2,0)),"",VLOOKUP(CONCATENATE($AC$7,"-",MID(E11,1,100)),DATOS!Z:AA,2,0))</f>
        <v/>
      </c>
      <c r="AD11" s="205" t="str">
        <f>IF(ISERROR(VLOOKUP(CONCATENATE($AD$7,"-",MID(E11,1,100)),DATOS!Z:AA,2,0)),"",VLOOKUP(CONCATENATE($AD$7,"-",MID(E11,1,100)),DATOS!Z:AA,2,0))</f>
        <v/>
      </c>
      <c r="AE11" s="205" t="str">
        <f>IF(ISERROR(VLOOKUP(CONCATENATE($AE$7,"-",MID(E11,1,100)),DATOS!Z:AA,2,0)),"",VLOOKUP(CONCATENATE($AE$7,"-",MID(E11,1,100)),DATOS!Z:AA,2,0))</f>
        <v/>
      </c>
      <c r="AF11" s="205" t="str">
        <f>IF(ISERROR(VLOOKUP(CONCATENATE($AF$7,"-",MID(E11,1,100)),DATOS!Z:AA,2,0)),"",VLOOKUP(CONCATENATE($AF$7,"-",MID(E11,1,100)),DATOS!Z:AA,2,0))</f>
        <v/>
      </c>
      <c r="AG11" s="205" t="str">
        <f>IF(ISERROR(VLOOKUP(CONCATENATE($AG$7,"-",MID(E11,1,100)),DATOS!Z:AA,2,0)),"",VLOOKUP(CONCATENATE($AG$7,"-",MID(E11,1,100)),DATOS!Z:AA,2,0))</f>
        <v/>
      </c>
      <c r="AH11" s="205" t="str">
        <f>IF(ISERROR(VLOOKUP(CONCATENATE($AH$7,"-",MID(E11,1,100)),DATOS!Z:AA,2,0)),"",VLOOKUP(CONCATENATE($AH$7,"-",MID(E11,1,100)),DATOS!Z:AA,2,0))</f>
        <v/>
      </c>
      <c r="AI11" s="206" t="str">
        <f>IF(ISERROR(VLOOKUP(CONCATENATE($AI$7,"-",MID(E11,1,100)),DATOS!Z:AA,2,0)),"",VLOOKUP(CONCATENATE($AI$7,"-",MID(E11,1,100)),DATOS!Z:AA,2,0))</f>
        <v/>
      </c>
      <c r="AJ11" s="204" t="str">
        <f>IF(ISERROR(VLOOKUP(CONCATENATE($AJ$7,"-",MID(E11,1,100)),DATOS!Z:AA,2,0)),"",VLOOKUP(CONCATENATE($AJ$7,"-",MID(E11,1,100)),DATOS!Z:AA,2,0))</f>
        <v/>
      </c>
      <c r="AK11" s="205" t="str">
        <f>IF(ISERROR(VLOOKUP(CONCATENATE($AK$7,"-",MID(E11,1,100)),DATOS!Z:AA,2,0)),"",VLOOKUP(CONCATENATE($AK$7,"-",MID(E11,1,100)),DATOS!Z:AA,2,0))</f>
        <v/>
      </c>
      <c r="AL11" s="205" t="str">
        <f>IF(ISERROR(VLOOKUP(CONCATENATE($AL$7,"-",MID(E11,1,100)),DATOS!Z:AA,2,0)),"",VLOOKUP(CONCATENATE($AL$7,"-",MID(E11,1,100)),DATOS!Z:AA,2,0))</f>
        <v/>
      </c>
      <c r="AM11" s="205" t="str">
        <f>IF(ISERROR(VLOOKUP(CONCATENATE($AM$7,"-",MID(E11,1,100)),DATOS!Z:AA,2,0)),"",VLOOKUP(CONCATENATE($AM$7,"-",MID(E11,1,100)),DATOS!Z:AA,2,0))</f>
        <v/>
      </c>
      <c r="AN11" s="205" t="str">
        <f>IF(ISERROR(VLOOKUP(CONCATENATE($AN$7,"-",MID(E11,1,100)),DATOS!Z:AA,2,0)),"",VLOOKUP(CONCATENATE($AN$7,"-",MID(E11,1,100)),DATOS!Z:AA,2,0))</f>
        <v/>
      </c>
      <c r="AO11" s="205" t="str">
        <f>IF(ISERROR(VLOOKUP(CONCATENATE($AO$7,"-",MID(E11,1,100)),DATOS!Z:AA,2,0)),"",VLOOKUP(CONCATENATE($AO$7,"-",MID(E11,1,100)),DATOS!Z:AA,2,0))</f>
        <v/>
      </c>
      <c r="AP11" s="205" t="str">
        <f>IF(ISERROR(VLOOKUP(CONCATENATE($AP$7,"-",MID(E11,1,100)),DATOS!Z:AA,2,0)),"",VLOOKUP(CONCATENATE($AP$7,"-",MID(E11,1,100)),DATOS!Z:AA,2,0))</f>
        <v/>
      </c>
      <c r="AQ11" s="205" t="str">
        <f>IF(ISERROR(VLOOKUP(CONCATENATE($AQ$7,"-",MID(E11,1,100)),DATOS!Z:AA,2,0)),"",VLOOKUP(CONCATENATE($AQ$7,"-",MID(E11,1,100)),DATOS!Z:AA,2,0))</f>
        <v/>
      </c>
      <c r="AR11" s="205" t="str">
        <f>IF(ISERROR(VLOOKUP(CONCATENATE($AR$7,"-",MID(E11,1,100)),DATOS!Z:AA,2,0)),"",VLOOKUP(CONCATENATE($AR$7,"-",MID(E11,1,100)),DATOS!Z:AA,2,0))</f>
        <v/>
      </c>
      <c r="AS11" s="206" t="str">
        <f>IF(ISERROR(VLOOKUP(CONCATENATE($AS$7,"-",MID(E11,1,100)),DATOS!Z:AA,2,0)),"",VLOOKUP(CONCATENATE($AS$7,"-",MID(E11,1,100)),DATOS!Z:AA,2,0))</f>
        <v/>
      </c>
      <c r="AT11" s="155" t="str">
        <f>IF(ISERROR(VLOOKUP(CONCATENATE($AT$7,"-",MID(E11,1,100)),DATOS!Z:AA,2,0)),"",VLOOKUP(CONCATENATE($AT$7,"-",MID(E11,1,100)),DATOS!Z:AA,2,0))</f>
        <v/>
      </c>
      <c r="AU11" s="156" t="str">
        <f>IF(ISERROR(VLOOKUP(CONCATENATE($AU$7,"-",MID(E11,1,100)),DATOS!Z:AA,2,0)),"",VLOOKUP(CONCATENATE($AU$7,"-",MID(E11,1,100)),DATOS!Z:AA,2,0))</f>
        <v/>
      </c>
      <c r="AV11" s="156" t="str">
        <f>IF(ISERROR(VLOOKUP(CONCATENATE($AV$7,"-",MID(E11,1,100)),DATOS!Z:AA,2,0)),"",VLOOKUP(CONCATENATE($AV$7,"-",MID(E11,1,100)),DATOS!Z:AA,2,0))</f>
        <v/>
      </c>
      <c r="AW11" s="156" t="str">
        <f>IF(ISERROR(VLOOKUP(CONCATENATE($AW$7,"-",MID(E11,1,100)),DATOS!Z:AA,2,0)),"",VLOOKUP(CONCATENATE($AW$7,"-",MID(E11,1,100)),DATOS!Z:AA,2,0))</f>
        <v/>
      </c>
      <c r="AX11" s="156" t="str">
        <f>IF(ISERROR(VLOOKUP(CONCATENATE($AX$7,"-",MID(E11,1,100)),DATOS!Z:AA,2,0)),"",VLOOKUP(CONCATENATE($AX$7,"-",MID(E11,1,100)),DATOS!Z:AA,2,0))</f>
        <v/>
      </c>
      <c r="AY11" s="156" t="str">
        <f>IF(ISERROR(VLOOKUP(CONCATENATE($AY$7,"-",MID(E11,1,100)),DATOS!Z:AA,2,0)),"",VLOOKUP(CONCATENATE($AY$7,"-",MID(E11,1,100)),DATOS!Z:AA,2,0))</f>
        <v/>
      </c>
      <c r="AZ11" s="156" t="str">
        <f>IF(ISERROR(VLOOKUP(CONCATENATE($AZ$7,"-",MID(E11,1,100)),DATOS!Z:AA,2,0)),"",VLOOKUP(CONCATENATE($AZ$7,"-",MID(E11,1,100)),DATOS!Z:AA,2,0))</f>
        <v/>
      </c>
      <c r="BA11" s="156" t="str">
        <f>IF(ISERROR(VLOOKUP(CONCATENATE($BA$7,"-",MID(E11,1,100)),DATOS!Z:AA,2,0)),"",VLOOKUP(CONCATENATE($BA$7,"-",MID(E11,1,100)),DATOS!Z:AA,2,0))</f>
        <v/>
      </c>
      <c r="BB11" s="156" t="str">
        <f>IF(ISERROR(VLOOKUP(CONCATENATE($BB$7,"-",MID(E11,1,100)),DATOS!Z:AA,2,0)),"",VLOOKUP(CONCATENATE($BB$7,"-",MID(E11,1,100)),DATOS!Z:AA,2,0))</f>
        <v/>
      </c>
      <c r="BC11" s="157" t="str">
        <f>IF(ISERROR(VLOOKUP(CONCATENATE($BC$7,"-",MID(E11,1,100)),DATOS!Z:AA,2,0)),"",VLOOKUP(CONCATENATE($BC$7,"-",MID(E11,1,100)),DATOS!Z:AA,2,0))</f>
        <v/>
      </c>
      <c r="BD11" s="155" t="str">
        <f>IF(ISERROR(VLOOKUP(CONCATENATE($BD$7,"-",MID(E11,1,100)),DATOS!Z:AA,2,0)),"",VLOOKUP(CONCATENATE($BD$7,"-",MID(E11,1,100)),DATOS!Z:AA,2,0))</f>
        <v/>
      </c>
      <c r="BE11" s="156" t="str">
        <f>IF(ISERROR(VLOOKUP(CONCATENATE($BE$7,"-",MID(E11,1,100)),DATOS!Z:AA,2,0)),"",VLOOKUP(CONCATENATE($BE$7,"-",MID(E11,1,100)),DATOS!Z:AA,2,0))</f>
        <v/>
      </c>
      <c r="BF11" s="156" t="str">
        <f>IF(ISERROR(VLOOKUP(CONCATENATE($BF$7,"-",MID(E11,1,100)),DATOS!Z:AA,2,0)),"",VLOOKUP(CONCATENATE($BF$7,"-",MID(E11,1,100)),DATOS!Z:AA,2,0))</f>
        <v/>
      </c>
      <c r="BG11" s="156" t="str">
        <f>IF(ISERROR(VLOOKUP(CONCATENATE($BG$7,"-",MID(E11,1,100)),DATOS!Z:AA,2,0)),"",VLOOKUP(CONCATENATE($BG$7,"-",MID(E11,1,100)),DATOS!Z:AA,2,0))</f>
        <v/>
      </c>
      <c r="BH11" s="156" t="str">
        <f>IF(ISERROR(VLOOKUP(CONCATENATE($BH$7,"-",MID(E11,1,100)),DATOS!Z:AA,2,0)),"",VLOOKUP(CONCATENATE($BH$7,"-",MID(E11,1,100)),DATOS!Z:AA,2,0))</f>
        <v/>
      </c>
      <c r="BI11" s="156" t="str">
        <f>IF(ISERROR(VLOOKUP(CONCATENATE($BI$7,"-",MID(E11,1,100)),DATOS!Z:AA,2,0)),"",VLOOKUP(CONCATENATE($BI$7,"-",MID(E11,1,100)),DATOS!Z:AA,2,0))</f>
        <v/>
      </c>
      <c r="BJ11" s="156" t="str">
        <f>IF(ISERROR(VLOOKUP(CONCATENATE($BJ$7,"-",MID(E11,1,100)),DATOS!Z:AA,2,0)),"",VLOOKUP(CONCATENATE($BJ$7,"-",MID(E11,1,100)),DATOS!Z:AA,2,0))</f>
        <v/>
      </c>
      <c r="BK11" s="156" t="str">
        <f>IF(ISERROR(VLOOKUP(CONCATENATE($BK$7,"-",MID(E11,1,100)),DATOS!Z:AA,2,0)),"",VLOOKUP(CONCATENATE($BK$7,"-",MID(E11,1,100)),DATOS!Z:AA,2,0))</f>
        <v/>
      </c>
      <c r="BL11" s="156" t="str">
        <f>IF(ISERROR(VLOOKUP(CONCATENATE($BL$7,"-",MID(E11,1,100)),DATOS!Z:AA,2,0)),"",VLOOKUP(CONCATENATE($BL$7,"-",MID(E11,1,100)),DATOS!Z:AA,2,0))</f>
        <v/>
      </c>
      <c r="BM11" s="157" t="str">
        <f>IF(ISERROR(VLOOKUP(CONCATENATE($BM$7,"-",MID(E11,1,100)),DATOS!Z:AA,2,0)),"",VLOOKUP(CONCATENATE($BM$7,"-",MID(E11,1,100)),DATOS!Z:AA,2,0))</f>
        <v/>
      </c>
      <c r="BN11" s="155" t="str">
        <f>IF(ISERROR(VLOOKUP(CONCATENATE($BN$7,"-",MID(E11,1,100)),DATOS!Z:AA,2,0)),"",VLOOKUP(CONCATENATE($BN$7,"-",MID(E11,1,100)),DATOS!Z:AA,2,0))</f>
        <v/>
      </c>
      <c r="BO11" s="156" t="str">
        <f>IF(ISERROR(VLOOKUP(CONCATENATE($BO$7,"-",MID(E11,1,100)),DATOS!Z:AA,2,0)),"",VLOOKUP(CONCATENATE($BO$7,"-",MID(E11,1,100)),DATOS!Z:AA,2,0))</f>
        <v/>
      </c>
      <c r="BP11" s="156" t="str">
        <f>IF(ISERROR(VLOOKUP(CONCATENATE($BP$7,"-",MID(E11,1,100)),DATOS!Z:AA,2,0)),"",VLOOKUP(CONCATENATE($BP$7,"-",MID(E11,1,100)),DATOS!Z:AA,2,0))</f>
        <v/>
      </c>
      <c r="BQ11" s="156" t="str">
        <f>IF(ISERROR(VLOOKUP(CONCATENATE($BQ$7,"-",MID(E11,1,100)),DATOS!Z:AA,2,0)),"",VLOOKUP(CONCATENATE($BQ$7,"-",MID(E11,1,100)),DATOS!Z:AA,2,0))</f>
        <v/>
      </c>
      <c r="BR11" s="156" t="str">
        <f>IF(ISERROR(VLOOKUP(CONCATENATE($BR$7,"-",MID(E11,1,100)),DATOS!Z:AA,2,0)),"",VLOOKUP(CONCATENATE($BR$7,"-",MID(E11,1,100)),DATOS!Z:AA,2,0))</f>
        <v/>
      </c>
      <c r="BS11" s="156" t="str">
        <f>IF(ISERROR(VLOOKUP(CONCATENATE($BS$7,"-",MID(E11,1,100)),DATOS!Z:AA,2,0)),"",VLOOKUP(CONCATENATE($BS$7,"-",MID(E11,1,100)),DATOS!Z:AA,2,0))</f>
        <v/>
      </c>
      <c r="BT11" s="156" t="str">
        <f>IF(ISERROR(VLOOKUP(CONCATENATE($BT$7,"-",MID(E11,1,100)),DATOS!Z:AA,2,0)),"",VLOOKUP(CONCATENATE($BT$7,"-",MID(E11,1,100)),DATOS!Z:AA,2,0))</f>
        <v/>
      </c>
      <c r="BU11" s="156" t="str">
        <f>IF(ISERROR(VLOOKUP(CONCATENATE($BU$7,"-",MID(E11,1,100)),DATOS!Z:AA,2,0)),"",VLOOKUP(CONCATENATE($BU$7,"-",MID(E11,1,100)),DATOS!Z:AA,2,0))</f>
        <v/>
      </c>
      <c r="BV11" s="156" t="str">
        <f>IF(ISERROR(VLOOKUP(CONCATENATE($BV$7,"-",MID(E11,1,100)),DATOS!Z:AA,2,0)),"",VLOOKUP(CONCATENATE($BV$7,"-",MID(E11,1,100)),DATOS!Z:AA,2,0))</f>
        <v/>
      </c>
      <c r="BW11" s="157" t="str">
        <f>IF(ISERROR(VLOOKUP(CONCATENATE($BW$7,"-",MID(E11,1,100)),DATOS!Z:AA,2,0)),"",VLOOKUP(CONCATENATE($BW$7,"-",MID(E11,1,100)),DATOS!Z:AA,2,0))</f>
        <v/>
      </c>
      <c r="BX11" s="155" t="str">
        <f>IF(ISERROR(VLOOKUP(CONCATENATE($BX$7,"-",MID(E11,1,100)),DATOS!Z:AA,2,0)),"",VLOOKUP(CONCATENATE($BX$7,"-",MID(E11,1,100)),DATOS!Z:AA,2,0))</f>
        <v/>
      </c>
      <c r="BY11" s="156" t="str">
        <f>IF(ISERROR(VLOOKUP(CONCATENATE($BY$7,"-",MID(E11,1,100)),DATOS!Z:AA,2,0)),"",VLOOKUP(CONCATENATE($BY$7,"-",MID(E11,1,100)),DATOS!Z:AA,2,0))</f>
        <v/>
      </c>
      <c r="BZ11" s="156" t="str">
        <f>IF(ISERROR(VLOOKUP(CONCATENATE($BZ$7,"-",MID(E11,1,100)),DATOS!Z:AA,2,0)),"",VLOOKUP(CONCATENATE($BZ$7,"-",MID(E11,1,100)),DATOS!Z:AA,2,0))</f>
        <v/>
      </c>
      <c r="CA11" s="156" t="str">
        <f>IF(ISERROR(VLOOKUP(CONCATENATE($CA$7,"-",MID(E11,1,100)),DATOS!Z:AA,2,0)),"",VLOOKUP(CONCATENATE($CA$7,"-",MID(E11,1,100)),DATOS!Z:AA,2,0))</f>
        <v/>
      </c>
      <c r="CB11" s="156" t="str">
        <f>IF(ISERROR(VLOOKUP(CONCATENATE($CB$7,"-",MID(E11,1,100)),DATOS!Z:AA,2,0)),"",VLOOKUP(CONCATENATE($CB$7,"-",MID(E11,1,100)),DATOS!Z:AA,2,0))</f>
        <v/>
      </c>
      <c r="CC11" s="156" t="str">
        <f>IF(ISERROR(VLOOKUP(CONCATENATE($CC$7,"-",MID(E11,1,100)),DATOS!Z:AA,2,0)),"",VLOOKUP(CONCATENATE($CC$7,"-",MID(E11,1,100)),DATOS!Z:AA,2,0))</f>
        <v/>
      </c>
      <c r="CD11" s="156" t="str">
        <f>IF(ISERROR(VLOOKUP(CONCATENATE($CD$7,"-",MID(E11,1,100)),DATOS!Z:AA,2,0)),"",VLOOKUP(CONCATENATE($CD$7,"-",MID(E11,1,100)),DATOS!Z:AA,2,0))</f>
        <v/>
      </c>
      <c r="CE11" s="156" t="str">
        <f>IF(ISERROR(VLOOKUP(CONCATENATE($CE$7,"-",MID(E11,1,100)),DATOS!Z:AA,2,0)),"",VLOOKUP(CONCATENATE($CE$7,"-",MID(E11,1,100)),DATOS!Z:AA,2,0))</f>
        <v/>
      </c>
      <c r="CF11" s="156" t="str">
        <f>IF(ISERROR(VLOOKUP(CONCATENATE($CF$7,"-",MID(E11,1,100)),DATOS!Z:AA,2,0)),"",VLOOKUP(CONCATENATE($CF$7,"-",MID(E11,1,100)),DATOS!Z:AA,2,0))</f>
        <v/>
      </c>
      <c r="CG11" s="157" t="str">
        <f>IF(ISERROR(VLOOKUP(CONCATENATE($CG$7,"-",MID(E11,1,100)),DATOS!Z:AA,2,0)),"",VLOOKUP(CONCATENATE($CG$7,"-",MID(E11,1,100)),DATOS!Z:AA,2,0))</f>
        <v/>
      </c>
      <c r="CH11" s="155" t="str">
        <f>IF(ISERROR(VLOOKUP(CONCATENATE($CH$7,"-",MID(E11,1,100)),DATOS!Z:AA,2,0)),"",VLOOKUP(CONCATENATE($CH$7,"-",MID(E11,1,100)),DATOS!Z:AA,2,0))</f>
        <v/>
      </c>
      <c r="CI11" s="156" t="str">
        <f>IF(ISERROR(VLOOKUP(CONCATENATE($CI$7,"-",MID(E11,1,100)),DATOS!Z:AA,2,0)),"",VLOOKUP(CONCATENATE($CI$7,"-",MID(E11,1,100)),DATOS!Z:AA,2,0))</f>
        <v/>
      </c>
      <c r="CJ11" s="156" t="str">
        <f>IF(ISERROR(VLOOKUP(CONCATENATE($CJ$7,"-",MID(E11,1,100)),DATOS!Z:AA,2,0)),"",VLOOKUP(CONCATENATE($CJ$7,"-",MID(E11,1,100)),DATOS!Z:AA,2,0))</f>
        <v/>
      </c>
      <c r="CK11" s="156" t="str">
        <f>IF(ISERROR(VLOOKUP(CONCATENATE($CK$7,"-",MID(E11,1,100)),DATOS!Z:AA,2,0)),"",VLOOKUP(CONCATENATE($CK$7,"-",MID(E11,1,100)),DATOS!Z:AA,2,0))</f>
        <v/>
      </c>
      <c r="CL11" s="156" t="str">
        <f>IF(ISERROR(VLOOKUP(CONCATENATE($CL$7,"-",MID(E11,1,100)),DATOS!Z:AA,2,0)),"",VLOOKUP(CONCATENATE($CL$7,"-",MID(E11,1,100)),DATOS!Z:AA,2,0))</f>
        <v/>
      </c>
      <c r="CM11" s="156" t="str">
        <f>IF(ISERROR(VLOOKUP(CONCATENATE($CM$7,"-",MID(E11,1,100)),DATOS!Z:AA,2,0)),"",VLOOKUP(CONCATENATE($CM$7,"-",MID(E11,1,100)),DATOS!Z:AA,2,0))</f>
        <v/>
      </c>
      <c r="CN11" s="156" t="str">
        <f>IF(ISERROR(VLOOKUP(CONCATENATE($CN$7,"-",MID(E11,1,100)),DATOS!Z:AA,2,0)),"",VLOOKUP(CONCATENATE($CN$7,"-",MID(E11,1,100)),DATOS!Z:AA,2,0))</f>
        <v/>
      </c>
      <c r="CO11" s="156" t="str">
        <f>IF(ISERROR(VLOOKUP(CONCATENATE($CO$7,"-",MID(E11,1,100)),DATOS!Z:AA,2,0)),"",VLOOKUP(CONCATENATE($CO$7,"-",MID(E11,1,100)),DATOS!Z:AA,2,0))</f>
        <v/>
      </c>
      <c r="CP11" s="194" t="str">
        <f>IF(ISERROR(VLOOKUP(CONCATENATE($CP$7,"-",MID(E11,1,100)),DATOS!Z:AA,2,0)),"",VLOOKUP(CONCATENATE($CP$7,"-",MID(E11,1,100)),DATOS!Z:AA,2,0))</f>
        <v/>
      </c>
      <c r="CQ11" s="157" t="str">
        <f>IF(ISERROR(VLOOKUP(CONCATENATE($CQ$7,"-",MID(E11,1,100)),DATOS!Z:AA,2,0)),"",VLOOKUP(CONCATENATE($CQ$7,"-",MID(E11,1,100)),DATOS!Z:AA,2,0))</f>
        <v/>
      </c>
      <c r="CR11" s="155" t="str">
        <f>IF(ISERROR(VLOOKUP(CONCATENATE(CR$7,"-",MID($E11,1,100)),DATOS!$Z:$AA,2,0)),"",VLOOKUP(CONCATENATE(CR$7,"-",MID($E11,1,100)),DATOS!$Z:$AA,2,0))</f>
        <v/>
      </c>
      <c r="CS11" s="156" t="str">
        <f>IF(ISERROR(VLOOKUP(CONCATENATE(CS$7,"-",MID($E11,1,100)),DATOS!$Z:$AA,2,0)),"",VLOOKUP(CONCATENATE(CS$7,"-",MID($E11,1,100)),DATOS!$Z:$AA,2,0))</f>
        <v/>
      </c>
      <c r="CT11" s="156" t="str">
        <f>IF(ISERROR(VLOOKUP(CONCATENATE(CT$7,"-",MID($E11,1,100)),DATOS!$Z:$AA,2,0)),"",VLOOKUP(CONCATENATE(CT$7,"-",MID($E11,1,100)),DATOS!$Z:$AA,2,0))</f>
        <v/>
      </c>
      <c r="CU11" s="156" t="str">
        <f>IF(ISERROR(VLOOKUP(CONCATENATE(CU$7,"-",MID($E11,1,100)),DATOS!$Z:$AA,2,0)),"",VLOOKUP(CONCATENATE(CU$7,"-",MID($E11,1,100)),DATOS!$Z:$AA,2,0))</f>
        <v/>
      </c>
      <c r="CV11" s="156" t="str">
        <f>IF(ISERROR(VLOOKUP(CONCATENATE(CV$7,"-",MID($E11,1,100)),DATOS!$Z:$AA,2,0)),"",VLOOKUP(CONCATENATE(CV$7,"-",MID($E11,1,100)),DATOS!$Z:$AA,2,0))</f>
        <v/>
      </c>
      <c r="CW11" s="156" t="str">
        <f>IF(ISERROR(VLOOKUP(CONCATENATE(CW$7,"-",MID($E11,1,100)),DATOS!$Z:$AA,2,0)),"",VLOOKUP(CONCATENATE(CW$7,"-",MID($E11,1,100)),DATOS!$Z:$AA,2,0))</f>
        <v/>
      </c>
      <c r="CX11" s="156" t="str">
        <f>IF(ISERROR(VLOOKUP(CONCATENATE(CX$7,"-",MID($E11,1,100)),DATOS!$Z:$AA,2,0)),"",VLOOKUP(CONCATENATE(CX$7,"-",MID($E11,1,100)),DATOS!$Z:$AA,2,0))</f>
        <v/>
      </c>
      <c r="CY11" s="156" t="str">
        <f>IF(ISERROR(VLOOKUP(CONCATENATE(CY$7,"-",MID($E11,1,100)),DATOS!$Z:$AA,2,0)),"",VLOOKUP(CONCATENATE(CY$7,"-",MID($E11,1,100)),DATOS!$Z:$AA,2,0))</f>
        <v/>
      </c>
      <c r="CZ11" s="194" t="str">
        <f>IF(ISERROR(VLOOKUP(CONCATENATE(CZ$7,"-",MID($E11,1,100)),DATOS!$Z:$AA,2,0)),"",VLOOKUP(CONCATENATE(CZ$7,"-",MID($E11,1,100)),DATOS!$Z:$AA,2,0))</f>
        <v/>
      </c>
      <c r="DA11" s="157" t="str">
        <f>IF(ISERROR(VLOOKUP(CONCATENATE(DA$7,"-",MID($E11,1,100)),DATOS!$Z:$AA,2,0)),"",VLOOKUP(CONCATENATE(DA$7,"-",MID($E11,1,100)),DATOS!$Z:$AA,2,0))</f>
        <v/>
      </c>
      <c r="DB11" s="155" t="str">
        <f>IF(ISERROR(VLOOKUP(CONCATENATE(DB$7,"-",MID($E11,1,100)),DATOS!$Z:$AA,2,0)),"",VLOOKUP(CONCATENATE(DB$7,"-",MID($E11,1,100)),DATOS!$Z:$AA,2,0))</f>
        <v/>
      </c>
      <c r="DC11" s="156" t="str">
        <f>IF(ISERROR(VLOOKUP(CONCATENATE(DC$7,"-",MID($E11,1,100)),DATOS!$Z:$AA,2,0)),"",VLOOKUP(CONCATENATE(DC$7,"-",MID($E11,1,100)),DATOS!$Z:$AA,2,0))</f>
        <v/>
      </c>
      <c r="DD11" s="156" t="str">
        <f>IF(ISERROR(VLOOKUP(CONCATENATE(DD$7,"-",MID($E11,1,100)),DATOS!$Z:$AA,2,0)),"",VLOOKUP(CONCATENATE(DD$7,"-",MID($E11,1,100)),DATOS!$Z:$AA,2,0))</f>
        <v/>
      </c>
      <c r="DE11" s="156" t="str">
        <f>IF(ISERROR(VLOOKUP(CONCATENATE(DE$7,"-",MID($E11,1,100)),DATOS!$Z:$AA,2,0)),"",VLOOKUP(CONCATENATE(DE$7,"-",MID($E11,1,100)),DATOS!$Z:$AA,2,0))</f>
        <v/>
      </c>
      <c r="DF11" s="156" t="str">
        <f>IF(ISERROR(VLOOKUP(CONCATENATE(DF$7,"-",MID($E11,1,100)),DATOS!$Z:$AA,2,0)),"",VLOOKUP(CONCATENATE(DF$7,"-",MID($E11,1,100)),DATOS!$Z:$AA,2,0))</f>
        <v/>
      </c>
      <c r="DG11" s="156" t="str">
        <f>IF(ISERROR(VLOOKUP(CONCATENATE(DG$7,"-",MID($E11,1,100)),DATOS!$Z:$AA,2,0)),"",VLOOKUP(CONCATENATE(DG$7,"-",MID($E11,1,100)),DATOS!$Z:$AA,2,0))</f>
        <v/>
      </c>
      <c r="DH11" s="156" t="str">
        <f>IF(ISERROR(VLOOKUP(CONCATENATE(DH$7,"-",MID($E11,1,100)),DATOS!$Z:$AA,2,0)),"",VLOOKUP(CONCATENATE(DH$7,"-",MID($E11,1,100)),DATOS!$Z:$AA,2,0))</f>
        <v/>
      </c>
      <c r="DI11" s="156" t="str">
        <f>IF(ISERROR(VLOOKUP(CONCATENATE(DI$7,"-",MID($E11,1,100)),DATOS!$Z:$AA,2,0)),"",VLOOKUP(CONCATENATE(DI$7,"-",MID($E11,1,100)),DATOS!$Z:$AA,2,0))</f>
        <v/>
      </c>
      <c r="DJ11" s="194" t="str">
        <f>IF(ISERROR(VLOOKUP(CONCATENATE(DJ$7,"-",MID($E11,1,100)),DATOS!$Z:$AA,2,0)),"",VLOOKUP(CONCATENATE(DJ$7,"-",MID($E11,1,100)),DATOS!$Z:$AA,2,0))</f>
        <v/>
      </c>
      <c r="DK11" s="157" t="str">
        <f>IF(ISERROR(VLOOKUP(CONCATENATE(DK$7,"-",MID($E11,1,100)),DATOS!$Z:$AA,2,0)),"",VLOOKUP(CONCATENATE(DK$7,"-",MID($E11,1,100)),DATOS!$Z:$AA,2,0))</f>
        <v/>
      </c>
      <c r="DL11" s="155" t="str">
        <f>IF(ISERROR(VLOOKUP(CONCATENATE(DL$7,"-",MID($E11,1,100)),DATOS!$Z:$AA,2,0)),"",VLOOKUP(CONCATENATE(DL$7,"-",MID($E11,1,100)),DATOS!$Z:$AA,2,0))</f>
        <v/>
      </c>
      <c r="DM11" s="156" t="str">
        <f>IF(ISERROR(VLOOKUP(CONCATENATE(DM$7,"-",MID($E11,1,100)),DATOS!$Z:$AA,2,0)),"",VLOOKUP(CONCATENATE(DM$7,"-",MID($E11,1,100)),DATOS!$Z:$AA,2,0))</f>
        <v/>
      </c>
      <c r="DN11" s="156" t="str">
        <f>IF(ISERROR(VLOOKUP(CONCATENATE(DN$7,"-",MID($E11,1,100)),DATOS!$Z:$AA,2,0)),"",VLOOKUP(CONCATENATE(DN$7,"-",MID($E11,1,100)),DATOS!$Z:$AA,2,0))</f>
        <v/>
      </c>
      <c r="DO11" s="156" t="str">
        <f>IF(ISERROR(VLOOKUP(CONCATENATE(DO$7,"-",MID($E11,1,100)),DATOS!$Z:$AA,2,0)),"",VLOOKUP(CONCATENATE(DO$7,"-",MID($E11,1,100)),DATOS!$Z:$AA,2,0))</f>
        <v/>
      </c>
      <c r="DP11" s="156" t="str">
        <f>IF(ISERROR(VLOOKUP(CONCATENATE(DP$7,"-",MID($E11,1,100)),DATOS!$Z:$AA,2,0)),"",VLOOKUP(CONCATENATE(DP$7,"-",MID($E11,1,100)),DATOS!$Z:$AA,2,0))</f>
        <v/>
      </c>
      <c r="DQ11" s="156" t="str">
        <f>IF(ISERROR(VLOOKUP(CONCATENATE(DQ$7,"-",MID($E11,1,100)),DATOS!$Z:$AA,2,0)),"",VLOOKUP(CONCATENATE(DQ$7,"-",MID($E11,1,100)),DATOS!$Z:$AA,2,0))</f>
        <v/>
      </c>
      <c r="DR11" s="156" t="str">
        <f>IF(ISERROR(VLOOKUP(CONCATENATE(DR$7,"-",MID($E11,1,100)),DATOS!$Z:$AA,2,0)),"",VLOOKUP(CONCATENATE(DR$7,"-",MID($E11,1,100)),DATOS!$Z:$AA,2,0))</f>
        <v/>
      </c>
      <c r="DS11" s="156" t="str">
        <f>IF(ISERROR(VLOOKUP(CONCATENATE(DS$7,"-",MID($E11,1,100)),DATOS!$Z:$AA,2,0)),"",VLOOKUP(CONCATENATE(DS$7,"-",MID($E11,1,100)),DATOS!$Z:$AA,2,0))</f>
        <v/>
      </c>
      <c r="DT11" s="194" t="str">
        <f>IF(ISERROR(VLOOKUP(CONCATENATE(DT$7,"-",MID($E11,1,100)),DATOS!$Z:$AA,2,0)),"",VLOOKUP(CONCATENATE(DT$7,"-",MID($E11,1,100)),DATOS!$Z:$AA,2,0))</f>
        <v/>
      </c>
      <c r="DU11" s="157" t="str">
        <f>IF(ISERROR(VLOOKUP(CONCATENATE(DU$7,"-",MID($E11,1,100)),DATOS!$Z:$AA,2,0)),"",VLOOKUP(CONCATENATE(DU$7,"-",MID($E11,1,100)),DATOS!$Z:$AA,2,0))</f>
        <v/>
      </c>
      <c r="DV11" s="155" t="str">
        <f>IF(ISERROR(VLOOKUP(CONCATENATE(DV$7,"-",MID($E11,1,100)),DATOS!$Z:$AA,2,0)),"",VLOOKUP(CONCATENATE(DV$7,"-",MID($E11,1,100)),DATOS!$Z:$AA,2,0))</f>
        <v/>
      </c>
      <c r="DW11" s="156" t="str">
        <f>IF(ISERROR(VLOOKUP(CONCATENATE(DW$7,"-",MID($E11,1,100)),DATOS!$Z:$AA,2,0)),"",VLOOKUP(CONCATENATE(DW$7,"-",MID($E11,1,100)),DATOS!$Z:$AA,2,0))</f>
        <v/>
      </c>
      <c r="DX11" s="156" t="str">
        <f>IF(ISERROR(VLOOKUP(CONCATENATE(DX$7,"-",MID($E11,1,100)),DATOS!$Z:$AA,2,0)),"",VLOOKUP(CONCATENATE(DX$7,"-",MID($E11,1,100)),DATOS!$Z:$AA,2,0))</f>
        <v/>
      </c>
      <c r="DY11" s="156" t="str">
        <f>IF(ISERROR(VLOOKUP(CONCATENATE(DY$7,"-",MID($E11,1,100)),DATOS!$Z:$AA,2,0)),"",VLOOKUP(CONCATENATE(DY$7,"-",MID($E11,1,100)),DATOS!$Z:$AA,2,0))</f>
        <v/>
      </c>
      <c r="DZ11" s="156" t="str">
        <f>IF(ISERROR(VLOOKUP(CONCATENATE(DZ$7,"-",MID($E11,1,100)),DATOS!$Z:$AA,2,0)),"",VLOOKUP(CONCATENATE(DZ$7,"-",MID($E11,1,100)),DATOS!$Z:$AA,2,0))</f>
        <v/>
      </c>
      <c r="EA11" s="156" t="str">
        <f>IF(ISERROR(VLOOKUP(CONCATENATE(EA$7,"-",MID($E11,1,100)),DATOS!$Z:$AA,2,0)),"",VLOOKUP(CONCATENATE(EA$7,"-",MID($E11,1,100)),DATOS!$Z:$AA,2,0))</f>
        <v/>
      </c>
      <c r="EB11" s="156" t="str">
        <f>IF(ISERROR(VLOOKUP(CONCATENATE(EB$7,"-",MID($E11,1,100)),DATOS!$Z:$AA,2,0)),"",VLOOKUP(CONCATENATE(EB$7,"-",MID($E11,1,100)),DATOS!$Z:$AA,2,0))</f>
        <v/>
      </c>
      <c r="EC11" s="156" t="str">
        <f>IF(ISERROR(VLOOKUP(CONCATENATE(EC$7,"-",MID($E11,1,100)),DATOS!$Z:$AA,2,0)),"",VLOOKUP(CONCATENATE(EC$7,"-",MID($E11,1,100)),DATOS!$Z:$AA,2,0))</f>
        <v/>
      </c>
      <c r="ED11" s="194" t="str">
        <f>IF(ISERROR(VLOOKUP(CONCATENATE(ED$7,"-",MID($E11,1,100)),DATOS!$Z:$AA,2,0)),"",VLOOKUP(CONCATENATE(ED$7,"-",MID($E11,1,100)),DATOS!$Z:$AA,2,0))</f>
        <v/>
      </c>
      <c r="EE11" s="157" t="str">
        <f>IF(ISERROR(VLOOKUP(CONCATENATE(EE$7,"-",MID($E11,1,100)),DATOS!$Z:$AA,2,0)),"",VLOOKUP(CONCATENATE(EE$7,"-",MID($E11,1,100)),DATOS!$Z:$AA,2,0))</f>
        <v/>
      </c>
      <c r="EF11" s="155" t="str">
        <f>IF(ISERROR(VLOOKUP(CONCATENATE($EF$7,"-",MID(E11,1,100)),DATOS!Z:AA,2,0)),"",VLOOKUP(CONCATENATE($EF$7,"-",MID(E11,1,100)),DATOS!Z:AA,2,0))</f>
        <v/>
      </c>
      <c r="EG11" s="156" t="str">
        <f>IF(ISERROR(VLOOKUP(CONCATENATE($EG$7,"-",MID(E11,1,100)),DATOS!Z:AA,2,0)),"",VLOOKUP(CONCATENATE($EG$7,"-",MID(E11,1,100)),DATOS!Z:AA,2,0))</f>
        <v/>
      </c>
      <c r="EH11" s="156" t="str">
        <f>IF(ISERROR(VLOOKUP(CONCATENATE($EH$7,"-",MID(E11,1,100)),DATOS!Z:AA,2,0)),"",VLOOKUP(CONCATENATE($EH$7,"-",MID(E11,1,100)),DATOS!Z:AA,2,0))</f>
        <v/>
      </c>
      <c r="EI11" s="156" t="str">
        <f>IF(ISERROR(VLOOKUP(CONCATENATE($EI$7,"-",MID(E11,1,100)),DATOS!Z:AA,2,0)),"",VLOOKUP(CONCATENATE($EI$7,"-",MID(E11,1,100)),DATOS!Z:AA,2,0))</f>
        <v/>
      </c>
      <c r="EJ11" s="156" t="str">
        <f>IF(ISERROR(VLOOKUP(CONCATENATE($EJ$7,"-",MID(E11,1,100)),DATOS!Z:AA,2,0)),"",VLOOKUP(CONCATENATE($EJ$7,"-",MID(E11,1,100)),DATOS!Z:AA,2,0))</f>
        <v/>
      </c>
      <c r="EK11" s="156" t="str">
        <f>IF(ISERROR(VLOOKUP(CONCATENATE($EK$7,"-",MID(E11,1,100)),DATOS!Z:AA,2,0)),"",VLOOKUP(CONCATENATE($EK$7,"-",MID(E11,1,100)),DATOS!Z:AA,2,0))</f>
        <v/>
      </c>
      <c r="EL11" s="156" t="str">
        <f>IF(ISERROR(VLOOKUP(CONCATENATE($EL$7,"-",MID(E11,1,100)),DATOS!Z:AA,2,0)),"",VLOOKUP(CONCATENATE($EL$7,"-",MID(E11,1,100)),DATOS!Z:AA,2,0))</f>
        <v/>
      </c>
      <c r="EM11" s="156" t="str">
        <f>IF(ISERROR(VLOOKUP(CONCATENATE($EM$7,"-",MID(E11,1,100)),DATOS!Z:AA,2,0)),"",VLOOKUP(CONCATENATE($EM$7,"-",MID(E11,1,100)),DATOS!Z:AA,2,0))</f>
        <v/>
      </c>
      <c r="EN11" s="156" t="str">
        <f>IF(ISERROR(VLOOKUP(CONCATENATE($EN$7,"-",MID(E11,1,100)),DATOS!Z:AA,2,0)),"",VLOOKUP(CONCATENATE($EN$7,"-",MID(E11,1,100)),DATOS!Z:AA,2,0))</f>
        <v/>
      </c>
      <c r="EO11" s="157" t="str">
        <f>IF(ISERROR(VLOOKUP(CONCATENATE($EO$7,"-",MID(E11,1,100)),DATOS!Z:AA,2,0)),"",VLOOKUP(CONCATENATE($EO$7,"-",MID(E11,1,100)),DATOS!Z:AA,2,0))</f>
        <v/>
      </c>
      <c r="EP11" s="158">
        <f t="shared" si="0"/>
        <v>3</v>
      </c>
      <c r="EQ11" s="159" t="str">
        <f t="shared" si="1"/>
        <v>CG2: Comunicación Bilingüe-N1</v>
      </c>
    </row>
    <row r="12" spans="1:168" ht="17.25" customHeight="1">
      <c r="A12" s="148"/>
      <c r="B12" s="160" t="str">
        <f>IF('1.Fundamentos'!B53="","",'1.Fundamentos'!B53)</f>
        <v>CG2: Comunicación Bilingüe</v>
      </c>
      <c r="C12" s="161" t="s">
        <v>82</v>
      </c>
      <c r="D12" s="162" t="str">
        <f>IF('1.Fundamentos'!E53="","",'1.Fundamentos'!E53)</f>
        <v>Aplica las competencias correspondientes al nivel B1 según los estándares del Marco de Referencia de la Comunidad Europea (CEFR).</v>
      </c>
      <c r="E12" s="163" t="str">
        <f t="shared" si="2"/>
        <v>CG2: Comunicación Bilingüe:N2 Aplica las competencias correspondientes al nivel B1 según los estándares del Marco de Referencia de la Comunidad Europea (CEFR).</v>
      </c>
      <c r="F12" s="164" t="str">
        <f>IF(ISERROR(VLOOKUP(CONCATENATE($F$7,"-",MID(E12,1,100)),DATOS!Z:AA,2,0)),"",VLOOKUP(CONCATENATE($F$7,"-",MID(E12,1,100)),DATOS!Z:AA,2,0))</f>
        <v/>
      </c>
      <c r="G12" s="165" t="str">
        <f>IF(ISERROR(VLOOKUP(CONCATENATE($G$7,"-",MID(E12,1,100)),DATOS!Z:AA,2,0)),"",VLOOKUP(CONCATENATE($G$7,"-",MID(E12,1,100)),DATOS!Z:AA,2,0))</f>
        <v/>
      </c>
      <c r="H12" s="165" t="str">
        <f>IF(ISERROR(VLOOKUP(CONCATENATE($H$7,"-",MID(E12,1,100)),DATOS!Z:AA,2,0)),"",VLOOKUP(CONCATENATE($H$7,"-",MID(E12,1,100)),DATOS!Z:AA,2,0))</f>
        <v/>
      </c>
      <c r="I12" s="165" t="str">
        <f>IF(ISERROR(VLOOKUP(CONCATENATE($I$7,"-",MID(E12,1,100)),DATOS!Z:AA,2,0)),"",VLOOKUP(CONCATENATE($I$7,"-",MID(E12,1,100)),DATOS!Z:AA,2,0))</f>
        <v/>
      </c>
      <c r="J12" s="165" t="str">
        <f>IF(ISERROR(VLOOKUP(CONCATENATE($J$7,"-",MID(E12,1,100)),DATOS!Z:AA,2,0)),"",VLOOKUP(CONCATENATE($J$7,"-",MID(E12,1,100)),DATOS!Z:AA,2,0))</f>
        <v/>
      </c>
      <c r="K12" s="165" t="str">
        <f>IF(ISERROR(VLOOKUP(CONCATENATE($K$7,"-",MID(E12,1,100)),DATOS!Z:AA,2,0)),"",VLOOKUP(CONCATENATE($K$7,"-",MID(E12,1,100)),DATOS!Z:AA,2,0))</f>
        <v/>
      </c>
      <c r="L12" s="165" t="str">
        <f>IF(ISERROR(VLOOKUP(CONCATENATE($L$7,"-",MID(E12,1,100)),DATOS!Z:AA,2,0)),"",VLOOKUP(CONCATENATE($L$7,"-",MID(E12,1,100)),DATOS!Z:AA,2,0))</f>
        <v/>
      </c>
      <c r="M12" s="165" t="str">
        <f>IF(ISERROR(VLOOKUP(CONCATENATE($M$7,"-",MID(E12,1,100)),DATOS!Z:AA,2,0)),"",VLOOKUP(CONCATENATE($M$7,"-",MID(E12,1,100)),DATOS!Z:AA,2,0))</f>
        <v/>
      </c>
      <c r="N12" s="165" t="str">
        <f>IF(ISERROR(VLOOKUP(CONCATENATE($N$7,"-",MID(E12,1,100)),DATOS!Z:AA,2,0)),"",VLOOKUP(CONCATENATE($N$7,"-",MID(E12,1,100)),DATOS!Z:AA,2,0))</f>
        <v/>
      </c>
      <c r="O12" s="166" t="str">
        <f>IF(ISERROR(VLOOKUP(CONCATENATE($O$7,"-",MID(E12,1,100)),DATOS!Z:AA,2,0)),"",VLOOKUP(CONCATENATE($O$7,"-",MID(E12,1,100)),DATOS!Z:AA,2,0))</f>
        <v/>
      </c>
      <c r="P12" s="164" t="str">
        <f>IF(ISERROR(VLOOKUP(CONCATENATE($P$7,"-",MID(E12,1,100)),DATOS!Z:AA,2,0)),"",VLOOKUP(CONCATENATE($P$7,"-",MID(E12,1,100)),DATOS!Z:AA,2,0))</f>
        <v/>
      </c>
      <c r="Q12" s="165" t="str">
        <f>IF(ISERROR(VLOOKUP(CONCATENATE($Q$7,"-",MID(E12,1,100)),DATOS!Z:AA,2,0)),"",VLOOKUP(CONCATENATE($Q$7,"-",MID(E12,1,100)),DATOS!Z:AA,2,0))</f>
        <v/>
      </c>
      <c r="R12" s="165" t="str">
        <f>IF(ISERROR(VLOOKUP(CONCATENATE($R$7,"-",MID(E12,1,100)),DATOS!Z:AA,2,0)),"",VLOOKUP(CONCATENATE($R$7,"-",MID(E12,1,100)),DATOS!Z:AA,2,0))</f>
        <v/>
      </c>
      <c r="S12" s="165" t="str">
        <f>IF(ISERROR(VLOOKUP(CONCATENATE($S$7,"-",MID(E12,1,100)),DATOS!Z:AA,2,0)),"",VLOOKUP(CONCATENATE($S$7,"-",MID(E12,1,100)),DATOS!Z:AA,2,0))</f>
        <v/>
      </c>
      <c r="T12" s="165" t="str">
        <f>IF(ISERROR(VLOOKUP(CONCATENATE($T$7,"-",MID(E12,1,100)),DATOS!Z:AA,2,0)),"",VLOOKUP(CONCATENATE($T$7,"-",MID(E12,1,100)),DATOS!Z:AA,2,0))</f>
        <v/>
      </c>
      <c r="U12" s="165" t="str">
        <f>IF(ISERROR(VLOOKUP(CONCATENATE($U$7,"-",MID(E12,1,100)),DATOS!Z:AA,2,0)),"",VLOOKUP(CONCATENATE($U$7,"-",MID(E12,1,100)),DATOS!Z:AA,2,0))</f>
        <v/>
      </c>
      <c r="V12" s="165" t="str">
        <f>IF(ISERROR(VLOOKUP(CONCATENATE($V$7,"-",MID(E12,1,100)),DATOS!Z:AA,2,0)),"",VLOOKUP(CONCATENATE($V$7,"-",MID(E12,1,100)),DATOS!Z:AA,2,0))</f>
        <v/>
      </c>
      <c r="W12" s="165" t="str">
        <f>IF(ISERROR(VLOOKUP(CONCATENATE($W$7,"-",MID(E12,1,100)),DATOS!Z:AA,2,0)),"",VLOOKUP(CONCATENATE($W$7,"-",MID(E12,1,100)),DATOS!Z:AA,2,0))</f>
        <v/>
      </c>
      <c r="X12" s="165" t="str">
        <f>IF(ISERROR(VLOOKUP(CONCATENATE($X$7,"-",MID(E12,1,100)),DATOS!Z:AA,2,0)),"",VLOOKUP(CONCATENATE($X$7,"-",MID(E12,1,100)),DATOS!Z:AA,2,0))</f>
        <v/>
      </c>
      <c r="Y12" s="166" t="str">
        <f>IF(ISERROR(VLOOKUP(CONCATENATE($Y$7,"-",MID(E12,1,100)),DATOS!Z:AA,2,0)),"",VLOOKUP(CONCATENATE($Y$7,"-",MID(E12,1,100)),DATOS!Z:AA,2,0))</f>
        <v/>
      </c>
      <c r="Z12" s="164" t="str">
        <f>IF(ISERROR(VLOOKUP(CONCATENATE($Z$7,"-",MID(E12,1,100)),DATOS!Z:AA,2,0)),"",VLOOKUP(CONCATENATE($Z$7,"-",MID(E12,1,100)),DATOS!Z:AA,2,0))</f>
        <v/>
      </c>
      <c r="AA12" s="165" t="str">
        <f>IF(ISERROR(VLOOKUP(CONCATENATE($AA$7,"-",MID(E12,1,100)),DATOS!Z:AA,2,0)),"",VLOOKUP(CONCATENATE($AA$7,"-",MID(E12,1,100)),DATOS!Z:AA,2,0))</f>
        <v/>
      </c>
      <c r="AB12" s="165" t="str">
        <f>IF(ISERROR(VLOOKUP(CONCATENATE($AB$7,"-",MID(E12,1,100)),DATOS!Z:AA,2,0)),"",VLOOKUP(CONCATENATE($AB$7,"-",MID(E12,1,100)),DATOS!Z:AA,2,0))</f>
        <v/>
      </c>
      <c r="AC12" s="165" t="str">
        <f>IF(ISERROR(VLOOKUP(CONCATENATE($AC$7,"-",MID(E12,1,100)),DATOS!Z:AA,2,0)),"",VLOOKUP(CONCATENATE($AC$7,"-",MID(E12,1,100)),DATOS!Z:AA,2,0))</f>
        <v/>
      </c>
      <c r="AD12" s="165" t="str">
        <f>IF(ISERROR(VLOOKUP(CONCATENATE($AD$7,"-",MID(E12,1,100)),DATOS!Z:AA,2,0)),"",VLOOKUP(CONCATENATE($AD$7,"-",MID(E12,1,100)),DATOS!Z:AA,2,0))</f>
        <v/>
      </c>
      <c r="AE12" s="165" t="str">
        <f>IF(ISERROR(VLOOKUP(CONCATENATE($AE$7,"-",MID(E12,1,100)),DATOS!Z:AA,2,0)),"",VLOOKUP(CONCATENATE($AE$7,"-",MID(E12,1,100)),DATOS!Z:AA,2,0))</f>
        <v/>
      </c>
      <c r="AF12" s="165" t="str">
        <f>IF(ISERROR(VLOOKUP(CONCATENATE($AF$7,"-",MID(E12,1,100)),DATOS!Z:AA,2,0)),"",VLOOKUP(CONCATENATE($AF$7,"-",MID(E12,1,100)),DATOS!Z:AA,2,0))</f>
        <v/>
      </c>
      <c r="AG12" s="165" t="str">
        <f>IF(ISERROR(VLOOKUP(CONCATENATE($AG$7,"-",MID(E12,1,100)),DATOS!Z:AA,2,0)),"",VLOOKUP(CONCATENATE($AG$7,"-",MID(E12,1,100)),DATOS!Z:AA,2,0))</f>
        <v/>
      </c>
      <c r="AH12" s="165" t="str">
        <f>IF(ISERROR(VLOOKUP(CONCATENATE($AH$7,"-",MID(E12,1,100)),DATOS!Z:AA,2,0)),"",VLOOKUP(CONCATENATE($AH$7,"-",MID(E12,1,100)),DATOS!Z:AA,2,0))</f>
        <v/>
      </c>
      <c r="AI12" s="166" t="str">
        <f>IF(ISERROR(VLOOKUP(CONCATENATE($AI$7,"-",MID(E12,1,100)),DATOS!Z:AA,2,0)),"",VLOOKUP(CONCATENATE($AI$7,"-",MID(E12,1,100)),DATOS!Z:AA,2,0))</f>
        <v/>
      </c>
      <c r="AJ12" s="164" t="str">
        <f>IF(ISERROR(VLOOKUP(CONCATENATE($AJ$7,"-",MID(E12,1,100)),DATOS!Z:AA,2,0)),"",VLOOKUP(CONCATENATE($AJ$7,"-",MID(E12,1,100)),DATOS!Z:AA,2,0))</f>
        <v/>
      </c>
      <c r="AK12" s="165" t="str">
        <f>IF(ISERROR(VLOOKUP(CONCATENATE($AK$7,"-",MID(E12,1,100)),DATOS!Z:AA,2,0)),"",VLOOKUP(CONCATENATE($AK$7,"-",MID(E12,1,100)),DATOS!Z:AA,2,0))</f>
        <v>a</v>
      </c>
      <c r="AL12" s="165" t="str">
        <f>IF(ISERROR(VLOOKUP(CONCATENATE($AL$7,"-",MID(E12,1,100)),DATOS!Z:AA,2,0)),"",VLOOKUP(CONCATENATE($AL$7,"-",MID(E12,1,100)),DATOS!Z:AA,2,0))</f>
        <v/>
      </c>
      <c r="AM12" s="165" t="str">
        <f>IF(ISERROR(VLOOKUP(CONCATENATE($AM$7,"-",MID(E12,1,100)),DATOS!Z:AA,2,0)),"",VLOOKUP(CONCATENATE($AM$7,"-",MID(E12,1,100)),DATOS!Z:AA,2,0))</f>
        <v/>
      </c>
      <c r="AN12" s="165" t="str">
        <f>IF(ISERROR(VLOOKUP(CONCATENATE($AN$7,"-",MID(E12,1,100)),DATOS!Z:AA,2,0)),"",VLOOKUP(CONCATENATE($AN$7,"-",MID(E12,1,100)),DATOS!Z:AA,2,0))</f>
        <v/>
      </c>
      <c r="AO12" s="165" t="str">
        <f>IF(ISERROR(VLOOKUP(CONCATENATE($AO$7,"-",MID(E12,1,100)),DATOS!Z:AA,2,0)),"",VLOOKUP(CONCATENATE($AO$7,"-",MID(E12,1,100)),DATOS!Z:AA,2,0))</f>
        <v/>
      </c>
      <c r="AP12" s="165" t="str">
        <f>IF(ISERROR(VLOOKUP(CONCATENATE($AP$7,"-",MID(E12,1,100)),DATOS!Z:AA,2,0)),"",VLOOKUP(CONCATENATE($AP$7,"-",MID(E12,1,100)),DATOS!Z:AA,2,0))</f>
        <v/>
      </c>
      <c r="AQ12" s="165" t="str">
        <f>IF(ISERROR(VLOOKUP(CONCATENATE($AQ$7,"-",MID(E12,1,100)),DATOS!Z:AA,2,0)),"",VLOOKUP(CONCATENATE($AQ$7,"-",MID(E12,1,100)),DATOS!Z:AA,2,0))</f>
        <v/>
      </c>
      <c r="AR12" s="165" t="str">
        <f>IF(ISERROR(VLOOKUP(CONCATENATE($AR$7,"-",MID(E12,1,100)),DATOS!Z:AA,2,0)),"",VLOOKUP(CONCATENATE($AR$7,"-",MID(E12,1,100)),DATOS!Z:AA,2,0))</f>
        <v/>
      </c>
      <c r="AS12" s="166" t="str">
        <f>IF(ISERROR(VLOOKUP(CONCATENATE($AS$7,"-",MID(E12,1,100)),DATOS!Z:AA,2,0)),"",VLOOKUP(CONCATENATE($AS$7,"-",MID(E12,1,100)),DATOS!Z:AA,2,0))</f>
        <v/>
      </c>
      <c r="AT12" s="207" t="str">
        <f>IF(ISERROR(VLOOKUP(CONCATENATE($AT$7,"-",MID(E12,1,100)),DATOS!Z:AA,2,0)),"",VLOOKUP(CONCATENATE($AT$7,"-",MID(E12,1,100)),DATOS!Z:AA,2,0))</f>
        <v>a</v>
      </c>
      <c r="AU12" s="208" t="str">
        <f>IF(ISERROR(VLOOKUP(CONCATENATE($AU$7,"-",MID(E12,1,100)),DATOS!Z:AA,2,0)),"",VLOOKUP(CONCATENATE($AU$7,"-",MID(E12,1,100)),DATOS!Z:AA,2,0))</f>
        <v/>
      </c>
      <c r="AV12" s="208" t="str">
        <f>IF(ISERROR(VLOOKUP(CONCATENATE($AV$7,"-",MID(E12,1,100)),DATOS!Z:AA,2,0)),"",VLOOKUP(CONCATENATE($AV$7,"-",MID(E12,1,100)),DATOS!Z:AA,2,0))</f>
        <v/>
      </c>
      <c r="AW12" s="208" t="str">
        <f>IF(ISERROR(VLOOKUP(CONCATENATE($AW$7,"-",MID(E12,1,100)),DATOS!Z:AA,2,0)),"",VLOOKUP(CONCATENATE($AW$7,"-",MID(E12,1,100)),DATOS!Z:AA,2,0))</f>
        <v/>
      </c>
      <c r="AX12" s="208" t="str">
        <f>IF(ISERROR(VLOOKUP(CONCATENATE($AX$7,"-",MID(E12,1,100)),DATOS!Z:AA,2,0)),"",VLOOKUP(CONCATENATE($AX$7,"-",MID(E12,1,100)),DATOS!Z:AA,2,0))</f>
        <v/>
      </c>
      <c r="AY12" s="208" t="str">
        <f>IF(ISERROR(VLOOKUP(CONCATENATE($AY$7,"-",MID(E12,1,100)),DATOS!Z:AA,2,0)),"",VLOOKUP(CONCATENATE($AY$7,"-",MID(E12,1,100)),DATOS!Z:AA,2,0))</f>
        <v/>
      </c>
      <c r="AZ12" s="208" t="str">
        <f>IF(ISERROR(VLOOKUP(CONCATENATE($AZ$7,"-",MID(E12,1,100)),DATOS!Z:AA,2,0)),"",VLOOKUP(CONCATENATE($AZ$7,"-",MID(E12,1,100)),DATOS!Z:AA,2,0))</f>
        <v/>
      </c>
      <c r="BA12" s="208" t="str">
        <f>IF(ISERROR(VLOOKUP(CONCATENATE($BA$7,"-",MID(E12,1,100)),DATOS!Z:AA,2,0)),"",VLOOKUP(CONCATENATE($BA$7,"-",MID(E12,1,100)),DATOS!Z:AA,2,0))</f>
        <v/>
      </c>
      <c r="BB12" s="208" t="str">
        <f>IF(ISERROR(VLOOKUP(CONCATENATE($BB$7,"-",MID(E12,1,100)),DATOS!Z:AA,2,0)),"",VLOOKUP(CONCATENATE($BB$7,"-",MID(E12,1,100)),DATOS!Z:AA,2,0))</f>
        <v/>
      </c>
      <c r="BC12" s="209" t="str">
        <f>IF(ISERROR(VLOOKUP(CONCATENATE($BC$7,"-",MID(E12,1,100)),DATOS!Z:AA,2,0)),"",VLOOKUP(CONCATENATE($BC$7,"-",MID(E12,1,100)),DATOS!Z:AA,2,0))</f>
        <v/>
      </c>
      <c r="BD12" s="207" t="str">
        <f>IF(ISERROR(VLOOKUP(CONCATENATE($BD$7,"-",MID(E12,1,100)),DATOS!Z:AA,2,0)),"",VLOOKUP(CONCATENATE($BD$7,"-",MID(E12,1,100)),DATOS!Z:AA,2,0))</f>
        <v/>
      </c>
      <c r="BE12" s="208" t="str">
        <f>IF(ISERROR(VLOOKUP(CONCATENATE($BE$7,"-",MID(E12,1,100)),DATOS!Z:AA,2,0)),"",VLOOKUP(CONCATENATE($BE$7,"-",MID(E12,1,100)),DATOS!Z:AA,2,0))</f>
        <v/>
      </c>
      <c r="BF12" s="208" t="str">
        <f>IF(ISERROR(VLOOKUP(CONCATENATE($BF$7,"-",MID(E12,1,100)),DATOS!Z:AA,2,0)),"",VLOOKUP(CONCATENATE($BF$7,"-",MID(E12,1,100)),DATOS!Z:AA,2,0))</f>
        <v/>
      </c>
      <c r="BG12" s="208" t="str">
        <f>IF(ISERROR(VLOOKUP(CONCATENATE($BG$7,"-",MID(E12,1,100)),DATOS!Z:AA,2,0)),"",VLOOKUP(CONCATENATE($BG$7,"-",MID(E12,1,100)),DATOS!Z:AA,2,0))</f>
        <v/>
      </c>
      <c r="BH12" s="208" t="str">
        <f>IF(ISERROR(VLOOKUP(CONCATENATE($BH$7,"-",MID(E12,1,100)),DATOS!Z:AA,2,0)),"",VLOOKUP(CONCATENATE($BH$7,"-",MID(E12,1,100)),DATOS!Z:AA,2,0))</f>
        <v/>
      </c>
      <c r="BI12" s="208" t="str">
        <f>IF(ISERROR(VLOOKUP(CONCATENATE($BI$7,"-",MID(E12,1,100)),DATOS!Z:AA,2,0)),"",VLOOKUP(CONCATENATE($BI$7,"-",MID(E12,1,100)),DATOS!Z:AA,2,0))</f>
        <v/>
      </c>
      <c r="BJ12" s="208" t="str">
        <f>IF(ISERROR(VLOOKUP(CONCATENATE($BJ$7,"-",MID(E12,1,100)),DATOS!Z:AA,2,0)),"",VLOOKUP(CONCATENATE($BJ$7,"-",MID(E12,1,100)),DATOS!Z:AA,2,0))</f>
        <v/>
      </c>
      <c r="BK12" s="208" t="str">
        <f>IF(ISERROR(VLOOKUP(CONCATENATE($BK$7,"-",MID(E12,1,100)),DATOS!Z:AA,2,0)),"",VLOOKUP(CONCATENATE($BK$7,"-",MID(E12,1,100)),DATOS!Z:AA,2,0))</f>
        <v/>
      </c>
      <c r="BL12" s="208" t="str">
        <f>IF(ISERROR(VLOOKUP(CONCATENATE($BL$7,"-",MID(E12,1,100)),DATOS!Z:AA,2,0)),"",VLOOKUP(CONCATENATE($BL$7,"-",MID(E12,1,100)),DATOS!Z:AA,2,0))</f>
        <v/>
      </c>
      <c r="BM12" s="209" t="str">
        <f>IF(ISERROR(VLOOKUP(CONCATENATE($BM$7,"-",MID(E12,1,100)),DATOS!Z:AA,2,0)),"",VLOOKUP(CONCATENATE($BM$7,"-",MID(E12,1,100)),DATOS!Z:AA,2,0))</f>
        <v/>
      </c>
      <c r="BN12" s="207" t="str">
        <f>IF(ISERROR(VLOOKUP(CONCATENATE($BN$7,"-",MID(E12,1,100)),DATOS!Z:AA,2,0)),"",VLOOKUP(CONCATENATE($BN$7,"-",MID(E12,1,100)),DATOS!Z:AA,2,0))</f>
        <v/>
      </c>
      <c r="BO12" s="208" t="str">
        <f>IF(ISERROR(VLOOKUP(CONCATENATE($BO$7,"-",MID(E12,1,100)),DATOS!Z:AA,2,0)),"",VLOOKUP(CONCATENATE($BO$7,"-",MID(E12,1,100)),DATOS!Z:AA,2,0))</f>
        <v/>
      </c>
      <c r="BP12" s="208" t="str">
        <f>IF(ISERROR(VLOOKUP(CONCATENATE($BP$7,"-",MID(E12,1,100)),DATOS!Z:AA,2,0)),"",VLOOKUP(CONCATENATE($BP$7,"-",MID(E12,1,100)),DATOS!Z:AA,2,0))</f>
        <v/>
      </c>
      <c r="BQ12" s="208" t="str">
        <f>IF(ISERROR(VLOOKUP(CONCATENATE($BQ$7,"-",MID(E12,1,100)),DATOS!Z:AA,2,0)),"",VLOOKUP(CONCATENATE($BQ$7,"-",MID(E12,1,100)),DATOS!Z:AA,2,0))</f>
        <v/>
      </c>
      <c r="BR12" s="208" t="str">
        <f>IF(ISERROR(VLOOKUP(CONCATENATE($BR$7,"-",MID(E12,1,100)),DATOS!Z:AA,2,0)),"",VLOOKUP(CONCATENATE($BR$7,"-",MID(E12,1,100)),DATOS!Z:AA,2,0))</f>
        <v/>
      </c>
      <c r="BS12" s="208" t="str">
        <f>IF(ISERROR(VLOOKUP(CONCATENATE($BS$7,"-",MID(E12,1,100)),DATOS!Z:AA,2,0)),"",VLOOKUP(CONCATENATE($BS$7,"-",MID(E12,1,100)),DATOS!Z:AA,2,0))</f>
        <v/>
      </c>
      <c r="BT12" s="208" t="str">
        <f>IF(ISERROR(VLOOKUP(CONCATENATE($BT$7,"-",MID(E12,1,100)),DATOS!Z:AA,2,0)),"",VLOOKUP(CONCATENATE($BT$7,"-",MID(E12,1,100)),DATOS!Z:AA,2,0))</f>
        <v/>
      </c>
      <c r="BU12" s="208" t="str">
        <f>IF(ISERROR(VLOOKUP(CONCATENATE($BU$7,"-",MID(E12,1,100)),DATOS!Z:AA,2,0)),"",VLOOKUP(CONCATENATE($BU$7,"-",MID(E12,1,100)),DATOS!Z:AA,2,0))</f>
        <v/>
      </c>
      <c r="BV12" s="208" t="str">
        <f>IF(ISERROR(VLOOKUP(CONCATENATE($BV$7,"-",MID(E12,1,100)),DATOS!Z:AA,2,0)),"",VLOOKUP(CONCATENATE($BV$7,"-",MID(E12,1,100)),DATOS!Z:AA,2,0))</f>
        <v/>
      </c>
      <c r="BW12" s="209" t="str">
        <f>IF(ISERROR(VLOOKUP(CONCATENATE($BW$7,"-",MID(E12,1,100)),DATOS!Z:AA,2,0)),"",VLOOKUP(CONCATENATE($BW$7,"-",MID(E12,1,100)),DATOS!Z:AA,2,0))</f>
        <v/>
      </c>
      <c r="BX12" s="164" t="str">
        <f>IF(ISERROR(VLOOKUP(CONCATENATE($BX$7,"-",MID(E12,1,100)),DATOS!Z:AA,2,0)),"",VLOOKUP(CONCATENATE($BX$7,"-",MID(E12,1,100)),DATOS!Z:AA,2,0))</f>
        <v/>
      </c>
      <c r="BY12" s="165" t="str">
        <f>IF(ISERROR(VLOOKUP(CONCATENATE($BY$7,"-",MID(E12,1,100)),DATOS!Z:AA,2,0)),"",VLOOKUP(CONCATENATE($BY$7,"-",MID(E12,1,100)),DATOS!Z:AA,2,0))</f>
        <v/>
      </c>
      <c r="BZ12" s="165" t="str">
        <f>IF(ISERROR(VLOOKUP(CONCATENATE($BZ$7,"-",MID(E12,1,100)),DATOS!Z:AA,2,0)),"",VLOOKUP(CONCATENATE($BZ$7,"-",MID(E12,1,100)),DATOS!Z:AA,2,0))</f>
        <v/>
      </c>
      <c r="CA12" s="165" t="str">
        <f>IF(ISERROR(VLOOKUP(CONCATENATE($CA$7,"-",MID(E12,1,100)),DATOS!Z:AA,2,0)),"",VLOOKUP(CONCATENATE($CA$7,"-",MID(E12,1,100)),DATOS!Z:AA,2,0))</f>
        <v/>
      </c>
      <c r="CB12" s="165" t="str">
        <f>IF(ISERROR(VLOOKUP(CONCATENATE($CB$7,"-",MID(E12,1,100)),DATOS!Z:AA,2,0)),"",VLOOKUP(CONCATENATE($CB$7,"-",MID(E12,1,100)),DATOS!Z:AA,2,0))</f>
        <v/>
      </c>
      <c r="CC12" s="165" t="str">
        <f>IF(ISERROR(VLOOKUP(CONCATENATE($CC$7,"-",MID(E12,1,100)),DATOS!Z:AA,2,0)),"",VLOOKUP(CONCATENATE($CC$7,"-",MID(E12,1,100)),DATOS!Z:AA,2,0))</f>
        <v/>
      </c>
      <c r="CD12" s="165" t="str">
        <f>IF(ISERROR(VLOOKUP(CONCATENATE($CD$7,"-",MID(E12,1,100)),DATOS!Z:AA,2,0)),"",VLOOKUP(CONCATENATE($CD$7,"-",MID(E12,1,100)),DATOS!Z:AA,2,0))</f>
        <v/>
      </c>
      <c r="CE12" s="165" t="str">
        <f>IF(ISERROR(VLOOKUP(CONCATENATE($CE$7,"-",MID(E12,1,100)),DATOS!Z:AA,2,0)),"",VLOOKUP(CONCATENATE($CE$7,"-",MID(E12,1,100)),DATOS!Z:AA,2,0))</f>
        <v/>
      </c>
      <c r="CF12" s="165" t="str">
        <f>IF(ISERROR(VLOOKUP(CONCATENATE($CF$7,"-",MID(E12,1,100)),DATOS!Z:AA,2,0)),"",VLOOKUP(CONCATENATE($CF$7,"-",MID(E12,1,100)),DATOS!Z:AA,2,0))</f>
        <v/>
      </c>
      <c r="CG12" s="166" t="str">
        <f>IF(ISERROR(VLOOKUP(CONCATENATE($CG$7,"-",MID(E12,1,100)),DATOS!Z:AA,2,0)),"",VLOOKUP(CONCATENATE($CG$7,"-",MID(E12,1,100)),DATOS!Z:AA,2,0))</f>
        <v/>
      </c>
      <c r="CH12" s="164" t="str">
        <f>IF(ISERROR(VLOOKUP(CONCATENATE($CH$7,"-",MID(E12,1,100)),DATOS!Z:AA,2,0)),"",VLOOKUP(CONCATENATE($CH$7,"-",MID(E12,1,100)),DATOS!Z:AA,2,0))</f>
        <v/>
      </c>
      <c r="CI12" s="165" t="str">
        <f>IF(ISERROR(VLOOKUP(CONCATENATE($CI$7,"-",MID(E12,1,100)),DATOS!Z:AA,2,0)),"",VLOOKUP(CONCATENATE($CI$7,"-",MID(E12,1,100)),DATOS!Z:AA,2,0))</f>
        <v/>
      </c>
      <c r="CJ12" s="165" t="str">
        <f>IF(ISERROR(VLOOKUP(CONCATENATE($CJ$7,"-",MID(E12,1,100)),DATOS!Z:AA,2,0)),"",VLOOKUP(CONCATENATE($CJ$7,"-",MID(E12,1,100)),DATOS!Z:AA,2,0))</f>
        <v/>
      </c>
      <c r="CK12" s="165" t="str">
        <f>IF(ISERROR(VLOOKUP(CONCATENATE($CK$7,"-",MID(E12,1,100)),DATOS!Z:AA,2,0)),"",VLOOKUP(CONCATENATE($CK$7,"-",MID(E12,1,100)),DATOS!Z:AA,2,0))</f>
        <v/>
      </c>
      <c r="CL12" s="165" t="str">
        <f>IF(ISERROR(VLOOKUP(CONCATENATE($CL$7,"-",MID(E12,1,100)),DATOS!Z:AA,2,0)),"",VLOOKUP(CONCATENATE($CL$7,"-",MID(E12,1,100)),DATOS!Z:AA,2,0))</f>
        <v/>
      </c>
      <c r="CM12" s="165" t="str">
        <f>IF(ISERROR(VLOOKUP(CONCATENATE($CM$7,"-",MID(E12,1,100)),DATOS!Z:AA,2,0)),"",VLOOKUP(CONCATENATE($CM$7,"-",MID(E12,1,100)),DATOS!Z:AA,2,0))</f>
        <v/>
      </c>
      <c r="CN12" s="165" t="str">
        <f>IF(ISERROR(VLOOKUP(CONCATENATE($CN$7,"-",MID(E12,1,100)),DATOS!Z:AA,2,0)),"",VLOOKUP(CONCATENATE($CN$7,"-",MID(E12,1,100)),DATOS!Z:AA,2,0))</f>
        <v/>
      </c>
      <c r="CO12" s="165" t="str">
        <f>IF(ISERROR(VLOOKUP(CONCATENATE($CO$7,"-",MID(E12,1,100)),DATOS!Z:AA,2,0)),"",VLOOKUP(CONCATENATE($CO$7,"-",MID(E12,1,100)),DATOS!Z:AA,2,0))</f>
        <v/>
      </c>
      <c r="CP12" s="195" t="str">
        <f>IF(ISERROR(VLOOKUP(CONCATENATE($CP$7,"-",MID(E12,1,100)),DATOS!Z:AA,2,0)),"",VLOOKUP(CONCATENATE($CP$7,"-",MID(E12,1,100)),DATOS!Z:AA,2,0))</f>
        <v/>
      </c>
      <c r="CQ12" s="166" t="str">
        <f>IF(ISERROR(VLOOKUP(CONCATENATE($CQ$7,"-",MID(E12,1,100)),DATOS!Z:AA,2,0)),"",VLOOKUP(CONCATENATE($CQ$7,"-",MID(E12,1,100)),DATOS!Z:AA,2,0))</f>
        <v/>
      </c>
      <c r="CR12" s="164" t="str">
        <f>IF(ISERROR(VLOOKUP(CONCATENATE(CR$7,"-",MID($E12,1,100)),DATOS!$Z:$AA,2,0)),"",VLOOKUP(CONCATENATE(CR$7,"-",MID($E12,1,100)),DATOS!$Z:$AA,2,0))</f>
        <v/>
      </c>
      <c r="CS12" s="165" t="str">
        <f>IF(ISERROR(VLOOKUP(CONCATENATE(CS$7,"-",MID($E12,1,100)),DATOS!$Z:$AA,2,0)),"",VLOOKUP(CONCATENATE(CS$7,"-",MID($E12,1,100)),DATOS!$Z:$AA,2,0))</f>
        <v/>
      </c>
      <c r="CT12" s="165" t="str">
        <f>IF(ISERROR(VLOOKUP(CONCATENATE(CT$7,"-",MID($E12,1,100)),DATOS!$Z:$AA,2,0)),"",VLOOKUP(CONCATENATE(CT$7,"-",MID($E12,1,100)),DATOS!$Z:$AA,2,0))</f>
        <v/>
      </c>
      <c r="CU12" s="165" t="str">
        <f>IF(ISERROR(VLOOKUP(CONCATENATE(CU$7,"-",MID($E12,1,100)),DATOS!$Z:$AA,2,0)),"",VLOOKUP(CONCATENATE(CU$7,"-",MID($E12,1,100)),DATOS!$Z:$AA,2,0))</f>
        <v/>
      </c>
      <c r="CV12" s="165" t="str">
        <f>IF(ISERROR(VLOOKUP(CONCATENATE(CV$7,"-",MID($E12,1,100)),DATOS!$Z:$AA,2,0)),"",VLOOKUP(CONCATENATE(CV$7,"-",MID($E12,1,100)),DATOS!$Z:$AA,2,0))</f>
        <v/>
      </c>
      <c r="CW12" s="165" t="str">
        <f>IF(ISERROR(VLOOKUP(CONCATENATE(CW$7,"-",MID($E12,1,100)),DATOS!$Z:$AA,2,0)),"",VLOOKUP(CONCATENATE(CW$7,"-",MID($E12,1,100)),DATOS!$Z:$AA,2,0))</f>
        <v/>
      </c>
      <c r="CX12" s="165" t="str">
        <f>IF(ISERROR(VLOOKUP(CONCATENATE(CX$7,"-",MID($E12,1,100)),DATOS!$Z:$AA,2,0)),"",VLOOKUP(CONCATENATE(CX$7,"-",MID($E12,1,100)),DATOS!$Z:$AA,2,0))</f>
        <v/>
      </c>
      <c r="CY12" s="165" t="str">
        <f>IF(ISERROR(VLOOKUP(CONCATENATE(CY$7,"-",MID($E12,1,100)),DATOS!$Z:$AA,2,0)),"",VLOOKUP(CONCATENATE(CY$7,"-",MID($E12,1,100)),DATOS!$Z:$AA,2,0))</f>
        <v/>
      </c>
      <c r="CZ12" s="195" t="str">
        <f>IF(ISERROR(VLOOKUP(CONCATENATE(CZ$7,"-",MID($E12,1,100)),DATOS!$Z:$AA,2,0)),"",VLOOKUP(CONCATENATE(CZ$7,"-",MID($E12,1,100)),DATOS!$Z:$AA,2,0))</f>
        <v/>
      </c>
      <c r="DA12" s="166" t="str">
        <f>IF(ISERROR(VLOOKUP(CONCATENATE(DA$7,"-",MID($E12,1,100)),DATOS!$Z:$AA,2,0)),"",VLOOKUP(CONCATENATE(DA$7,"-",MID($E12,1,100)),DATOS!$Z:$AA,2,0))</f>
        <v/>
      </c>
      <c r="DB12" s="164" t="str">
        <f>IF(ISERROR(VLOOKUP(CONCATENATE(DB$7,"-",MID($E12,1,100)),DATOS!$Z:$AA,2,0)),"",VLOOKUP(CONCATENATE(DB$7,"-",MID($E12,1,100)),DATOS!$Z:$AA,2,0))</f>
        <v/>
      </c>
      <c r="DC12" s="165" t="str">
        <f>IF(ISERROR(VLOOKUP(CONCATENATE(DC$7,"-",MID($E12,1,100)),DATOS!$Z:$AA,2,0)),"",VLOOKUP(CONCATENATE(DC$7,"-",MID($E12,1,100)),DATOS!$Z:$AA,2,0))</f>
        <v/>
      </c>
      <c r="DD12" s="165" t="str">
        <f>IF(ISERROR(VLOOKUP(CONCATENATE(DD$7,"-",MID($E12,1,100)),DATOS!$Z:$AA,2,0)),"",VLOOKUP(CONCATENATE(DD$7,"-",MID($E12,1,100)),DATOS!$Z:$AA,2,0))</f>
        <v/>
      </c>
      <c r="DE12" s="165" t="str">
        <f>IF(ISERROR(VLOOKUP(CONCATENATE(DE$7,"-",MID($E12,1,100)),DATOS!$Z:$AA,2,0)),"",VLOOKUP(CONCATENATE(DE$7,"-",MID($E12,1,100)),DATOS!$Z:$AA,2,0))</f>
        <v/>
      </c>
      <c r="DF12" s="165" t="str">
        <f>IF(ISERROR(VLOOKUP(CONCATENATE(DF$7,"-",MID($E12,1,100)),DATOS!$Z:$AA,2,0)),"",VLOOKUP(CONCATENATE(DF$7,"-",MID($E12,1,100)),DATOS!$Z:$AA,2,0))</f>
        <v/>
      </c>
      <c r="DG12" s="165" t="str">
        <f>IF(ISERROR(VLOOKUP(CONCATENATE(DG$7,"-",MID($E12,1,100)),DATOS!$Z:$AA,2,0)),"",VLOOKUP(CONCATENATE(DG$7,"-",MID($E12,1,100)),DATOS!$Z:$AA,2,0))</f>
        <v/>
      </c>
      <c r="DH12" s="165" t="str">
        <f>IF(ISERROR(VLOOKUP(CONCATENATE(DH$7,"-",MID($E12,1,100)),DATOS!$Z:$AA,2,0)),"",VLOOKUP(CONCATENATE(DH$7,"-",MID($E12,1,100)),DATOS!$Z:$AA,2,0))</f>
        <v/>
      </c>
      <c r="DI12" s="165" t="str">
        <f>IF(ISERROR(VLOOKUP(CONCATENATE(DI$7,"-",MID($E12,1,100)),DATOS!$Z:$AA,2,0)),"",VLOOKUP(CONCATENATE(DI$7,"-",MID($E12,1,100)),DATOS!$Z:$AA,2,0))</f>
        <v/>
      </c>
      <c r="DJ12" s="195" t="str">
        <f>IF(ISERROR(VLOOKUP(CONCATENATE(DJ$7,"-",MID($E12,1,100)),DATOS!$Z:$AA,2,0)),"",VLOOKUP(CONCATENATE(DJ$7,"-",MID($E12,1,100)),DATOS!$Z:$AA,2,0))</f>
        <v/>
      </c>
      <c r="DK12" s="166" t="str">
        <f>IF(ISERROR(VLOOKUP(CONCATENATE(DK$7,"-",MID($E12,1,100)),DATOS!$Z:$AA,2,0)),"",VLOOKUP(CONCATENATE(DK$7,"-",MID($E12,1,100)),DATOS!$Z:$AA,2,0))</f>
        <v/>
      </c>
      <c r="DL12" s="164" t="str">
        <f>IF(ISERROR(VLOOKUP(CONCATENATE(DL$7,"-",MID($E12,1,100)),DATOS!$Z:$AA,2,0)),"",VLOOKUP(CONCATENATE(DL$7,"-",MID($E12,1,100)),DATOS!$Z:$AA,2,0))</f>
        <v/>
      </c>
      <c r="DM12" s="165" t="str">
        <f>IF(ISERROR(VLOOKUP(CONCATENATE(DM$7,"-",MID($E12,1,100)),DATOS!$Z:$AA,2,0)),"",VLOOKUP(CONCATENATE(DM$7,"-",MID($E12,1,100)),DATOS!$Z:$AA,2,0))</f>
        <v/>
      </c>
      <c r="DN12" s="165" t="str">
        <f>IF(ISERROR(VLOOKUP(CONCATENATE(DN$7,"-",MID($E12,1,100)),DATOS!$Z:$AA,2,0)),"",VLOOKUP(CONCATENATE(DN$7,"-",MID($E12,1,100)),DATOS!$Z:$AA,2,0))</f>
        <v/>
      </c>
      <c r="DO12" s="165" t="str">
        <f>IF(ISERROR(VLOOKUP(CONCATENATE(DO$7,"-",MID($E12,1,100)),DATOS!$Z:$AA,2,0)),"",VLOOKUP(CONCATENATE(DO$7,"-",MID($E12,1,100)),DATOS!$Z:$AA,2,0))</f>
        <v/>
      </c>
      <c r="DP12" s="165" t="str">
        <f>IF(ISERROR(VLOOKUP(CONCATENATE(DP$7,"-",MID($E12,1,100)),DATOS!$Z:$AA,2,0)),"",VLOOKUP(CONCATENATE(DP$7,"-",MID($E12,1,100)),DATOS!$Z:$AA,2,0))</f>
        <v/>
      </c>
      <c r="DQ12" s="165" t="str">
        <f>IF(ISERROR(VLOOKUP(CONCATENATE(DQ$7,"-",MID($E12,1,100)),DATOS!$Z:$AA,2,0)),"",VLOOKUP(CONCATENATE(DQ$7,"-",MID($E12,1,100)),DATOS!$Z:$AA,2,0))</f>
        <v/>
      </c>
      <c r="DR12" s="165" t="str">
        <f>IF(ISERROR(VLOOKUP(CONCATENATE(DR$7,"-",MID($E12,1,100)),DATOS!$Z:$AA,2,0)),"",VLOOKUP(CONCATENATE(DR$7,"-",MID($E12,1,100)),DATOS!$Z:$AA,2,0))</f>
        <v/>
      </c>
      <c r="DS12" s="165" t="str">
        <f>IF(ISERROR(VLOOKUP(CONCATENATE(DS$7,"-",MID($E12,1,100)),DATOS!$Z:$AA,2,0)),"",VLOOKUP(CONCATENATE(DS$7,"-",MID($E12,1,100)),DATOS!$Z:$AA,2,0))</f>
        <v/>
      </c>
      <c r="DT12" s="195" t="str">
        <f>IF(ISERROR(VLOOKUP(CONCATENATE(DT$7,"-",MID($E12,1,100)),DATOS!$Z:$AA,2,0)),"",VLOOKUP(CONCATENATE(DT$7,"-",MID($E12,1,100)),DATOS!$Z:$AA,2,0))</f>
        <v/>
      </c>
      <c r="DU12" s="166" t="str">
        <f>IF(ISERROR(VLOOKUP(CONCATENATE(DU$7,"-",MID($E12,1,100)),DATOS!$Z:$AA,2,0)),"",VLOOKUP(CONCATENATE(DU$7,"-",MID($E12,1,100)),DATOS!$Z:$AA,2,0))</f>
        <v/>
      </c>
      <c r="DV12" s="164" t="str">
        <f>IF(ISERROR(VLOOKUP(CONCATENATE(DV$7,"-",MID($E12,1,100)),DATOS!$Z:$AA,2,0)),"",VLOOKUP(CONCATENATE(DV$7,"-",MID($E12,1,100)),DATOS!$Z:$AA,2,0))</f>
        <v/>
      </c>
      <c r="DW12" s="165" t="str">
        <f>IF(ISERROR(VLOOKUP(CONCATENATE(DW$7,"-",MID($E12,1,100)),DATOS!$Z:$AA,2,0)),"",VLOOKUP(CONCATENATE(DW$7,"-",MID($E12,1,100)),DATOS!$Z:$AA,2,0))</f>
        <v/>
      </c>
      <c r="DX12" s="165" t="str">
        <f>IF(ISERROR(VLOOKUP(CONCATENATE(DX$7,"-",MID($E12,1,100)),DATOS!$Z:$AA,2,0)),"",VLOOKUP(CONCATENATE(DX$7,"-",MID($E12,1,100)),DATOS!$Z:$AA,2,0))</f>
        <v/>
      </c>
      <c r="DY12" s="165" t="str">
        <f>IF(ISERROR(VLOOKUP(CONCATENATE(DY$7,"-",MID($E12,1,100)),DATOS!$Z:$AA,2,0)),"",VLOOKUP(CONCATENATE(DY$7,"-",MID($E12,1,100)),DATOS!$Z:$AA,2,0))</f>
        <v/>
      </c>
      <c r="DZ12" s="165" t="str">
        <f>IF(ISERROR(VLOOKUP(CONCATENATE(DZ$7,"-",MID($E12,1,100)),DATOS!$Z:$AA,2,0)),"",VLOOKUP(CONCATENATE(DZ$7,"-",MID($E12,1,100)),DATOS!$Z:$AA,2,0))</f>
        <v/>
      </c>
      <c r="EA12" s="165" t="str">
        <f>IF(ISERROR(VLOOKUP(CONCATENATE(EA$7,"-",MID($E12,1,100)),DATOS!$Z:$AA,2,0)),"",VLOOKUP(CONCATENATE(EA$7,"-",MID($E12,1,100)),DATOS!$Z:$AA,2,0))</f>
        <v/>
      </c>
      <c r="EB12" s="165" t="str">
        <f>IF(ISERROR(VLOOKUP(CONCATENATE(EB$7,"-",MID($E12,1,100)),DATOS!$Z:$AA,2,0)),"",VLOOKUP(CONCATENATE(EB$7,"-",MID($E12,1,100)),DATOS!$Z:$AA,2,0))</f>
        <v/>
      </c>
      <c r="EC12" s="165" t="str">
        <f>IF(ISERROR(VLOOKUP(CONCATENATE(EC$7,"-",MID($E12,1,100)),DATOS!$Z:$AA,2,0)),"",VLOOKUP(CONCATENATE(EC$7,"-",MID($E12,1,100)),DATOS!$Z:$AA,2,0))</f>
        <v/>
      </c>
      <c r="ED12" s="195" t="str">
        <f>IF(ISERROR(VLOOKUP(CONCATENATE(ED$7,"-",MID($E12,1,100)),DATOS!$Z:$AA,2,0)),"",VLOOKUP(CONCATENATE(ED$7,"-",MID($E12,1,100)),DATOS!$Z:$AA,2,0))</f>
        <v/>
      </c>
      <c r="EE12" s="166" t="str">
        <f>IF(ISERROR(VLOOKUP(CONCATENATE(EE$7,"-",MID($E12,1,100)),DATOS!$Z:$AA,2,0)),"",VLOOKUP(CONCATENATE(EE$7,"-",MID($E12,1,100)),DATOS!$Z:$AA,2,0))</f>
        <v/>
      </c>
      <c r="EF12" s="164" t="str">
        <f>IF(ISERROR(VLOOKUP(CONCATENATE($EF$7,"-",MID(E12,1,100)),DATOS!Z:AA,2,0)),"",VLOOKUP(CONCATENATE($EF$7,"-",MID(E12,1,100)),DATOS!Z:AA,2,0))</f>
        <v/>
      </c>
      <c r="EG12" s="165" t="str">
        <f>IF(ISERROR(VLOOKUP(CONCATENATE($EG$7,"-",MID(E12,1,100)),DATOS!Z:AA,2,0)),"",VLOOKUP(CONCATENATE($EG$7,"-",MID(E12,1,100)),DATOS!Z:AA,2,0))</f>
        <v/>
      </c>
      <c r="EH12" s="165" t="str">
        <f>IF(ISERROR(VLOOKUP(CONCATENATE($EH$7,"-",MID(E12,1,100)),DATOS!Z:AA,2,0)),"",VLOOKUP(CONCATENATE($EH$7,"-",MID(E12,1,100)),DATOS!Z:AA,2,0))</f>
        <v/>
      </c>
      <c r="EI12" s="165" t="str">
        <f>IF(ISERROR(VLOOKUP(CONCATENATE($EI$7,"-",MID(E12,1,100)),DATOS!Z:AA,2,0)),"",VLOOKUP(CONCATENATE($EI$7,"-",MID(E12,1,100)),DATOS!Z:AA,2,0))</f>
        <v/>
      </c>
      <c r="EJ12" s="165" t="str">
        <f>IF(ISERROR(VLOOKUP(CONCATENATE($EJ$7,"-",MID(E12,1,100)),DATOS!Z:AA,2,0)),"",VLOOKUP(CONCATENATE($EJ$7,"-",MID(E12,1,100)),DATOS!Z:AA,2,0))</f>
        <v/>
      </c>
      <c r="EK12" s="165" t="str">
        <f>IF(ISERROR(VLOOKUP(CONCATENATE($EK$7,"-",MID(E12,1,100)),DATOS!Z:AA,2,0)),"",VLOOKUP(CONCATENATE($EK$7,"-",MID(E12,1,100)),DATOS!Z:AA,2,0))</f>
        <v/>
      </c>
      <c r="EL12" s="165" t="str">
        <f>IF(ISERROR(VLOOKUP(CONCATENATE($EL$7,"-",MID(E12,1,100)),DATOS!Z:AA,2,0)),"",VLOOKUP(CONCATENATE($EL$7,"-",MID(E12,1,100)),DATOS!Z:AA,2,0))</f>
        <v/>
      </c>
      <c r="EM12" s="165" t="str">
        <f>IF(ISERROR(VLOOKUP(CONCATENATE($EM$7,"-",MID(E12,1,100)),DATOS!Z:AA,2,0)),"",VLOOKUP(CONCATENATE($EM$7,"-",MID(E12,1,100)),DATOS!Z:AA,2,0))</f>
        <v/>
      </c>
      <c r="EN12" s="165" t="str">
        <f>IF(ISERROR(VLOOKUP(CONCATENATE($EN$7,"-",MID(E12,1,100)),DATOS!Z:AA,2,0)),"",VLOOKUP(CONCATENATE($EN$7,"-",MID(E12,1,100)),DATOS!Z:AA,2,0))</f>
        <v/>
      </c>
      <c r="EO12" s="166" t="str">
        <f>IF(ISERROR(VLOOKUP(CONCATENATE($EO$7,"-",MID(E12,1,100)),DATOS!Z:AA,2,0)),"",VLOOKUP(CONCATENATE($EO$7,"-",MID(E12,1,100)),DATOS!Z:AA,2,0))</f>
        <v/>
      </c>
      <c r="EP12" s="167">
        <f t="shared" si="0"/>
        <v>2</v>
      </c>
      <c r="EQ12" s="159" t="str">
        <f t="shared" si="1"/>
        <v>CG2: Comunicación Bilingüe-N2</v>
      </c>
    </row>
    <row r="13" spans="1:168" ht="17.25" customHeight="1">
      <c r="A13" s="148"/>
      <c r="B13" s="168" t="str">
        <f>IF('1.Fundamentos'!B53="","",'1.Fundamentos'!B53)</f>
        <v>CG2: Comunicación Bilingüe</v>
      </c>
      <c r="C13" s="169" t="s">
        <v>84</v>
      </c>
      <c r="D13" s="170" t="str">
        <f>IF('1.Fundamentos'!D53="","",'1.Fundamentos'!D53)</f>
        <v>Se desenvuelve en inglés utilizando las cuatro habilidades lingüísticas -comprensión auditiva, comprensión lectora, producción oral y producción escrita- con destreza y fluidez para el desempeño personal, académico y profesional.</v>
      </c>
      <c r="E13" s="171" t="str">
        <f>IF(D13="","",CONCATENATE(B13,":",C13," ",D13))</f>
        <v>CG2: Comunicación Bilingüe:N3 Se desenvuelve en inglés utilizando las cuatro habilidades lingüísticas -comprensión auditiva, comprensión lectora, producción oral y producción escrita- con destreza y fluidez para el desempeño personal, académico y profesional.</v>
      </c>
      <c r="F13" s="172" t="str">
        <f>IF(ISERROR(VLOOKUP(CONCATENATE($F$7,"-",MID(E13,1,100)),DATOS!Z:AA,2,0)),"",VLOOKUP(CONCATENATE($F$7,"-",MID(E13,1,100)),DATOS!Z:AA,2,0))</f>
        <v/>
      </c>
      <c r="G13" s="173" t="str">
        <f>IF(ISERROR(VLOOKUP(CONCATENATE($G$7,"-",MID(E13,1,100)),DATOS!Z:AA,2,0)),"",VLOOKUP(CONCATENATE($G$7,"-",MID(E13,1,100)),DATOS!Z:AA,2,0))</f>
        <v/>
      </c>
      <c r="H13" s="173" t="str">
        <f>IF(ISERROR(VLOOKUP(CONCATENATE($H$7,"-",MID(E13,1,100)),DATOS!Z:AA,2,0)),"",VLOOKUP(CONCATENATE($H$7,"-",MID(E13,1,100)),DATOS!Z:AA,2,0))</f>
        <v/>
      </c>
      <c r="I13" s="173" t="str">
        <f>IF(ISERROR(VLOOKUP(CONCATENATE($I$7,"-",MID(E13,1,100)),DATOS!Z:AA,2,0)),"",VLOOKUP(CONCATENATE($I$7,"-",MID(E13,1,100)),DATOS!Z:AA,2,0))</f>
        <v/>
      </c>
      <c r="J13" s="173" t="str">
        <f>IF(ISERROR(VLOOKUP(CONCATENATE($J$7,"-",MID(E13,1,100)),DATOS!Z:AA,2,0)),"",VLOOKUP(CONCATENATE($J$7,"-",MID(E13,1,100)),DATOS!Z:AA,2,0))</f>
        <v/>
      </c>
      <c r="K13" s="173" t="str">
        <f>IF(ISERROR(VLOOKUP(CONCATENATE($K$7,"-",MID(E13,1,100)),DATOS!Z:AA,2,0)),"",VLOOKUP(CONCATENATE($K$7,"-",MID(E13,1,100)),DATOS!Z:AA,2,0))</f>
        <v/>
      </c>
      <c r="L13" s="173" t="str">
        <f>IF(ISERROR(VLOOKUP(CONCATENATE($L$7,"-",MID(E13,1,100)),DATOS!Z:AA,2,0)),"",VLOOKUP(CONCATENATE($L$7,"-",MID(E13,1,100)),DATOS!Z:AA,2,0))</f>
        <v/>
      </c>
      <c r="M13" s="173" t="str">
        <f>IF(ISERROR(VLOOKUP(CONCATENATE($M$7,"-",MID(E13,1,100)),DATOS!Z:AA,2,0)),"",VLOOKUP(CONCATENATE($M$7,"-",MID(E13,1,100)),DATOS!Z:AA,2,0))</f>
        <v/>
      </c>
      <c r="N13" s="173" t="str">
        <f>IF(ISERROR(VLOOKUP(CONCATENATE($N$7,"-",MID(E13,1,100)),DATOS!Z:AA,2,0)),"",VLOOKUP(CONCATENATE($N$7,"-",MID(E13,1,100)),DATOS!Z:AA,2,0))</f>
        <v/>
      </c>
      <c r="O13" s="174" t="str">
        <f>IF(ISERROR(VLOOKUP(CONCATENATE($O$7,"-",MID(E13,1,100)),DATOS!Z:AA,2,0)),"",VLOOKUP(CONCATENATE($O$7,"-",MID(E13,1,100)),DATOS!Z:AA,2,0))</f>
        <v/>
      </c>
      <c r="P13" s="172" t="str">
        <f>IF(ISERROR(VLOOKUP(CONCATENATE($P$7,"-",MID(E13,1,100)),DATOS!Z:AA,2,0)),"",VLOOKUP(CONCATENATE($P$7,"-",MID(E13,1,100)),DATOS!Z:AA,2,0))</f>
        <v/>
      </c>
      <c r="Q13" s="173" t="str">
        <f>IF(ISERROR(VLOOKUP(CONCATENATE($Q$7,"-",MID(E13,1,100)),DATOS!Z:AA,2,0)),"",VLOOKUP(CONCATENATE($Q$7,"-",MID(E13,1,100)),DATOS!Z:AA,2,0))</f>
        <v/>
      </c>
      <c r="R13" s="173" t="str">
        <f>IF(ISERROR(VLOOKUP(CONCATENATE($R$7,"-",MID(E13,1,100)),DATOS!Z:AA,2,0)),"",VLOOKUP(CONCATENATE($R$7,"-",MID(E13,1,100)),DATOS!Z:AA,2,0))</f>
        <v/>
      </c>
      <c r="S13" s="173" t="str">
        <f>IF(ISERROR(VLOOKUP(CONCATENATE($S$7,"-",MID(E13,1,100)),DATOS!Z:AA,2,0)),"",VLOOKUP(CONCATENATE($S$7,"-",MID(E13,1,100)),DATOS!Z:AA,2,0))</f>
        <v/>
      </c>
      <c r="T13" s="173" t="str">
        <f>IF(ISERROR(VLOOKUP(CONCATENATE($T$7,"-",MID(E13,1,100)),DATOS!Z:AA,2,0)),"",VLOOKUP(CONCATENATE($T$7,"-",MID(E13,1,100)),DATOS!Z:AA,2,0))</f>
        <v/>
      </c>
      <c r="U13" s="173" t="str">
        <f>IF(ISERROR(VLOOKUP(CONCATENATE($U$7,"-",MID(E13,1,100)),DATOS!Z:AA,2,0)),"",VLOOKUP(CONCATENATE($U$7,"-",MID(E13,1,100)),DATOS!Z:AA,2,0))</f>
        <v/>
      </c>
      <c r="V13" s="173" t="str">
        <f>IF(ISERROR(VLOOKUP(CONCATENATE($V$7,"-",MID(E13,1,100)),DATOS!Z:AA,2,0)),"",VLOOKUP(CONCATENATE($V$7,"-",MID(E13,1,100)),DATOS!Z:AA,2,0))</f>
        <v/>
      </c>
      <c r="W13" s="173" t="str">
        <f>IF(ISERROR(VLOOKUP(CONCATENATE($W$7,"-",MID(E13,1,100)),DATOS!Z:AA,2,0)),"",VLOOKUP(CONCATENATE($W$7,"-",MID(E13,1,100)),DATOS!Z:AA,2,0))</f>
        <v/>
      </c>
      <c r="X13" s="173" t="str">
        <f>IF(ISERROR(VLOOKUP(CONCATENATE($X$7,"-",MID(E13,1,100)),DATOS!Z:AA,2,0)),"",VLOOKUP(CONCATENATE($X$7,"-",MID(E13,1,100)),DATOS!Z:AA,2,0))</f>
        <v/>
      </c>
      <c r="Y13" s="174" t="str">
        <f>IF(ISERROR(VLOOKUP(CONCATENATE($Y$7,"-",MID(E13,1,100)),DATOS!Z:AA,2,0)),"",VLOOKUP(CONCATENATE($Y$7,"-",MID(E13,1,100)),DATOS!Z:AA,2,0))</f>
        <v/>
      </c>
      <c r="Z13" s="172" t="str">
        <f>IF(ISERROR(VLOOKUP(CONCATENATE($Z$7,"-",MID(E13,1,100)),DATOS!Z:AA,2,0)),"",VLOOKUP(CONCATENATE($Z$7,"-",MID(E13,1,100)),DATOS!Z:AA,2,0))</f>
        <v/>
      </c>
      <c r="AA13" s="173" t="str">
        <f>IF(ISERROR(VLOOKUP(CONCATENATE($AA$7,"-",MID(E13,1,100)),DATOS!Z:AA,2,0)),"",VLOOKUP(CONCATENATE($AA$7,"-",MID(E13,1,100)),DATOS!Z:AA,2,0))</f>
        <v/>
      </c>
      <c r="AB13" s="173" t="str">
        <f>IF(ISERROR(VLOOKUP(CONCATENATE($AB$7,"-",MID(E13,1,100)),DATOS!Z:AA,2,0)),"",VLOOKUP(CONCATENATE($AB$7,"-",MID(E13,1,100)),DATOS!Z:AA,2,0))</f>
        <v/>
      </c>
      <c r="AC13" s="173" t="str">
        <f>IF(ISERROR(VLOOKUP(CONCATENATE($AC$7,"-",MID(E13,1,100)),DATOS!Z:AA,2,0)),"",VLOOKUP(CONCATENATE($AC$7,"-",MID(E13,1,100)),DATOS!Z:AA,2,0))</f>
        <v/>
      </c>
      <c r="AD13" s="173" t="str">
        <f>IF(ISERROR(VLOOKUP(CONCATENATE($AD$7,"-",MID(E13,1,100)),DATOS!Z:AA,2,0)),"",VLOOKUP(CONCATENATE($AD$7,"-",MID(E13,1,100)),DATOS!Z:AA,2,0))</f>
        <v/>
      </c>
      <c r="AE13" s="173" t="str">
        <f>IF(ISERROR(VLOOKUP(CONCATENATE($AE$7,"-",MID(E13,1,100)),DATOS!Z:AA,2,0)),"",VLOOKUP(CONCATENATE($AE$7,"-",MID(E13,1,100)),DATOS!Z:AA,2,0))</f>
        <v/>
      </c>
      <c r="AF13" s="173" t="str">
        <f>IF(ISERROR(VLOOKUP(CONCATENATE($AF$7,"-",MID(E13,1,100)),DATOS!Z:AA,2,0)),"",VLOOKUP(CONCATENATE($AF$7,"-",MID(E13,1,100)),DATOS!Z:AA,2,0))</f>
        <v/>
      </c>
      <c r="AG13" s="173" t="str">
        <f>IF(ISERROR(VLOOKUP(CONCATENATE($AG$7,"-",MID(E13,1,100)),DATOS!Z:AA,2,0)),"",VLOOKUP(CONCATENATE($AG$7,"-",MID(E13,1,100)),DATOS!Z:AA,2,0))</f>
        <v/>
      </c>
      <c r="AH13" s="173" t="str">
        <f>IF(ISERROR(VLOOKUP(CONCATENATE($AH$7,"-",MID(E13,1,100)),DATOS!Z:AA,2,0)),"",VLOOKUP(CONCATENATE($AH$7,"-",MID(E13,1,100)),DATOS!Z:AA,2,0))</f>
        <v/>
      </c>
      <c r="AI13" s="174" t="str">
        <f>IF(ISERROR(VLOOKUP(CONCATENATE($AI$7,"-",MID(E13,1,100)),DATOS!Z:AA,2,0)),"",VLOOKUP(CONCATENATE($AI$7,"-",MID(E13,1,100)),DATOS!Z:AA,2,0))</f>
        <v/>
      </c>
      <c r="AJ13" s="172" t="str">
        <f>IF(ISERROR(VLOOKUP(CONCATENATE($AJ$7,"-",MID(E13,1,100)),DATOS!Z:AA,2,0)),"",VLOOKUP(CONCATENATE($AJ$7,"-",MID(E13,1,100)),DATOS!Z:AA,2,0))</f>
        <v/>
      </c>
      <c r="AK13" s="173" t="str">
        <f>IF(ISERROR(VLOOKUP(CONCATENATE($AK$7,"-",MID(E13,1,100)),DATOS!Z:AA,2,0)),"",VLOOKUP(CONCATENATE($AK$7,"-",MID(E13,1,100)),DATOS!Z:AA,2,0))</f>
        <v/>
      </c>
      <c r="AL13" s="173" t="str">
        <f>IF(ISERROR(VLOOKUP(CONCATENATE($AL$7,"-",MID(E13,1,100)),DATOS!Z:AA,2,0)),"",VLOOKUP(CONCATENATE($AL$7,"-",MID(E13,1,100)),DATOS!Z:AA,2,0))</f>
        <v/>
      </c>
      <c r="AM13" s="173" t="str">
        <f>IF(ISERROR(VLOOKUP(CONCATENATE($AM$7,"-",MID(E13,1,100)),DATOS!Z:AA,2,0)),"",VLOOKUP(CONCATENATE($AM$7,"-",MID(E13,1,100)),DATOS!Z:AA,2,0))</f>
        <v/>
      </c>
      <c r="AN13" s="173" t="str">
        <f>IF(ISERROR(VLOOKUP(CONCATENATE($AN$7,"-",MID(E13,1,100)),DATOS!Z:AA,2,0)),"",VLOOKUP(CONCATENATE($AN$7,"-",MID(E13,1,100)),DATOS!Z:AA,2,0))</f>
        <v/>
      </c>
      <c r="AO13" s="173" t="str">
        <f>IF(ISERROR(VLOOKUP(CONCATENATE($AO$7,"-",MID(E13,1,100)),DATOS!Z:AA,2,0)),"",VLOOKUP(CONCATENATE($AO$7,"-",MID(E13,1,100)),DATOS!Z:AA,2,0))</f>
        <v/>
      </c>
      <c r="AP13" s="173" t="str">
        <f>IF(ISERROR(VLOOKUP(CONCATENATE($AP$7,"-",MID(E13,1,100)),DATOS!Z:AA,2,0)),"",VLOOKUP(CONCATENATE($AP$7,"-",MID(E13,1,100)),DATOS!Z:AA,2,0))</f>
        <v/>
      </c>
      <c r="AQ13" s="173" t="str">
        <f>IF(ISERROR(VLOOKUP(CONCATENATE($AQ$7,"-",MID(E13,1,100)),DATOS!Z:AA,2,0)),"",VLOOKUP(CONCATENATE($AQ$7,"-",MID(E13,1,100)),DATOS!Z:AA,2,0))</f>
        <v/>
      </c>
      <c r="AR13" s="173" t="str">
        <f>IF(ISERROR(VLOOKUP(CONCATENATE($AR$7,"-",MID(E13,1,100)),DATOS!Z:AA,2,0)),"",VLOOKUP(CONCATENATE($AR$7,"-",MID(E13,1,100)),DATOS!Z:AA,2,0))</f>
        <v/>
      </c>
      <c r="AS13" s="174" t="str">
        <f>IF(ISERROR(VLOOKUP(CONCATENATE($AS$7,"-",MID(E13,1,100)),DATOS!Z:AA,2,0)),"",VLOOKUP(CONCATENATE($AS$7,"-",MID(E13,1,100)),DATOS!Z:AA,2,0))</f>
        <v/>
      </c>
      <c r="AT13" s="172" t="str">
        <f>IF(ISERROR(VLOOKUP(CONCATENATE($AT$7,"-",MID(E13,1,100)),DATOS!Z:AA,2,0)),"",VLOOKUP(CONCATENATE($AT$7,"-",MID(E13,1,100)),DATOS!Z:AA,2,0))</f>
        <v/>
      </c>
      <c r="AU13" s="173" t="str">
        <f>IF(ISERROR(VLOOKUP(CONCATENATE($AU$7,"-",MID(E13,1,100)),DATOS!Z:AA,2,0)),"",VLOOKUP(CONCATENATE($AU$7,"-",MID(E13,1,100)),DATOS!Z:AA,2,0))</f>
        <v/>
      </c>
      <c r="AV13" s="173" t="str">
        <f>IF(ISERROR(VLOOKUP(CONCATENATE($AV$7,"-",MID(E13,1,100)),DATOS!Z:AA,2,0)),"",VLOOKUP(CONCATENATE($AV$7,"-",MID(E13,1,100)),DATOS!Z:AA,2,0))</f>
        <v/>
      </c>
      <c r="AW13" s="173" t="str">
        <f>IF(ISERROR(VLOOKUP(CONCATENATE($AW$7,"-",MID(E13,1,100)),DATOS!Z:AA,2,0)),"",VLOOKUP(CONCATENATE($AW$7,"-",MID(E13,1,100)),DATOS!Z:AA,2,0))</f>
        <v/>
      </c>
      <c r="AX13" s="173" t="str">
        <f>IF(ISERROR(VLOOKUP(CONCATENATE($AX$7,"-",MID(E13,1,100)),DATOS!Z:AA,2,0)),"",VLOOKUP(CONCATENATE($AX$7,"-",MID(E13,1,100)),DATOS!Z:AA,2,0))</f>
        <v/>
      </c>
      <c r="AY13" s="173" t="str">
        <f>IF(ISERROR(VLOOKUP(CONCATENATE($AY$7,"-",MID(E13,1,100)),DATOS!Z:AA,2,0)),"",VLOOKUP(CONCATENATE($AY$7,"-",MID(E13,1,100)),DATOS!Z:AA,2,0))</f>
        <v/>
      </c>
      <c r="AZ13" s="173" t="str">
        <f>IF(ISERROR(VLOOKUP(CONCATENATE($AZ$7,"-",MID(E13,1,100)),DATOS!Z:AA,2,0)),"",VLOOKUP(CONCATENATE($AZ$7,"-",MID(E13,1,100)),DATOS!Z:AA,2,0))</f>
        <v/>
      </c>
      <c r="BA13" s="173" t="str">
        <f>IF(ISERROR(VLOOKUP(CONCATENATE($BA$7,"-",MID(E13,1,100)),DATOS!Z:AA,2,0)),"",VLOOKUP(CONCATENATE($BA$7,"-",MID(E13,1,100)),DATOS!Z:AA,2,0))</f>
        <v/>
      </c>
      <c r="BB13" s="173" t="str">
        <f>IF(ISERROR(VLOOKUP(CONCATENATE($BB$7,"-",MID(E13,1,100)),DATOS!Z:AA,2,0)),"",VLOOKUP(CONCATENATE($BB$7,"-",MID(E13,1,100)),DATOS!Z:AA,2,0))</f>
        <v/>
      </c>
      <c r="BC13" s="174" t="str">
        <f>IF(ISERROR(VLOOKUP(CONCATENATE($BC$7,"-",MID(E13,1,100)),DATOS!Z:AA,2,0)),"",VLOOKUP(CONCATENATE($BC$7,"-",MID(E13,1,100)),DATOS!Z:AA,2,0))</f>
        <v/>
      </c>
      <c r="BD13" s="172" t="str">
        <f>IF(ISERROR(VLOOKUP(CONCATENATE($BD$7,"-",MID(E13,1,100)),DATOS!Z:AA,2,0)),"",VLOOKUP(CONCATENATE($BD$7,"-",MID(E13,1,100)),DATOS!Z:AA,2,0))</f>
        <v/>
      </c>
      <c r="BE13" s="173" t="str">
        <f>IF(ISERROR(VLOOKUP(CONCATENATE($BE$7,"-",MID(E13,1,100)),DATOS!Z:AA,2,0)),"",VLOOKUP(CONCATENATE($BE$7,"-",MID(E13,1,100)),DATOS!Z:AA,2,0))</f>
        <v>a</v>
      </c>
      <c r="BF13" s="173" t="str">
        <f>IF(ISERROR(VLOOKUP(CONCATENATE($BF$7,"-",MID(E13,1,100)),DATOS!Z:AA,2,0)),"",VLOOKUP(CONCATENATE($BF$7,"-",MID(E13,1,100)),DATOS!Z:AA,2,0))</f>
        <v/>
      </c>
      <c r="BG13" s="173" t="str">
        <f>IF(ISERROR(VLOOKUP(CONCATENATE($BG$7,"-",MID(E13,1,100)),DATOS!Z:AA,2,0)),"",VLOOKUP(CONCATENATE($BG$7,"-",MID(E13,1,100)),DATOS!Z:AA,2,0))</f>
        <v/>
      </c>
      <c r="BH13" s="173" t="str">
        <f>IF(ISERROR(VLOOKUP(CONCATENATE($BH$7,"-",MID(E13,1,100)),DATOS!Z:AA,2,0)),"",VLOOKUP(CONCATENATE($BH$7,"-",MID(E13,1,100)),DATOS!Z:AA,2,0))</f>
        <v/>
      </c>
      <c r="BI13" s="173" t="str">
        <f>IF(ISERROR(VLOOKUP(CONCATENATE($BI$7,"-",MID(E13,1,100)),DATOS!Z:AA,2,0)),"",VLOOKUP(CONCATENATE($BI$7,"-",MID(E13,1,100)),DATOS!Z:AA,2,0))</f>
        <v/>
      </c>
      <c r="BJ13" s="173" t="str">
        <f>IF(ISERROR(VLOOKUP(CONCATENATE($BJ$7,"-",MID(E13,1,100)),DATOS!Z:AA,2,0)),"",VLOOKUP(CONCATENATE($BJ$7,"-",MID(E13,1,100)),DATOS!Z:AA,2,0))</f>
        <v/>
      </c>
      <c r="BK13" s="173" t="str">
        <f>IF(ISERROR(VLOOKUP(CONCATENATE($BK$7,"-",MID(E13,1,100)),DATOS!Z:AA,2,0)),"",VLOOKUP(CONCATENATE($BK$7,"-",MID(E13,1,100)),DATOS!Z:AA,2,0))</f>
        <v/>
      </c>
      <c r="BL13" s="173" t="str">
        <f>IF(ISERROR(VLOOKUP(CONCATENATE($BL$7,"-",MID(E13,1,100)),DATOS!Z:AA,2,0)),"",VLOOKUP(CONCATENATE($BL$7,"-",MID(E13,1,100)),DATOS!Z:AA,2,0))</f>
        <v/>
      </c>
      <c r="BM13" s="174" t="str">
        <f>IF(ISERROR(VLOOKUP(CONCATENATE($BM$7,"-",MID(E13,1,100)),DATOS!Z:AA,2,0)),"",VLOOKUP(CONCATENATE($BM$7,"-",MID(E13,1,100)),DATOS!Z:AA,2,0))</f>
        <v/>
      </c>
      <c r="BN13" s="172" t="str">
        <f>IF(ISERROR(VLOOKUP(CONCATENATE($BN$7,"-",MID(E13,1,100)),DATOS!Z:AA,2,0)),"",VLOOKUP(CONCATENATE($BN$7,"-",MID(E13,1,100)),DATOS!Z:AA,2,0))</f>
        <v>a</v>
      </c>
      <c r="BO13" s="173" t="str">
        <f>IF(ISERROR(VLOOKUP(CONCATENATE($BO$7,"-",MID(E13,1,100)),DATOS!Z:AA,2,0)),"",VLOOKUP(CONCATENATE($BO$7,"-",MID(E13,1,100)),DATOS!Z:AA,2,0))</f>
        <v/>
      </c>
      <c r="BP13" s="173" t="str">
        <f>IF(ISERROR(VLOOKUP(CONCATENATE($BP$7,"-",MID(E13,1,100)),DATOS!Z:AA,2,0)),"",VLOOKUP(CONCATENATE($BP$7,"-",MID(E13,1,100)),DATOS!Z:AA,2,0))</f>
        <v/>
      </c>
      <c r="BQ13" s="173" t="str">
        <f>IF(ISERROR(VLOOKUP(CONCATENATE($BQ$7,"-",MID(E13,1,100)),DATOS!Z:AA,2,0)),"",VLOOKUP(CONCATENATE($BQ$7,"-",MID(E13,1,100)),DATOS!Z:AA,2,0))</f>
        <v/>
      </c>
      <c r="BR13" s="173" t="str">
        <f>IF(ISERROR(VLOOKUP(CONCATENATE($BR$7,"-",MID(E13,1,100)),DATOS!Z:AA,2,0)),"",VLOOKUP(CONCATENATE($BR$7,"-",MID(E13,1,100)),DATOS!Z:AA,2,0))</f>
        <v/>
      </c>
      <c r="BS13" s="173" t="str">
        <f>IF(ISERROR(VLOOKUP(CONCATENATE($BS$7,"-",MID(E13,1,100)),DATOS!Z:AA,2,0)),"",VLOOKUP(CONCATENATE($BS$7,"-",MID(E13,1,100)),DATOS!Z:AA,2,0))</f>
        <v/>
      </c>
      <c r="BT13" s="173" t="str">
        <f>IF(ISERROR(VLOOKUP(CONCATENATE($BT$7,"-",MID(E13,1,100)),DATOS!Z:AA,2,0)),"",VLOOKUP(CONCATENATE($BT$7,"-",MID(E13,1,100)),DATOS!Z:AA,2,0))</f>
        <v/>
      </c>
      <c r="BU13" s="173" t="str">
        <f>IF(ISERROR(VLOOKUP(CONCATENATE($BU$7,"-",MID(E13,1,100)),DATOS!Z:AA,2,0)),"",VLOOKUP(CONCATENATE($BU$7,"-",MID(E13,1,100)),DATOS!Z:AA,2,0))</f>
        <v/>
      </c>
      <c r="BV13" s="173" t="str">
        <f>IF(ISERROR(VLOOKUP(CONCATENATE($BV$7,"-",MID(E13,1,100)),DATOS!Z:AA,2,0)),"",VLOOKUP(CONCATENATE($BV$7,"-",MID(E13,1,100)),DATOS!Z:AA,2,0))</f>
        <v/>
      </c>
      <c r="BW13" s="174" t="str">
        <f>IF(ISERROR(VLOOKUP(CONCATENATE($BW$7,"-",MID(E13,1,100)),DATOS!Z:AA,2,0)),"",VLOOKUP(CONCATENATE($BW$7,"-",MID(E13,1,100)),DATOS!Z:AA,2,0))</f>
        <v/>
      </c>
      <c r="BX13" s="210" t="str">
        <f>IF(ISERROR(VLOOKUP(CONCATENATE($BX$7,"-",MID(E13,1,100)),DATOS!Z:AA,2,0)),"",VLOOKUP(CONCATENATE($BX$7,"-",MID(E13,1,100)),DATOS!Z:AA,2,0))</f>
        <v/>
      </c>
      <c r="BY13" s="211" t="str">
        <f>IF(ISERROR(VLOOKUP(CONCATENATE($BY$7,"-",MID(E13,1,100)),DATOS!Z:AA,2,0)),"",VLOOKUP(CONCATENATE($BY$7,"-",MID(E13,1,100)),DATOS!Z:AA,2,0))</f>
        <v>a</v>
      </c>
      <c r="BZ13" s="211" t="str">
        <f>IF(ISERROR(VLOOKUP(CONCATENATE($BZ$7,"-",MID(E13,1,100)),DATOS!Z:AA,2,0)),"",VLOOKUP(CONCATENATE($BZ$7,"-",MID(E13,1,100)),DATOS!Z:AA,2,0))</f>
        <v/>
      </c>
      <c r="CA13" s="211" t="str">
        <f>IF(ISERROR(VLOOKUP(CONCATENATE($CA$7,"-",MID(E13,1,100)),DATOS!Z:AA,2,0)),"",VLOOKUP(CONCATENATE($CA$7,"-",MID(E13,1,100)),DATOS!Z:AA,2,0))</f>
        <v/>
      </c>
      <c r="CB13" s="211" t="str">
        <f>IF(ISERROR(VLOOKUP(CONCATENATE($CB$7,"-",MID(E13,1,100)),DATOS!Z:AA,2,0)),"",VLOOKUP(CONCATENATE($CB$7,"-",MID(E13,1,100)),DATOS!Z:AA,2,0))</f>
        <v/>
      </c>
      <c r="CC13" s="211" t="str">
        <f>IF(ISERROR(VLOOKUP(CONCATENATE($CC$7,"-",MID(E13,1,100)),DATOS!Z:AA,2,0)),"",VLOOKUP(CONCATENATE($CC$7,"-",MID(E13,1,100)),DATOS!Z:AA,2,0))</f>
        <v/>
      </c>
      <c r="CD13" s="211" t="str">
        <f>IF(ISERROR(VLOOKUP(CONCATENATE($CD$7,"-",MID(E13,1,100)),DATOS!Z:AA,2,0)),"",VLOOKUP(CONCATENATE($CD$7,"-",MID(E13,1,100)),DATOS!Z:AA,2,0))</f>
        <v/>
      </c>
      <c r="CE13" s="211" t="str">
        <f>IF(ISERROR(VLOOKUP(CONCATENATE($CE$7,"-",MID(E13,1,100)),DATOS!Z:AA,2,0)),"",VLOOKUP(CONCATENATE($CE$7,"-",MID(E13,1,100)),DATOS!Z:AA,2,0))</f>
        <v/>
      </c>
      <c r="CF13" s="211" t="str">
        <f>IF(ISERROR(VLOOKUP(CONCATENATE($CF$7,"-",MID(E13,1,100)),DATOS!Z:AA,2,0)),"",VLOOKUP(CONCATENATE($CF$7,"-",MID(E13,1,100)),DATOS!Z:AA,2,0))</f>
        <v/>
      </c>
      <c r="CG13" s="212" t="str">
        <f>IF(ISERROR(VLOOKUP(CONCATENATE($CG$7,"-",MID(E13,1,100)),DATOS!Z:AA,2,0)),"",VLOOKUP(CONCATENATE($CG$7,"-",MID(E13,1,100)),DATOS!Z:AA,2,0))</f>
        <v/>
      </c>
      <c r="CH13" s="210" t="str">
        <f>IF(ISERROR(VLOOKUP(CONCATENATE($CH$7,"-",MID(E13,1,100)),DATOS!Z:AA,2,0)),"",VLOOKUP(CONCATENATE($CH$7,"-",MID(E13,1,100)),DATOS!Z:AA,2,0))</f>
        <v/>
      </c>
      <c r="CI13" s="211" t="str">
        <f>IF(ISERROR(VLOOKUP(CONCATENATE($CI$7,"-",MID(E13,1,100)),DATOS!Z:AA,2,0)),"",VLOOKUP(CONCATENATE($CI$7,"-",MID(E13,1,100)),DATOS!Z:AA,2,0))</f>
        <v/>
      </c>
      <c r="CJ13" s="211" t="str">
        <f>IF(ISERROR(VLOOKUP(CONCATENATE($CJ$7,"-",MID(E13,1,100)),DATOS!Z:AA,2,0)),"",VLOOKUP(CONCATENATE($CJ$7,"-",MID(E13,1,100)),DATOS!Z:AA,2,0))</f>
        <v/>
      </c>
      <c r="CK13" s="211" t="str">
        <f>IF(ISERROR(VLOOKUP(CONCATENATE($CK$7,"-",MID(E13,1,100)),DATOS!Z:AA,2,0)),"",VLOOKUP(CONCATENATE($CK$7,"-",MID(E13,1,100)),DATOS!Z:AA,2,0))</f>
        <v/>
      </c>
      <c r="CL13" s="211" t="str">
        <f>IF(ISERROR(VLOOKUP(CONCATENATE($CL$7,"-",MID(E13,1,100)),DATOS!Z:AA,2,0)),"",VLOOKUP(CONCATENATE($CL$7,"-",MID(E13,1,100)),DATOS!Z:AA,2,0))</f>
        <v/>
      </c>
      <c r="CM13" s="211" t="str">
        <f>IF(ISERROR(VLOOKUP(CONCATENATE($CM$7,"-",MID(E13,1,100)),DATOS!Z:AA,2,0)),"",VLOOKUP(CONCATENATE($CM$7,"-",MID(E13,1,100)),DATOS!Z:AA,2,0))</f>
        <v/>
      </c>
      <c r="CN13" s="211" t="str">
        <f>IF(ISERROR(VLOOKUP(CONCATENATE($CN$7,"-",MID(E13,1,100)),DATOS!Z:AA,2,0)),"",VLOOKUP(CONCATENATE($CN$7,"-",MID(E13,1,100)),DATOS!Z:AA,2,0))</f>
        <v/>
      </c>
      <c r="CO13" s="211" t="str">
        <f>IF(ISERROR(VLOOKUP(CONCATENATE($CO$7,"-",MID(E13,1,100)),DATOS!Z:AA,2,0)),"",VLOOKUP(CONCATENATE($CO$7,"-",MID(E13,1,100)),DATOS!Z:AA,2,0))</f>
        <v/>
      </c>
      <c r="CP13" s="213" t="str">
        <f>IF(ISERROR(VLOOKUP(CONCATENATE($CP$7,"-",MID(E13,1,100)),DATOS!Z:AA,2,0)),"",VLOOKUP(CONCATENATE($CP$7,"-",MID(E13,1,100)),DATOS!Z:AA,2,0))</f>
        <v/>
      </c>
      <c r="CQ13" s="212" t="str">
        <f>IF(ISERROR(VLOOKUP(CONCATENATE($CQ$7,"-",MID(E13,1,100)),DATOS!Z:AA,2,0)),"",VLOOKUP(CONCATENATE($CQ$7,"-",MID(E13,1,100)),DATOS!Z:AA,2,0))</f>
        <v/>
      </c>
      <c r="CR13" s="210" t="str">
        <f>IF(ISERROR(VLOOKUP(CONCATENATE(CR$7,"-",MID($E13,1,100)),DATOS!$Z:$AA,2,0)),"",VLOOKUP(CONCATENATE(CR$7,"-",MID($E13,1,100)),DATOS!$Z:$AA,2,0))</f>
        <v/>
      </c>
      <c r="CS13" s="211" t="str">
        <f>IF(ISERROR(VLOOKUP(CONCATENATE(CS$7,"-",MID($E13,1,100)),DATOS!$Z:$AA,2,0)),"",VLOOKUP(CONCATENATE(CS$7,"-",MID($E13,1,100)),DATOS!$Z:$AA,2,0))</f>
        <v/>
      </c>
      <c r="CT13" s="211" t="str">
        <f>IF(ISERROR(VLOOKUP(CONCATENATE(CT$7,"-",MID($E13,1,100)),DATOS!$Z:$AA,2,0)),"",VLOOKUP(CONCATENATE(CT$7,"-",MID($E13,1,100)),DATOS!$Z:$AA,2,0))</f>
        <v/>
      </c>
      <c r="CU13" s="211" t="str">
        <f>IF(ISERROR(VLOOKUP(CONCATENATE(CU$7,"-",MID($E13,1,100)),DATOS!$Z:$AA,2,0)),"",VLOOKUP(CONCATENATE(CU$7,"-",MID($E13,1,100)),DATOS!$Z:$AA,2,0))</f>
        <v/>
      </c>
      <c r="CV13" s="211" t="str">
        <f>IF(ISERROR(VLOOKUP(CONCATENATE(CV$7,"-",MID($E13,1,100)),DATOS!$Z:$AA,2,0)),"",VLOOKUP(CONCATENATE(CV$7,"-",MID($E13,1,100)),DATOS!$Z:$AA,2,0))</f>
        <v/>
      </c>
      <c r="CW13" s="211" t="str">
        <f>IF(ISERROR(VLOOKUP(CONCATENATE(CW$7,"-",MID($E13,1,100)),DATOS!$Z:$AA,2,0)),"",VLOOKUP(CONCATENATE(CW$7,"-",MID($E13,1,100)),DATOS!$Z:$AA,2,0))</f>
        <v/>
      </c>
      <c r="CX13" s="211" t="str">
        <f>IF(ISERROR(VLOOKUP(CONCATENATE(CX$7,"-",MID($E13,1,100)),DATOS!$Z:$AA,2,0)),"",VLOOKUP(CONCATENATE(CX$7,"-",MID($E13,1,100)),DATOS!$Z:$AA,2,0))</f>
        <v/>
      </c>
      <c r="CY13" s="211" t="str">
        <f>IF(ISERROR(VLOOKUP(CONCATENATE(CY$7,"-",MID($E13,1,100)),DATOS!$Z:$AA,2,0)),"",VLOOKUP(CONCATENATE(CY$7,"-",MID($E13,1,100)),DATOS!$Z:$AA,2,0))</f>
        <v/>
      </c>
      <c r="CZ13" s="213" t="str">
        <f>IF(ISERROR(VLOOKUP(CONCATENATE(CZ$7,"-",MID($E13,1,100)),DATOS!$Z:$AA,2,0)),"",VLOOKUP(CONCATENATE(CZ$7,"-",MID($E13,1,100)),DATOS!$Z:$AA,2,0))</f>
        <v/>
      </c>
      <c r="DA13" s="212" t="str">
        <f>IF(ISERROR(VLOOKUP(CONCATENATE(DA$7,"-",MID($E13,1,100)),DATOS!$Z:$AA,2,0)),"",VLOOKUP(CONCATENATE(DA$7,"-",MID($E13,1,100)),DATOS!$Z:$AA,2,0))</f>
        <v/>
      </c>
      <c r="DB13" s="210" t="str">
        <f>IF(ISERROR(VLOOKUP(CONCATENATE(DB$7,"-",MID($E13,1,100)),DATOS!$Z:$AA,2,0)),"",VLOOKUP(CONCATENATE(DB$7,"-",MID($E13,1,100)),DATOS!$Z:$AA,2,0))</f>
        <v/>
      </c>
      <c r="DC13" s="211" t="str">
        <f>IF(ISERROR(VLOOKUP(CONCATENATE(DC$7,"-",MID($E13,1,100)),DATOS!$Z:$AA,2,0)),"",VLOOKUP(CONCATENATE(DC$7,"-",MID($E13,1,100)),DATOS!$Z:$AA,2,0))</f>
        <v/>
      </c>
      <c r="DD13" s="211" t="str">
        <f>IF(ISERROR(VLOOKUP(CONCATENATE(DD$7,"-",MID($E13,1,100)),DATOS!$Z:$AA,2,0)),"",VLOOKUP(CONCATENATE(DD$7,"-",MID($E13,1,100)),DATOS!$Z:$AA,2,0))</f>
        <v/>
      </c>
      <c r="DE13" s="211" t="str">
        <f>IF(ISERROR(VLOOKUP(CONCATENATE(DE$7,"-",MID($E13,1,100)),DATOS!$Z:$AA,2,0)),"",VLOOKUP(CONCATENATE(DE$7,"-",MID($E13,1,100)),DATOS!$Z:$AA,2,0))</f>
        <v/>
      </c>
      <c r="DF13" s="211" t="str">
        <f>IF(ISERROR(VLOOKUP(CONCATENATE(DF$7,"-",MID($E13,1,100)),DATOS!$Z:$AA,2,0)),"",VLOOKUP(CONCATENATE(DF$7,"-",MID($E13,1,100)),DATOS!$Z:$AA,2,0))</f>
        <v/>
      </c>
      <c r="DG13" s="211" t="str">
        <f>IF(ISERROR(VLOOKUP(CONCATENATE(DG$7,"-",MID($E13,1,100)),DATOS!$Z:$AA,2,0)),"",VLOOKUP(CONCATENATE(DG$7,"-",MID($E13,1,100)),DATOS!$Z:$AA,2,0))</f>
        <v/>
      </c>
      <c r="DH13" s="211" t="str">
        <f>IF(ISERROR(VLOOKUP(CONCATENATE(DH$7,"-",MID($E13,1,100)),DATOS!$Z:$AA,2,0)),"",VLOOKUP(CONCATENATE(DH$7,"-",MID($E13,1,100)),DATOS!$Z:$AA,2,0))</f>
        <v/>
      </c>
      <c r="DI13" s="211" t="str">
        <f>IF(ISERROR(VLOOKUP(CONCATENATE(DI$7,"-",MID($E13,1,100)),DATOS!$Z:$AA,2,0)),"",VLOOKUP(CONCATENATE(DI$7,"-",MID($E13,1,100)),DATOS!$Z:$AA,2,0))</f>
        <v/>
      </c>
      <c r="DJ13" s="213" t="str">
        <f>IF(ISERROR(VLOOKUP(CONCATENATE(DJ$7,"-",MID($E13,1,100)),DATOS!$Z:$AA,2,0)),"",VLOOKUP(CONCATENATE(DJ$7,"-",MID($E13,1,100)),DATOS!$Z:$AA,2,0))</f>
        <v/>
      </c>
      <c r="DK13" s="212" t="str">
        <f>IF(ISERROR(VLOOKUP(CONCATENATE(DK$7,"-",MID($E13,1,100)),DATOS!$Z:$AA,2,0)),"",VLOOKUP(CONCATENATE(DK$7,"-",MID($E13,1,100)),DATOS!$Z:$AA,2,0))</f>
        <v/>
      </c>
      <c r="DL13" s="210" t="str">
        <f>IF(ISERROR(VLOOKUP(CONCATENATE(DL$7,"-",MID($E13,1,100)),DATOS!$Z:$AA,2,0)),"",VLOOKUP(CONCATENATE(DL$7,"-",MID($E13,1,100)),DATOS!$Z:$AA,2,0))</f>
        <v/>
      </c>
      <c r="DM13" s="211" t="str">
        <f>IF(ISERROR(VLOOKUP(CONCATENATE(DM$7,"-",MID($E13,1,100)),DATOS!$Z:$AA,2,0)),"",VLOOKUP(CONCATENATE(DM$7,"-",MID($E13,1,100)),DATOS!$Z:$AA,2,0))</f>
        <v/>
      </c>
      <c r="DN13" s="211" t="str">
        <f>IF(ISERROR(VLOOKUP(CONCATENATE(DN$7,"-",MID($E13,1,100)),DATOS!$Z:$AA,2,0)),"",VLOOKUP(CONCATENATE(DN$7,"-",MID($E13,1,100)),DATOS!$Z:$AA,2,0))</f>
        <v/>
      </c>
      <c r="DO13" s="211" t="str">
        <f>IF(ISERROR(VLOOKUP(CONCATENATE(DO$7,"-",MID($E13,1,100)),DATOS!$Z:$AA,2,0)),"",VLOOKUP(CONCATENATE(DO$7,"-",MID($E13,1,100)),DATOS!$Z:$AA,2,0))</f>
        <v/>
      </c>
      <c r="DP13" s="211" t="str">
        <f>IF(ISERROR(VLOOKUP(CONCATENATE(DP$7,"-",MID($E13,1,100)),DATOS!$Z:$AA,2,0)),"",VLOOKUP(CONCATENATE(DP$7,"-",MID($E13,1,100)),DATOS!$Z:$AA,2,0))</f>
        <v/>
      </c>
      <c r="DQ13" s="211" t="str">
        <f>IF(ISERROR(VLOOKUP(CONCATENATE(DQ$7,"-",MID($E13,1,100)),DATOS!$Z:$AA,2,0)),"",VLOOKUP(CONCATENATE(DQ$7,"-",MID($E13,1,100)),DATOS!$Z:$AA,2,0))</f>
        <v/>
      </c>
      <c r="DR13" s="211" t="str">
        <f>IF(ISERROR(VLOOKUP(CONCATENATE(DR$7,"-",MID($E13,1,100)),DATOS!$Z:$AA,2,0)),"",VLOOKUP(CONCATENATE(DR$7,"-",MID($E13,1,100)),DATOS!$Z:$AA,2,0))</f>
        <v/>
      </c>
      <c r="DS13" s="211" t="str">
        <f>IF(ISERROR(VLOOKUP(CONCATENATE(DS$7,"-",MID($E13,1,100)),DATOS!$Z:$AA,2,0)),"",VLOOKUP(CONCATENATE(DS$7,"-",MID($E13,1,100)),DATOS!$Z:$AA,2,0))</f>
        <v/>
      </c>
      <c r="DT13" s="213" t="str">
        <f>IF(ISERROR(VLOOKUP(CONCATENATE(DT$7,"-",MID($E13,1,100)),DATOS!$Z:$AA,2,0)),"",VLOOKUP(CONCATENATE(DT$7,"-",MID($E13,1,100)),DATOS!$Z:$AA,2,0))</f>
        <v/>
      </c>
      <c r="DU13" s="212" t="str">
        <f>IF(ISERROR(VLOOKUP(CONCATENATE(DU$7,"-",MID($E13,1,100)),DATOS!$Z:$AA,2,0)),"",VLOOKUP(CONCATENATE(DU$7,"-",MID($E13,1,100)),DATOS!$Z:$AA,2,0))</f>
        <v/>
      </c>
      <c r="DV13" s="210" t="str">
        <f>IF(ISERROR(VLOOKUP(CONCATENATE(DV$7,"-",MID($E13,1,100)),DATOS!$Z:$AA,2,0)),"",VLOOKUP(CONCATENATE(DV$7,"-",MID($E13,1,100)),DATOS!$Z:$AA,2,0))</f>
        <v/>
      </c>
      <c r="DW13" s="211" t="str">
        <f>IF(ISERROR(VLOOKUP(CONCATENATE(DW$7,"-",MID($E13,1,100)),DATOS!$Z:$AA,2,0)),"",VLOOKUP(CONCATENATE(DW$7,"-",MID($E13,1,100)),DATOS!$Z:$AA,2,0))</f>
        <v/>
      </c>
      <c r="DX13" s="211" t="str">
        <f>IF(ISERROR(VLOOKUP(CONCATENATE(DX$7,"-",MID($E13,1,100)),DATOS!$Z:$AA,2,0)),"",VLOOKUP(CONCATENATE(DX$7,"-",MID($E13,1,100)),DATOS!$Z:$AA,2,0))</f>
        <v/>
      </c>
      <c r="DY13" s="211" t="str">
        <f>IF(ISERROR(VLOOKUP(CONCATENATE(DY$7,"-",MID($E13,1,100)),DATOS!$Z:$AA,2,0)),"",VLOOKUP(CONCATENATE(DY$7,"-",MID($E13,1,100)),DATOS!$Z:$AA,2,0))</f>
        <v/>
      </c>
      <c r="DZ13" s="211" t="str">
        <f>IF(ISERROR(VLOOKUP(CONCATENATE(DZ$7,"-",MID($E13,1,100)),DATOS!$Z:$AA,2,0)),"",VLOOKUP(CONCATENATE(DZ$7,"-",MID($E13,1,100)),DATOS!$Z:$AA,2,0))</f>
        <v/>
      </c>
      <c r="EA13" s="211" t="str">
        <f>IF(ISERROR(VLOOKUP(CONCATENATE(EA$7,"-",MID($E13,1,100)),DATOS!$Z:$AA,2,0)),"",VLOOKUP(CONCATENATE(EA$7,"-",MID($E13,1,100)),DATOS!$Z:$AA,2,0))</f>
        <v/>
      </c>
      <c r="EB13" s="211" t="str">
        <f>IF(ISERROR(VLOOKUP(CONCATENATE(EB$7,"-",MID($E13,1,100)),DATOS!$Z:$AA,2,0)),"",VLOOKUP(CONCATENATE(EB$7,"-",MID($E13,1,100)),DATOS!$Z:$AA,2,0))</f>
        <v/>
      </c>
      <c r="EC13" s="211" t="str">
        <f>IF(ISERROR(VLOOKUP(CONCATENATE(EC$7,"-",MID($E13,1,100)),DATOS!$Z:$AA,2,0)),"",VLOOKUP(CONCATENATE(EC$7,"-",MID($E13,1,100)),DATOS!$Z:$AA,2,0))</f>
        <v/>
      </c>
      <c r="ED13" s="213" t="str">
        <f>IF(ISERROR(VLOOKUP(CONCATENATE(ED$7,"-",MID($E13,1,100)),DATOS!$Z:$AA,2,0)),"",VLOOKUP(CONCATENATE(ED$7,"-",MID($E13,1,100)),DATOS!$Z:$AA,2,0))</f>
        <v/>
      </c>
      <c r="EE13" s="212" t="str">
        <f>IF(ISERROR(VLOOKUP(CONCATENATE(EE$7,"-",MID($E13,1,100)),DATOS!$Z:$AA,2,0)),"",VLOOKUP(CONCATENATE(EE$7,"-",MID($E13,1,100)),DATOS!$Z:$AA,2,0))</f>
        <v/>
      </c>
      <c r="EF13" s="210" t="str">
        <f>IF(ISERROR(VLOOKUP(CONCATENATE($EF$7,"-",MID(E13,1,100)),DATOS!Z:AA,2,0)),"",VLOOKUP(CONCATENATE($EF$7,"-",MID(E13,1,100)),DATOS!Z:AA,2,0))</f>
        <v/>
      </c>
      <c r="EG13" s="211" t="str">
        <f>IF(ISERROR(VLOOKUP(CONCATENATE($EG$7,"-",MID(E13,1,100)),DATOS!Z:AA,2,0)),"",VLOOKUP(CONCATENATE($EG$7,"-",MID(E13,1,100)),DATOS!Z:AA,2,0))</f>
        <v/>
      </c>
      <c r="EH13" s="211" t="str">
        <f>IF(ISERROR(VLOOKUP(CONCATENATE($EH$7,"-",MID(E13,1,100)),DATOS!Z:AA,2,0)),"",VLOOKUP(CONCATENATE($EH$7,"-",MID(E13,1,100)),DATOS!Z:AA,2,0))</f>
        <v/>
      </c>
      <c r="EI13" s="211" t="str">
        <f>IF(ISERROR(VLOOKUP(CONCATENATE($EI$7,"-",MID(E13,1,100)),DATOS!Z:AA,2,0)),"",VLOOKUP(CONCATENATE($EI$7,"-",MID(E13,1,100)),DATOS!Z:AA,2,0))</f>
        <v/>
      </c>
      <c r="EJ13" s="211" t="str">
        <f>IF(ISERROR(VLOOKUP(CONCATENATE($EJ$7,"-",MID(E13,1,100)),DATOS!Z:AA,2,0)),"",VLOOKUP(CONCATENATE($EJ$7,"-",MID(E13,1,100)),DATOS!Z:AA,2,0))</f>
        <v/>
      </c>
      <c r="EK13" s="211" t="str">
        <f>IF(ISERROR(VLOOKUP(CONCATENATE($EK$7,"-",MID(E13,1,100)),DATOS!Z:AA,2,0)),"",VLOOKUP(CONCATENATE($EK$7,"-",MID(E13,1,100)),DATOS!Z:AA,2,0))</f>
        <v/>
      </c>
      <c r="EL13" s="211" t="str">
        <f>IF(ISERROR(VLOOKUP(CONCATENATE($EL$7,"-",MID(E13,1,100)),DATOS!Z:AA,2,0)),"",VLOOKUP(CONCATENATE($EL$7,"-",MID(E13,1,100)),DATOS!Z:AA,2,0))</f>
        <v/>
      </c>
      <c r="EM13" s="211" t="str">
        <f>IF(ISERROR(VLOOKUP(CONCATENATE($EM$7,"-",MID(E13,1,100)),DATOS!Z:AA,2,0)),"",VLOOKUP(CONCATENATE($EM$7,"-",MID(E13,1,100)),DATOS!Z:AA,2,0))</f>
        <v/>
      </c>
      <c r="EN13" s="211" t="str">
        <f>IF(ISERROR(VLOOKUP(CONCATENATE($EN$7,"-",MID(E13,1,100)),DATOS!Z:AA,2,0)),"",VLOOKUP(CONCATENATE($EN$7,"-",MID(E13,1,100)),DATOS!Z:AA,2,0))</f>
        <v/>
      </c>
      <c r="EO13" s="212" t="str">
        <f>IF(ISERROR(VLOOKUP(CONCATENATE($EO$7,"-",MID(E13,1,100)),DATOS!Z:AA,2,0)),"",VLOOKUP(CONCATENATE($EO$7,"-",MID(E13,1,100)),DATOS!Z:AA,2,0))</f>
        <v/>
      </c>
      <c r="EP13" s="175">
        <f t="shared" si="0"/>
        <v>3</v>
      </c>
      <c r="EQ13" s="159" t="str">
        <f t="shared" si="1"/>
        <v>CG2: Comunicación Bilingüe-N3</v>
      </c>
    </row>
    <row r="14" spans="1:168" ht="17.25" customHeight="1">
      <c r="A14" s="148"/>
      <c r="B14" s="151" t="str">
        <f>IF('1.Fundamentos'!B54="","",'1.Fundamentos'!B54)</f>
        <v>CG3: Investigación</v>
      </c>
      <c r="C14" s="152" t="s">
        <v>78</v>
      </c>
      <c r="D14" s="153" t="str">
        <f>IF('1.Fundamentos'!F54="","",'1.Fundamentos'!F54)</f>
        <v>Reconoce y plantea adecuadamente que es un problema de investigación y los objetivos de la misma.</v>
      </c>
      <c r="E14" s="154" t="str">
        <f t="shared" si="2"/>
        <v>CG3: Investigación:N1 Reconoce y plantea adecuadamente que es un problema de investigación y los objetivos de la misma.</v>
      </c>
      <c r="F14" s="204" t="str">
        <f>IF(ISERROR(VLOOKUP(CONCATENATE($F$7,"-",MID(E14,1,100)),DATOS!Z:AA,2,0)),"",VLOOKUP(CONCATENATE($F$7,"-",MID(E14,1,100)),DATOS!Z:AA,2,0))</f>
        <v/>
      </c>
      <c r="G14" s="205" t="str">
        <f>IF(ISERROR(VLOOKUP(CONCATENATE($G$7,"-",MID(E14,1,100)),DATOS!Z:AA,2,0)),"",VLOOKUP(CONCATENATE($G$7,"-",MID(E14,1,100)),DATOS!Z:AA,2,0))</f>
        <v/>
      </c>
      <c r="H14" s="205" t="str">
        <f>IF(ISERROR(VLOOKUP(CONCATENATE($H$7,"-",MID(E14,1,100)),DATOS!Z:AA,2,0)),"",VLOOKUP(CONCATENATE($H$7,"-",MID(E14,1,100)),DATOS!Z:AA,2,0))</f>
        <v/>
      </c>
      <c r="I14" s="205" t="str">
        <f>IF(ISERROR(VLOOKUP(CONCATENATE($I$7,"-",MID(E14,1,100)),DATOS!Z:AA,2,0)),"",VLOOKUP(CONCATENATE($I$7,"-",MID(E14,1,100)),DATOS!Z:AA,2,0))</f>
        <v/>
      </c>
      <c r="J14" s="205" t="str">
        <f>IF(ISERROR(VLOOKUP(CONCATENATE($J$7,"-",MID(E14,1,100)),DATOS!Z:AA,2,0)),"",VLOOKUP(CONCATENATE($J$7,"-",MID(E14,1,100)),DATOS!Z:AA,2,0))</f>
        <v/>
      </c>
      <c r="K14" s="205" t="str">
        <f>IF(ISERROR(VLOOKUP(CONCATENATE($K$7,"-",MID(E14,1,100)),DATOS!Z:AA,2,0)),"",VLOOKUP(CONCATENATE($K$7,"-",MID(E14,1,100)),DATOS!Z:AA,2,0))</f>
        <v/>
      </c>
      <c r="L14" s="205" t="str">
        <f>IF(ISERROR(VLOOKUP(CONCATENATE($L$7,"-",MID(E14,1,100)),DATOS!Z:AA,2,0)),"",VLOOKUP(CONCATENATE($L$7,"-",MID(E14,1,100)),DATOS!Z:AA,2,0))</f>
        <v/>
      </c>
      <c r="M14" s="205" t="str">
        <f>IF(ISERROR(VLOOKUP(CONCATENATE($M$7,"-",MID(E14,1,100)),DATOS!Z:AA,2,0)),"",VLOOKUP(CONCATENATE($M$7,"-",MID(E14,1,100)),DATOS!Z:AA,2,0))</f>
        <v/>
      </c>
      <c r="N14" s="205" t="str">
        <f>IF(ISERROR(VLOOKUP(CONCATENATE($N$7,"-",MID(E14,1,100)),DATOS!Z:AA,2,0)),"",VLOOKUP(CONCATENATE($N$7,"-",MID(E14,1,100)),DATOS!Z:AA,2,0))</f>
        <v/>
      </c>
      <c r="O14" s="206" t="str">
        <f>IF(ISERROR(VLOOKUP(CONCATENATE($O$7,"-",MID(E14,1,100)),DATOS!Z:AA,2,0)),"",VLOOKUP(CONCATENATE($O$7,"-",MID(E14,1,100)),DATOS!Z:AA,2,0))</f>
        <v/>
      </c>
      <c r="P14" s="204" t="str">
        <f>IF(ISERROR(VLOOKUP(CONCATENATE($P$7,"-",MID(E14,1,100)),DATOS!Z:AA,2,0)),"",VLOOKUP(CONCATENATE($P$7,"-",MID(E14,1,100)),DATOS!Z:AA,2,0))</f>
        <v/>
      </c>
      <c r="Q14" s="205" t="str">
        <f>IF(ISERROR(VLOOKUP(CONCATENATE($Q$7,"-",MID(E14,1,100)),DATOS!Z:AA,2,0)),"",VLOOKUP(CONCATENATE($Q$7,"-",MID(E14,1,100)),DATOS!Z:AA,2,0))</f>
        <v/>
      </c>
      <c r="R14" s="205" t="str">
        <f>IF(ISERROR(VLOOKUP(CONCATENATE($R$7,"-",MID(E14,1,100)),DATOS!Z:AA,2,0)),"",VLOOKUP(CONCATENATE($R$7,"-",MID(E14,1,100)),DATOS!Z:AA,2,0))</f>
        <v/>
      </c>
      <c r="S14" s="205" t="str">
        <f>IF(ISERROR(VLOOKUP(CONCATENATE($S$7,"-",MID(E14,1,100)),DATOS!Z:AA,2,0)),"",VLOOKUP(CONCATENATE($S$7,"-",MID(E14,1,100)),DATOS!Z:AA,2,0))</f>
        <v/>
      </c>
      <c r="T14" s="205" t="str">
        <f>IF(ISERROR(VLOOKUP(CONCATENATE($T$7,"-",MID(E14,1,100)),DATOS!Z:AA,2,0)),"",VLOOKUP(CONCATENATE($T$7,"-",MID(E14,1,100)),DATOS!Z:AA,2,0))</f>
        <v/>
      </c>
      <c r="U14" s="205" t="str">
        <f>IF(ISERROR(VLOOKUP(CONCATENATE($U$7,"-",MID(E14,1,100)),DATOS!Z:AA,2,0)),"",VLOOKUP(CONCATENATE($U$7,"-",MID(E14,1,100)),DATOS!Z:AA,2,0))</f>
        <v/>
      </c>
      <c r="V14" s="205" t="str">
        <f>IF(ISERROR(VLOOKUP(CONCATENATE($V$7,"-",MID(E14,1,100)),DATOS!Z:AA,2,0)),"",VLOOKUP(CONCATENATE($V$7,"-",MID(E14,1,100)),DATOS!Z:AA,2,0))</f>
        <v/>
      </c>
      <c r="W14" s="205" t="str">
        <f>IF(ISERROR(VLOOKUP(CONCATENATE($W$7,"-",MID(E14,1,100)),DATOS!Z:AA,2,0)),"",VLOOKUP(CONCATENATE($W$7,"-",MID(E14,1,100)),DATOS!Z:AA,2,0))</f>
        <v/>
      </c>
      <c r="X14" s="205" t="str">
        <f>IF(ISERROR(VLOOKUP(CONCATENATE($X$7,"-",MID(E14,1,100)),DATOS!Z:AA,2,0)),"",VLOOKUP(CONCATENATE($X$7,"-",MID(E14,1,100)),DATOS!Z:AA,2,0))</f>
        <v/>
      </c>
      <c r="Y14" s="206" t="str">
        <f>IF(ISERROR(VLOOKUP(CONCATENATE($Y$7,"-",MID(E14,1,100)),DATOS!Z:AA,2,0)),"",VLOOKUP(CONCATENATE($Y$7,"-",MID(E14,1,100)),DATOS!Z:AA,2,0))</f>
        <v/>
      </c>
      <c r="Z14" s="204" t="str">
        <f>IF(ISERROR(VLOOKUP(CONCATENATE($Z$7,"-",MID(E14,1,100)),DATOS!Z:AA,2,0)),"",VLOOKUP(CONCATENATE($Z$7,"-",MID(E14,1,100)),DATOS!Z:AA,2,0))</f>
        <v/>
      </c>
      <c r="AA14" s="205" t="str">
        <f>IF(ISERROR(VLOOKUP(CONCATENATE($AA$7,"-",MID(E14,1,100)),DATOS!Z:AA,2,0)),"",VLOOKUP(CONCATENATE($AA$7,"-",MID(E14,1,100)),DATOS!Z:AA,2,0))</f>
        <v>a</v>
      </c>
      <c r="AB14" s="205" t="str">
        <f>IF(ISERROR(VLOOKUP(CONCATENATE($AB$7,"-",MID(E14,1,100)),DATOS!Z:AA,2,0)),"",VLOOKUP(CONCATENATE($AB$7,"-",MID(E14,1,100)),DATOS!Z:AA,2,0))</f>
        <v/>
      </c>
      <c r="AC14" s="205" t="str">
        <f>IF(ISERROR(VLOOKUP(CONCATENATE($AC$7,"-",MID(E14,1,100)),DATOS!Z:AA,2,0)),"",VLOOKUP(CONCATENATE($AC$7,"-",MID(E14,1,100)),DATOS!Z:AA,2,0))</f>
        <v/>
      </c>
      <c r="AD14" s="205" t="str">
        <f>IF(ISERROR(VLOOKUP(CONCATENATE($AD$7,"-",MID(E14,1,100)),DATOS!Z:AA,2,0)),"",VLOOKUP(CONCATENATE($AD$7,"-",MID(E14,1,100)),DATOS!Z:AA,2,0))</f>
        <v/>
      </c>
      <c r="AE14" s="205" t="str">
        <f>IF(ISERROR(VLOOKUP(CONCATENATE($AE$7,"-",MID(E14,1,100)),DATOS!Z:AA,2,0)),"",VLOOKUP(CONCATENATE($AE$7,"-",MID(E14,1,100)),DATOS!Z:AA,2,0))</f>
        <v/>
      </c>
      <c r="AF14" s="205" t="str">
        <f>IF(ISERROR(VLOOKUP(CONCATENATE($AF$7,"-",MID(E14,1,100)),DATOS!Z:AA,2,0)),"",VLOOKUP(CONCATENATE($AF$7,"-",MID(E14,1,100)),DATOS!Z:AA,2,0))</f>
        <v/>
      </c>
      <c r="AG14" s="205" t="str">
        <f>IF(ISERROR(VLOOKUP(CONCATENATE($AG$7,"-",MID(E14,1,100)),DATOS!Z:AA,2,0)),"",VLOOKUP(CONCATENATE($AG$7,"-",MID(E14,1,100)),DATOS!Z:AA,2,0))</f>
        <v/>
      </c>
      <c r="AH14" s="205" t="str">
        <f>IF(ISERROR(VLOOKUP(CONCATENATE($AH$7,"-",MID(E14,1,100)),DATOS!Z:AA,2,0)),"",VLOOKUP(CONCATENATE($AH$7,"-",MID(E14,1,100)),DATOS!Z:AA,2,0))</f>
        <v/>
      </c>
      <c r="AI14" s="206" t="str">
        <f>IF(ISERROR(VLOOKUP(CONCATENATE($AI$7,"-",MID(E14,1,100)),DATOS!Z:AA,2,0)),"",VLOOKUP(CONCATENATE($AI$7,"-",MID(E14,1,100)),DATOS!Z:AA,2,0))</f>
        <v/>
      </c>
      <c r="AJ14" s="204" t="str">
        <f>IF(ISERROR(VLOOKUP(CONCATENATE($AJ$7,"-",MID(E14,1,100)),DATOS!Z:AA,2,0)),"",VLOOKUP(CONCATENATE($AJ$7,"-",MID(E14,1,100)),DATOS!Z:AA,2,0))</f>
        <v/>
      </c>
      <c r="AK14" s="205" t="str">
        <f>IF(ISERROR(VLOOKUP(CONCATENATE($AK$7,"-",MID(E14,1,100)),DATOS!Z:AA,2,0)),"",VLOOKUP(CONCATENATE($AK$7,"-",MID(E14,1,100)),DATOS!Z:AA,2,0))</f>
        <v/>
      </c>
      <c r="AL14" s="205" t="str">
        <f>IF(ISERROR(VLOOKUP(CONCATENATE($AL$7,"-",MID(E14,1,100)),DATOS!Z:AA,2,0)),"",VLOOKUP(CONCATENATE($AL$7,"-",MID(E14,1,100)),DATOS!Z:AA,2,0))</f>
        <v/>
      </c>
      <c r="AM14" s="205" t="str">
        <f>IF(ISERROR(VLOOKUP(CONCATENATE($AM$7,"-",MID(E14,1,100)),DATOS!Z:AA,2,0)),"",VLOOKUP(CONCATENATE($AM$7,"-",MID(E14,1,100)),DATOS!Z:AA,2,0))</f>
        <v>a</v>
      </c>
      <c r="AN14" s="205" t="str">
        <f>IF(ISERROR(VLOOKUP(CONCATENATE($AN$7,"-",MID(E14,1,100)),DATOS!Z:AA,2,0)),"",VLOOKUP(CONCATENATE($AN$7,"-",MID(E14,1,100)),DATOS!Z:AA,2,0))</f>
        <v/>
      </c>
      <c r="AO14" s="205" t="str">
        <f>IF(ISERROR(VLOOKUP(CONCATENATE($AO$7,"-",MID(E14,1,100)),DATOS!Z:AA,2,0)),"",VLOOKUP(CONCATENATE($AO$7,"-",MID(E14,1,100)),DATOS!Z:AA,2,0))</f>
        <v/>
      </c>
      <c r="AP14" s="205" t="str">
        <f>IF(ISERROR(VLOOKUP(CONCATENATE($AP$7,"-",MID(E14,1,100)),DATOS!Z:AA,2,0)),"",VLOOKUP(CONCATENATE($AP$7,"-",MID(E14,1,100)),DATOS!Z:AA,2,0))</f>
        <v/>
      </c>
      <c r="AQ14" s="205" t="str">
        <f>IF(ISERROR(VLOOKUP(CONCATENATE($AQ$7,"-",MID(E14,1,100)),DATOS!Z:AA,2,0)),"",VLOOKUP(CONCATENATE($AQ$7,"-",MID(E14,1,100)),DATOS!Z:AA,2,0))</f>
        <v/>
      </c>
      <c r="AR14" s="205" t="str">
        <f>IF(ISERROR(VLOOKUP(CONCATENATE($AR$7,"-",MID(E14,1,100)),DATOS!Z:AA,2,0)),"",VLOOKUP(CONCATENATE($AR$7,"-",MID(E14,1,100)),DATOS!Z:AA,2,0))</f>
        <v/>
      </c>
      <c r="AS14" s="206" t="str">
        <f>IF(ISERROR(VLOOKUP(CONCATENATE($AS$7,"-",MID(E14,1,100)),DATOS!Z:AA,2,0)),"",VLOOKUP(CONCATENATE($AS$7,"-",MID(E14,1,100)),DATOS!Z:AA,2,0))</f>
        <v/>
      </c>
      <c r="AT14" s="155" t="str">
        <f>IF(ISERROR(VLOOKUP(CONCATENATE($AT$7,"-",MID(E14,1,100)),DATOS!Z:AA,2,0)),"",VLOOKUP(CONCATENATE($AT$7,"-",MID(E14,1,100)),DATOS!Z:AA,2,0))</f>
        <v/>
      </c>
      <c r="AU14" s="156" t="str">
        <f>IF(ISERROR(VLOOKUP(CONCATENATE($AU$7,"-",MID(E14,1,100)),DATOS!Z:AA,2,0)),"",VLOOKUP(CONCATENATE($AU$7,"-",MID(E14,1,100)),DATOS!Z:AA,2,0))</f>
        <v/>
      </c>
      <c r="AV14" s="156" t="str">
        <f>IF(ISERROR(VLOOKUP(CONCATENATE($AV$7,"-",MID(E14,1,100)),DATOS!Z:AA,2,0)),"",VLOOKUP(CONCATENATE($AV$7,"-",MID(E14,1,100)),DATOS!Z:AA,2,0))</f>
        <v/>
      </c>
      <c r="AW14" s="156" t="str">
        <f>IF(ISERROR(VLOOKUP(CONCATENATE($AW$7,"-",MID(E14,1,100)),DATOS!Z:AA,2,0)),"",VLOOKUP(CONCATENATE($AW$7,"-",MID(E14,1,100)),DATOS!Z:AA,2,0))</f>
        <v/>
      </c>
      <c r="AX14" s="156" t="str">
        <f>IF(ISERROR(VLOOKUP(CONCATENATE($AX$7,"-",MID(E14,1,100)),DATOS!Z:AA,2,0)),"",VLOOKUP(CONCATENATE($AX$7,"-",MID(E14,1,100)),DATOS!Z:AA,2,0))</f>
        <v/>
      </c>
      <c r="AY14" s="156" t="str">
        <f>IF(ISERROR(VLOOKUP(CONCATENATE($AY$7,"-",MID(E14,1,100)),DATOS!Z:AA,2,0)),"",VLOOKUP(CONCATENATE($AY$7,"-",MID(E14,1,100)),DATOS!Z:AA,2,0))</f>
        <v/>
      </c>
      <c r="AZ14" s="156" t="str">
        <f>IF(ISERROR(VLOOKUP(CONCATENATE($AZ$7,"-",MID(E14,1,100)),DATOS!Z:AA,2,0)),"",VLOOKUP(CONCATENATE($AZ$7,"-",MID(E14,1,100)),DATOS!Z:AA,2,0))</f>
        <v/>
      </c>
      <c r="BA14" s="156" t="str">
        <f>IF(ISERROR(VLOOKUP(CONCATENATE($BA$7,"-",MID(E14,1,100)),DATOS!Z:AA,2,0)),"",VLOOKUP(CONCATENATE($BA$7,"-",MID(E14,1,100)),DATOS!Z:AA,2,0))</f>
        <v/>
      </c>
      <c r="BB14" s="156" t="str">
        <f>IF(ISERROR(VLOOKUP(CONCATENATE($BB$7,"-",MID(E14,1,100)),DATOS!Z:AA,2,0)),"",VLOOKUP(CONCATENATE($BB$7,"-",MID(E14,1,100)),DATOS!Z:AA,2,0))</f>
        <v/>
      </c>
      <c r="BC14" s="157" t="str">
        <f>IF(ISERROR(VLOOKUP(CONCATENATE($BC$7,"-",MID(E14,1,100)),DATOS!Z:AA,2,0)),"",VLOOKUP(CONCATENATE($BC$7,"-",MID(E14,1,100)),DATOS!Z:AA,2,0))</f>
        <v/>
      </c>
      <c r="BD14" s="155" t="str">
        <f>IF(ISERROR(VLOOKUP(CONCATENATE($BD$7,"-",MID(E14,1,100)),DATOS!Z:AA,2,0)),"",VLOOKUP(CONCATENATE($BD$7,"-",MID(E14,1,100)),DATOS!Z:AA,2,0))</f>
        <v/>
      </c>
      <c r="BE14" s="156" t="str">
        <f>IF(ISERROR(VLOOKUP(CONCATENATE($BE$7,"-",MID(E14,1,100)),DATOS!Z:AA,2,0)),"",VLOOKUP(CONCATENATE($BE$7,"-",MID(E14,1,100)),DATOS!Z:AA,2,0))</f>
        <v/>
      </c>
      <c r="BF14" s="156" t="str">
        <f>IF(ISERROR(VLOOKUP(CONCATENATE($BF$7,"-",MID(E14,1,100)),DATOS!Z:AA,2,0)),"",VLOOKUP(CONCATENATE($BF$7,"-",MID(E14,1,100)),DATOS!Z:AA,2,0))</f>
        <v/>
      </c>
      <c r="BG14" s="156" t="str">
        <f>IF(ISERROR(VLOOKUP(CONCATENATE($BG$7,"-",MID(E14,1,100)),DATOS!Z:AA,2,0)),"",VLOOKUP(CONCATENATE($BG$7,"-",MID(E14,1,100)),DATOS!Z:AA,2,0))</f>
        <v/>
      </c>
      <c r="BH14" s="156" t="str">
        <f>IF(ISERROR(VLOOKUP(CONCATENATE($BH$7,"-",MID(E14,1,100)),DATOS!Z:AA,2,0)),"",VLOOKUP(CONCATENATE($BH$7,"-",MID(E14,1,100)),DATOS!Z:AA,2,0))</f>
        <v/>
      </c>
      <c r="BI14" s="156" t="str">
        <f>IF(ISERROR(VLOOKUP(CONCATENATE($BI$7,"-",MID(E14,1,100)),DATOS!Z:AA,2,0)),"",VLOOKUP(CONCATENATE($BI$7,"-",MID(E14,1,100)),DATOS!Z:AA,2,0))</f>
        <v/>
      </c>
      <c r="BJ14" s="156" t="str">
        <f>IF(ISERROR(VLOOKUP(CONCATENATE($BJ$7,"-",MID(E14,1,100)),DATOS!Z:AA,2,0)),"",VLOOKUP(CONCATENATE($BJ$7,"-",MID(E14,1,100)),DATOS!Z:AA,2,0))</f>
        <v/>
      </c>
      <c r="BK14" s="156" t="str">
        <f>IF(ISERROR(VLOOKUP(CONCATENATE($BK$7,"-",MID(E14,1,100)),DATOS!Z:AA,2,0)),"",VLOOKUP(CONCATENATE($BK$7,"-",MID(E14,1,100)),DATOS!Z:AA,2,0))</f>
        <v/>
      </c>
      <c r="BL14" s="156" t="str">
        <f>IF(ISERROR(VLOOKUP(CONCATENATE($BL$7,"-",MID(E14,1,100)),DATOS!Z:AA,2,0)),"",VLOOKUP(CONCATENATE($BL$7,"-",MID(E14,1,100)),DATOS!Z:AA,2,0))</f>
        <v/>
      </c>
      <c r="BM14" s="157" t="str">
        <f>IF(ISERROR(VLOOKUP(CONCATENATE($BM$7,"-",MID(E14,1,100)),DATOS!Z:AA,2,0)),"",VLOOKUP(CONCATENATE($BM$7,"-",MID(E14,1,100)),DATOS!Z:AA,2,0))</f>
        <v/>
      </c>
      <c r="BN14" s="155" t="str">
        <f>IF(ISERROR(VLOOKUP(CONCATENATE($BN$7,"-",MID(E14,1,100)),DATOS!Z:AA,2,0)),"",VLOOKUP(CONCATENATE($BN$7,"-",MID(E14,1,100)),DATOS!Z:AA,2,0))</f>
        <v/>
      </c>
      <c r="BO14" s="156" t="str">
        <f>IF(ISERROR(VLOOKUP(CONCATENATE($BO$7,"-",MID(E14,1,100)),DATOS!Z:AA,2,0)),"",VLOOKUP(CONCATENATE($BO$7,"-",MID(E14,1,100)),DATOS!Z:AA,2,0))</f>
        <v/>
      </c>
      <c r="BP14" s="156" t="str">
        <f>IF(ISERROR(VLOOKUP(CONCATENATE($BP$7,"-",MID(E14,1,100)),DATOS!Z:AA,2,0)),"",VLOOKUP(CONCATENATE($BP$7,"-",MID(E14,1,100)),DATOS!Z:AA,2,0))</f>
        <v/>
      </c>
      <c r="BQ14" s="156" t="str">
        <f>IF(ISERROR(VLOOKUP(CONCATENATE($BQ$7,"-",MID(E14,1,100)),DATOS!Z:AA,2,0)),"",VLOOKUP(CONCATENATE($BQ$7,"-",MID(E14,1,100)),DATOS!Z:AA,2,0))</f>
        <v/>
      </c>
      <c r="BR14" s="156" t="str">
        <f>IF(ISERROR(VLOOKUP(CONCATENATE($BR$7,"-",MID(E14,1,100)),DATOS!Z:AA,2,0)),"",VLOOKUP(CONCATENATE($BR$7,"-",MID(E14,1,100)),DATOS!Z:AA,2,0))</f>
        <v/>
      </c>
      <c r="BS14" s="156" t="str">
        <f>IF(ISERROR(VLOOKUP(CONCATENATE($BS$7,"-",MID(E14,1,100)),DATOS!Z:AA,2,0)),"",VLOOKUP(CONCATENATE($BS$7,"-",MID(E14,1,100)),DATOS!Z:AA,2,0))</f>
        <v/>
      </c>
      <c r="BT14" s="156" t="str">
        <f>IF(ISERROR(VLOOKUP(CONCATENATE($BT$7,"-",MID(E14,1,100)),DATOS!Z:AA,2,0)),"",VLOOKUP(CONCATENATE($BT$7,"-",MID(E14,1,100)),DATOS!Z:AA,2,0))</f>
        <v/>
      </c>
      <c r="BU14" s="156" t="str">
        <f>IF(ISERROR(VLOOKUP(CONCATENATE($BU$7,"-",MID(E14,1,100)),DATOS!Z:AA,2,0)),"",VLOOKUP(CONCATENATE($BU$7,"-",MID(E14,1,100)),DATOS!Z:AA,2,0))</f>
        <v/>
      </c>
      <c r="BV14" s="156" t="str">
        <f>IF(ISERROR(VLOOKUP(CONCATENATE($BV$7,"-",MID(E14,1,100)),DATOS!Z:AA,2,0)),"",VLOOKUP(CONCATENATE($BV$7,"-",MID(E14,1,100)),DATOS!Z:AA,2,0))</f>
        <v/>
      </c>
      <c r="BW14" s="157" t="str">
        <f>IF(ISERROR(VLOOKUP(CONCATENATE($BW$7,"-",MID(E14,1,100)),DATOS!Z:AA,2,0)),"",VLOOKUP(CONCATENATE($BW$7,"-",MID(E14,1,100)),DATOS!Z:AA,2,0))</f>
        <v/>
      </c>
      <c r="BX14" s="155" t="str">
        <f>IF(ISERROR(VLOOKUP(CONCATENATE($BX$7,"-",MID(E14,1,100)),DATOS!Z:AA,2,0)),"",VLOOKUP(CONCATENATE($BX$7,"-",MID(E14,1,100)),DATOS!Z:AA,2,0))</f>
        <v/>
      </c>
      <c r="BY14" s="156" t="str">
        <f>IF(ISERROR(VLOOKUP(CONCATENATE($BY$7,"-",MID(E14,1,100)),DATOS!Z:AA,2,0)),"",VLOOKUP(CONCATENATE($BY$7,"-",MID(E14,1,100)),DATOS!Z:AA,2,0))</f>
        <v/>
      </c>
      <c r="BZ14" s="156" t="str">
        <f>IF(ISERROR(VLOOKUP(CONCATENATE($BZ$7,"-",MID(E14,1,100)),DATOS!Z:AA,2,0)),"",VLOOKUP(CONCATENATE($BZ$7,"-",MID(E14,1,100)),DATOS!Z:AA,2,0))</f>
        <v/>
      </c>
      <c r="CA14" s="156" t="str">
        <f>IF(ISERROR(VLOOKUP(CONCATENATE($CA$7,"-",MID(E14,1,100)),DATOS!Z:AA,2,0)),"",VLOOKUP(CONCATENATE($CA$7,"-",MID(E14,1,100)),DATOS!Z:AA,2,0))</f>
        <v/>
      </c>
      <c r="CB14" s="156" t="str">
        <f>IF(ISERROR(VLOOKUP(CONCATENATE($CB$7,"-",MID(E14,1,100)),DATOS!Z:AA,2,0)),"",VLOOKUP(CONCATENATE($CB$7,"-",MID(E14,1,100)),DATOS!Z:AA,2,0))</f>
        <v/>
      </c>
      <c r="CC14" s="156" t="str">
        <f>IF(ISERROR(VLOOKUP(CONCATENATE($CC$7,"-",MID(E14,1,100)),DATOS!Z:AA,2,0)),"",VLOOKUP(CONCATENATE($CC$7,"-",MID(E14,1,100)),DATOS!Z:AA,2,0))</f>
        <v/>
      </c>
      <c r="CD14" s="156" t="str">
        <f>IF(ISERROR(VLOOKUP(CONCATENATE($CD$7,"-",MID(E14,1,100)),DATOS!Z:AA,2,0)),"",VLOOKUP(CONCATENATE($CD$7,"-",MID(E14,1,100)),DATOS!Z:AA,2,0))</f>
        <v/>
      </c>
      <c r="CE14" s="156" t="str">
        <f>IF(ISERROR(VLOOKUP(CONCATENATE($CE$7,"-",MID(E14,1,100)),DATOS!Z:AA,2,0)),"",VLOOKUP(CONCATENATE($CE$7,"-",MID(E14,1,100)),DATOS!Z:AA,2,0))</f>
        <v/>
      </c>
      <c r="CF14" s="156" t="str">
        <f>IF(ISERROR(VLOOKUP(CONCATENATE($CF$7,"-",MID(E14,1,100)),DATOS!Z:AA,2,0)),"",VLOOKUP(CONCATENATE($CF$7,"-",MID(E14,1,100)),DATOS!Z:AA,2,0))</f>
        <v/>
      </c>
      <c r="CG14" s="157" t="str">
        <f>IF(ISERROR(VLOOKUP(CONCATENATE($CG$7,"-",MID(E14,1,100)),DATOS!Z:AA,2,0)),"",VLOOKUP(CONCATENATE($CG$7,"-",MID(E14,1,100)),DATOS!Z:AA,2,0))</f>
        <v/>
      </c>
      <c r="CH14" s="155" t="str">
        <f>IF(ISERROR(VLOOKUP(CONCATENATE($CH$7,"-",MID(E14,1,100)),DATOS!Z:AA,2,0)),"",VLOOKUP(CONCATENATE($CH$7,"-",MID(E14,1,100)),DATOS!Z:AA,2,0))</f>
        <v/>
      </c>
      <c r="CI14" s="156" t="str">
        <f>IF(ISERROR(VLOOKUP(CONCATENATE($CI$7,"-",MID(E14,1,100)),DATOS!Z:AA,2,0)),"",VLOOKUP(CONCATENATE($CI$7,"-",MID(E14,1,100)),DATOS!Z:AA,2,0))</f>
        <v/>
      </c>
      <c r="CJ14" s="156" t="str">
        <f>IF(ISERROR(VLOOKUP(CONCATENATE($CJ$7,"-",MID(E14,1,100)),DATOS!Z:AA,2,0)),"",VLOOKUP(CONCATENATE($CJ$7,"-",MID(E14,1,100)),DATOS!Z:AA,2,0))</f>
        <v/>
      </c>
      <c r="CK14" s="156" t="str">
        <f>IF(ISERROR(VLOOKUP(CONCATENATE($CK$7,"-",MID(E14,1,100)),DATOS!Z:AA,2,0)),"",VLOOKUP(CONCATENATE($CK$7,"-",MID(E14,1,100)),DATOS!Z:AA,2,0))</f>
        <v/>
      </c>
      <c r="CL14" s="156" t="str">
        <f>IF(ISERROR(VLOOKUP(CONCATENATE($CL$7,"-",MID(E14,1,100)),DATOS!Z:AA,2,0)),"",VLOOKUP(CONCATENATE($CL$7,"-",MID(E14,1,100)),DATOS!Z:AA,2,0))</f>
        <v/>
      </c>
      <c r="CM14" s="156" t="str">
        <f>IF(ISERROR(VLOOKUP(CONCATENATE($CM$7,"-",MID(E14,1,100)),DATOS!Z:AA,2,0)),"",VLOOKUP(CONCATENATE($CM$7,"-",MID(E14,1,100)),DATOS!Z:AA,2,0))</f>
        <v/>
      </c>
      <c r="CN14" s="156" t="str">
        <f>IF(ISERROR(VLOOKUP(CONCATENATE($CN$7,"-",MID(E14,1,100)),DATOS!Z:AA,2,0)),"",VLOOKUP(CONCATENATE($CN$7,"-",MID(E14,1,100)),DATOS!Z:AA,2,0))</f>
        <v/>
      </c>
      <c r="CO14" s="156" t="str">
        <f>IF(ISERROR(VLOOKUP(CONCATENATE($CO$7,"-",MID(E14,1,100)),DATOS!Z:AA,2,0)),"",VLOOKUP(CONCATENATE($CO$7,"-",MID(E14,1,100)),DATOS!Z:AA,2,0))</f>
        <v/>
      </c>
      <c r="CP14" s="194" t="str">
        <f>IF(ISERROR(VLOOKUP(CONCATENATE($CP$7,"-",MID(E14,1,100)),DATOS!Z:AA,2,0)),"",VLOOKUP(CONCATENATE($CP$7,"-",MID(E14,1,100)),DATOS!Z:AA,2,0))</f>
        <v/>
      </c>
      <c r="CQ14" s="157" t="str">
        <f>IF(ISERROR(VLOOKUP(CONCATENATE($CQ$7,"-",MID(E14,1,100)),DATOS!Z:AA,2,0)),"",VLOOKUP(CONCATENATE($CQ$7,"-",MID(E14,1,100)),DATOS!Z:AA,2,0))</f>
        <v/>
      </c>
      <c r="CR14" s="155" t="str">
        <f>IF(ISERROR(VLOOKUP(CONCATENATE(CR$7,"-",MID($E14,1,100)),DATOS!$Z:$AA,2,0)),"",VLOOKUP(CONCATENATE(CR$7,"-",MID($E14,1,100)),DATOS!$Z:$AA,2,0))</f>
        <v/>
      </c>
      <c r="CS14" s="156" t="str">
        <f>IF(ISERROR(VLOOKUP(CONCATENATE(CS$7,"-",MID($E14,1,100)),DATOS!$Z:$AA,2,0)),"",VLOOKUP(CONCATENATE(CS$7,"-",MID($E14,1,100)),DATOS!$Z:$AA,2,0))</f>
        <v/>
      </c>
      <c r="CT14" s="156" t="str">
        <f>IF(ISERROR(VLOOKUP(CONCATENATE(CT$7,"-",MID($E14,1,100)),DATOS!$Z:$AA,2,0)),"",VLOOKUP(CONCATENATE(CT$7,"-",MID($E14,1,100)),DATOS!$Z:$AA,2,0))</f>
        <v/>
      </c>
      <c r="CU14" s="156" t="str">
        <f>IF(ISERROR(VLOOKUP(CONCATENATE(CU$7,"-",MID($E14,1,100)),DATOS!$Z:$AA,2,0)),"",VLOOKUP(CONCATENATE(CU$7,"-",MID($E14,1,100)),DATOS!$Z:$AA,2,0))</f>
        <v/>
      </c>
      <c r="CV14" s="156" t="str">
        <f>IF(ISERROR(VLOOKUP(CONCATENATE(CV$7,"-",MID($E14,1,100)),DATOS!$Z:$AA,2,0)),"",VLOOKUP(CONCATENATE(CV$7,"-",MID($E14,1,100)),DATOS!$Z:$AA,2,0))</f>
        <v/>
      </c>
      <c r="CW14" s="156" t="str">
        <f>IF(ISERROR(VLOOKUP(CONCATENATE(CW$7,"-",MID($E14,1,100)),DATOS!$Z:$AA,2,0)),"",VLOOKUP(CONCATENATE(CW$7,"-",MID($E14,1,100)),DATOS!$Z:$AA,2,0))</f>
        <v/>
      </c>
      <c r="CX14" s="156" t="str">
        <f>IF(ISERROR(VLOOKUP(CONCATENATE(CX$7,"-",MID($E14,1,100)),DATOS!$Z:$AA,2,0)),"",VLOOKUP(CONCATENATE(CX$7,"-",MID($E14,1,100)),DATOS!$Z:$AA,2,0))</f>
        <v/>
      </c>
      <c r="CY14" s="156" t="str">
        <f>IF(ISERROR(VLOOKUP(CONCATENATE(CY$7,"-",MID($E14,1,100)),DATOS!$Z:$AA,2,0)),"",VLOOKUP(CONCATENATE(CY$7,"-",MID($E14,1,100)),DATOS!$Z:$AA,2,0))</f>
        <v/>
      </c>
      <c r="CZ14" s="194" t="str">
        <f>IF(ISERROR(VLOOKUP(CONCATENATE(CZ$7,"-",MID($E14,1,100)),DATOS!$Z:$AA,2,0)),"",VLOOKUP(CONCATENATE(CZ$7,"-",MID($E14,1,100)),DATOS!$Z:$AA,2,0))</f>
        <v/>
      </c>
      <c r="DA14" s="157" t="str">
        <f>IF(ISERROR(VLOOKUP(CONCATENATE(DA$7,"-",MID($E14,1,100)),DATOS!$Z:$AA,2,0)),"",VLOOKUP(CONCATENATE(DA$7,"-",MID($E14,1,100)),DATOS!$Z:$AA,2,0))</f>
        <v/>
      </c>
      <c r="DB14" s="155" t="str">
        <f>IF(ISERROR(VLOOKUP(CONCATENATE(DB$7,"-",MID($E14,1,100)),DATOS!$Z:$AA,2,0)),"",VLOOKUP(CONCATENATE(DB$7,"-",MID($E14,1,100)),DATOS!$Z:$AA,2,0))</f>
        <v/>
      </c>
      <c r="DC14" s="156" t="str">
        <f>IF(ISERROR(VLOOKUP(CONCATENATE(DC$7,"-",MID($E14,1,100)),DATOS!$Z:$AA,2,0)),"",VLOOKUP(CONCATENATE(DC$7,"-",MID($E14,1,100)),DATOS!$Z:$AA,2,0))</f>
        <v/>
      </c>
      <c r="DD14" s="156" t="str">
        <f>IF(ISERROR(VLOOKUP(CONCATENATE(DD$7,"-",MID($E14,1,100)),DATOS!$Z:$AA,2,0)),"",VLOOKUP(CONCATENATE(DD$7,"-",MID($E14,1,100)),DATOS!$Z:$AA,2,0))</f>
        <v/>
      </c>
      <c r="DE14" s="156" t="str">
        <f>IF(ISERROR(VLOOKUP(CONCATENATE(DE$7,"-",MID($E14,1,100)),DATOS!$Z:$AA,2,0)),"",VLOOKUP(CONCATENATE(DE$7,"-",MID($E14,1,100)),DATOS!$Z:$AA,2,0))</f>
        <v/>
      </c>
      <c r="DF14" s="156" t="str">
        <f>IF(ISERROR(VLOOKUP(CONCATENATE(DF$7,"-",MID($E14,1,100)),DATOS!$Z:$AA,2,0)),"",VLOOKUP(CONCATENATE(DF$7,"-",MID($E14,1,100)),DATOS!$Z:$AA,2,0))</f>
        <v/>
      </c>
      <c r="DG14" s="156" t="str">
        <f>IF(ISERROR(VLOOKUP(CONCATENATE(DG$7,"-",MID($E14,1,100)),DATOS!$Z:$AA,2,0)),"",VLOOKUP(CONCATENATE(DG$7,"-",MID($E14,1,100)),DATOS!$Z:$AA,2,0))</f>
        <v/>
      </c>
      <c r="DH14" s="156" t="str">
        <f>IF(ISERROR(VLOOKUP(CONCATENATE(DH$7,"-",MID($E14,1,100)),DATOS!$Z:$AA,2,0)),"",VLOOKUP(CONCATENATE(DH$7,"-",MID($E14,1,100)),DATOS!$Z:$AA,2,0))</f>
        <v/>
      </c>
      <c r="DI14" s="156" t="str">
        <f>IF(ISERROR(VLOOKUP(CONCATENATE(DI$7,"-",MID($E14,1,100)),DATOS!$Z:$AA,2,0)),"",VLOOKUP(CONCATENATE(DI$7,"-",MID($E14,1,100)),DATOS!$Z:$AA,2,0))</f>
        <v/>
      </c>
      <c r="DJ14" s="194" t="str">
        <f>IF(ISERROR(VLOOKUP(CONCATENATE(DJ$7,"-",MID($E14,1,100)),DATOS!$Z:$AA,2,0)),"",VLOOKUP(CONCATENATE(DJ$7,"-",MID($E14,1,100)),DATOS!$Z:$AA,2,0))</f>
        <v/>
      </c>
      <c r="DK14" s="157" t="str">
        <f>IF(ISERROR(VLOOKUP(CONCATENATE(DK$7,"-",MID($E14,1,100)),DATOS!$Z:$AA,2,0)),"",VLOOKUP(CONCATENATE(DK$7,"-",MID($E14,1,100)),DATOS!$Z:$AA,2,0))</f>
        <v/>
      </c>
      <c r="DL14" s="155" t="str">
        <f>IF(ISERROR(VLOOKUP(CONCATENATE(DL$7,"-",MID($E14,1,100)),DATOS!$Z:$AA,2,0)),"",VLOOKUP(CONCATENATE(DL$7,"-",MID($E14,1,100)),DATOS!$Z:$AA,2,0))</f>
        <v/>
      </c>
      <c r="DM14" s="156" t="str">
        <f>IF(ISERROR(VLOOKUP(CONCATENATE(DM$7,"-",MID($E14,1,100)),DATOS!$Z:$AA,2,0)),"",VLOOKUP(CONCATENATE(DM$7,"-",MID($E14,1,100)),DATOS!$Z:$AA,2,0))</f>
        <v/>
      </c>
      <c r="DN14" s="156" t="str">
        <f>IF(ISERROR(VLOOKUP(CONCATENATE(DN$7,"-",MID($E14,1,100)),DATOS!$Z:$AA,2,0)),"",VLOOKUP(CONCATENATE(DN$7,"-",MID($E14,1,100)),DATOS!$Z:$AA,2,0))</f>
        <v/>
      </c>
      <c r="DO14" s="156" t="str">
        <f>IF(ISERROR(VLOOKUP(CONCATENATE(DO$7,"-",MID($E14,1,100)),DATOS!$Z:$AA,2,0)),"",VLOOKUP(CONCATENATE(DO$7,"-",MID($E14,1,100)),DATOS!$Z:$AA,2,0))</f>
        <v/>
      </c>
      <c r="DP14" s="156" t="str">
        <f>IF(ISERROR(VLOOKUP(CONCATENATE(DP$7,"-",MID($E14,1,100)),DATOS!$Z:$AA,2,0)),"",VLOOKUP(CONCATENATE(DP$7,"-",MID($E14,1,100)),DATOS!$Z:$AA,2,0))</f>
        <v/>
      </c>
      <c r="DQ14" s="156" t="str">
        <f>IF(ISERROR(VLOOKUP(CONCATENATE(DQ$7,"-",MID($E14,1,100)),DATOS!$Z:$AA,2,0)),"",VLOOKUP(CONCATENATE(DQ$7,"-",MID($E14,1,100)),DATOS!$Z:$AA,2,0))</f>
        <v/>
      </c>
      <c r="DR14" s="156" t="str">
        <f>IF(ISERROR(VLOOKUP(CONCATENATE(DR$7,"-",MID($E14,1,100)),DATOS!$Z:$AA,2,0)),"",VLOOKUP(CONCATENATE(DR$7,"-",MID($E14,1,100)),DATOS!$Z:$AA,2,0))</f>
        <v/>
      </c>
      <c r="DS14" s="156" t="str">
        <f>IF(ISERROR(VLOOKUP(CONCATENATE(DS$7,"-",MID($E14,1,100)),DATOS!$Z:$AA,2,0)),"",VLOOKUP(CONCATENATE(DS$7,"-",MID($E14,1,100)),DATOS!$Z:$AA,2,0))</f>
        <v/>
      </c>
      <c r="DT14" s="194" t="str">
        <f>IF(ISERROR(VLOOKUP(CONCATENATE(DT$7,"-",MID($E14,1,100)),DATOS!$Z:$AA,2,0)),"",VLOOKUP(CONCATENATE(DT$7,"-",MID($E14,1,100)),DATOS!$Z:$AA,2,0))</f>
        <v/>
      </c>
      <c r="DU14" s="157" t="str">
        <f>IF(ISERROR(VLOOKUP(CONCATENATE(DU$7,"-",MID($E14,1,100)),DATOS!$Z:$AA,2,0)),"",VLOOKUP(CONCATENATE(DU$7,"-",MID($E14,1,100)),DATOS!$Z:$AA,2,0))</f>
        <v/>
      </c>
      <c r="DV14" s="155" t="str">
        <f>IF(ISERROR(VLOOKUP(CONCATENATE(DV$7,"-",MID($E14,1,100)),DATOS!$Z:$AA,2,0)),"",VLOOKUP(CONCATENATE(DV$7,"-",MID($E14,1,100)),DATOS!$Z:$AA,2,0))</f>
        <v/>
      </c>
      <c r="DW14" s="156" t="str">
        <f>IF(ISERROR(VLOOKUP(CONCATENATE(DW$7,"-",MID($E14,1,100)),DATOS!$Z:$AA,2,0)),"",VLOOKUP(CONCATENATE(DW$7,"-",MID($E14,1,100)),DATOS!$Z:$AA,2,0))</f>
        <v/>
      </c>
      <c r="DX14" s="156" t="str">
        <f>IF(ISERROR(VLOOKUP(CONCATENATE(DX$7,"-",MID($E14,1,100)),DATOS!$Z:$AA,2,0)),"",VLOOKUP(CONCATENATE(DX$7,"-",MID($E14,1,100)),DATOS!$Z:$AA,2,0))</f>
        <v/>
      </c>
      <c r="DY14" s="156" t="str">
        <f>IF(ISERROR(VLOOKUP(CONCATENATE(DY$7,"-",MID($E14,1,100)),DATOS!$Z:$AA,2,0)),"",VLOOKUP(CONCATENATE(DY$7,"-",MID($E14,1,100)),DATOS!$Z:$AA,2,0))</f>
        <v/>
      </c>
      <c r="DZ14" s="156" t="str">
        <f>IF(ISERROR(VLOOKUP(CONCATENATE(DZ$7,"-",MID($E14,1,100)),DATOS!$Z:$AA,2,0)),"",VLOOKUP(CONCATENATE(DZ$7,"-",MID($E14,1,100)),DATOS!$Z:$AA,2,0))</f>
        <v/>
      </c>
      <c r="EA14" s="156" t="str">
        <f>IF(ISERROR(VLOOKUP(CONCATENATE(EA$7,"-",MID($E14,1,100)),DATOS!$Z:$AA,2,0)),"",VLOOKUP(CONCATENATE(EA$7,"-",MID($E14,1,100)),DATOS!$Z:$AA,2,0))</f>
        <v/>
      </c>
      <c r="EB14" s="156" t="str">
        <f>IF(ISERROR(VLOOKUP(CONCATENATE(EB$7,"-",MID($E14,1,100)),DATOS!$Z:$AA,2,0)),"",VLOOKUP(CONCATENATE(EB$7,"-",MID($E14,1,100)),DATOS!$Z:$AA,2,0))</f>
        <v/>
      </c>
      <c r="EC14" s="156" t="str">
        <f>IF(ISERROR(VLOOKUP(CONCATENATE(EC$7,"-",MID($E14,1,100)),DATOS!$Z:$AA,2,0)),"",VLOOKUP(CONCATENATE(EC$7,"-",MID($E14,1,100)),DATOS!$Z:$AA,2,0))</f>
        <v/>
      </c>
      <c r="ED14" s="194" t="str">
        <f>IF(ISERROR(VLOOKUP(CONCATENATE(ED$7,"-",MID($E14,1,100)),DATOS!$Z:$AA,2,0)),"",VLOOKUP(CONCATENATE(ED$7,"-",MID($E14,1,100)),DATOS!$Z:$AA,2,0))</f>
        <v/>
      </c>
      <c r="EE14" s="157" t="str">
        <f>IF(ISERROR(VLOOKUP(CONCATENATE(EE$7,"-",MID($E14,1,100)),DATOS!$Z:$AA,2,0)),"",VLOOKUP(CONCATENATE(EE$7,"-",MID($E14,1,100)),DATOS!$Z:$AA,2,0))</f>
        <v/>
      </c>
      <c r="EF14" s="155" t="str">
        <f>IF(ISERROR(VLOOKUP(CONCATENATE($EF$7,"-",MID(E14,1,100)),DATOS!Z:AA,2,0)),"",VLOOKUP(CONCATENATE($EF$7,"-",MID(E14,1,100)),DATOS!Z:AA,2,0))</f>
        <v/>
      </c>
      <c r="EG14" s="156" t="str">
        <f>IF(ISERROR(VLOOKUP(CONCATENATE($EG$7,"-",MID(E14,1,100)),DATOS!Z:AA,2,0)),"",VLOOKUP(CONCATENATE($EG$7,"-",MID(E14,1,100)),DATOS!Z:AA,2,0))</f>
        <v/>
      </c>
      <c r="EH14" s="156" t="str">
        <f>IF(ISERROR(VLOOKUP(CONCATENATE($EH$7,"-",MID(E14,1,100)),DATOS!Z:AA,2,0)),"",VLOOKUP(CONCATENATE($EH$7,"-",MID(E14,1,100)),DATOS!Z:AA,2,0))</f>
        <v/>
      </c>
      <c r="EI14" s="156" t="str">
        <f>IF(ISERROR(VLOOKUP(CONCATENATE($EI$7,"-",MID(E14,1,100)),DATOS!Z:AA,2,0)),"",VLOOKUP(CONCATENATE($EI$7,"-",MID(E14,1,100)),DATOS!Z:AA,2,0))</f>
        <v/>
      </c>
      <c r="EJ14" s="156" t="str">
        <f>IF(ISERROR(VLOOKUP(CONCATENATE($EJ$7,"-",MID(E14,1,100)),DATOS!Z:AA,2,0)),"",VLOOKUP(CONCATENATE($EJ$7,"-",MID(E14,1,100)),DATOS!Z:AA,2,0))</f>
        <v/>
      </c>
      <c r="EK14" s="156" t="str">
        <f>IF(ISERROR(VLOOKUP(CONCATENATE($EK$7,"-",MID(E14,1,100)),DATOS!Z:AA,2,0)),"",VLOOKUP(CONCATENATE($EK$7,"-",MID(E14,1,100)),DATOS!Z:AA,2,0))</f>
        <v/>
      </c>
      <c r="EL14" s="156" t="str">
        <f>IF(ISERROR(VLOOKUP(CONCATENATE($EL$7,"-",MID(E14,1,100)),DATOS!Z:AA,2,0)),"",VLOOKUP(CONCATENATE($EL$7,"-",MID(E14,1,100)),DATOS!Z:AA,2,0))</f>
        <v/>
      </c>
      <c r="EM14" s="156" t="str">
        <f>IF(ISERROR(VLOOKUP(CONCATENATE($EM$7,"-",MID(E14,1,100)),DATOS!Z:AA,2,0)),"",VLOOKUP(CONCATENATE($EM$7,"-",MID(E14,1,100)),DATOS!Z:AA,2,0))</f>
        <v/>
      </c>
      <c r="EN14" s="156" t="str">
        <f>IF(ISERROR(VLOOKUP(CONCATENATE($EN$7,"-",MID(E14,1,100)),DATOS!Z:AA,2,0)),"",VLOOKUP(CONCATENATE($EN$7,"-",MID(E14,1,100)),DATOS!Z:AA,2,0))</f>
        <v/>
      </c>
      <c r="EO14" s="157" t="str">
        <f>IF(ISERROR(VLOOKUP(CONCATENATE($EO$7,"-",MID(E14,1,100)),DATOS!Z:AA,2,0)),"",VLOOKUP(CONCATENATE($EO$7,"-",MID(E14,1,100)),DATOS!Z:AA,2,0))</f>
        <v/>
      </c>
      <c r="EP14" s="158">
        <f t="shared" si="0"/>
        <v>2</v>
      </c>
      <c r="EQ14" s="159" t="str">
        <f t="shared" si="1"/>
        <v>CG3: Investigación-N1</v>
      </c>
    </row>
    <row r="15" spans="1:168" ht="17.25" customHeight="1">
      <c r="A15" s="148"/>
      <c r="B15" s="160" t="str">
        <f>IF('1.Fundamentos'!B54="","",'1.Fundamentos'!B54)</f>
        <v>CG3: Investigación</v>
      </c>
      <c r="C15" s="161" t="s">
        <v>82</v>
      </c>
      <c r="D15" s="162" t="str">
        <f>IF('1.Fundamentos'!E54="","",'1.Fundamentos'!E54)</f>
        <v>Define cual es la metodología para responder su pregunta de investigación con ética e integridad.</v>
      </c>
      <c r="E15" s="163" t="str">
        <f t="shared" si="2"/>
        <v>CG3: Investigación:N2 Define cual es la metodología para responder su pregunta de investigación con ética e integridad.</v>
      </c>
      <c r="F15" s="164" t="str">
        <f>IF(ISERROR(VLOOKUP(CONCATENATE($F$7,"-",MID(E15,1,100)),DATOS!Z:AA,2,0)),"",VLOOKUP(CONCATENATE($F$7,"-",MID(E15,1,100)),DATOS!Z:AA,2,0))</f>
        <v/>
      </c>
      <c r="G15" s="165" t="str">
        <f>IF(ISERROR(VLOOKUP(CONCATENATE($G$7,"-",MID(E15,1,100)),DATOS!Z:AA,2,0)),"",VLOOKUP(CONCATENATE($G$7,"-",MID(E15,1,100)),DATOS!Z:AA,2,0))</f>
        <v/>
      </c>
      <c r="H15" s="165" t="str">
        <f>IF(ISERROR(VLOOKUP(CONCATENATE($H$7,"-",MID(E15,1,100)),DATOS!Z:AA,2,0)),"",VLOOKUP(CONCATENATE($H$7,"-",MID(E15,1,100)),DATOS!Z:AA,2,0))</f>
        <v/>
      </c>
      <c r="I15" s="165" t="str">
        <f>IF(ISERROR(VLOOKUP(CONCATENATE($I$7,"-",MID(E15,1,100)),DATOS!Z:AA,2,0)),"",VLOOKUP(CONCATENATE($I$7,"-",MID(E15,1,100)),DATOS!Z:AA,2,0))</f>
        <v/>
      </c>
      <c r="J15" s="165" t="str">
        <f>IF(ISERROR(VLOOKUP(CONCATENATE($J$7,"-",MID(E15,1,100)),DATOS!Z:AA,2,0)),"",VLOOKUP(CONCATENATE($J$7,"-",MID(E15,1,100)),DATOS!Z:AA,2,0))</f>
        <v/>
      </c>
      <c r="K15" s="165" t="str">
        <f>IF(ISERROR(VLOOKUP(CONCATENATE($K$7,"-",MID(E15,1,100)),DATOS!Z:AA,2,0)),"",VLOOKUP(CONCATENATE($K$7,"-",MID(E15,1,100)),DATOS!Z:AA,2,0))</f>
        <v/>
      </c>
      <c r="L15" s="165" t="str">
        <f>IF(ISERROR(VLOOKUP(CONCATENATE($L$7,"-",MID(E15,1,100)),DATOS!Z:AA,2,0)),"",VLOOKUP(CONCATENATE($L$7,"-",MID(E15,1,100)),DATOS!Z:AA,2,0))</f>
        <v/>
      </c>
      <c r="M15" s="165" t="str">
        <f>IF(ISERROR(VLOOKUP(CONCATENATE($M$7,"-",MID(E15,1,100)),DATOS!Z:AA,2,0)),"",VLOOKUP(CONCATENATE($M$7,"-",MID(E15,1,100)),DATOS!Z:AA,2,0))</f>
        <v/>
      </c>
      <c r="N15" s="165" t="str">
        <f>IF(ISERROR(VLOOKUP(CONCATENATE($N$7,"-",MID(E15,1,100)),DATOS!Z:AA,2,0)),"",VLOOKUP(CONCATENATE($N$7,"-",MID(E15,1,100)),DATOS!Z:AA,2,0))</f>
        <v/>
      </c>
      <c r="O15" s="166" t="str">
        <f>IF(ISERROR(VLOOKUP(CONCATENATE($O$7,"-",MID(E15,1,100)),DATOS!Z:AA,2,0)),"",VLOOKUP(CONCATENATE($O$7,"-",MID(E15,1,100)),DATOS!Z:AA,2,0))</f>
        <v/>
      </c>
      <c r="P15" s="164" t="str">
        <f>IF(ISERROR(VLOOKUP(CONCATENATE($P$7,"-",MID(E15,1,100)),DATOS!Z:AA,2,0)),"",VLOOKUP(CONCATENATE($P$7,"-",MID(E15,1,100)),DATOS!Z:AA,2,0))</f>
        <v/>
      </c>
      <c r="Q15" s="165" t="str">
        <f>IF(ISERROR(VLOOKUP(CONCATENATE($Q$7,"-",MID(E15,1,100)),DATOS!Z:AA,2,0)),"",VLOOKUP(CONCATENATE($Q$7,"-",MID(E15,1,100)),DATOS!Z:AA,2,0))</f>
        <v/>
      </c>
      <c r="R15" s="165" t="str">
        <f>IF(ISERROR(VLOOKUP(CONCATENATE($R$7,"-",MID(E15,1,100)),DATOS!Z:AA,2,0)),"",VLOOKUP(CONCATENATE($R$7,"-",MID(E15,1,100)),DATOS!Z:AA,2,0))</f>
        <v/>
      </c>
      <c r="S15" s="165" t="str">
        <f>IF(ISERROR(VLOOKUP(CONCATENATE($S$7,"-",MID(E15,1,100)),DATOS!Z:AA,2,0)),"",VLOOKUP(CONCATENATE($S$7,"-",MID(E15,1,100)),DATOS!Z:AA,2,0))</f>
        <v/>
      </c>
      <c r="T15" s="165" t="str">
        <f>IF(ISERROR(VLOOKUP(CONCATENATE($T$7,"-",MID(E15,1,100)),DATOS!Z:AA,2,0)),"",VLOOKUP(CONCATENATE($T$7,"-",MID(E15,1,100)),DATOS!Z:AA,2,0))</f>
        <v/>
      </c>
      <c r="U15" s="165" t="str">
        <f>IF(ISERROR(VLOOKUP(CONCATENATE($U$7,"-",MID(E15,1,100)),DATOS!Z:AA,2,0)),"",VLOOKUP(CONCATENATE($U$7,"-",MID(E15,1,100)),DATOS!Z:AA,2,0))</f>
        <v/>
      </c>
      <c r="V15" s="165" t="str">
        <f>IF(ISERROR(VLOOKUP(CONCATENATE($V$7,"-",MID(E15,1,100)),DATOS!Z:AA,2,0)),"",VLOOKUP(CONCATENATE($V$7,"-",MID(E15,1,100)),DATOS!Z:AA,2,0))</f>
        <v/>
      </c>
      <c r="W15" s="165" t="str">
        <f>IF(ISERROR(VLOOKUP(CONCATENATE($W$7,"-",MID(E15,1,100)),DATOS!Z:AA,2,0)),"",VLOOKUP(CONCATENATE($W$7,"-",MID(E15,1,100)),DATOS!Z:AA,2,0))</f>
        <v/>
      </c>
      <c r="X15" s="165" t="str">
        <f>IF(ISERROR(VLOOKUP(CONCATENATE($X$7,"-",MID(E15,1,100)),DATOS!Z:AA,2,0)),"",VLOOKUP(CONCATENATE($X$7,"-",MID(E15,1,100)),DATOS!Z:AA,2,0))</f>
        <v/>
      </c>
      <c r="Y15" s="166" t="str">
        <f>IF(ISERROR(VLOOKUP(CONCATENATE($Y$7,"-",MID(E15,1,100)),DATOS!Z:AA,2,0)),"",VLOOKUP(CONCATENATE($Y$7,"-",MID(E15,1,100)),DATOS!Z:AA,2,0))</f>
        <v/>
      </c>
      <c r="Z15" s="164" t="str">
        <f>IF(ISERROR(VLOOKUP(CONCATENATE($Z$7,"-",MID(E15,1,100)),DATOS!Z:AA,2,0)),"",VLOOKUP(CONCATENATE($Z$7,"-",MID(E15,1,100)),DATOS!Z:AA,2,0))</f>
        <v/>
      </c>
      <c r="AA15" s="165" t="str">
        <f>IF(ISERROR(VLOOKUP(CONCATENATE($AA$7,"-",MID(E15,1,100)),DATOS!Z:AA,2,0)),"",VLOOKUP(CONCATENATE($AA$7,"-",MID(E15,1,100)),DATOS!Z:AA,2,0))</f>
        <v/>
      </c>
      <c r="AB15" s="165" t="str">
        <f>IF(ISERROR(VLOOKUP(CONCATENATE($AB$7,"-",MID(E15,1,100)),DATOS!Z:AA,2,0)),"",VLOOKUP(CONCATENATE($AB$7,"-",MID(E15,1,100)),DATOS!Z:AA,2,0))</f>
        <v/>
      </c>
      <c r="AC15" s="165" t="str">
        <f>IF(ISERROR(VLOOKUP(CONCATENATE($AC$7,"-",MID(E15,1,100)),DATOS!Z:AA,2,0)),"",VLOOKUP(CONCATENATE($AC$7,"-",MID(E15,1,100)),DATOS!Z:AA,2,0))</f>
        <v/>
      </c>
      <c r="AD15" s="165" t="str">
        <f>IF(ISERROR(VLOOKUP(CONCATENATE($AD$7,"-",MID(E15,1,100)),DATOS!Z:AA,2,0)),"",VLOOKUP(CONCATENATE($AD$7,"-",MID(E15,1,100)),DATOS!Z:AA,2,0))</f>
        <v/>
      </c>
      <c r="AE15" s="165" t="str">
        <f>IF(ISERROR(VLOOKUP(CONCATENATE($AE$7,"-",MID(E15,1,100)),DATOS!Z:AA,2,0)),"",VLOOKUP(CONCATENATE($AE$7,"-",MID(E15,1,100)),DATOS!Z:AA,2,0))</f>
        <v/>
      </c>
      <c r="AF15" s="165" t="str">
        <f>IF(ISERROR(VLOOKUP(CONCATENATE($AF$7,"-",MID(E15,1,100)),DATOS!Z:AA,2,0)),"",VLOOKUP(CONCATENATE($AF$7,"-",MID(E15,1,100)),DATOS!Z:AA,2,0))</f>
        <v/>
      </c>
      <c r="AG15" s="165" t="str">
        <f>IF(ISERROR(VLOOKUP(CONCATENATE($AG$7,"-",MID(E15,1,100)),DATOS!Z:AA,2,0)),"",VLOOKUP(CONCATENATE($AG$7,"-",MID(E15,1,100)),DATOS!Z:AA,2,0))</f>
        <v/>
      </c>
      <c r="AH15" s="165" t="str">
        <f>IF(ISERROR(VLOOKUP(CONCATENATE($AH$7,"-",MID(E15,1,100)),DATOS!Z:AA,2,0)),"",VLOOKUP(CONCATENATE($AH$7,"-",MID(E15,1,100)),DATOS!Z:AA,2,0))</f>
        <v/>
      </c>
      <c r="AI15" s="166" t="str">
        <f>IF(ISERROR(VLOOKUP(CONCATENATE($AI$7,"-",MID(E15,1,100)),DATOS!Z:AA,2,0)),"",VLOOKUP(CONCATENATE($AI$7,"-",MID(E15,1,100)),DATOS!Z:AA,2,0))</f>
        <v/>
      </c>
      <c r="AJ15" s="164" t="str">
        <f>IF(ISERROR(VLOOKUP(CONCATENATE($AJ$7,"-",MID(E15,1,100)),DATOS!Z:AA,2,0)),"",VLOOKUP(CONCATENATE($AJ$7,"-",MID(E15,1,100)),DATOS!Z:AA,2,0))</f>
        <v/>
      </c>
      <c r="AK15" s="165" t="str">
        <f>IF(ISERROR(VLOOKUP(CONCATENATE($AK$7,"-",MID(E15,1,100)),DATOS!Z:AA,2,0)),"",VLOOKUP(CONCATENATE($AK$7,"-",MID(E15,1,100)),DATOS!Z:AA,2,0))</f>
        <v/>
      </c>
      <c r="AL15" s="165" t="str">
        <f>IF(ISERROR(VLOOKUP(CONCATENATE($AL$7,"-",MID(E15,1,100)),DATOS!Z:AA,2,0)),"",VLOOKUP(CONCATENATE($AL$7,"-",MID(E15,1,100)),DATOS!Z:AA,2,0))</f>
        <v/>
      </c>
      <c r="AM15" s="165" t="str">
        <f>IF(ISERROR(VLOOKUP(CONCATENATE($AM$7,"-",MID(E15,1,100)),DATOS!Z:AA,2,0)),"",VLOOKUP(CONCATENATE($AM$7,"-",MID(E15,1,100)),DATOS!Z:AA,2,0))</f>
        <v/>
      </c>
      <c r="AN15" s="165" t="str">
        <f>IF(ISERROR(VLOOKUP(CONCATENATE($AN$7,"-",MID(E15,1,100)),DATOS!Z:AA,2,0)),"",VLOOKUP(CONCATENATE($AN$7,"-",MID(E15,1,100)),DATOS!Z:AA,2,0))</f>
        <v/>
      </c>
      <c r="AO15" s="165" t="str">
        <f>IF(ISERROR(VLOOKUP(CONCATENATE($AO$7,"-",MID(E15,1,100)),DATOS!Z:AA,2,0)),"",VLOOKUP(CONCATENATE($AO$7,"-",MID(E15,1,100)),DATOS!Z:AA,2,0))</f>
        <v/>
      </c>
      <c r="AP15" s="165" t="str">
        <f>IF(ISERROR(VLOOKUP(CONCATENATE($AP$7,"-",MID(E15,1,100)),DATOS!Z:AA,2,0)),"",VLOOKUP(CONCATENATE($AP$7,"-",MID(E15,1,100)),DATOS!Z:AA,2,0))</f>
        <v/>
      </c>
      <c r="AQ15" s="165" t="str">
        <f>IF(ISERROR(VLOOKUP(CONCATENATE($AQ$7,"-",MID(E15,1,100)),DATOS!Z:AA,2,0)),"",VLOOKUP(CONCATENATE($AQ$7,"-",MID(E15,1,100)),DATOS!Z:AA,2,0))</f>
        <v/>
      </c>
      <c r="AR15" s="165" t="str">
        <f>IF(ISERROR(VLOOKUP(CONCATENATE($AR$7,"-",MID(E15,1,100)),DATOS!Z:AA,2,0)),"",VLOOKUP(CONCATENATE($AR$7,"-",MID(E15,1,100)),DATOS!Z:AA,2,0))</f>
        <v/>
      </c>
      <c r="AS15" s="166" t="str">
        <f>IF(ISERROR(VLOOKUP(CONCATENATE($AS$7,"-",MID(E15,1,100)),DATOS!Z:AA,2,0)),"",VLOOKUP(CONCATENATE($AS$7,"-",MID(E15,1,100)),DATOS!Z:AA,2,0))</f>
        <v/>
      </c>
      <c r="AT15" s="207" t="str">
        <f>IF(ISERROR(VLOOKUP(CONCATENATE($AT$7,"-",MID(E15,1,100)),DATOS!Z:AA,2,0)),"",VLOOKUP(CONCATENATE($AT$7,"-",MID(E15,1,100)),DATOS!Z:AA,2,0))</f>
        <v/>
      </c>
      <c r="AU15" s="208" t="str">
        <f>IF(ISERROR(VLOOKUP(CONCATENATE($AU$7,"-",MID(E15,1,100)),DATOS!Z:AA,2,0)),"",VLOOKUP(CONCATENATE($AU$7,"-",MID(E15,1,100)),DATOS!Z:AA,2,0))</f>
        <v/>
      </c>
      <c r="AV15" s="208" t="str">
        <f>IF(ISERROR(VLOOKUP(CONCATENATE($AV$7,"-",MID(E15,1,100)),DATOS!Z:AA,2,0)),"",VLOOKUP(CONCATENATE($AV$7,"-",MID(E15,1,100)),DATOS!Z:AA,2,0))</f>
        <v/>
      </c>
      <c r="AW15" s="208" t="str">
        <f>IF(ISERROR(VLOOKUP(CONCATENATE($AW$7,"-",MID(E15,1,100)),DATOS!Z:AA,2,0)),"",VLOOKUP(CONCATENATE($AW$7,"-",MID(E15,1,100)),DATOS!Z:AA,2,0))</f>
        <v/>
      </c>
      <c r="AX15" s="208" t="str">
        <f>IF(ISERROR(VLOOKUP(CONCATENATE($AX$7,"-",MID(E15,1,100)),DATOS!Z:AA,2,0)),"",VLOOKUP(CONCATENATE($AX$7,"-",MID(E15,1,100)),DATOS!Z:AA,2,0))</f>
        <v/>
      </c>
      <c r="AY15" s="208" t="str">
        <f>IF(ISERROR(VLOOKUP(CONCATENATE($AY$7,"-",MID(E15,1,100)),DATOS!Z:AA,2,0)),"",VLOOKUP(CONCATENATE($AY$7,"-",MID(E15,1,100)),DATOS!Z:AA,2,0))</f>
        <v/>
      </c>
      <c r="AZ15" s="208" t="str">
        <f>IF(ISERROR(VLOOKUP(CONCATENATE($AZ$7,"-",MID(E15,1,100)),DATOS!Z:AA,2,0)),"",VLOOKUP(CONCATENATE($AZ$7,"-",MID(E15,1,100)),DATOS!Z:AA,2,0))</f>
        <v/>
      </c>
      <c r="BA15" s="208" t="str">
        <f>IF(ISERROR(VLOOKUP(CONCATENATE($BA$7,"-",MID(E15,1,100)),DATOS!Z:AA,2,0)),"",VLOOKUP(CONCATENATE($BA$7,"-",MID(E15,1,100)),DATOS!Z:AA,2,0))</f>
        <v/>
      </c>
      <c r="BB15" s="208" t="str">
        <f>IF(ISERROR(VLOOKUP(CONCATENATE($BB$7,"-",MID(E15,1,100)),DATOS!Z:AA,2,0)),"",VLOOKUP(CONCATENATE($BB$7,"-",MID(E15,1,100)),DATOS!Z:AA,2,0))</f>
        <v/>
      </c>
      <c r="BC15" s="209" t="str">
        <f>IF(ISERROR(VLOOKUP(CONCATENATE($BC$7,"-",MID(E15,1,100)),DATOS!Z:AA,2,0)),"",VLOOKUP(CONCATENATE($BC$7,"-",MID(E15,1,100)),DATOS!Z:AA,2,0))</f>
        <v/>
      </c>
      <c r="BD15" s="207" t="str">
        <f>IF(ISERROR(VLOOKUP(CONCATENATE($BD$7,"-",MID(E15,1,100)),DATOS!Z:AA,2,0)),"",VLOOKUP(CONCATENATE($BD$7,"-",MID(E15,1,100)),DATOS!Z:AA,2,0))</f>
        <v/>
      </c>
      <c r="BE15" s="208" t="str">
        <f>IF(ISERROR(VLOOKUP(CONCATENATE($BE$7,"-",MID(E15,1,100)),DATOS!Z:AA,2,0)),"",VLOOKUP(CONCATENATE($BE$7,"-",MID(E15,1,100)),DATOS!Z:AA,2,0))</f>
        <v/>
      </c>
      <c r="BF15" s="208" t="str">
        <f>IF(ISERROR(VLOOKUP(CONCATENATE($BF$7,"-",MID(E15,1,100)),DATOS!Z:AA,2,0)),"",VLOOKUP(CONCATENATE($BF$7,"-",MID(E15,1,100)),DATOS!Z:AA,2,0))</f>
        <v/>
      </c>
      <c r="BG15" s="208" t="str">
        <f>IF(ISERROR(VLOOKUP(CONCATENATE($BG$7,"-",MID(E15,1,100)),DATOS!Z:AA,2,0)),"",VLOOKUP(CONCATENATE($BG$7,"-",MID(E15,1,100)),DATOS!Z:AA,2,0))</f>
        <v/>
      </c>
      <c r="BH15" s="208" t="str">
        <f>IF(ISERROR(VLOOKUP(CONCATENATE($BH$7,"-",MID(E15,1,100)),DATOS!Z:AA,2,0)),"",VLOOKUP(CONCATENATE($BH$7,"-",MID(E15,1,100)),DATOS!Z:AA,2,0))</f>
        <v/>
      </c>
      <c r="BI15" s="208" t="str">
        <f>IF(ISERROR(VLOOKUP(CONCATENATE($BI$7,"-",MID(E15,1,100)),DATOS!Z:AA,2,0)),"",VLOOKUP(CONCATENATE($BI$7,"-",MID(E15,1,100)),DATOS!Z:AA,2,0))</f>
        <v/>
      </c>
      <c r="BJ15" s="208" t="str">
        <f>IF(ISERROR(VLOOKUP(CONCATENATE($BJ$7,"-",MID(E15,1,100)),DATOS!Z:AA,2,0)),"",VLOOKUP(CONCATENATE($BJ$7,"-",MID(E15,1,100)),DATOS!Z:AA,2,0))</f>
        <v/>
      </c>
      <c r="BK15" s="208" t="str">
        <f>IF(ISERROR(VLOOKUP(CONCATENATE($BK$7,"-",MID(E15,1,100)),DATOS!Z:AA,2,0)),"",VLOOKUP(CONCATENATE($BK$7,"-",MID(E15,1,100)),DATOS!Z:AA,2,0))</f>
        <v/>
      </c>
      <c r="BL15" s="208" t="str">
        <f>IF(ISERROR(VLOOKUP(CONCATENATE($BL$7,"-",MID(E15,1,100)),DATOS!Z:AA,2,0)),"",VLOOKUP(CONCATENATE($BL$7,"-",MID(E15,1,100)),DATOS!Z:AA,2,0))</f>
        <v/>
      </c>
      <c r="BM15" s="209" t="str">
        <f>IF(ISERROR(VLOOKUP(CONCATENATE($BM$7,"-",MID(E15,1,100)),DATOS!Z:AA,2,0)),"",VLOOKUP(CONCATENATE($BM$7,"-",MID(E15,1,100)),DATOS!Z:AA,2,0))</f>
        <v/>
      </c>
      <c r="BN15" s="207" t="str">
        <f>IF(ISERROR(VLOOKUP(CONCATENATE($BN$7,"-",MID(E15,1,100)),DATOS!Z:AA,2,0)),"",VLOOKUP(CONCATENATE($BN$7,"-",MID(E15,1,100)),DATOS!Z:AA,2,0))</f>
        <v/>
      </c>
      <c r="BO15" s="208" t="str">
        <f>IF(ISERROR(VLOOKUP(CONCATENATE($BO$7,"-",MID(E15,1,100)),DATOS!Z:AA,2,0)),"",VLOOKUP(CONCATENATE($BO$7,"-",MID(E15,1,100)),DATOS!Z:AA,2,0))</f>
        <v>a</v>
      </c>
      <c r="BP15" s="208" t="str">
        <f>IF(ISERROR(VLOOKUP(CONCATENATE($BP$7,"-",MID(E15,1,100)),DATOS!Z:AA,2,0)),"",VLOOKUP(CONCATENATE($BP$7,"-",MID(E15,1,100)),DATOS!Z:AA,2,0))</f>
        <v/>
      </c>
      <c r="BQ15" s="208" t="str">
        <f>IF(ISERROR(VLOOKUP(CONCATENATE($BQ$7,"-",MID(E15,1,100)),DATOS!Z:AA,2,0)),"",VLOOKUP(CONCATENATE($BQ$7,"-",MID(E15,1,100)),DATOS!Z:AA,2,0))</f>
        <v/>
      </c>
      <c r="BR15" s="208" t="str">
        <f>IF(ISERROR(VLOOKUP(CONCATENATE($BR$7,"-",MID(E15,1,100)),DATOS!Z:AA,2,0)),"",VLOOKUP(CONCATENATE($BR$7,"-",MID(E15,1,100)),DATOS!Z:AA,2,0))</f>
        <v/>
      </c>
      <c r="BS15" s="208" t="str">
        <f>IF(ISERROR(VLOOKUP(CONCATENATE($BS$7,"-",MID(E15,1,100)),DATOS!Z:AA,2,0)),"",VLOOKUP(CONCATENATE($BS$7,"-",MID(E15,1,100)),DATOS!Z:AA,2,0))</f>
        <v/>
      </c>
      <c r="BT15" s="208" t="str">
        <f>IF(ISERROR(VLOOKUP(CONCATENATE($BT$7,"-",MID(E15,1,100)),DATOS!Z:AA,2,0)),"",VLOOKUP(CONCATENATE($BT$7,"-",MID(E15,1,100)),DATOS!Z:AA,2,0))</f>
        <v/>
      </c>
      <c r="BU15" s="208" t="str">
        <f>IF(ISERROR(VLOOKUP(CONCATENATE($BU$7,"-",MID(E15,1,100)),DATOS!Z:AA,2,0)),"",VLOOKUP(CONCATENATE($BU$7,"-",MID(E15,1,100)),DATOS!Z:AA,2,0))</f>
        <v/>
      </c>
      <c r="BV15" s="208" t="str">
        <f>IF(ISERROR(VLOOKUP(CONCATENATE($BV$7,"-",MID(E15,1,100)),DATOS!Z:AA,2,0)),"",VLOOKUP(CONCATENATE($BV$7,"-",MID(E15,1,100)),DATOS!Z:AA,2,0))</f>
        <v/>
      </c>
      <c r="BW15" s="209" t="str">
        <f>IF(ISERROR(VLOOKUP(CONCATENATE($BW$7,"-",MID(E15,1,100)),DATOS!Z:AA,2,0)),"",VLOOKUP(CONCATENATE($BW$7,"-",MID(E15,1,100)),DATOS!Z:AA,2,0))</f>
        <v/>
      </c>
      <c r="BX15" s="164" t="str">
        <f>IF(ISERROR(VLOOKUP(CONCATENATE($BX$7,"-",MID(E15,1,100)),DATOS!Z:AA,2,0)),"",VLOOKUP(CONCATENATE($BX$7,"-",MID(E15,1,100)),DATOS!Z:AA,2,0))</f>
        <v/>
      </c>
      <c r="BY15" s="165" t="str">
        <f>IF(ISERROR(VLOOKUP(CONCATENATE($BY$7,"-",MID(E15,1,100)),DATOS!Z:AA,2,0)),"",VLOOKUP(CONCATENATE($BY$7,"-",MID(E15,1,100)),DATOS!Z:AA,2,0))</f>
        <v/>
      </c>
      <c r="BZ15" s="165" t="str">
        <f>IF(ISERROR(VLOOKUP(CONCATENATE($BZ$7,"-",MID(E15,1,100)),DATOS!Z:AA,2,0)),"",VLOOKUP(CONCATENATE($BZ$7,"-",MID(E15,1,100)),DATOS!Z:AA,2,0))</f>
        <v>a</v>
      </c>
      <c r="CA15" s="165" t="str">
        <f>IF(ISERROR(VLOOKUP(CONCATENATE($CA$7,"-",MID(E15,1,100)),DATOS!Z:AA,2,0)),"",VLOOKUP(CONCATENATE($CA$7,"-",MID(E15,1,100)),DATOS!Z:AA,2,0))</f>
        <v/>
      </c>
      <c r="CB15" s="165" t="str">
        <f>IF(ISERROR(VLOOKUP(CONCATENATE($CB$7,"-",MID(E15,1,100)),DATOS!Z:AA,2,0)),"",VLOOKUP(CONCATENATE($CB$7,"-",MID(E15,1,100)),DATOS!Z:AA,2,0))</f>
        <v/>
      </c>
      <c r="CC15" s="165" t="str">
        <f>IF(ISERROR(VLOOKUP(CONCATENATE($CC$7,"-",MID(E15,1,100)),DATOS!Z:AA,2,0)),"",VLOOKUP(CONCATENATE($CC$7,"-",MID(E15,1,100)),DATOS!Z:AA,2,0))</f>
        <v/>
      </c>
      <c r="CD15" s="165" t="str">
        <f>IF(ISERROR(VLOOKUP(CONCATENATE($CD$7,"-",MID(E15,1,100)),DATOS!Z:AA,2,0)),"",VLOOKUP(CONCATENATE($CD$7,"-",MID(E15,1,100)),DATOS!Z:AA,2,0))</f>
        <v/>
      </c>
      <c r="CE15" s="165" t="str">
        <f>IF(ISERROR(VLOOKUP(CONCATENATE($CE$7,"-",MID(E15,1,100)),DATOS!Z:AA,2,0)),"",VLOOKUP(CONCATENATE($CE$7,"-",MID(E15,1,100)),DATOS!Z:AA,2,0))</f>
        <v/>
      </c>
      <c r="CF15" s="165" t="str">
        <f>IF(ISERROR(VLOOKUP(CONCATENATE($CF$7,"-",MID(E15,1,100)),DATOS!Z:AA,2,0)),"",VLOOKUP(CONCATENATE($CF$7,"-",MID(E15,1,100)),DATOS!Z:AA,2,0))</f>
        <v/>
      </c>
      <c r="CG15" s="166" t="str">
        <f>IF(ISERROR(VLOOKUP(CONCATENATE($CG$7,"-",MID(E15,1,100)),DATOS!Z:AA,2,0)),"",VLOOKUP(CONCATENATE($CG$7,"-",MID(E15,1,100)),DATOS!Z:AA,2,0))</f>
        <v/>
      </c>
      <c r="CH15" s="164" t="str">
        <f>IF(ISERROR(VLOOKUP(CONCATENATE($CH$7,"-",MID(E15,1,100)),DATOS!Z:AA,2,0)),"",VLOOKUP(CONCATENATE($CH$7,"-",MID(E15,1,100)),DATOS!Z:AA,2,0))</f>
        <v/>
      </c>
      <c r="CI15" s="165" t="str">
        <f>IF(ISERROR(VLOOKUP(CONCATENATE($CI$7,"-",MID(E15,1,100)),DATOS!Z:AA,2,0)),"",VLOOKUP(CONCATENATE($CI$7,"-",MID(E15,1,100)),DATOS!Z:AA,2,0))</f>
        <v/>
      </c>
      <c r="CJ15" s="165" t="str">
        <f>IF(ISERROR(VLOOKUP(CONCATENATE($CJ$7,"-",MID(E15,1,100)),DATOS!Z:AA,2,0)),"",VLOOKUP(CONCATENATE($CJ$7,"-",MID(E15,1,100)),DATOS!Z:AA,2,0))</f>
        <v/>
      </c>
      <c r="CK15" s="165" t="str">
        <f>IF(ISERROR(VLOOKUP(CONCATENATE($CK$7,"-",MID(E15,1,100)),DATOS!Z:AA,2,0)),"",VLOOKUP(CONCATENATE($CK$7,"-",MID(E15,1,100)),DATOS!Z:AA,2,0))</f>
        <v/>
      </c>
      <c r="CL15" s="165" t="str">
        <f>IF(ISERROR(VLOOKUP(CONCATENATE($CL$7,"-",MID(E15,1,100)),DATOS!Z:AA,2,0)),"",VLOOKUP(CONCATENATE($CL$7,"-",MID(E15,1,100)),DATOS!Z:AA,2,0))</f>
        <v/>
      </c>
      <c r="CM15" s="165" t="str">
        <f>IF(ISERROR(VLOOKUP(CONCATENATE($CM$7,"-",MID(E15,1,100)),DATOS!Z:AA,2,0)),"",VLOOKUP(CONCATENATE($CM$7,"-",MID(E15,1,100)),DATOS!Z:AA,2,0))</f>
        <v/>
      </c>
      <c r="CN15" s="165" t="str">
        <f>IF(ISERROR(VLOOKUP(CONCATENATE($CN$7,"-",MID(E15,1,100)),DATOS!Z:AA,2,0)),"",VLOOKUP(CONCATENATE($CN$7,"-",MID(E15,1,100)),DATOS!Z:AA,2,0))</f>
        <v/>
      </c>
      <c r="CO15" s="165" t="str">
        <f>IF(ISERROR(VLOOKUP(CONCATENATE($CO$7,"-",MID(E15,1,100)),DATOS!Z:AA,2,0)),"",VLOOKUP(CONCATENATE($CO$7,"-",MID(E15,1,100)),DATOS!Z:AA,2,0))</f>
        <v/>
      </c>
      <c r="CP15" s="195" t="str">
        <f>IF(ISERROR(VLOOKUP(CONCATENATE($CP$7,"-",MID(E15,1,100)),DATOS!Z:AA,2,0)),"",VLOOKUP(CONCATENATE($CP$7,"-",MID(E15,1,100)),DATOS!Z:AA,2,0))</f>
        <v/>
      </c>
      <c r="CQ15" s="166" t="str">
        <f>IF(ISERROR(VLOOKUP(CONCATENATE($CQ$7,"-",MID(E15,1,100)),DATOS!Z:AA,2,0)),"",VLOOKUP(CONCATENATE($CQ$7,"-",MID(E15,1,100)),DATOS!Z:AA,2,0))</f>
        <v/>
      </c>
      <c r="CR15" s="164" t="str">
        <f>IF(ISERROR(VLOOKUP(CONCATENATE(CR$7,"-",MID($E15,1,100)),DATOS!$Z:$AA,2,0)),"",VLOOKUP(CONCATENATE(CR$7,"-",MID($E15,1,100)),DATOS!$Z:$AA,2,0))</f>
        <v/>
      </c>
      <c r="CS15" s="165" t="str">
        <f>IF(ISERROR(VLOOKUP(CONCATENATE(CS$7,"-",MID($E15,1,100)),DATOS!$Z:$AA,2,0)),"",VLOOKUP(CONCATENATE(CS$7,"-",MID($E15,1,100)),DATOS!$Z:$AA,2,0))</f>
        <v/>
      </c>
      <c r="CT15" s="165" t="str">
        <f>IF(ISERROR(VLOOKUP(CONCATENATE(CT$7,"-",MID($E15,1,100)),DATOS!$Z:$AA,2,0)),"",VLOOKUP(CONCATENATE(CT$7,"-",MID($E15,1,100)),DATOS!$Z:$AA,2,0))</f>
        <v/>
      </c>
      <c r="CU15" s="165" t="str">
        <f>IF(ISERROR(VLOOKUP(CONCATENATE(CU$7,"-",MID($E15,1,100)),DATOS!$Z:$AA,2,0)),"",VLOOKUP(CONCATENATE(CU$7,"-",MID($E15,1,100)),DATOS!$Z:$AA,2,0))</f>
        <v/>
      </c>
      <c r="CV15" s="165" t="str">
        <f>IF(ISERROR(VLOOKUP(CONCATENATE(CV$7,"-",MID($E15,1,100)),DATOS!$Z:$AA,2,0)),"",VLOOKUP(CONCATENATE(CV$7,"-",MID($E15,1,100)),DATOS!$Z:$AA,2,0))</f>
        <v/>
      </c>
      <c r="CW15" s="165" t="str">
        <f>IF(ISERROR(VLOOKUP(CONCATENATE(CW$7,"-",MID($E15,1,100)),DATOS!$Z:$AA,2,0)),"",VLOOKUP(CONCATENATE(CW$7,"-",MID($E15,1,100)),DATOS!$Z:$AA,2,0))</f>
        <v/>
      </c>
      <c r="CX15" s="165" t="str">
        <f>IF(ISERROR(VLOOKUP(CONCATENATE(CX$7,"-",MID($E15,1,100)),DATOS!$Z:$AA,2,0)),"",VLOOKUP(CONCATENATE(CX$7,"-",MID($E15,1,100)),DATOS!$Z:$AA,2,0))</f>
        <v/>
      </c>
      <c r="CY15" s="165" t="str">
        <f>IF(ISERROR(VLOOKUP(CONCATENATE(CY$7,"-",MID($E15,1,100)),DATOS!$Z:$AA,2,0)),"",VLOOKUP(CONCATENATE(CY$7,"-",MID($E15,1,100)),DATOS!$Z:$AA,2,0))</f>
        <v/>
      </c>
      <c r="CZ15" s="195" t="str">
        <f>IF(ISERROR(VLOOKUP(CONCATENATE(CZ$7,"-",MID($E15,1,100)),DATOS!$Z:$AA,2,0)),"",VLOOKUP(CONCATENATE(CZ$7,"-",MID($E15,1,100)),DATOS!$Z:$AA,2,0))</f>
        <v/>
      </c>
      <c r="DA15" s="166" t="str">
        <f>IF(ISERROR(VLOOKUP(CONCATENATE(DA$7,"-",MID($E15,1,100)),DATOS!$Z:$AA,2,0)),"",VLOOKUP(CONCATENATE(DA$7,"-",MID($E15,1,100)),DATOS!$Z:$AA,2,0))</f>
        <v/>
      </c>
      <c r="DB15" s="164" t="str">
        <f>IF(ISERROR(VLOOKUP(CONCATENATE(DB$7,"-",MID($E15,1,100)),DATOS!$Z:$AA,2,0)),"",VLOOKUP(CONCATENATE(DB$7,"-",MID($E15,1,100)),DATOS!$Z:$AA,2,0))</f>
        <v/>
      </c>
      <c r="DC15" s="165" t="str">
        <f>IF(ISERROR(VLOOKUP(CONCATENATE(DC$7,"-",MID($E15,1,100)),DATOS!$Z:$AA,2,0)),"",VLOOKUP(CONCATENATE(DC$7,"-",MID($E15,1,100)),DATOS!$Z:$AA,2,0))</f>
        <v/>
      </c>
      <c r="DD15" s="165" t="str">
        <f>IF(ISERROR(VLOOKUP(CONCATENATE(DD$7,"-",MID($E15,1,100)),DATOS!$Z:$AA,2,0)),"",VLOOKUP(CONCATENATE(DD$7,"-",MID($E15,1,100)),DATOS!$Z:$AA,2,0))</f>
        <v/>
      </c>
      <c r="DE15" s="165" t="str">
        <f>IF(ISERROR(VLOOKUP(CONCATENATE(DE$7,"-",MID($E15,1,100)),DATOS!$Z:$AA,2,0)),"",VLOOKUP(CONCATENATE(DE$7,"-",MID($E15,1,100)),DATOS!$Z:$AA,2,0))</f>
        <v/>
      </c>
      <c r="DF15" s="165" t="str">
        <f>IF(ISERROR(VLOOKUP(CONCATENATE(DF$7,"-",MID($E15,1,100)),DATOS!$Z:$AA,2,0)),"",VLOOKUP(CONCATENATE(DF$7,"-",MID($E15,1,100)),DATOS!$Z:$AA,2,0))</f>
        <v/>
      </c>
      <c r="DG15" s="165" t="str">
        <f>IF(ISERROR(VLOOKUP(CONCATENATE(DG$7,"-",MID($E15,1,100)),DATOS!$Z:$AA,2,0)),"",VLOOKUP(CONCATENATE(DG$7,"-",MID($E15,1,100)),DATOS!$Z:$AA,2,0))</f>
        <v/>
      </c>
      <c r="DH15" s="165" t="str">
        <f>IF(ISERROR(VLOOKUP(CONCATENATE(DH$7,"-",MID($E15,1,100)),DATOS!$Z:$AA,2,0)),"",VLOOKUP(CONCATENATE(DH$7,"-",MID($E15,1,100)),DATOS!$Z:$AA,2,0))</f>
        <v/>
      </c>
      <c r="DI15" s="165" t="str">
        <f>IF(ISERROR(VLOOKUP(CONCATENATE(DI$7,"-",MID($E15,1,100)),DATOS!$Z:$AA,2,0)),"",VLOOKUP(CONCATENATE(DI$7,"-",MID($E15,1,100)),DATOS!$Z:$AA,2,0))</f>
        <v/>
      </c>
      <c r="DJ15" s="195" t="str">
        <f>IF(ISERROR(VLOOKUP(CONCATENATE(DJ$7,"-",MID($E15,1,100)),DATOS!$Z:$AA,2,0)),"",VLOOKUP(CONCATENATE(DJ$7,"-",MID($E15,1,100)),DATOS!$Z:$AA,2,0))</f>
        <v/>
      </c>
      <c r="DK15" s="166" t="str">
        <f>IF(ISERROR(VLOOKUP(CONCATENATE(DK$7,"-",MID($E15,1,100)),DATOS!$Z:$AA,2,0)),"",VLOOKUP(CONCATENATE(DK$7,"-",MID($E15,1,100)),DATOS!$Z:$AA,2,0))</f>
        <v/>
      </c>
      <c r="DL15" s="164" t="str">
        <f>IF(ISERROR(VLOOKUP(CONCATENATE(DL$7,"-",MID($E15,1,100)),DATOS!$Z:$AA,2,0)),"",VLOOKUP(CONCATENATE(DL$7,"-",MID($E15,1,100)),DATOS!$Z:$AA,2,0))</f>
        <v/>
      </c>
      <c r="DM15" s="165" t="str">
        <f>IF(ISERROR(VLOOKUP(CONCATENATE(DM$7,"-",MID($E15,1,100)),DATOS!$Z:$AA,2,0)),"",VLOOKUP(CONCATENATE(DM$7,"-",MID($E15,1,100)),DATOS!$Z:$AA,2,0))</f>
        <v/>
      </c>
      <c r="DN15" s="165" t="str">
        <f>IF(ISERROR(VLOOKUP(CONCATENATE(DN$7,"-",MID($E15,1,100)),DATOS!$Z:$AA,2,0)),"",VLOOKUP(CONCATENATE(DN$7,"-",MID($E15,1,100)),DATOS!$Z:$AA,2,0))</f>
        <v/>
      </c>
      <c r="DO15" s="165" t="str">
        <f>IF(ISERROR(VLOOKUP(CONCATENATE(DO$7,"-",MID($E15,1,100)),DATOS!$Z:$AA,2,0)),"",VLOOKUP(CONCATENATE(DO$7,"-",MID($E15,1,100)),DATOS!$Z:$AA,2,0))</f>
        <v/>
      </c>
      <c r="DP15" s="165" t="str">
        <f>IF(ISERROR(VLOOKUP(CONCATENATE(DP$7,"-",MID($E15,1,100)),DATOS!$Z:$AA,2,0)),"",VLOOKUP(CONCATENATE(DP$7,"-",MID($E15,1,100)),DATOS!$Z:$AA,2,0))</f>
        <v/>
      </c>
      <c r="DQ15" s="165" t="str">
        <f>IF(ISERROR(VLOOKUP(CONCATENATE(DQ$7,"-",MID($E15,1,100)),DATOS!$Z:$AA,2,0)),"",VLOOKUP(CONCATENATE(DQ$7,"-",MID($E15,1,100)),DATOS!$Z:$AA,2,0))</f>
        <v/>
      </c>
      <c r="DR15" s="165" t="str">
        <f>IF(ISERROR(VLOOKUP(CONCATENATE(DR$7,"-",MID($E15,1,100)),DATOS!$Z:$AA,2,0)),"",VLOOKUP(CONCATENATE(DR$7,"-",MID($E15,1,100)),DATOS!$Z:$AA,2,0))</f>
        <v/>
      </c>
      <c r="DS15" s="165" t="str">
        <f>IF(ISERROR(VLOOKUP(CONCATENATE(DS$7,"-",MID($E15,1,100)),DATOS!$Z:$AA,2,0)),"",VLOOKUP(CONCATENATE(DS$7,"-",MID($E15,1,100)),DATOS!$Z:$AA,2,0))</f>
        <v/>
      </c>
      <c r="DT15" s="195" t="str">
        <f>IF(ISERROR(VLOOKUP(CONCATENATE(DT$7,"-",MID($E15,1,100)),DATOS!$Z:$AA,2,0)),"",VLOOKUP(CONCATENATE(DT$7,"-",MID($E15,1,100)),DATOS!$Z:$AA,2,0))</f>
        <v/>
      </c>
      <c r="DU15" s="166" t="str">
        <f>IF(ISERROR(VLOOKUP(CONCATENATE(DU$7,"-",MID($E15,1,100)),DATOS!$Z:$AA,2,0)),"",VLOOKUP(CONCATENATE(DU$7,"-",MID($E15,1,100)),DATOS!$Z:$AA,2,0))</f>
        <v/>
      </c>
      <c r="DV15" s="164" t="str">
        <f>IF(ISERROR(VLOOKUP(CONCATENATE(DV$7,"-",MID($E15,1,100)),DATOS!$Z:$AA,2,0)),"",VLOOKUP(CONCATENATE(DV$7,"-",MID($E15,1,100)),DATOS!$Z:$AA,2,0))</f>
        <v/>
      </c>
      <c r="DW15" s="165" t="str">
        <f>IF(ISERROR(VLOOKUP(CONCATENATE(DW$7,"-",MID($E15,1,100)),DATOS!$Z:$AA,2,0)),"",VLOOKUP(CONCATENATE(DW$7,"-",MID($E15,1,100)),DATOS!$Z:$AA,2,0))</f>
        <v/>
      </c>
      <c r="DX15" s="165" t="str">
        <f>IF(ISERROR(VLOOKUP(CONCATENATE(DX$7,"-",MID($E15,1,100)),DATOS!$Z:$AA,2,0)),"",VLOOKUP(CONCATENATE(DX$7,"-",MID($E15,1,100)),DATOS!$Z:$AA,2,0))</f>
        <v/>
      </c>
      <c r="DY15" s="165" t="str">
        <f>IF(ISERROR(VLOOKUP(CONCATENATE(DY$7,"-",MID($E15,1,100)),DATOS!$Z:$AA,2,0)),"",VLOOKUP(CONCATENATE(DY$7,"-",MID($E15,1,100)),DATOS!$Z:$AA,2,0))</f>
        <v/>
      </c>
      <c r="DZ15" s="165" t="str">
        <f>IF(ISERROR(VLOOKUP(CONCATENATE(DZ$7,"-",MID($E15,1,100)),DATOS!$Z:$AA,2,0)),"",VLOOKUP(CONCATENATE(DZ$7,"-",MID($E15,1,100)),DATOS!$Z:$AA,2,0))</f>
        <v/>
      </c>
      <c r="EA15" s="165" t="str">
        <f>IF(ISERROR(VLOOKUP(CONCATENATE(EA$7,"-",MID($E15,1,100)),DATOS!$Z:$AA,2,0)),"",VLOOKUP(CONCATENATE(EA$7,"-",MID($E15,1,100)),DATOS!$Z:$AA,2,0))</f>
        <v/>
      </c>
      <c r="EB15" s="165" t="str">
        <f>IF(ISERROR(VLOOKUP(CONCATENATE(EB$7,"-",MID($E15,1,100)),DATOS!$Z:$AA,2,0)),"",VLOOKUP(CONCATENATE(EB$7,"-",MID($E15,1,100)),DATOS!$Z:$AA,2,0))</f>
        <v/>
      </c>
      <c r="EC15" s="165" t="str">
        <f>IF(ISERROR(VLOOKUP(CONCATENATE(EC$7,"-",MID($E15,1,100)),DATOS!$Z:$AA,2,0)),"",VLOOKUP(CONCATENATE(EC$7,"-",MID($E15,1,100)),DATOS!$Z:$AA,2,0))</f>
        <v/>
      </c>
      <c r="ED15" s="195" t="str">
        <f>IF(ISERROR(VLOOKUP(CONCATENATE(ED$7,"-",MID($E15,1,100)),DATOS!$Z:$AA,2,0)),"",VLOOKUP(CONCATENATE(ED$7,"-",MID($E15,1,100)),DATOS!$Z:$AA,2,0))</f>
        <v/>
      </c>
      <c r="EE15" s="166" t="str">
        <f>IF(ISERROR(VLOOKUP(CONCATENATE(EE$7,"-",MID($E15,1,100)),DATOS!$Z:$AA,2,0)),"",VLOOKUP(CONCATENATE(EE$7,"-",MID($E15,1,100)),DATOS!$Z:$AA,2,0))</f>
        <v/>
      </c>
      <c r="EF15" s="164" t="str">
        <f>IF(ISERROR(VLOOKUP(CONCATENATE($EF$7,"-",MID(E15,1,100)),DATOS!Z:AA,2,0)),"",VLOOKUP(CONCATENATE($EF$7,"-",MID(E15,1,100)),DATOS!Z:AA,2,0))</f>
        <v/>
      </c>
      <c r="EG15" s="165" t="str">
        <f>IF(ISERROR(VLOOKUP(CONCATENATE($EG$7,"-",MID(E15,1,100)),DATOS!Z:AA,2,0)),"",VLOOKUP(CONCATENATE($EG$7,"-",MID(E15,1,100)),DATOS!Z:AA,2,0))</f>
        <v/>
      </c>
      <c r="EH15" s="165" t="str">
        <f>IF(ISERROR(VLOOKUP(CONCATENATE($EH$7,"-",MID(E15,1,100)),DATOS!Z:AA,2,0)),"",VLOOKUP(CONCATENATE($EH$7,"-",MID(E15,1,100)),DATOS!Z:AA,2,0))</f>
        <v/>
      </c>
      <c r="EI15" s="165" t="str">
        <f>IF(ISERROR(VLOOKUP(CONCATENATE($EI$7,"-",MID(E15,1,100)),DATOS!Z:AA,2,0)),"",VLOOKUP(CONCATENATE($EI$7,"-",MID(E15,1,100)),DATOS!Z:AA,2,0))</f>
        <v/>
      </c>
      <c r="EJ15" s="165" t="str">
        <f>IF(ISERROR(VLOOKUP(CONCATENATE($EJ$7,"-",MID(E15,1,100)),DATOS!Z:AA,2,0)),"",VLOOKUP(CONCATENATE($EJ$7,"-",MID(E15,1,100)),DATOS!Z:AA,2,0))</f>
        <v/>
      </c>
      <c r="EK15" s="165" t="str">
        <f>IF(ISERROR(VLOOKUP(CONCATENATE($EK$7,"-",MID(E15,1,100)),DATOS!Z:AA,2,0)),"",VLOOKUP(CONCATENATE($EK$7,"-",MID(E15,1,100)),DATOS!Z:AA,2,0))</f>
        <v/>
      </c>
      <c r="EL15" s="165" t="str">
        <f>IF(ISERROR(VLOOKUP(CONCATENATE($EL$7,"-",MID(E15,1,100)),DATOS!Z:AA,2,0)),"",VLOOKUP(CONCATENATE($EL$7,"-",MID(E15,1,100)),DATOS!Z:AA,2,0))</f>
        <v/>
      </c>
      <c r="EM15" s="165" t="str">
        <f>IF(ISERROR(VLOOKUP(CONCATENATE($EM$7,"-",MID(E15,1,100)),DATOS!Z:AA,2,0)),"",VLOOKUP(CONCATENATE($EM$7,"-",MID(E15,1,100)),DATOS!Z:AA,2,0))</f>
        <v/>
      </c>
      <c r="EN15" s="165" t="str">
        <f>IF(ISERROR(VLOOKUP(CONCATENATE($EN$7,"-",MID(E15,1,100)),DATOS!Z:AA,2,0)),"",VLOOKUP(CONCATENATE($EN$7,"-",MID(E15,1,100)),DATOS!Z:AA,2,0))</f>
        <v/>
      </c>
      <c r="EO15" s="166" t="str">
        <f>IF(ISERROR(VLOOKUP(CONCATENATE($EO$7,"-",MID(E15,1,100)),DATOS!Z:AA,2,0)),"",VLOOKUP(CONCATENATE($EO$7,"-",MID(E15,1,100)),DATOS!Z:AA,2,0))</f>
        <v/>
      </c>
      <c r="EP15" s="167">
        <f t="shared" si="0"/>
        <v>2</v>
      </c>
      <c r="EQ15" s="159" t="str">
        <f t="shared" si="1"/>
        <v>CG3: Investigación-N2</v>
      </c>
    </row>
    <row r="16" spans="1:168" ht="17.25" customHeight="1">
      <c r="A16" s="148"/>
      <c r="B16" s="168" t="str">
        <f>IF('1.Fundamentos'!B54="","",'1.Fundamentos'!B54)</f>
        <v>CG3: Investigación</v>
      </c>
      <c r="C16" s="169" t="s">
        <v>84</v>
      </c>
      <c r="D16" s="170" t="str">
        <f>IF('1.Fundamentos'!D54="","",'1.Fundamentos'!D54)</f>
        <v>Planifica, plantea y elabora un proyecto de investigación, haciendo uso de los pasos del método científico en forma ética para resolver un problema, según las líneas de investigación de la universidad y respondiendo a un problema del país.</v>
      </c>
      <c r="E16" s="171" t="str">
        <f t="shared" si="2"/>
        <v>CG3: Investigación:N3 Planifica, plantea y elabora un proyecto de investigación, haciendo uso de los pasos del método científico en forma ética para resolver un problema, según las líneas de investigación de la universidad y respondiendo a un problema del país.</v>
      </c>
      <c r="F16" s="172" t="str">
        <f>IF(ISERROR(VLOOKUP(CONCATENATE($F$7,"-",MID(E16,1,100)),DATOS!Z:AA,2,0)),"",VLOOKUP(CONCATENATE($F$7,"-",MID(E16,1,100)),DATOS!Z:AA,2,0))</f>
        <v/>
      </c>
      <c r="G16" s="173" t="str">
        <f>IF(ISERROR(VLOOKUP(CONCATENATE($G$7,"-",MID(E16,1,100)),DATOS!Z:AA,2,0)),"",VLOOKUP(CONCATENATE($G$7,"-",MID(E16,1,100)),DATOS!Z:AA,2,0))</f>
        <v/>
      </c>
      <c r="H16" s="173" t="str">
        <f>IF(ISERROR(VLOOKUP(CONCATENATE($H$7,"-",MID(E16,1,100)),DATOS!Z:AA,2,0)),"",VLOOKUP(CONCATENATE($H$7,"-",MID(E16,1,100)),DATOS!Z:AA,2,0))</f>
        <v/>
      </c>
      <c r="I16" s="173" t="str">
        <f>IF(ISERROR(VLOOKUP(CONCATENATE($I$7,"-",MID(E16,1,100)),DATOS!Z:AA,2,0)),"",VLOOKUP(CONCATENATE($I$7,"-",MID(E16,1,100)),DATOS!Z:AA,2,0))</f>
        <v/>
      </c>
      <c r="J16" s="173" t="str">
        <f>IF(ISERROR(VLOOKUP(CONCATENATE($J$7,"-",MID(E16,1,100)),DATOS!Z:AA,2,0)),"",VLOOKUP(CONCATENATE($J$7,"-",MID(E16,1,100)),DATOS!Z:AA,2,0))</f>
        <v/>
      </c>
      <c r="K16" s="173" t="str">
        <f>IF(ISERROR(VLOOKUP(CONCATENATE($K$7,"-",MID(E16,1,100)),DATOS!Z:AA,2,0)),"",VLOOKUP(CONCATENATE($K$7,"-",MID(E16,1,100)),DATOS!Z:AA,2,0))</f>
        <v/>
      </c>
      <c r="L16" s="173" t="str">
        <f>IF(ISERROR(VLOOKUP(CONCATENATE($L$7,"-",MID(E16,1,100)),DATOS!Z:AA,2,0)),"",VLOOKUP(CONCATENATE($L$7,"-",MID(E16,1,100)),DATOS!Z:AA,2,0))</f>
        <v/>
      </c>
      <c r="M16" s="173" t="str">
        <f>IF(ISERROR(VLOOKUP(CONCATENATE($M$7,"-",MID(E16,1,100)),DATOS!Z:AA,2,0)),"",VLOOKUP(CONCATENATE($M$7,"-",MID(E16,1,100)),DATOS!Z:AA,2,0))</f>
        <v/>
      </c>
      <c r="N16" s="173" t="str">
        <f>IF(ISERROR(VLOOKUP(CONCATENATE($N$7,"-",MID(E16,1,100)),DATOS!Z:AA,2,0)),"",VLOOKUP(CONCATENATE($N$7,"-",MID(E16,1,100)),DATOS!Z:AA,2,0))</f>
        <v/>
      </c>
      <c r="O16" s="174" t="str">
        <f>IF(ISERROR(VLOOKUP(CONCATENATE($O$7,"-",MID(E16,1,100)),DATOS!Z:AA,2,0)),"",VLOOKUP(CONCATENATE($O$7,"-",MID(E16,1,100)),DATOS!Z:AA,2,0))</f>
        <v/>
      </c>
      <c r="P16" s="172" t="str">
        <f>IF(ISERROR(VLOOKUP(CONCATENATE($P$7,"-",MID(E16,1,100)),DATOS!Z:AA,2,0)),"",VLOOKUP(CONCATENATE($P$7,"-",MID(E16,1,100)),DATOS!Z:AA,2,0))</f>
        <v/>
      </c>
      <c r="Q16" s="173" t="str">
        <f>IF(ISERROR(VLOOKUP(CONCATENATE($Q$7,"-",MID(E16,1,100)),DATOS!Z:AA,2,0)),"",VLOOKUP(CONCATENATE($Q$7,"-",MID(E16,1,100)),DATOS!Z:AA,2,0))</f>
        <v/>
      </c>
      <c r="R16" s="173" t="str">
        <f>IF(ISERROR(VLOOKUP(CONCATENATE($R$7,"-",MID(E16,1,100)),DATOS!Z:AA,2,0)),"",VLOOKUP(CONCATENATE($R$7,"-",MID(E16,1,100)),DATOS!Z:AA,2,0))</f>
        <v/>
      </c>
      <c r="S16" s="173" t="str">
        <f>IF(ISERROR(VLOOKUP(CONCATENATE($S$7,"-",MID(E16,1,100)),DATOS!Z:AA,2,0)),"",VLOOKUP(CONCATENATE($S$7,"-",MID(E16,1,100)),DATOS!Z:AA,2,0))</f>
        <v/>
      </c>
      <c r="T16" s="173" t="str">
        <f>IF(ISERROR(VLOOKUP(CONCATENATE($T$7,"-",MID(E16,1,100)),DATOS!Z:AA,2,0)),"",VLOOKUP(CONCATENATE($T$7,"-",MID(E16,1,100)),DATOS!Z:AA,2,0))</f>
        <v/>
      </c>
      <c r="U16" s="173" t="str">
        <f>IF(ISERROR(VLOOKUP(CONCATENATE($U$7,"-",MID(E16,1,100)),DATOS!Z:AA,2,0)),"",VLOOKUP(CONCATENATE($U$7,"-",MID(E16,1,100)),DATOS!Z:AA,2,0))</f>
        <v/>
      </c>
      <c r="V16" s="173" t="str">
        <f>IF(ISERROR(VLOOKUP(CONCATENATE($V$7,"-",MID(E16,1,100)),DATOS!Z:AA,2,0)),"",VLOOKUP(CONCATENATE($V$7,"-",MID(E16,1,100)),DATOS!Z:AA,2,0))</f>
        <v/>
      </c>
      <c r="W16" s="173" t="str">
        <f>IF(ISERROR(VLOOKUP(CONCATENATE($W$7,"-",MID(E16,1,100)),DATOS!Z:AA,2,0)),"",VLOOKUP(CONCATENATE($W$7,"-",MID(E16,1,100)),DATOS!Z:AA,2,0))</f>
        <v/>
      </c>
      <c r="X16" s="173" t="str">
        <f>IF(ISERROR(VLOOKUP(CONCATENATE($X$7,"-",MID(E16,1,100)),DATOS!Z:AA,2,0)),"",VLOOKUP(CONCATENATE($X$7,"-",MID(E16,1,100)),DATOS!Z:AA,2,0))</f>
        <v/>
      </c>
      <c r="Y16" s="174" t="str">
        <f>IF(ISERROR(VLOOKUP(CONCATENATE($Y$7,"-",MID(E16,1,100)),DATOS!Z:AA,2,0)),"",VLOOKUP(CONCATENATE($Y$7,"-",MID(E16,1,100)),DATOS!Z:AA,2,0))</f>
        <v/>
      </c>
      <c r="Z16" s="172" t="str">
        <f>IF(ISERROR(VLOOKUP(CONCATENATE($Z$7,"-",MID(E16,1,100)),DATOS!Z:AA,2,0)),"",VLOOKUP(CONCATENATE($Z$7,"-",MID(E16,1,100)),DATOS!Z:AA,2,0))</f>
        <v/>
      </c>
      <c r="AA16" s="173" t="str">
        <f>IF(ISERROR(VLOOKUP(CONCATENATE($AA$7,"-",MID(E16,1,100)),DATOS!Z:AA,2,0)),"",VLOOKUP(CONCATENATE($AA$7,"-",MID(E16,1,100)),DATOS!Z:AA,2,0))</f>
        <v/>
      </c>
      <c r="AB16" s="173" t="str">
        <f>IF(ISERROR(VLOOKUP(CONCATENATE($AB$7,"-",MID(E16,1,100)),DATOS!Z:AA,2,0)),"",VLOOKUP(CONCATENATE($AB$7,"-",MID(E16,1,100)),DATOS!Z:AA,2,0))</f>
        <v/>
      </c>
      <c r="AC16" s="173" t="str">
        <f>IF(ISERROR(VLOOKUP(CONCATENATE($AC$7,"-",MID(E16,1,100)),DATOS!Z:AA,2,0)),"",VLOOKUP(CONCATENATE($AC$7,"-",MID(E16,1,100)),DATOS!Z:AA,2,0))</f>
        <v/>
      </c>
      <c r="AD16" s="173" t="str">
        <f>IF(ISERROR(VLOOKUP(CONCATENATE($AD$7,"-",MID(E16,1,100)),DATOS!Z:AA,2,0)),"",VLOOKUP(CONCATENATE($AD$7,"-",MID(E16,1,100)),DATOS!Z:AA,2,0))</f>
        <v/>
      </c>
      <c r="AE16" s="173" t="str">
        <f>IF(ISERROR(VLOOKUP(CONCATENATE($AE$7,"-",MID(E16,1,100)),DATOS!Z:AA,2,0)),"",VLOOKUP(CONCATENATE($AE$7,"-",MID(E16,1,100)),DATOS!Z:AA,2,0))</f>
        <v/>
      </c>
      <c r="AF16" s="173" t="str">
        <f>IF(ISERROR(VLOOKUP(CONCATENATE($AF$7,"-",MID(E16,1,100)),DATOS!Z:AA,2,0)),"",VLOOKUP(CONCATENATE($AF$7,"-",MID(E16,1,100)),DATOS!Z:AA,2,0))</f>
        <v/>
      </c>
      <c r="AG16" s="173" t="str">
        <f>IF(ISERROR(VLOOKUP(CONCATENATE($AG$7,"-",MID(E16,1,100)),DATOS!Z:AA,2,0)),"",VLOOKUP(CONCATENATE($AG$7,"-",MID(E16,1,100)),DATOS!Z:AA,2,0))</f>
        <v/>
      </c>
      <c r="AH16" s="173" t="str">
        <f>IF(ISERROR(VLOOKUP(CONCATENATE($AH$7,"-",MID(E16,1,100)),DATOS!Z:AA,2,0)),"",VLOOKUP(CONCATENATE($AH$7,"-",MID(E16,1,100)),DATOS!Z:AA,2,0))</f>
        <v/>
      </c>
      <c r="AI16" s="174" t="str">
        <f>IF(ISERROR(VLOOKUP(CONCATENATE($AI$7,"-",MID(E16,1,100)),DATOS!Z:AA,2,0)),"",VLOOKUP(CONCATENATE($AI$7,"-",MID(E16,1,100)),DATOS!Z:AA,2,0))</f>
        <v/>
      </c>
      <c r="AJ16" s="172" t="str">
        <f>IF(ISERROR(VLOOKUP(CONCATENATE($AJ$7,"-",MID(E16,1,100)),DATOS!Z:AA,2,0)),"",VLOOKUP(CONCATENATE($AJ$7,"-",MID(E16,1,100)),DATOS!Z:AA,2,0))</f>
        <v/>
      </c>
      <c r="AK16" s="173" t="str">
        <f>IF(ISERROR(VLOOKUP(CONCATENATE($AK$7,"-",MID(E16,1,100)),DATOS!Z:AA,2,0)),"",VLOOKUP(CONCATENATE($AK$7,"-",MID(E16,1,100)),DATOS!Z:AA,2,0))</f>
        <v/>
      </c>
      <c r="AL16" s="173" t="str">
        <f>IF(ISERROR(VLOOKUP(CONCATENATE($AL$7,"-",MID(E16,1,100)),DATOS!Z:AA,2,0)),"",VLOOKUP(CONCATENATE($AL$7,"-",MID(E16,1,100)),DATOS!Z:AA,2,0))</f>
        <v/>
      </c>
      <c r="AM16" s="173" t="str">
        <f>IF(ISERROR(VLOOKUP(CONCATENATE($AM$7,"-",MID(E16,1,100)),DATOS!Z:AA,2,0)),"",VLOOKUP(CONCATENATE($AM$7,"-",MID(E16,1,100)),DATOS!Z:AA,2,0))</f>
        <v/>
      </c>
      <c r="AN16" s="173" t="str">
        <f>IF(ISERROR(VLOOKUP(CONCATENATE($AN$7,"-",MID(E16,1,100)),DATOS!Z:AA,2,0)),"",VLOOKUP(CONCATENATE($AN$7,"-",MID(E16,1,100)),DATOS!Z:AA,2,0))</f>
        <v/>
      </c>
      <c r="AO16" s="173" t="str">
        <f>IF(ISERROR(VLOOKUP(CONCATENATE($AO$7,"-",MID(E16,1,100)),DATOS!Z:AA,2,0)),"",VLOOKUP(CONCATENATE($AO$7,"-",MID(E16,1,100)),DATOS!Z:AA,2,0))</f>
        <v/>
      </c>
      <c r="AP16" s="173" t="str">
        <f>IF(ISERROR(VLOOKUP(CONCATENATE($AP$7,"-",MID(E16,1,100)),DATOS!Z:AA,2,0)),"",VLOOKUP(CONCATENATE($AP$7,"-",MID(E16,1,100)),DATOS!Z:AA,2,0))</f>
        <v/>
      </c>
      <c r="AQ16" s="173" t="str">
        <f>IF(ISERROR(VLOOKUP(CONCATENATE($AQ$7,"-",MID(E16,1,100)),DATOS!Z:AA,2,0)),"",VLOOKUP(CONCATENATE($AQ$7,"-",MID(E16,1,100)),DATOS!Z:AA,2,0))</f>
        <v/>
      </c>
      <c r="AR16" s="173" t="str">
        <f>IF(ISERROR(VLOOKUP(CONCATENATE($AR$7,"-",MID(E16,1,100)),DATOS!Z:AA,2,0)),"",VLOOKUP(CONCATENATE($AR$7,"-",MID(E16,1,100)),DATOS!Z:AA,2,0))</f>
        <v/>
      </c>
      <c r="AS16" s="174" t="str">
        <f>IF(ISERROR(VLOOKUP(CONCATENATE($AS$7,"-",MID(E16,1,100)),DATOS!Z:AA,2,0)),"",VLOOKUP(CONCATENATE($AS$7,"-",MID(E16,1,100)),DATOS!Z:AA,2,0))</f>
        <v/>
      </c>
      <c r="AT16" s="172" t="str">
        <f>IF(ISERROR(VLOOKUP(CONCATENATE($AT$7,"-",MID(E16,1,100)),DATOS!Z:AA,2,0)),"",VLOOKUP(CONCATENATE($AT$7,"-",MID(E16,1,100)),DATOS!Z:AA,2,0))</f>
        <v/>
      </c>
      <c r="AU16" s="173" t="str">
        <f>IF(ISERROR(VLOOKUP(CONCATENATE($AU$7,"-",MID(E16,1,100)),DATOS!Z:AA,2,0)),"",VLOOKUP(CONCATENATE($AU$7,"-",MID(E16,1,100)),DATOS!Z:AA,2,0))</f>
        <v/>
      </c>
      <c r="AV16" s="173" t="str">
        <f>IF(ISERROR(VLOOKUP(CONCATENATE($AV$7,"-",MID(E16,1,100)),DATOS!Z:AA,2,0)),"",VLOOKUP(CONCATENATE($AV$7,"-",MID(E16,1,100)),DATOS!Z:AA,2,0))</f>
        <v/>
      </c>
      <c r="AW16" s="173" t="str">
        <f>IF(ISERROR(VLOOKUP(CONCATENATE($AW$7,"-",MID(E16,1,100)),DATOS!Z:AA,2,0)),"",VLOOKUP(CONCATENATE($AW$7,"-",MID(E16,1,100)),DATOS!Z:AA,2,0))</f>
        <v/>
      </c>
      <c r="AX16" s="173" t="str">
        <f>IF(ISERROR(VLOOKUP(CONCATENATE($AX$7,"-",MID(E16,1,100)),DATOS!Z:AA,2,0)),"",VLOOKUP(CONCATENATE($AX$7,"-",MID(E16,1,100)),DATOS!Z:AA,2,0))</f>
        <v/>
      </c>
      <c r="AY16" s="173" t="str">
        <f>IF(ISERROR(VLOOKUP(CONCATENATE($AY$7,"-",MID(E16,1,100)),DATOS!Z:AA,2,0)),"",VLOOKUP(CONCATENATE($AY$7,"-",MID(E16,1,100)),DATOS!Z:AA,2,0))</f>
        <v/>
      </c>
      <c r="AZ16" s="173" t="str">
        <f>IF(ISERROR(VLOOKUP(CONCATENATE($AZ$7,"-",MID(E16,1,100)),DATOS!Z:AA,2,0)),"",VLOOKUP(CONCATENATE($AZ$7,"-",MID(E16,1,100)),DATOS!Z:AA,2,0))</f>
        <v/>
      </c>
      <c r="BA16" s="173" t="str">
        <f>IF(ISERROR(VLOOKUP(CONCATENATE($BA$7,"-",MID(E16,1,100)),DATOS!Z:AA,2,0)),"",VLOOKUP(CONCATENATE($BA$7,"-",MID(E16,1,100)),DATOS!Z:AA,2,0))</f>
        <v/>
      </c>
      <c r="BB16" s="173" t="str">
        <f>IF(ISERROR(VLOOKUP(CONCATENATE($BB$7,"-",MID(E16,1,100)),DATOS!Z:AA,2,0)),"",VLOOKUP(CONCATENATE($BB$7,"-",MID(E16,1,100)),DATOS!Z:AA,2,0))</f>
        <v/>
      </c>
      <c r="BC16" s="174" t="str">
        <f>IF(ISERROR(VLOOKUP(CONCATENATE($BC$7,"-",MID(E16,1,100)),DATOS!Z:AA,2,0)),"",VLOOKUP(CONCATENATE($BC$7,"-",MID(E16,1,100)),DATOS!Z:AA,2,0))</f>
        <v/>
      </c>
      <c r="BD16" s="172" t="str">
        <f>IF(ISERROR(VLOOKUP(CONCATENATE($BD$7,"-",MID(E16,1,100)),DATOS!Z:AA,2,0)),"",VLOOKUP(CONCATENATE($BD$7,"-",MID(E16,1,100)),DATOS!Z:AA,2,0))</f>
        <v/>
      </c>
      <c r="BE16" s="173" t="str">
        <f>IF(ISERROR(VLOOKUP(CONCATENATE($BE$7,"-",MID(E16,1,100)),DATOS!Z:AA,2,0)),"",VLOOKUP(CONCATENATE($BE$7,"-",MID(E16,1,100)),DATOS!Z:AA,2,0))</f>
        <v/>
      </c>
      <c r="BF16" s="173" t="str">
        <f>IF(ISERROR(VLOOKUP(CONCATENATE($BF$7,"-",MID(E16,1,100)),DATOS!Z:AA,2,0)),"",VLOOKUP(CONCATENATE($BF$7,"-",MID(E16,1,100)),DATOS!Z:AA,2,0))</f>
        <v/>
      </c>
      <c r="BG16" s="173" t="str">
        <f>IF(ISERROR(VLOOKUP(CONCATENATE($BG$7,"-",MID(E16,1,100)),DATOS!Z:AA,2,0)),"",VLOOKUP(CONCATENATE($BG$7,"-",MID(E16,1,100)),DATOS!Z:AA,2,0))</f>
        <v/>
      </c>
      <c r="BH16" s="173" t="str">
        <f>IF(ISERROR(VLOOKUP(CONCATENATE($BH$7,"-",MID(E16,1,100)),DATOS!Z:AA,2,0)),"",VLOOKUP(CONCATENATE($BH$7,"-",MID(E16,1,100)),DATOS!Z:AA,2,0))</f>
        <v/>
      </c>
      <c r="BI16" s="173" t="str">
        <f>IF(ISERROR(VLOOKUP(CONCATENATE($BI$7,"-",MID(E16,1,100)),DATOS!Z:AA,2,0)),"",VLOOKUP(CONCATENATE($BI$7,"-",MID(E16,1,100)),DATOS!Z:AA,2,0))</f>
        <v/>
      </c>
      <c r="BJ16" s="173" t="str">
        <f>IF(ISERROR(VLOOKUP(CONCATENATE($BJ$7,"-",MID(E16,1,100)),DATOS!Z:AA,2,0)),"",VLOOKUP(CONCATENATE($BJ$7,"-",MID(E16,1,100)),DATOS!Z:AA,2,0))</f>
        <v/>
      </c>
      <c r="BK16" s="173" t="str">
        <f>IF(ISERROR(VLOOKUP(CONCATENATE($BK$7,"-",MID(E16,1,100)),DATOS!Z:AA,2,0)),"",VLOOKUP(CONCATENATE($BK$7,"-",MID(E16,1,100)),DATOS!Z:AA,2,0))</f>
        <v/>
      </c>
      <c r="BL16" s="173" t="str">
        <f>IF(ISERROR(VLOOKUP(CONCATENATE($BL$7,"-",MID(E16,1,100)),DATOS!Z:AA,2,0)),"",VLOOKUP(CONCATENATE($BL$7,"-",MID(E16,1,100)),DATOS!Z:AA,2,0))</f>
        <v/>
      </c>
      <c r="BM16" s="174" t="str">
        <f>IF(ISERROR(VLOOKUP(CONCATENATE($BM$7,"-",MID(E16,1,100)),DATOS!Z:AA,2,0)),"",VLOOKUP(CONCATENATE($BM$7,"-",MID(E16,1,100)),DATOS!Z:AA,2,0))</f>
        <v/>
      </c>
      <c r="BN16" s="172" t="str">
        <f>IF(ISERROR(VLOOKUP(CONCATENATE($BN$7,"-",MID(E16,1,100)),DATOS!Z:AA,2,0)),"",VLOOKUP(CONCATENATE($BN$7,"-",MID(E16,1,100)),DATOS!Z:AA,2,0))</f>
        <v/>
      </c>
      <c r="BO16" s="173" t="str">
        <f>IF(ISERROR(VLOOKUP(CONCATENATE($BO$7,"-",MID(E16,1,100)),DATOS!Z:AA,2,0)),"",VLOOKUP(CONCATENATE($BO$7,"-",MID(E16,1,100)),DATOS!Z:AA,2,0))</f>
        <v/>
      </c>
      <c r="BP16" s="173" t="str">
        <f>IF(ISERROR(VLOOKUP(CONCATENATE($BP$7,"-",MID(E16,1,100)),DATOS!Z:AA,2,0)),"",VLOOKUP(CONCATENATE($BP$7,"-",MID(E16,1,100)),DATOS!Z:AA,2,0))</f>
        <v/>
      </c>
      <c r="BQ16" s="173" t="str">
        <f>IF(ISERROR(VLOOKUP(CONCATENATE($BQ$7,"-",MID(E16,1,100)),DATOS!Z:AA,2,0)),"",VLOOKUP(CONCATENATE($BQ$7,"-",MID(E16,1,100)),DATOS!Z:AA,2,0))</f>
        <v/>
      </c>
      <c r="BR16" s="173" t="str">
        <f>IF(ISERROR(VLOOKUP(CONCATENATE($BR$7,"-",MID(E16,1,100)),DATOS!Z:AA,2,0)),"",VLOOKUP(CONCATENATE($BR$7,"-",MID(E16,1,100)),DATOS!Z:AA,2,0))</f>
        <v/>
      </c>
      <c r="BS16" s="173" t="str">
        <f>IF(ISERROR(VLOOKUP(CONCATENATE($BS$7,"-",MID(E16,1,100)),DATOS!Z:AA,2,0)),"",VLOOKUP(CONCATENATE($BS$7,"-",MID(E16,1,100)),DATOS!Z:AA,2,0))</f>
        <v/>
      </c>
      <c r="BT16" s="173" t="str">
        <f>IF(ISERROR(VLOOKUP(CONCATENATE($BT$7,"-",MID(E16,1,100)),DATOS!Z:AA,2,0)),"",VLOOKUP(CONCATENATE($BT$7,"-",MID(E16,1,100)),DATOS!Z:AA,2,0))</f>
        <v/>
      </c>
      <c r="BU16" s="173" t="str">
        <f>IF(ISERROR(VLOOKUP(CONCATENATE($BU$7,"-",MID(E16,1,100)),DATOS!Z:AA,2,0)),"",VLOOKUP(CONCATENATE($BU$7,"-",MID(E16,1,100)),DATOS!Z:AA,2,0))</f>
        <v/>
      </c>
      <c r="BV16" s="173" t="str">
        <f>IF(ISERROR(VLOOKUP(CONCATENATE($BV$7,"-",MID(E16,1,100)),DATOS!Z:AA,2,0)),"",VLOOKUP(CONCATENATE($BV$7,"-",MID(E16,1,100)),DATOS!Z:AA,2,0))</f>
        <v/>
      </c>
      <c r="BW16" s="174" t="str">
        <f>IF(ISERROR(VLOOKUP(CONCATENATE($BW$7,"-",MID(E16,1,100)),DATOS!Z:AA,2,0)),"",VLOOKUP(CONCATENATE($BW$7,"-",MID(E16,1,100)),DATOS!Z:AA,2,0))</f>
        <v/>
      </c>
      <c r="BX16" s="210" t="str">
        <f>IF(ISERROR(VLOOKUP(CONCATENATE($BX$7,"-",MID(E16,1,100)),DATOS!Z:AA,2,0)),"",VLOOKUP(CONCATENATE($BX$7,"-",MID(E16,1,100)),DATOS!Z:AA,2,0))</f>
        <v/>
      </c>
      <c r="BY16" s="211" t="str">
        <f>IF(ISERROR(VLOOKUP(CONCATENATE($BY$7,"-",MID(E16,1,100)),DATOS!Z:AA,2,0)),"",VLOOKUP(CONCATENATE($BY$7,"-",MID(E16,1,100)),DATOS!Z:AA,2,0))</f>
        <v/>
      </c>
      <c r="BZ16" s="211" t="str">
        <f>IF(ISERROR(VLOOKUP(CONCATENATE($BZ$7,"-",MID(E16,1,100)),DATOS!Z:AA,2,0)),"",VLOOKUP(CONCATENATE($BZ$7,"-",MID(E16,1,100)),DATOS!Z:AA,2,0))</f>
        <v/>
      </c>
      <c r="CA16" s="211" t="str">
        <f>IF(ISERROR(VLOOKUP(CONCATENATE($CA$7,"-",MID(E16,1,100)),DATOS!Z:AA,2,0)),"",VLOOKUP(CONCATENATE($CA$7,"-",MID(E16,1,100)),DATOS!Z:AA,2,0))</f>
        <v/>
      </c>
      <c r="CB16" s="211" t="str">
        <f>IF(ISERROR(VLOOKUP(CONCATENATE($CB$7,"-",MID(E16,1,100)),DATOS!Z:AA,2,0)),"",VLOOKUP(CONCATENATE($CB$7,"-",MID(E16,1,100)),DATOS!Z:AA,2,0))</f>
        <v/>
      </c>
      <c r="CC16" s="211" t="str">
        <f>IF(ISERROR(VLOOKUP(CONCATENATE($CC$7,"-",MID(E16,1,100)),DATOS!Z:AA,2,0)),"",VLOOKUP(CONCATENATE($CC$7,"-",MID(E16,1,100)),DATOS!Z:AA,2,0))</f>
        <v/>
      </c>
      <c r="CD16" s="211" t="str">
        <f>IF(ISERROR(VLOOKUP(CONCATENATE($CD$7,"-",MID(E16,1,100)),DATOS!Z:AA,2,0)),"",VLOOKUP(CONCATENATE($CD$7,"-",MID(E16,1,100)),DATOS!Z:AA,2,0))</f>
        <v/>
      </c>
      <c r="CE16" s="211" t="str">
        <f>IF(ISERROR(VLOOKUP(CONCATENATE($CE$7,"-",MID(E16,1,100)),DATOS!Z:AA,2,0)),"",VLOOKUP(CONCATENATE($CE$7,"-",MID(E16,1,100)),DATOS!Z:AA,2,0))</f>
        <v/>
      </c>
      <c r="CF16" s="211" t="str">
        <f>IF(ISERROR(VLOOKUP(CONCATENATE($CF$7,"-",MID(E16,1,100)),DATOS!Z:AA,2,0)),"",VLOOKUP(CONCATENATE($CF$7,"-",MID(E16,1,100)),DATOS!Z:AA,2,0))</f>
        <v/>
      </c>
      <c r="CG16" s="212" t="str">
        <f>IF(ISERROR(VLOOKUP(CONCATENATE($CG$7,"-",MID(E16,1,100)),DATOS!Z:AA,2,0)),"",VLOOKUP(CONCATENATE($CG$7,"-",MID(E16,1,100)),DATOS!Z:AA,2,0))</f>
        <v/>
      </c>
      <c r="CH16" s="210" t="str">
        <f>IF(ISERROR(VLOOKUP(CONCATENATE($CH$7,"-",MID(E16,1,100)),DATOS!Z:AA,2,0)),"",VLOOKUP(CONCATENATE($CH$7,"-",MID(E16,1,100)),DATOS!Z:AA,2,0))</f>
        <v/>
      </c>
      <c r="CI16" s="211" t="str">
        <f>IF(ISERROR(VLOOKUP(CONCATENATE($CI$7,"-",MID(E16,1,100)),DATOS!Z:AA,2,0)),"",VLOOKUP(CONCATENATE($CI$7,"-",MID(E16,1,100)),DATOS!Z:AA,2,0))</f>
        <v/>
      </c>
      <c r="CJ16" s="211" t="str">
        <f>IF(ISERROR(VLOOKUP(CONCATENATE($CJ$7,"-",MID(E16,1,100)),DATOS!Z:AA,2,0)),"",VLOOKUP(CONCATENATE($CJ$7,"-",MID(E16,1,100)),DATOS!Z:AA,2,0))</f>
        <v/>
      </c>
      <c r="CK16" s="211" t="str">
        <f>IF(ISERROR(VLOOKUP(CONCATENATE($CK$7,"-",MID(E16,1,100)),DATOS!Z:AA,2,0)),"",VLOOKUP(CONCATENATE($CK$7,"-",MID(E16,1,100)),DATOS!Z:AA,2,0))</f>
        <v/>
      </c>
      <c r="CL16" s="211" t="str">
        <f>IF(ISERROR(VLOOKUP(CONCATENATE($CL$7,"-",MID(E16,1,100)),DATOS!Z:AA,2,0)),"",VLOOKUP(CONCATENATE($CL$7,"-",MID(E16,1,100)),DATOS!Z:AA,2,0))</f>
        <v>a</v>
      </c>
      <c r="CM16" s="211" t="str">
        <f>IF(ISERROR(VLOOKUP(CONCATENATE($CM$7,"-",MID(E16,1,100)),DATOS!Z:AA,2,0)),"",VLOOKUP(CONCATENATE($CM$7,"-",MID(E16,1,100)),DATOS!Z:AA,2,0))</f>
        <v/>
      </c>
      <c r="CN16" s="211" t="str">
        <f>IF(ISERROR(VLOOKUP(CONCATENATE($CN$7,"-",MID(E16,1,100)),DATOS!Z:AA,2,0)),"",VLOOKUP(CONCATENATE($CN$7,"-",MID(E16,1,100)),DATOS!Z:AA,2,0))</f>
        <v/>
      </c>
      <c r="CO16" s="211" t="str">
        <f>IF(ISERROR(VLOOKUP(CONCATENATE($CO$7,"-",MID(E16,1,100)),DATOS!Z:AA,2,0)),"",VLOOKUP(CONCATENATE($CO$7,"-",MID(E16,1,100)),DATOS!Z:AA,2,0))</f>
        <v/>
      </c>
      <c r="CP16" s="213" t="str">
        <f>IF(ISERROR(VLOOKUP(CONCATENATE($CP$7,"-",MID(E16,1,100)),DATOS!Z:AA,2,0)),"",VLOOKUP(CONCATENATE($CP$7,"-",MID(E16,1,100)),DATOS!Z:AA,2,0))</f>
        <v/>
      </c>
      <c r="CQ16" s="212" t="str">
        <f>IF(ISERROR(VLOOKUP(CONCATENATE($CQ$7,"-",MID(E16,1,100)),DATOS!Z:AA,2,0)),"",VLOOKUP(CONCATENATE($CQ$7,"-",MID(E16,1,100)),DATOS!Z:AA,2,0))</f>
        <v/>
      </c>
      <c r="CR16" s="210" t="str">
        <f>IF(ISERROR(VLOOKUP(CONCATENATE(CR$7,"-",MID($E16,1,100)),DATOS!$Z:$AA,2,0)),"",VLOOKUP(CONCATENATE(CR$7,"-",MID($E16,1,100)),DATOS!$Z:$AA,2,0))</f>
        <v/>
      </c>
      <c r="CS16" s="211" t="str">
        <f>IF(ISERROR(VLOOKUP(CONCATENATE(CS$7,"-",MID($E16,1,100)),DATOS!$Z:$AA,2,0)),"",VLOOKUP(CONCATENATE(CS$7,"-",MID($E16,1,100)),DATOS!$Z:$AA,2,0))</f>
        <v>a</v>
      </c>
      <c r="CT16" s="211" t="str">
        <f>IF(ISERROR(VLOOKUP(CONCATENATE(CT$7,"-",MID($E16,1,100)),DATOS!$Z:$AA,2,0)),"",VLOOKUP(CONCATENATE(CT$7,"-",MID($E16,1,100)),DATOS!$Z:$AA,2,0))</f>
        <v/>
      </c>
      <c r="CU16" s="211" t="str">
        <f>IF(ISERROR(VLOOKUP(CONCATENATE(CU$7,"-",MID($E16,1,100)),DATOS!$Z:$AA,2,0)),"",VLOOKUP(CONCATENATE(CU$7,"-",MID($E16,1,100)),DATOS!$Z:$AA,2,0))</f>
        <v/>
      </c>
      <c r="CV16" s="211" t="str">
        <f>IF(ISERROR(VLOOKUP(CONCATENATE(CV$7,"-",MID($E16,1,100)),DATOS!$Z:$AA,2,0)),"",VLOOKUP(CONCATENATE(CV$7,"-",MID($E16,1,100)),DATOS!$Z:$AA,2,0))</f>
        <v/>
      </c>
      <c r="CW16" s="211" t="str">
        <f>IF(ISERROR(VLOOKUP(CONCATENATE(CW$7,"-",MID($E16,1,100)),DATOS!$Z:$AA,2,0)),"",VLOOKUP(CONCATENATE(CW$7,"-",MID($E16,1,100)),DATOS!$Z:$AA,2,0))</f>
        <v/>
      </c>
      <c r="CX16" s="211" t="str">
        <f>IF(ISERROR(VLOOKUP(CONCATENATE(CX$7,"-",MID($E16,1,100)),DATOS!$Z:$AA,2,0)),"",VLOOKUP(CONCATENATE(CX$7,"-",MID($E16,1,100)),DATOS!$Z:$AA,2,0))</f>
        <v/>
      </c>
      <c r="CY16" s="211" t="str">
        <f>IF(ISERROR(VLOOKUP(CONCATENATE(CY$7,"-",MID($E16,1,100)),DATOS!$Z:$AA,2,0)),"",VLOOKUP(CONCATENATE(CY$7,"-",MID($E16,1,100)),DATOS!$Z:$AA,2,0))</f>
        <v/>
      </c>
      <c r="CZ16" s="213" t="str">
        <f>IF(ISERROR(VLOOKUP(CONCATENATE(CZ$7,"-",MID($E16,1,100)),DATOS!$Z:$AA,2,0)),"",VLOOKUP(CONCATENATE(CZ$7,"-",MID($E16,1,100)),DATOS!$Z:$AA,2,0))</f>
        <v/>
      </c>
      <c r="DA16" s="212" t="str">
        <f>IF(ISERROR(VLOOKUP(CONCATENATE(DA$7,"-",MID($E16,1,100)),DATOS!$Z:$AA,2,0)),"",VLOOKUP(CONCATENATE(DA$7,"-",MID($E16,1,100)),DATOS!$Z:$AA,2,0))</f>
        <v/>
      </c>
      <c r="DB16" s="210" t="str">
        <f>IF(ISERROR(VLOOKUP(CONCATENATE(DB$7,"-",MID($E16,1,100)),DATOS!$Z:$AA,2,0)),"",VLOOKUP(CONCATENATE(DB$7,"-",MID($E16,1,100)),DATOS!$Z:$AA,2,0))</f>
        <v/>
      </c>
      <c r="DC16" s="211" t="str">
        <f>IF(ISERROR(VLOOKUP(CONCATENATE(DC$7,"-",MID($E16,1,100)),DATOS!$Z:$AA,2,0)),"",VLOOKUP(CONCATENATE(DC$7,"-",MID($E16,1,100)),DATOS!$Z:$AA,2,0))</f>
        <v/>
      </c>
      <c r="DD16" s="211" t="str">
        <f>IF(ISERROR(VLOOKUP(CONCATENATE(DD$7,"-",MID($E16,1,100)),DATOS!$Z:$AA,2,0)),"",VLOOKUP(CONCATENATE(DD$7,"-",MID($E16,1,100)),DATOS!$Z:$AA,2,0))</f>
        <v/>
      </c>
      <c r="DE16" s="211" t="str">
        <f>IF(ISERROR(VLOOKUP(CONCATENATE(DE$7,"-",MID($E16,1,100)),DATOS!$Z:$AA,2,0)),"",VLOOKUP(CONCATENATE(DE$7,"-",MID($E16,1,100)),DATOS!$Z:$AA,2,0))</f>
        <v/>
      </c>
      <c r="DF16" s="211" t="str">
        <f>IF(ISERROR(VLOOKUP(CONCATENATE(DF$7,"-",MID($E16,1,100)),DATOS!$Z:$AA,2,0)),"",VLOOKUP(CONCATENATE(DF$7,"-",MID($E16,1,100)),DATOS!$Z:$AA,2,0))</f>
        <v/>
      </c>
      <c r="DG16" s="211" t="str">
        <f>IF(ISERROR(VLOOKUP(CONCATENATE(DG$7,"-",MID($E16,1,100)),DATOS!$Z:$AA,2,0)),"",VLOOKUP(CONCATENATE(DG$7,"-",MID($E16,1,100)),DATOS!$Z:$AA,2,0))</f>
        <v/>
      </c>
      <c r="DH16" s="211" t="str">
        <f>IF(ISERROR(VLOOKUP(CONCATENATE(DH$7,"-",MID($E16,1,100)),DATOS!$Z:$AA,2,0)),"",VLOOKUP(CONCATENATE(DH$7,"-",MID($E16,1,100)),DATOS!$Z:$AA,2,0))</f>
        <v/>
      </c>
      <c r="DI16" s="211" t="str">
        <f>IF(ISERROR(VLOOKUP(CONCATENATE(DI$7,"-",MID($E16,1,100)),DATOS!$Z:$AA,2,0)),"",VLOOKUP(CONCATENATE(DI$7,"-",MID($E16,1,100)),DATOS!$Z:$AA,2,0))</f>
        <v/>
      </c>
      <c r="DJ16" s="213" t="str">
        <f>IF(ISERROR(VLOOKUP(CONCATENATE(DJ$7,"-",MID($E16,1,100)),DATOS!$Z:$AA,2,0)),"",VLOOKUP(CONCATENATE(DJ$7,"-",MID($E16,1,100)),DATOS!$Z:$AA,2,0))</f>
        <v/>
      </c>
      <c r="DK16" s="212" t="str">
        <f>IF(ISERROR(VLOOKUP(CONCATENATE(DK$7,"-",MID($E16,1,100)),DATOS!$Z:$AA,2,0)),"",VLOOKUP(CONCATENATE(DK$7,"-",MID($E16,1,100)),DATOS!$Z:$AA,2,0))</f>
        <v/>
      </c>
      <c r="DL16" s="210" t="str">
        <f>IF(ISERROR(VLOOKUP(CONCATENATE(DL$7,"-",MID($E16,1,100)),DATOS!$Z:$AA,2,0)),"",VLOOKUP(CONCATENATE(DL$7,"-",MID($E16,1,100)),DATOS!$Z:$AA,2,0))</f>
        <v/>
      </c>
      <c r="DM16" s="211" t="str">
        <f>IF(ISERROR(VLOOKUP(CONCATENATE(DM$7,"-",MID($E16,1,100)),DATOS!$Z:$AA,2,0)),"",VLOOKUP(CONCATENATE(DM$7,"-",MID($E16,1,100)),DATOS!$Z:$AA,2,0))</f>
        <v/>
      </c>
      <c r="DN16" s="211" t="str">
        <f>IF(ISERROR(VLOOKUP(CONCATENATE(DN$7,"-",MID($E16,1,100)),DATOS!$Z:$AA,2,0)),"",VLOOKUP(CONCATENATE(DN$7,"-",MID($E16,1,100)),DATOS!$Z:$AA,2,0))</f>
        <v/>
      </c>
      <c r="DO16" s="211" t="str">
        <f>IF(ISERROR(VLOOKUP(CONCATENATE(DO$7,"-",MID($E16,1,100)),DATOS!$Z:$AA,2,0)),"",VLOOKUP(CONCATENATE(DO$7,"-",MID($E16,1,100)),DATOS!$Z:$AA,2,0))</f>
        <v/>
      </c>
      <c r="DP16" s="211" t="str">
        <f>IF(ISERROR(VLOOKUP(CONCATENATE(DP$7,"-",MID($E16,1,100)),DATOS!$Z:$AA,2,0)),"",VLOOKUP(CONCATENATE(DP$7,"-",MID($E16,1,100)),DATOS!$Z:$AA,2,0))</f>
        <v/>
      </c>
      <c r="DQ16" s="211" t="str">
        <f>IF(ISERROR(VLOOKUP(CONCATENATE(DQ$7,"-",MID($E16,1,100)),DATOS!$Z:$AA,2,0)),"",VLOOKUP(CONCATENATE(DQ$7,"-",MID($E16,1,100)),DATOS!$Z:$AA,2,0))</f>
        <v/>
      </c>
      <c r="DR16" s="211" t="str">
        <f>IF(ISERROR(VLOOKUP(CONCATENATE(DR$7,"-",MID($E16,1,100)),DATOS!$Z:$AA,2,0)),"",VLOOKUP(CONCATENATE(DR$7,"-",MID($E16,1,100)),DATOS!$Z:$AA,2,0))</f>
        <v/>
      </c>
      <c r="DS16" s="211" t="str">
        <f>IF(ISERROR(VLOOKUP(CONCATENATE(DS$7,"-",MID($E16,1,100)),DATOS!$Z:$AA,2,0)),"",VLOOKUP(CONCATENATE(DS$7,"-",MID($E16,1,100)),DATOS!$Z:$AA,2,0))</f>
        <v/>
      </c>
      <c r="DT16" s="213" t="str">
        <f>IF(ISERROR(VLOOKUP(CONCATENATE(DT$7,"-",MID($E16,1,100)),DATOS!$Z:$AA,2,0)),"",VLOOKUP(CONCATENATE(DT$7,"-",MID($E16,1,100)),DATOS!$Z:$AA,2,0))</f>
        <v/>
      </c>
      <c r="DU16" s="212" t="str">
        <f>IF(ISERROR(VLOOKUP(CONCATENATE(DU$7,"-",MID($E16,1,100)),DATOS!$Z:$AA,2,0)),"",VLOOKUP(CONCATENATE(DU$7,"-",MID($E16,1,100)),DATOS!$Z:$AA,2,0))</f>
        <v/>
      </c>
      <c r="DV16" s="210" t="str">
        <f>IF(ISERROR(VLOOKUP(CONCATENATE(DV$7,"-",MID($E16,1,100)),DATOS!$Z:$AA,2,0)),"",VLOOKUP(CONCATENATE(DV$7,"-",MID($E16,1,100)),DATOS!$Z:$AA,2,0))</f>
        <v/>
      </c>
      <c r="DW16" s="211" t="str">
        <f>IF(ISERROR(VLOOKUP(CONCATENATE(DW$7,"-",MID($E16,1,100)),DATOS!$Z:$AA,2,0)),"",VLOOKUP(CONCATENATE(DW$7,"-",MID($E16,1,100)),DATOS!$Z:$AA,2,0))</f>
        <v/>
      </c>
      <c r="DX16" s="211" t="str">
        <f>IF(ISERROR(VLOOKUP(CONCATENATE(DX$7,"-",MID($E16,1,100)),DATOS!$Z:$AA,2,0)),"",VLOOKUP(CONCATENATE(DX$7,"-",MID($E16,1,100)),DATOS!$Z:$AA,2,0))</f>
        <v/>
      </c>
      <c r="DY16" s="211" t="str">
        <f>IF(ISERROR(VLOOKUP(CONCATENATE(DY$7,"-",MID($E16,1,100)),DATOS!$Z:$AA,2,0)),"",VLOOKUP(CONCATENATE(DY$7,"-",MID($E16,1,100)),DATOS!$Z:$AA,2,0))</f>
        <v/>
      </c>
      <c r="DZ16" s="211" t="str">
        <f>IF(ISERROR(VLOOKUP(CONCATENATE(DZ$7,"-",MID($E16,1,100)),DATOS!$Z:$AA,2,0)),"",VLOOKUP(CONCATENATE(DZ$7,"-",MID($E16,1,100)),DATOS!$Z:$AA,2,0))</f>
        <v/>
      </c>
      <c r="EA16" s="211" t="str">
        <f>IF(ISERROR(VLOOKUP(CONCATENATE(EA$7,"-",MID($E16,1,100)),DATOS!$Z:$AA,2,0)),"",VLOOKUP(CONCATENATE(EA$7,"-",MID($E16,1,100)),DATOS!$Z:$AA,2,0))</f>
        <v/>
      </c>
      <c r="EB16" s="211" t="str">
        <f>IF(ISERROR(VLOOKUP(CONCATENATE(EB$7,"-",MID($E16,1,100)),DATOS!$Z:$AA,2,0)),"",VLOOKUP(CONCATENATE(EB$7,"-",MID($E16,1,100)),DATOS!$Z:$AA,2,0))</f>
        <v/>
      </c>
      <c r="EC16" s="211" t="str">
        <f>IF(ISERROR(VLOOKUP(CONCATENATE(EC$7,"-",MID($E16,1,100)),DATOS!$Z:$AA,2,0)),"",VLOOKUP(CONCATENATE(EC$7,"-",MID($E16,1,100)),DATOS!$Z:$AA,2,0))</f>
        <v/>
      </c>
      <c r="ED16" s="213" t="str">
        <f>IF(ISERROR(VLOOKUP(CONCATENATE(ED$7,"-",MID($E16,1,100)),DATOS!$Z:$AA,2,0)),"",VLOOKUP(CONCATENATE(ED$7,"-",MID($E16,1,100)),DATOS!$Z:$AA,2,0))</f>
        <v/>
      </c>
      <c r="EE16" s="212" t="str">
        <f>IF(ISERROR(VLOOKUP(CONCATENATE(EE$7,"-",MID($E16,1,100)),DATOS!$Z:$AA,2,0)),"",VLOOKUP(CONCATENATE(EE$7,"-",MID($E16,1,100)),DATOS!$Z:$AA,2,0))</f>
        <v/>
      </c>
      <c r="EF16" s="210" t="str">
        <f>IF(ISERROR(VLOOKUP(CONCATENATE($EF$7,"-",MID(E16,1,100)),DATOS!Z:AA,2,0)),"",VLOOKUP(CONCATENATE($EF$7,"-",MID(E16,1,100)),DATOS!Z:AA,2,0))</f>
        <v/>
      </c>
      <c r="EG16" s="211" t="str">
        <f>IF(ISERROR(VLOOKUP(CONCATENATE($EG$7,"-",MID(E16,1,100)),DATOS!Z:AA,2,0)),"",VLOOKUP(CONCATENATE($EG$7,"-",MID(E16,1,100)),DATOS!Z:AA,2,0))</f>
        <v/>
      </c>
      <c r="EH16" s="211" t="str">
        <f>IF(ISERROR(VLOOKUP(CONCATENATE($EH$7,"-",MID(E16,1,100)),DATOS!Z:AA,2,0)),"",VLOOKUP(CONCATENATE($EH$7,"-",MID(E16,1,100)),DATOS!Z:AA,2,0))</f>
        <v/>
      </c>
      <c r="EI16" s="211" t="str">
        <f>IF(ISERROR(VLOOKUP(CONCATENATE($EI$7,"-",MID(E16,1,100)),DATOS!Z:AA,2,0)),"",VLOOKUP(CONCATENATE($EI$7,"-",MID(E16,1,100)),DATOS!Z:AA,2,0))</f>
        <v/>
      </c>
      <c r="EJ16" s="211" t="str">
        <f>IF(ISERROR(VLOOKUP(CONCATENATE($EJ$7,"-",MID(E16,1,100)),DATOS!Z:AA,2,0)),"",VLOOKUP(CONCATENATE($EJ$7,"-",MID(E16,1,100)),DATOS!Z:AA,2,0))</f>
        <v/>
      </c>
      <c r="EK16" s="211" t="str">
        <f>IF(ISERROR(VLOOKUP(CONCATENATE($EK$7,"-",MID(E16,1,100)),DATOS!Z:AA,2,0)),"",VLOOKUP(CONCATENATE($EK$7,"-",MID(E16,1,100)),DATOS!Z:AA,2,0))</f>
        <v/>
      </c>
      <c r="EL16" s="211" t="str">
        <f>IF(ISERROR(VLOOKUP(CONCATENATE($EL$7,"-",MID(E16,1,100)),DATOS!Z:AA,2,0)),"",VLOOKUP(CONCATENATE($EL$7,"-",MID(E16,1,100)),DATOS!Z:AA,2,0))</f>
        <v/>
      </c>
      <c r="EM16" s="211" t="str">
        <f>IF(ISERROR(VLOOKUP(CONCATENATE($EM$7,"-",MID(E16,1,100)),DATOS!Z:AA,2,0)),"",VLOOKUP(CONCATENATE($EM$7,"-",MID(E16,1,100)),DATOS!Z:AA,2,0))</f>
        <v/>
      </c>
      <c r="EN16" s="211" t="str">
        <f>IF(ISERROR(VLOOKUP(CONCATENATE($EN$7,"-",MID(E16,1,100)),DATOS!Z:AA,2,0)),"",VLOOKUP(CONCATENATE($EN$7,"-",MID(E16,1,100)),DATOS!Z:AA,2,0))</f>
        <v/>
      </c>
      <c r="EO16" s="212" t="str">
        <f>IF(ISERROR(VLOOKUP(CONCATENATE($EO$7,"-",MID(E16,1,100)),DATOS!Z:AA,2,0)),"",VLOOKUP(CONCATENATE($EO$7,"-",MID(E16,1,100)),DATOS!Z:AA,2,0))</f>
        <v/>
      </c>
      <c r="EP16" s="175">
        <f t="shared" si="0"/>
        <v>2</v>
      </c>
      <c r="EQ16" s="159" t="str">
        <f t="shared" si="1"/>
        <v>CG3: Investigación-N3</v>
      </c>
    </row>
    <row r="17" spans="1:147" ht="17.25" customHeight="1">
      <c r="A17" s="148"/>
      <c r="B17" s="151" t="str">
        <f>IF('1.Fundamentos'!B55="","",'1.Fundamentos'!B55)</f>
        <v>CG4: Gestión de Recursos</v>
      </c>
      <c r="C17" s="152" t="s">
        <v>78</v>
      </c>
      <c r="D17" s="153" t="str">
        <f>IF('1.Fundamentos'!F55="","",'1.Fundamentos'!F55)</f>
        <v>Reconoce la teoría de gestión y sus componentes de manera aplicada para comprender la lógica empresarial.</v>
      </c>
      <c r="E17" s="154" t="str">
        <f t="shared" si="2"/>
        <v>CG4: Gestión de Recursos:N1 Reconoce la teoría de gestión y sus componentes de manera aplicada para comprender la lógica empresarial.</v>
      </c>
      <c r="F17" s="204" t="str">
        <f>IF(ISERROR(VLOOKUP(CONCATENATE($F$7,"-",MID(E17,1,100)),DATOS!Z:AA,2,0)),"",VLOOKUP(CONCATENATE($F$7,"-",MID(E17,1,100)),DATOS!Z:AA,2,0))</f>
        <v>a</v>
      </c>
      <c r="G17" s="205" t="str">
        <f>IF(ISERROR(VLOOKUP(CONCATENATE($G$7,"-",MID(E17,1,100)),DATOS!Z:AA,2,0)),"",VLOOKUP(CONCATENATE($G$7,"-",MID(E17,1,100)),DATOS!Z:AA,2,0))</f>
        <v/>
      </c>
      <c r="H17" s="205" t="str">
        <f>IF(ISERROR(VLOOKUP(CONCATENATE($H$7,"-",MID(E17,1,100)),DATOS!Z:AA,2,0)),"",VLOOKUP(CONCATENATE($H$7,"-",MID(E17,1,100)),DATOS!Z:AA,2,0))</f>
        <v/>
      </c>
      <c r="I17" s="205" t="str">
        <f>IF(ISERROR(VLOOKUP(CONCATENATE($I$7,"-",MID(E17,1,100)),DATOS!Z:AA,2,0)),"",VLOOKUP(CONCATENATE($I$7,"-",MID(E17,1,100)),DATOS!Z:AA,2,0))</f>
        <v/>
      </c>
      <c r="J17" s="205" t="str">
        <f>IF(ISERROR(VLOOKUP(CONCATENATE($J$7,"-",MID(E17,1,100)),DATOS!Z:AA,2,0)),"",VLOOKUP(CONCATENATE($J$7,"-",MID(E17,1,100)),DATOS!Z:AA,2,0))</f>
        <v/>
      </c>
      <c r="K17" s="205" t="str">
        <f>IF(ISERROR(VLOOKUP(CONCATENATE($K$7,"-",MID(E17,1,100)),DATOS!Z:AA,2,0)),"",VLOOKUP(CONCATENATE($K$7,"-",MID(E17,1,100)),DATOS!Z:AA,2,0))</f>
        <v/>
      </c>
      <c r="L17" s="205" t="str">
        <f>IF(ISERROR(VLOOKUP(CONCATENATE($L$7,"-",MID(E17,1,100)),DATOS!Z:AA,2,0)),"",VLOOKUP(CONCATENATE($L$7,"-",MID(E17,1,100)),DATOS!Z:AA,2,0))</f>
        <v/>
      </c>
      <c r="M17" s="205" t="str">
        <f>IF(ISERROR(VLOOKUP(CONCATENATE($M$7,"-",MID(E17,1,100)),DATOS!Z:AA,2,0)),"",VLOOKUP(CONCATENATE($M$7,"-",MID(E17,1,100)),DATOS!Z:AA,2,0))</f>
        <v/>
      </c>
      <c r="N17" s="205" t="str">
        <f>IF(ISERROR(VLOOKUP(CONCATENATE($N$7,"-",MID(E17,1,100)),DATOS!Z:AA,2,0)),"",VLOOKUP(CONCATENATE($N$7,"-",MID(E17,1,100)),DATOS!Z:AA,2,0))</f>
        <v/>
      </c>
      <c r="O17" s="206" t="str">
        <f>IF(ISERROR(VLOOKUP(CONCATENATE($O$7,"-",MID(E17,1,100)),DATOS!Z:AA,2,0)),"",VLOOKUP(CONCATENATE($O$7,"-",MID(E17,1,100)),DATOS!Z:AA,2,0))</f>
        <v/>
      </c>
      <c r="P17" s="204" t="str">
        <f>IF(ISERROR(VLOOKUP(CONCATENATE($P$7,"-",MID(E17,1,100)),DATOS!Z:AA,2,0)),"",VLOOKUP(CONCATENATE($P$7,"-",MID(E17,1,100)),DATOS!Z:AA,2,0))</f>
        <v/>
      </c>
      <c r="Q17" s="205" t="str">
        <f>IF(ISERROR(VLOOKUP(CONCATENATE($Q$7,"-",MID(E17,1,100)),DATOS!Z:AA,2,0)),"",VLOOKUP(CONCATENATE($Q$7,"-",MID(E17,1,100)),DATOS!Z:AA,2,0))</f>
        <v/>
      </c>
      <c r="R17" s="205" t="str">
        <f>IF(ISERROR(VLOOKUP(CONCATENATE($R$7,"-",MID(E17,1,100)),DATOS!Z:AA,2,0)),"",VLOOKUP(CONCATENATE($R$7,"-",MID(E17,1,100)),DATOS!Z:AA,2,0))</f>
        <v/>
      </c>
      <c r="S17" s="205" t="str">
        <f>IF(ISERROR(VLOOKUP(CONCATENATE($S$7,"-",MID(E17,1,100)),DATOS!Z:AA,2,0)),"",VLOOKUP(CONCATENATE($S$7,"-",MID(E17,1,100)),DATOS!Z:AA,2,0))</f>
        <v/>
      </c>
      <c r="T17" s="205" t="str">
        <f>IF(ISERROR(VLOOKUP(CONCATENATE($T$7,"-",MID(E17,1,100)),DATOS!Z:AA,2,0)),"",VLOOKUP(CONCATENATE($T$7,"-",MID(E17,1,100)),DATOS!Z:AA,2,0))</f>
        <v>a</v>
      </c>
      <c r="U17" s="205" t="str">
        <f>IF(ISERROR(VLOOKUP(CONCATENATE($U$7,"-",MID(E17,1,100)),DATOS!Z:AA,2,0)),"",VLOOKUP(CONCATENATE($U$7,"-",MID(E17,1,100)),DATOS!Z:AA,2,0))</f>
        <v/>
      </c>
      <c r="V17" s="205" t="str">
        <f>IF(ISERROR(VLOOKUP(CONCATENATE($V$7,"-",MID(E17,1,100)),DATOS!Z:AA,2,0)),"",VLOOKUP(CONCATENATE($V$7,"-",MID(E17,1,100)),DATOS!Z:AA,2,0))</f>
        <v/>
      </c>
      <c r="W17" s="205" t="str">
        <f>IF(ISERROR(VLOOKUP(CONCATENATE($W$7,"-",MID(E17,1,100)),DATOS!Z:AA,2,0)),"",VLOOKUP(CONCATENATE($W$7,"-",MID(E17,1,100)),DATOS!Z:AA,2,0))</f>
        <v/>
      </c>
      <c r="X17" s="205" t="str">
        <f>IF(ISERROR(VLOOKUP(CONCATENATE($X$7,"-",MID(E17,1,100)),DATOS!Z:AA,2,0)),"",VLOOKUP(CONCATENATE($X$7,"-",MID(E17,1,100)),DATOS!Z:AA,2,0))</f>
        <v/>
      </c>
      <c r="Y17" s="206" t="str">
        <f>IF(ISERROR(VLOOKUP(CONCATENATE($Y$7,"-",MID(E17,1,100)),DATOS!Z:AA,2,0)),"",VLOOKUP(CONCATENATE($Y$7,"-",MID(E17,1,100)),DATOS!Z:AA,2,0))</f>
        <v/>
      </c>
      <c r="Z17" s="204" t="str">
        <f>IF(ISERROR(VLOOKUP(CONCATENATE($Z$7,"-",MID(E17,1,100)),DATOS!Z:AA,2,0)),"",VLOOKUP(CONCATENATE($Z$7,"-",MID(E17,1,100)),DATOS!Z:AA,2,0))</f>
        <v/>
      </c>
      <c r="AA17" s="205" t="str">
        <f>IF(ISERROR(VLOOKUP(CONCATENATE($AA$7,"-",MID(E17,1,100)),DATOS!Z:AA,2,0)),"",VLOOKUP(CONCATENATE($AA$7,"-",MID(E17,1,100)),DATOS!Z:AA,2,0))</f>
        <v/>
      </c>
      <c r="AB17" s="205" t="str">
        <f>IF(ISERROR(VLOOKUP(CONCATENATE($AB$7,"-",MID(E17,1,100)),DATOS!Z:AA,2,0)),"",VLOOKUP(CONCATENATE($AB$7,"-",MID(E17,1,100)),DATOS!Z:AA,2,0))</f>
        <v>a</v>
      </c>
      <c r="AC17" s="205" t="str">
        <f>IF(ISERROR(VLOOKUP(CONCATENATE($AC$7,"-",MID(E17,1,100)),DATOS!Z:AA,2,0)),"",VLOOKUP(CONCATENATE($AC$7,"-",MID(E17,1,100)),DATOS!Z:AA,2,0))</f>
        <v/>
      </c>
      <c r="AD17" s="205" t="str">
        <f>IF(ISERROR(VLOOKUP(CONCATENATE($AD$7,"-",MID(E17,1,100)),DATOS!Z:AA,2,0)),"",VLOOKUP(CONCATENATE($AD$7,"-",MID(E17,1,100)),DATOS!Z:AA,2,0))</f>
        <v/>
      </c>
      <c r="AE17" s="205" t="str">
        <f>IF(ISERROR(VLOOKUP(CONCATENATE($AE$7,"-",MID(E17,1,100)),DATOS!Z:AA,2,0)),"",VLOOKUP(CONCATENATE($AE$7,"-",MID(E17,1,100)),DATOS!Z:AA,2,0))</f>
        <v/>
      </c>
      <c r="AF17" s="205" t="str">
        <f>IF(ISERROR(VLOOKUP(CONCATENATE($AF$7,"-",MID(E17,1,100)),DATOS!Z:AA,2,0)),"",VLOOKUP(CONCATENATE($AF$7,"-",MID(E17,1,100)),DATOS!Z:AA,2,0))</f>
        <v/>
      </c>
      <c r="AG17" s="205" t="str">
        <f>IF(ISERROR(VLOOKUP(CONCATENATE($AG$7,"-",MID(E17,1,100)),DATOS!Z:AA,2,0)),"",VLOOKUP(CONCATENATE($AG$7,"-",MID(E17,1,100)),DATOS!Z:AA,2,0))</f>
        <v/>
      </c>
      <c r="AH17" s="205" t="str">
        <f>IF(ISERROR(VLOOKUP(CONCATENATE($AH$7,"-",MID(E17,1,100)),DATOS!Z:AA,2,0)),"",VLOOKUP(CONCATENATE($AH$7,"-",MID(E17,1,100)),DATOS!Z:AA,2,0))</f>
        <v/>
      </c>
      <c r="AI17" s="206" t="str">
        <f>IF(ISERROR(VLOOKUP(CONCATENATE($AI$7,"-",MID(E17,1,100)),DATOS!Z:AA,2,0)),"",VLOOKUP(CONCATENATE($AI$7,"-",MID(E17,1,100)),DATOS!Z:AA,2,0))</f>
        <v/>
      </c>
      <c r="AJ17" s="204" t="str">
        <f>IF(ISERROR(VLOOKUP(CONCATENATE($AJ$7,"-",MID(E17,1,100)),DATOS!Z:AA,2,0)),"",VLOOKUP(CONCATENATE($AJ$7,"-",MID(E17,1,100)),DATOS!Z:AA,2,0))</f>
        <v/>
      </c>
      <c r="AK17" s="205" t="str">
        <f>IF(ISERROR(VLOOKUP(CONCATENATE($AK$7,"-",MID(E17,1,100)),DATOS!Z:AA,2,0)),"",VLOOKUP(CONCATENATE($AK$7,"-",MID(E17,1,100)),DATOS!Z:AA,2,0))</f>
        <v/>
      </c>
      <c r="AL17" s="205" t="str">
        <f>IF(ISERROR(VLOOKUP(CONCATENATE($AL$7,"-",MID(E17,1,100)),DATOS!Z:AA,2,0)),"",VLOOKUP(CONCATENATE($AL$7,"-",MID(E17,1,100)),DATOS!Z:AA,2,0))</f>
        <v/>
      </c>
      <c r="AM17" s="205" t="str">
        <f>IF(ISERROR(VLOOKUP(CONCATENATE($AM$7,"-",MID(E17,1,100)),DATOS!Z:AA,2,0)),"",VLOOKUP(CONCATENATE($AM$7,"-",MID(E17,1,100)),DATOS!Z:AA,2,0))</f>
        <v/>
      </c>
      <c r="AN17" s="205" t="str">
        <f>IF(ISERROR(VLOOKUP(CONCATENATE($AN$7,"-",MID(E17,1,100)),DATOS!Z:AA,2,0)),"",VLOOKUP(CONCATENATE($AN$7,"-",MID(E17,1,100)),DATOS!Z:AA,2,0))</f>
        <v>a</v>
      </c>
      <c r="AO17" s="205" t="str">
        <f>IF(ISERROR(VLOOKUP(CONCATENATE($AO$7,"-",MID(E17,1,100)),DATOS!Z:AA,2,0)),"",VLOOKUP(CONCATENATE($AO$7,"-",MID(E17,1,100)),DATOS!Z:AA,2,0))</f>
        <v/>
      </c>
      <c r="AP17" s="205" t="str">
        <f>IF(ISERROR(VLOOKUP(CONCATENATE($AP$7,"-",MID(E17,1,100)),DATOS!Z:AA,2,0)),"",VLOOKUP(CONCATENATE($AP$7,"-",MID(E17,1,100)),DATOS!Z:AA,2,0))</f>
        <v/>
      </c>
      <c r="AQ17" s="205" t="str">
        <f>IF(ISERROR(VLOOKUP(CONCATENATE($AQ$7,"-",MID(E17,1,100)),DATOS!Z:AA,2,0)),"",VLOOKUP(CONCATENATE($AQ$7,"-",MID(E17,1,100)),DATOS!Z:AA,2,0))</f>
        <v/>
      </c>
      <c r="AR17" s="205" t="str">
        <f>IF(ISERROR(VLOOKUP(CONCATENATE($AR$7,"-",MID(E17,1,100)),DATOS!Z:AA,2,0)),"",VLOOKUP(CONCATENATE($AR$7,"-",MID(E17,1,100)),DATOS!Z:AA,2,0))</f>
        <v/>
      </c>
      <c r="AS17" s="206" t="str">
        <f>IF(ISERROR(VLOOKUP(CONCATENATE($AS$7,"-",MID(E17,1,100)),DATOS!Z:AA,2,0)),"",VLOOKUP(CONCATENATE($AS$7,"-",MID(E17,1,100)),DATOS!Z:AA,2,0))</f>
        <v/>
      </c>
      <c r="AT17" s="155" t="str">
        <f>IF(ISERROR(VLOOKUP(CONCATENATE($AT$7,"-",MID(E17,1,100)),DATOS!Z:AA,2,0)),"",VLOOKUP(CONCATENATE($AT$7,"-",MID(E17,1,100)),DATOS!Z:AA,2,0))</f>
        <v/>
      </c>
      <c r="AU17" s="156" t="str">
        <f>IF(ISERROR(VLOOKUP(CONCATENATE($AU$7,"-",MID(E17,1,100)),DATOS!Z:AA,2,0)),"",VLOOKUP(CONCATENATE($AU$7,"-",MID(E17,1,100)),DATOS!Z:AA,2,0))</f>
        <v/>
      </c>
      <c r="AV17" s="156" t="str">
        <f>IF(ISERROR(VLOOKUP(CONCATENATE($AV$7,"-",MID(E17,1,100)),DATOS!Z:AA,2,0)),"",VLOOKUP(CONCATENATE($AV$7,"-",MID(E17,1,100)),DATOS!Z:AA,2,0))</f>
        <v/>
      </c>
      <c r="AW17" s="156" t="str">
        <f>IF(ISERROR(VLOOKUP(CONCATENATE($AW$7,"-",MID(E17,1,100)),DATOS!Z:AA,2,0)),"",VLOOKUP(CONCATENATE($AW$7,"-",MID(E17,1,100)),DATOS!Z:AA,2,0))</f>
        <v/>
      </c>
      <c r="AX17" s="156" t="str">
        <f>IF(ISERROR(VLOOKUP(CONCATENATE($AX$7,"-",MID(E17,1,100)),DATOS!Z:AA,2,0)),"",VLOOKUP(CONCATENATE($AX$7,"-",MID(E17,1,100)),DATOS!Z:AA,2,0))</f>
        <v/>
      </c>
      <c r="AY17" s="156" t="str">
        <f>IF(ISERROR(VLOOKUP(CONCATENATE($AY$7,"-",MID(E17,1,100)),DATOS!Z:AA,2,0)),"",VLOOKUP(CONCATENATE($AY$7,"-",MID(E17,1,100)),DATOS!Z:AA,2,0))</f>
        <v/>
      </c>
      <c r="AZ17" s="156" t="str">
        <f>IF(ISERROR(VLOOKUP(CONCATENATE($AZ$7,"-",MID(E17,1,100)),DATOS!Z:AA,2,0)),"",VLOOKUP(CONCATENATE($AZ$7,"-",MID(E17,1,100)),DATOS!Z:AA,2,0))</f>
        <v/>
      </c>
      <c r="BA17" s="156" t="str">
        <f>IF(ISERROR(VLOOKUP(CONCATENATE($BA$7,"-",MID(E17,1,100)),DATOS!Z:AA,2,0)),"",VLOOKUP(CONCATENATE($BA$7,"-",MID(E17,1,100)),DATOS!Z:AA,2,0))</f>
        <v/>
      </c>
      <c r="BB17" s="156" t="str">
        <f>IF(ISERROR(VLOOKUP(CONCATENATE($BB$7,"-",MID(E17,1,100)),DATOS!Z:AA,2,0)),"",VLOOKUP(CONCATENATE($BB$7,"-",MID(E17,1,100)),DATOS!Z:AA,2,0))</f>
        <v/>
      </c>
      <c r="BC17" s="157" t="str">
        <f>IF(ISERROR(VLOOKUP(CONCATENATE($BC$7,"-",MID(E17,1,100)),DATOS!Z:AA,2,0)),"",VLOOKUP(CONCATENATE($BC$7,"-",MID(E17,1,100)),DATOS!Z:AA,2,0))</f>
        <v/>
      </c>
      <c r="BD17" s="155" t="str">
        <f>IF(ISERROR(VLOOKUP(CONCATENATE($BD$7,"-",MID(E17,1,100)),DATOS!Z:AA,2,0)),"",VLOOKUP(CONCATENATE($BD$7,"-",MID(E17,1,100)),DATOS!Z:AA,2,0))</f>
        <v/>
      </c>
      <c r="BE17" s="156" t="str">
        <f>IF(ISERROR(VLOOKUP(CONCATENATE($BE$7,"-",MID(E17,1,100)),DATOS!Z:AA,2,0)),"",VLOOKUP(CONCATENATE($BE$7,"-",MID(E17,1,100)),DATOS!Z:AA,2,0))</f>
        <v/>
      </c>
      <c r="BF17" s="156" t="str">
        <f>IF(ISERROR(VLOOKUP(CONCATENATE($BF$7,"-",MID(E17,1,100)),DATOS!Z:AA,2,0)),"",VLOOKUP(CONCATENATE($BF$7,"-",MID(E17,1,100)),DATOS!Z:AA,2,0))</f>
        <v/>
      </c>
      <c r="BG17" s="156" t="str">
        <f>IF(ISERROR(VLOOKUP(CONCATENATE($BG$7,"-",MID(E17,1,100)),DATOS!Z:AA,2,0)),"",VLOOKUP(CONCATENATE($BG$7,"-",MID(E17,1,100)),DATOS!Z:AA,2,0))</f>
        <v/>
      </c>
      <c r="BH17" s="156" t="str">
        <f>IF(ISERROR(VLOOKUP(CONCATENATE($BH$7,"-",MID(E17,1,100)),DATOS!Z:AA,2,0)),"",VLOOKUP(CONCATENATE($BH$7,"-",MID(E17,1,100)),DATOS!Z:AA,2,0))</f>
        <v/>
      </c>
      <c r="BI17" s="156" t="str">
        <f>IF(ISERROR(VLOOKUP(CONCATENATE($BI$7,"-",MID(E17,1,100)),DATOS!Z:AA,2,0)),"",VLOOKUP(CONCATENATE($BI$7,"-",MID(E17,1,100)),DATOS!Z:AA,2,0))</f>
        <v/>
      </c>
      <c r="BJ17" s="156" t="str">
        <f>IF(ISERROR(VLOOKUP(CONCATENATE($BJ$7,"-",MID(E17,1,100)),DATOS!Z:AA,2,0)),"",VLOOKUP(CONCATENATE($BJ$7,"-",MID(E17,1,100)),DATOS!Z:AA,2,0))</f>
        <v/>
      </c>
      <c r="BK17" s="156" t="str">
        <f>IF(ISERROR(VLOOKUP(CONCATENATE($BK$7,"-",MID(E17,1,100)),DATOS!Z:AA,2,0)),"",VLOOKUP(CONCATENATE($BK$7,"-",MID(E17,1,100)),DATOS!Z:AA,2,0))</f>
        <v/>
      </c>
      <c r="BL17" s="156" t="str">
        <f>IF(ISERROR(VLOOKUP(CONCATENATE($BL$7,"-",MID(E17,1,100)),DATOS!Z:AA,2,0)),"",VLOOKUP(CONCATENATE($BL$7,"-",MID(E17,1,100)),DATOS!Z:AA,2,0))</f>
        <v/>
      </c>
      <c r="BM17" s="157" t="str">
        <f>IF(ISERROR(VLOOKUP(CONCATENATE($BM$7,"-",MID(E17,1,100)),DATOS!Z:AA,2,0)),"",VLOOKUP(CONCATENATE($BM$7,"-",MID(E17,1,100)),DATOS!Z:AA,2,0))</f>
        <v/>
      </c>
      <c r="BN17" s="155" t="str">
        <f>IF(ISERROR(VLOOKUP(CONCATENATE($BN$7,"-",MID(E17,1,100)),DATOS!Z:AA,2,0)),"",VLOOKUP(CONCATENATE($BN$7,"-",MID(E17,1,100)),DATOS!Z:AA,2,0))</f>
        <v/>
      </c>
      <c r="BO17" s="156" t="str">
        <f>IF(ISERROR(VLOOKUP(CONCATENATE($BO$7,"-",MID(E17,1,100)),DATOS!Z:AA,2,0)),"",VLOOKUP(CONCATENATE($BO$7,"-",MID(E17,1,100)),DATOS!Z:AA,2,0))</f>
        <v/>
      </c>
      <c r="BP17" s="156" t="str">
        <f>IF(ISERROR(VLOOKUP(CONCATENATE($BP$7,"-",MID(E17,1,100)),DATOS!Z:AA,2,0)),"",VLOOKUP(CONCATENATE($BP$7,"-",MID(E17,1,100)),DATOS!Z:AA,2,0))</f>
        <v/>
      </c>
      <c r="BQ17" s="156" t="str">
        <f>IF(ISERROR(VLOOKUP(CONCATENATE($BQ$7,"-",MID(E17,1,100)),DATOS!Z:AA,2,0)),"",VLOOKUP(CONCATENATE($BQ$7,"-",MID(E17,1,100)),DATOS!Z:AA,2,0))</f>
        <v/>
      </c>
      <c r="BR17" s="156" t="str">
        <f>IF(ISERROR(VLOOKUP(CONCATENATE($BR$7,"-",MID(E17,1,100)),DATOS!Z:AA,2,0)),"",VLOOKUP(CONCATENATE($BR$7,"-",MID(E17,1,100)),DATOS!Z:AA,2,0))</f>
        <v/>
      </c>
      <c r="BS17" s="156" t="str">
        <f>IF(ISERROR(VLOOKUP(CONCATENATE($BS$7,"-",MID(E17,1,100)),DATOS!Z:AA,2,0)),"",VLOOKUP(CONCATENATE($BS$7,"-",MID(E17,1,100)),DATOS!Z:AA,2,0))</f>
        <v/>
      </c>
      <c r="BT17" s="156" t="str">
        <f>IF(ISERROR(VLOOKUP(CONCATENATE($BT$7,"-",MID(E17,1,100)),DATOS!Z:AA,2,0)),"",VLOOKUP(CONCATENATE($BT$7,"-",MID(E17,1,100)),DATOS!Z:AA,2,0))</f>
        <v/>
      </c>
      <c r="BU17" s="156" t="str">
        <f>IF(ISERROR(VLOOKUP(CONCATENATE($BU$7,"-",MID(E17,1,100)),DATOS!Z:AA,2,0)),"",VLOOKUP(CONCATENATE($BU$7,"-",MID(E17,1,100)),DATOS!Z:AA,2,0))</f>
        <v/>
      </c>
      <c r="BV17" s="156" t="str">
        <f>IF(ISERROR(VLOOKUP(CONCATENATE($BV$7,"-",MID(E17,1,100)),DATOS!Z:AA,2,0)),"",VLOOKUP(CONCATENATE($BV$7,"-",MID(E17,1,100)),DATOS!Z:AA,2,0))</f>
        <v/>
      </c>
      <c r="BW17" s="157" t="str">
        <f>IF(ISERROR(VLOOKUP(CONCATENATE($BW$7,"-",MID(E17,1,100)),DATOS!Z:AA,2,0)),"",VLOOKUP(CONCATENATE($BW$7,"-",MID(E17,1,100)),DATOS!Z:AA,2,0))</f>
        <v/>
      </c>
      <c r="BX17" s="155" t="str">
        <f>IF(ISERROR(VLOOKUP(CONCATENATE($BX$7,"-",MID(E17,1,100)),DATOS!Z:AA,2,0)),"",VLOOKUP(CONCATENATE($BX$7,"-",MID(E17,1,100)),DATOS!Z:AA,2,0))</f>
        <v/>
      </c>
      <c r="BY17" s="156" t="str">
        <f>IF(ISERROR(VLOOKUP(CONCATENATE($BY$7,"-",MID(E17,1,100)),DATOS!Z:AA,2,0)),"",VLOOKUP(CONCATENATE($BY$7,"-",MID(E17,1,100)),DATOS!Z:AA,2,0))</f>
        <v/>
      </c>
      <c r="BZ17" s="156" t="str">
        <f>IF(ISERROR(VLOOKUP(CONCATENATE($BZ$7,"-",MID(E17,1,100)),DATOS!Z:AA,2,0)),"",VLOOKUP(CONCATENATE($BZ$7,"-",MID(E17,1,100)),DATOS!Z:AA,2,0))</f>
        <v/>
      </c>
      <c r="CA17" s="156" t="str">
        <f>IF(ISERROR(VLOOKUP(CONCATENATE($CA$7,"-",MID(E17,1,100)),DATOS!Z:AA,2,0)),"",VLOOKUP(CONCATENATE($CA$7,"-",MID(E17,1,100)),DATOS!Z:AA,2,0))</f>
        <v/>
      </c>
      <c r="CB17" s="156" t="str">
        <f>IF(ISERROR(VLOOKUP(CONCATENATE($CB$7,"-",MID(E17,1,100)),DATOS!Z:AA,2,0)),"",VLOOKUP(CONCATENATE($CB$7,"-",MID(E17,1,100)),DATOS!Z:AA,2,0))</f>
        <v/>
      </c>
      <c r="CC17" s="156" t="str">
        <f>IF(ISERROR(VLOOKUP(CONCATENATE($CC$7,"-",MID(E17,1,100)),DATOS!Z:AA,2,0)),"",VLOOKUP(CONCATENATE($CC$7,"-",MID(E17,1,100)),DATOS!Z:AA,2,0))</f>
        <v/>
      </c>
      <c r="CD17" s="156" t="str">
        <f>IF(ISERROR(VLOOKUP(CONCATENATE($CD$7,"-",MID(E17,1,100)),DATOS!Z:AA,2,0)),"",VLOOKUP(CONCATENATE($CD$7,"-",MID(E17,1,100)),DATOS!Z:AA,2,0))</f>
        <v/>
      </c>
      <c r="CE17" s="156" t="str">
        <f>IF(ISERROR(VLOOKUP(CONCATENATE($CE$7,"-",MID(E17,1,100)),DATOS!Z:AA,2,0)),"",VLOOKUP(CONCATENATE($CE$7,"-",MID(E17,1,100)),DATOS!Z:AA,2,0))</f>
        <v/>
      </c>
      <c r="CF17" s="156" t="str">
        <f>IF(ISERROR(VLOOKUP(CONCATENATE($CF$7,"-",MID(E17,1,100)),DATOS!Z:AA,2,0)),"",VLOOKUP(CONCATENATE($CF$7,"-",MID(E17,1,100)),DATOS!Z:AA,2,0))</f>
        <v/>
      </c>
      <c r="CG17" s="157" t="str">
        <f>IF(ISERROR(VLOOKUP(CONCATENATE($CG$7,"-",MID(E17,1,100)),DATOS!Z:AA,2,0)),"",VLOOKUP(CONCATENATE($CG$7,"-",MID(E17,1,100)),DATOS!Z:AA,2,0))</f>
        <v/>
      </c>
      <c r="CH17" s="155" t="str">
        <f>IF(ISERROR(VLOOKUP(CONCATENATE($CH$7,"-",MID(E17,1,100)),DATOS!Z:AA,2,0)),"",VLOOKUP(CONCATENATE($CH$7,"-",MID(E17,1,100)),DATOS!Z:AA,2,0))</f>
        <v/>
      </c>
      <c r="CI17" s="156" t="str">
        <f>IF(ISERROR(VLOOKUP(CONCATENATE($CI$7,"-",MID(E17,1,100)),DATOS!Z:AA,2,0)),"",VLOOKUP(CONCATENATE($CI$7,"-",MID(E17,1,100)),DATOS!Z:AA,2,0))</f>
        <v/>
      </c>
      <c r="CJ17" s="156" t="str">
        <f>IF(ISERROR(VLOOKUP(CONCATENATE($CJ$7,"-",MID(E17,1,100)),DATOS!Z:AA,2,0)),"",VLOOKUP(CONCATENATE($CJ$7,"-",MID(E17,1,100)),DATOS!Z:AA,2,0))</f>
        <v/>
      </c>
      <c r="CK17" s="156" t="str">
        <f>IF(ISERROR(VLOOKUP(CONCATENATE($CK$7,"-",MID(E17,1,100)),DATOS!Z:AA,2,0)),"",VLOOKUP(CONCATENATE($CK$7,"-",MID(E17,1,100)),DATOS!Z:AA,2,0))</f>
        <v/>
      </c>
      <c r="CL17" s="156" t="str">
        <f>IF(ISERROR(VLOOKUP(CONCATENATE($CL$7,"-",MID(E17,1,100)),DATOS!Z:AA,2,0)),"",VLOOKUP(CONCATENATE($CL$7,"-",MID(E17,1,100)),DATOS!Z:AA,2,0))</f>
        <v/>
      </c>
      <c r="CM17" s="156" t="str">
        <f>IF(ISERROR(VLOOKUP(CONCATENATE($CM$7,"-",MID(E17,1,100)),DATOS!Z:AA,2,0)),"",VLOOKUP(CONCATENATE($CM$7,"-",MID(E17,1,100)),DATOS!Z:AA,2,0))</f>
        <v/>
      </c>
      <c r="CN17" s="156" t="str">
        <f>IF(ISERROR(VLOOKUP(CONCATENATE($CN$7,"-",MID(E17,1,100)),DATOS!Z:AA,2,0)),"",VLOOKUP(CONCATENATE($CN$7,"-",MID(E17,1,100)),DATOS!Z:AA,2,0))</f>
        <v/>
      </c>
      <c r="CO17" s="156" t="str">
        <f>IF(ISERROR(VLOOKUP(CONCATENATE($CO$7,"-",MID(E17,1,100)),DATOS!Z:AA,2,0)),"",VLOOKUP(CONCATENATE($CO$7,"-",MID(E17,1,100)),DATOS!Z:AA,2,0))</f>
        <v/>
      </c>
      <c r="CP17" s="194" t="str">
        <f>IF(ISERROR(VLOOKUP(CONCATENATE($CP$7,"-",MID(E17,1,100)),DATOS!Z:AA,2,0)),"",VLOOKUP(CONCATENATE($CP$7,"-",MID(E17,1,100)),DATOS!Z:AA,2,0))</f>
        <v/>
      </c>
      <c r="CQ17" s="157" t="str">
        <f>IF(ISERROR(VLOOKUP(CONCATENATE($CQ$7,"-",MID(E17,1,100)),DATOS!Z:AA,2,0)),"",VLOOKUP(CONCATENATE($CQ$7,"-",MID(E17,1,100)),DATOS!Z:AA,2,0))</f>
        <v/>
      </c>
      <c r="CR17" s="155" t="str">
        <f>IF(ISERROR(VLOOKUP(CONCATENATE(CR$7,"-",MID($E17,1,100)),DATOS!$Z:$AA,2,0)),"",VLOOKUP(CONCATENATE(CR$7,"-",MID($E17,1,100)),DATOS!$Z:$AA,2,0))</f>
        <v/>
      </c>
      <c r="CS17" s="156" t="str">
        <f>IF(ISERROR(VLOOKUP(CONCATENATE(CS$7,"-",MID($E17,1,100)),DATOS!$Z:$AA,2,0)),"",VLOOKUP(CONCATENATE(CS$7,"-",MID($E17,1,100)),DATOS!$Z:$AA,2,0))</f>
        <v/>
      </c>
      <c r="CT17" s="156" t="str">
        <f>IF(ISERROR(VLOOKUP(CONCATENATE(CT$7,"-",MID($E17,1,100)),DATOS!$Z:$AA,2,0)),"",VLOOKUP(CONCATENATE(CT$7,"-",MID($E17,1,100)),DATOS!$Z:$AA,2,0))</f>
        <v/>
      </c>
      <c r="CU17" s="156" t="str">
        <f>IF(ISERROR(VLOOKUP(CONCATENATE(CU$7,"-",MID($E17,1,100)),DATOS!$Z:$AA,2,0)),"",VLOOKUP(CONCATENATE(CU$7,"-",MID($E17,1,100)),DATOS!$Z:$AA,2,0))</f>
        <v/>
      </c>
      <c r="CV17" s="156" t="str">
        <f>IF(ISERROR(VLOOKUP(CONCATENATE(CV$7,"-",MID($E17,1,100)),DATOS!$Z:$AA,2,0)),"",VLOOKUP(CONCATENATE(CV$7,"-",MID($E17,1,100)),DATOS!$Z:$AA,2,0))</f>
        <v/>
      </c>
      <c r="CW17" s="156" t="str">
        <f>IF(ISERROR(VLOOKUP(CONCATENATE(CW$7,"-",MID($E17,1,100)),DATOS!$Z:$AA,2,0)),"",VLOOKUP(CONCATENATE(CW$7,"-",MID($E17,1,100)),DATOS!$Z:$AA,2,0))</f>
        <v/>
      </c>
      <c r="CX17" s="156" t="str">
        <f>IF(ISERROR(VLOOKUP(CONCATENATE(CX$7,"-",MID($E17,1,100)),DATOS!$Z:$AA,2,0)),"",VLOOKUP(CONCATENATE(CX$7,"-",MID($E17,1,100)),DATOS!$Z:$AA,2,0))</f>
        <v/>
      </c>
      <c r="CY17" s="156" t="str">
        <f>IF(ISERROR(VLOOKUP(CONCATENATE(CY$7,"-",MID($E17,1,100)),DATOS!$Z:$AA,2,0)),"",VLOOKUP(CONCATENATE(CY$7,"-",MID($E17,1,100)),DATOS!$Z:$AA,2,0))</f>
        <v/>
      </c>
      <c r="CZ17" s="194" t="str">
        <f>IF(ISERROR(VLOOKUP(CONCATENATE(CZ$7,"-",MID($E17,1,100)),DATOS!$Z:$AA,2,0)),"",VLOOKUP(CONCATENATE(CZ$7,"-",MID($E17,1,100)),DATOS!$Z:$AA,2,0))</f>
        <v/>
      </c>
      <c r="DA17" s="157" t="str">
        <f>IF(ISERROR(VLOOKUP(CONCATENATE(DA$7,"-",MID($E17,1,100)),DATOS!$Z:$AA,2,0)),"",VLOOKUP(CONCATENATE(DA$7,"-",MID($E17,1,100)),DATOS!$Z:$AA,2,0))</f>
        <v/>
      </c>
      <c r="DB17" s="155" t="str">
        <f>IF(ISERROR(VLOOKUP(CONCATENATE(DB$7,"-",MID($E17,1,100)),DATOS!$Z:$AA,2,0)),"",VLOOKUP(CONCATENATE(DB$7,"-",MID($E17,1,100)),DATOS!$Z:$AA,2,0))</f>
        <v/>
      </c>
      <c r="DC17" s="156" t="str">
        <f>IF(ISERROR(VLOOKUP(CONCATENATE(DC$7,"-",MID($E17,1,100)),DATOS!$Z:$AA,2,0)),"",VLOOKUP(CONCATENATE(DC$7,"-",MID($E17,1,100)),DATOS!$Z:$AA,2,0))</f>
        <v/>
      </c>
      <c r="DD17" s="156" t="str">
        <f>IF(ISERROR(VLOOKUP(CONCATENATE(DD$7,"-",MID($E17,1,100)),DATOS!$Z:$AA,2,0)),"",VLOOKUP(CONCATENATE(DD$7,"-",MID($E17,1,100)),DATOS!$Z:$AA,2,0))</f>
        <v/>
      </c>
      <c r="DE17" s="156" t="str">
        <f>IF(ISERROR(VLOOKUP(CONCATENATE(DE$7,"-",MID($E17,1,100)),DATOS!$Z:$AA,2,0)),"",VLOOKUP(CONCATENATE(DE$7,"-",MID($E17,1,100)),DATOS!$Z:$AA,2,0))</f>
        <v/>
      </c>
      <c r="DF17" s="156" t="str">
        <f>IF(ISERROR(VLOOKUP(CONCATENATE(DF$7,"-",MID($E17,1,100)),DATOS!$Z:$AA,2,0)),"",VLOOKUP(CONCATENATE(DF$7,"-",MID($E17,1,100)),DATOS!$Z:$AA,2,0))</f>
        <v/>
      </c>
      <c r="DG17" s="156" t="str">
        <f>IF(ISERROR(VLOOKUP(CONCATENATE(DG$7,"-",MID($E17,1,100)),DATOS!$Z:$AA,2,0)),"",VLOOKUP(CONCATENATE(DG$7,"-",MID($E17,1,100)),DATOS!$Z:$AA,2,0))</f>
        <v/>
      </c>
      <c r="DH17" s="156" t="str">
        <f>IF(ISERROR(VLOOKUP(CONCATENATE(DH$7,"-",MID($E17,1,100)),DATOS!$Z:$AA,2,0)),"",VLOOKUP(CONCATENATE(DH$7,"-",MID($E17,1,100)),DATOS!$Z:$AA,2,0))</f>
        <v/>
      </c>
      <c r="DI17" s="156" t="str">
        <f>IF(ISERROR(VLOOKUP(CONCATENATE(DI$7,"-",MID($E17,1,100)),DATOS!$Z:$AA,2,0)),"",VLOOKUP(CONCATENATE(DI$7,"-",MID($E17,1,100)),DATOS!$Z:$AA,2,0))</f>
        <v/>
      </c>
      <c r="DJ17" s="194" t="str">
        <f>IF(ISERROR(VLOOKUP(CONCATENATE(DJ$7,"-",MID($E17,1,100)),DATOS!$Z:$AA,2,0)),"",VLOOKUP(CONCATENATE(DJ$7,"-",MID($E17,1,100)),DATOS!$Z:$AA,2,0))</f>
        <v/>
      </c>
      <c r="DK17" s="157" t="str">
        <f>IF(ISERROR(VLOOKUP(CONCATENATE(DK$7,"-",MID($E17,1,100)),DATOS!$Z:$AA,2,0)),"",VLOOKUP(CONCATENATE(DK$7,"-",MID($E17,1,100)),DATOS!$Z:$AA,2,0))</f>
        <v/>
      </c>
      <c r="DL17" s="155" t="str">
        <f>IF(ISERROR(VLOOKUP(CONCATENATE(DL$7,"-",MID($E17,1,100)),DATOS!$Z:$AA,2,0)),"",VLOOKUP(CONCATENATE(DL$7,"-",MID($E17,1,100)),DATOS!$Z:$AA,2,0))</f>
        <v/>
      </c>
      <c r="DM17" s="156" t="str">
        <f>IF(ISERROR(VLOOKUP(CONCATENATE(DM$7,"-",MID($E17,1,100)),DATOS!$Z:$AA,2,0)),"",VLOOKUP(CONCATENATE(DM$7,"-",MID($E17,1,100)),DATOS!$Z:$AA,2,0))</f>
        <v/>
      </c>
      <c r="DN17" s="156" t="str">
        <f>IF(ISERROR(VLOOKUP(CONCATENATE(DN$7,"-",MID($E17,1,100)),DATOS!$Z:$AA,2,0)),"",VLOOKUP(CONCATENATE(DN$7,"-",MID($E17,1,100)),DATOS!$Z:$AA,2,0))</f>
        <v/>
      </c>
      <c r="DO17" s="156" t="str">
        <f>IF(ISERROR(VLOOKUP(CONCATENATE(DO$7,"-",MID($E17,1,100)),DATOS!$Z:$AA,2,0)),"",VLOOKUP(CONCATENATE(DO$7,"-",MID($E17,1,100)),DATOS!$Z:$AA,2,0))</f>
        <v/>
      </c>
      <c r="DP17" s="156" t="str">
        <f>IF(ISERROR(VLOOKUP(CONCATENATE(DP$7,"-",MID($E17,1,100)),DATOS!$Z:$AA,2,0)),"",VLOOKUP(CONCATENATE(DP$7,"-",MID($E17,1,100)),DATOS!$Z:$AA,2,0))</f>
        <v/>
      </c>
      <c r="DQ17" s="156" t="str">
        <f>IF(ISERROR(VLOOKUP(CONCATENATE(DQ$7,"-",MID($E17,1,100)),DATOS!$Z:$AA,2,0)),"",VLOOKUP(CONCATENATE(DQ$7,"-",MID($E17,1,100)),DATOS!$Z:$AA,2,0))</f>
        <v/>
      </c>
      <c r="DR17" s="156" t="str">
        <f>IF(ISERROR(VLOOKUP(CONCATENATE(DR$7,"-",MID($E17,1,100)),DATOS!$Z:$AA,2,0)),"",VLOOKUP(CONCATENATE(DR$7,"-",MID($E17,1,100)),DATOS!$Z:$AA,2,0))</f>
        <v/>
      </c>
      <c r="DS17" s="156" t="str">
        <f>IF(ISERROR(VLOOKUP(CONCATENATE(DS$7,"-",MID($E17,1,100)),DATOS!$Z:$AA,2,0)),"",VLOOKUP(CONCATENATE(DS$7,"-",MID($E17,1,100)),DATOS!$Z:$AA,2,0))</f>
        <v/>
      </c>
      <c r="DT17" s="194" t="str">
        <f>IF(ISERROR(VLOOKUP(CONCATENATE(DT$7,"-",MID($E17,1,100)),DATOS!$Z:$AA,2,0)),"",VLOOKUP(CONCATENATE(DT$7,"-",MID($E17,1,100)),DATOS!$Z:$AA,2,0))</f>
        <v/>
      </c>
      <c r="DU17" s="157" t="str">
        <f>IF(ISERROR(VLOOKUP(CONCATENATE(DU$7,"-",MID($E17,1,100)),DATOS!$Z:$AA,2,0)),"",VLOOKUP(CONCATENATE(DU$7,"-",MID($E17,1,100)),DATOS!$Z:$AA,2,0))</f>
        <v/>
      </c>
      <c r="DV17" s="155" t="str">
        <f>IF(ISERROR(VLOOKUP(CONCATENATE(DV$7,"-",MID($E17,1,100)),DATOS!$Z:$AA,2,0)),"",VLOOKUP(CONCATENATE(DV$7,"-",MID($E17,1,100)),DATOS!$Z:$AA,2,0))</f>
        <v/>
      </c>
      <c r="DW17" s="156" t="str">
        <f>IF(ISERROR(VLOOKUP(CONCATENATE(DW$7,"-",MID($E17,1,100)),DATOS!$Z:$AA,2,0)),"",VLOOKUP(CONCATENATE(DW$7,"-",MID($E17,1,100)),DATOS!$Z:$AA,2,0))</f>
        <v/>
      </c>
      <c r="DX17" s="156" t="str">
        <f>IF(ISERROR(VLOOKUP(CONCATENATE(DX$7,"-",MID($E17,1,100)),DATOS!$Z:$AA,2,0)),"",VLOOKUP(CONCATENATE(DX$7,"-",MID($E17,1,100)),DATOS!$Z:$AA,2,0))</f>
        <v/>
      </c>
      <c r="DY17" s="156" t="str">
        <f>IF(ISERROR(VLOOKUP(CONCATENATE(DY$7,"-",MID($E17,1,100)),DATOS!$Z:$AA,2,0)),"",VLOOKUP(CONCATENATE(DY$7,"-",MID($E17,1,100)),DATOS!$Z:$AA,2,0))</f>
        <v/>
      </c>
      <c r="DZ17" s="156" t="str">
        <f>IF(ISERROR(VLOOKUP(CONCATENATE(DZ$7,"-",MID($E17,1,100)),DATOS!$Z:$AA,2,0)),"",VLOOKUP(CONCATENATE(DZ$7,"-",MID($E17,1,100)),DATOS!$Z:$AA,2,0))</f>
        <v/>
      </c>
      <c r="EA17" s="156" t="str">
        <f>IF(ISERROR(VLOOKUP(CONCATENATE(EA$7,"-",MID($E17,1,100)),DATOS!$Z:$AA,2,0)),"",VLOOKUP(CONCATENATE(EA$7,"-",MID($E17,1,100)),DATOS!$Z:$AA,2,0))</f>
        <v/>
      </c>
      <c r="EB17" s="156" t="str">
        <f>IF(ISERROR(VLOOKUP(CONCATENATE(EB$7,"-",MID($E17,1,100)),DATOS!$Z:$AA,2,0)),"",VLOOKUP(CONCATENATE(EB$7,"-",MID($E17,1,100)),DATOS!$Z:$AA,2,0))</f>
        <v/>
      </c>
      <c r="EC17" s="156" t="str">
        <f>IF(ISERROR(VLOOKUP(CONCATENATE(EC$7,"-",MID($E17,1,100)),DATOS!$Z:$AA,2,0)),"",VLOOKUP(CONCATENATE(EC$7,"-",MID($E17,1,100)),DATOS!$Z:$AA,2,0))</f>
        <v/>
      </c>
      <c r="ED17" s="194" t="str">
        <f>IF(ISERROR(VLOOKUP(CONCATENATE(ED$7,"-",MID($E17,1,100)),DATOS!$Z:$AA,2,0)),"",VLOOKUP(CONCATENATE(ED$7,"-",MID($E17,1,100)),DATOS!$Z:$AA,2,0))</f>
        <v/>
      </c>
      <c r="EE17" s="157" t="str">
        <f>IF(ISERROR(VLOOKUP(CONCATENATE(EE$7,"-",MID($E17,1,100)),DATOS!$Z:$AA,2,0)),"",VLOOKUP(CONCATENATE(EE$7,"-",MID($E17,1,100)),DATOS!$Z:$AA,2,0))</f>
        <v/>
      </c>
      <c r="EF17" s="155" t="str">
        <f>IF(ISERROR(VLOOKUP(CONCATENATE($EF$7,"-",MID(E17,1,100)),DATOS!Z:AA,2,0)),"",VLOOKUP(CONCATENATE($EF$7,"-",MID(E17,1,100)),DATOS!Z:AA,2,0))</f>
        <v/>
      </c>
      <c r="EG17" s="156" t="str">
        <f>IF(ISERROR(VLOOKUP(CONCATENATE($EG$7,"-",MID(E17,1,100)),DATOS!Z:AA,2,0)),"",VLOOKUP(CONCATENATE($EG$7,"-",MID(E17,1,100)),DATOS!Z:AA,2,0))</f>
        <v/>
      </c>
      <c r="EH17" s="156" t="str">
        <f>IF(ISERROR(VLOOKUP(CONCATENATE($EH$7,"-",MID(E17,1,100)),DATOS!Z:AA,2,0)),"",VLOOKUP(CONCATENATE($EH$7,"-",MID(E17,1,100)),DATOS!Z:AA,2,0))</f>
        <v/>
      </c>
      <c r="EI17" s="156" t="str">
        <f>IF(ISERROR(VLOOKUP(CONCATENATE($EI$7,"-",MID(E17,1,100)),DATOS!Z:AA,2,0)),"",VLOOKUP(CONCATENATE($EI$7,"-",MID(E17,1,100)),DATOS!Z:AA,2,0))</f>
        <v/>
      </c>
      <c r="EJ17" s="156" t="str">
        <f>IF(ISERROR(VLOOKUP(CONCATENATE($EJ$7,"-",MID(E17,1,100)),DATOS!Z:AA,2,0)),"",VLOOKUP(CONCATENATE($EJ$7,"-",MID(E17,1,100)),DATOS!Z:AA,2,0))</f>
        <v/>
      </c>
      <c r="EK17" s="156" t="str">
        <f>IF(ISERROR(VLOOKUP(CONCATENATE($EK$7,"-",MID(E17,1,100)),DATOS!Z:AA,2,0)),"",VLOOKUP(CONCATENATE($EK$7,"-",MID(E17,1,100)),DATOS!Z:AA,2,0))</f>
        <v/>
      </c>
      <c r="EL17" s="156" t="str">
        <f>IF(ISERROR(VLOOKUP(CONCATENATE($EL$7,"-",MID(E17,1,100)),DATOS!Z:AA,2,0)),"",VLOOKUP(CONCATENATE($EL$7,"-",MID(E17,1,100)),DATOS!Z:AA,2,0))</f>
        <v/>
      </c>
      <c r="EM17" s="156" t="str">
        <f>IF(ISERROR(VLOOKUP(CONCATENATE($EM$7,"-",MID(E17,1,100)),DATOS!Z:AA,2,0)),"",VLOOKUP(CONCATENATE($EM$7,"-",MID(E17,1,100)),DATOS!Z:AA,2,0))</f>
        <v/>
      </c>
      <c r="EN17" s="156" t="str">
        <f>IF(ISERROR(VLOOKUP(CONCATENATE($EN$7,"-",MID(E17,1,100)),DATOS!Z:AA,2,0)),"",VLOOKUP(CONCATENATE($EN$7,"-",MID(E17,1,100)),DATOS!Z:AA,2,0))</f>
        <v/>
      </c>
      <c r="EO17" s="157" t="str">
        <f>IF(ISERROR(VLOOKUP(CONCATENATE($EO$7,"-",MID(E17,1,100)),DATOS!Z:AA,2,0)),"",VLOOKUP(CONCATENATE($EO$7,"-",MID(E17,1,100)),DATOS!Z:AA,2,0))</f>
        <v/>
      </c>
      <c r="EP17" s="158">
        <f t="shared" si="0"/>
        <v>4</v>
      </c>
      <c r="EQ17" s="159" t="str">
        <f t="shared" si="1"/>
        <v>CG4: Gestión de Recursos-N1</v>
      </c>
    </row>
    <row r="18" spans="1:147" ht="17.25" customHeight="1">
      <c r="A18" s="148"/>
      <c r="B18" s="160" t="str">
        <f>IF('1.Fundamentos'!B55="","",'1.Fundamentos'!B55)</f>
        <v>CG4: Gestión de Recursos</v>
      </c>
      <c r="C18" s="161" t="s">
        <v>82</v>
      </c>
      <c r="D18" s="162" t="str">
        <f>IF('1.Fundamentos'!E55="","",'1.Fundamentos'!E55)</f>
        <v>Describe el mercado con el uso de herramientas de marketing y/o modelos económicos para definir objetivos empresariales.</v>
      </c>
      <c r="E18" s="163" t="str">
        <f t="shared" si="2"/>
        <v>CG4: Gestión de Recursos:N2 Describe el mercado con el uso de herramientas de marketing y/o modelos económicos para definir objetivos empresariales.</v>
      </c>
      <c r="F18" s="164" t="str">
        <f>IF(ISERROR(VLOOKUP(CONCATENATE($F$7,"-",MID(E18,1,100)),DATOS!Z:AA,2,0)),"",VLOOKUP(CONCATENATE($F$7,"-",MID(E18,1,100)),DATOS!Z:AA,2,0))</f>
        <v/>
      </c>
      <c r="G18" s="165" t="str">
        <f>IF(ISERROR(VLOOKUP(CONCATENATE($G$7,"-",MID(E18,1,100)),DATOS!Z:AA,2,0)),"",VLOOKUP(CONCATENATE($G$7,"-",MID(E18,1,100)),DATOS!Z:AA,2,0))</f>
        <v/>
      </c>
      <c r="H18" s="165" t="str">
        <f>IF(ISERROR(VLOOKUP(CONCATENATE($H$7,"-",MID(E18,1,100)),DATOS!Z:AA,2,0)),"",VLOOKUP(CONCATENATE($H$7,"-",MID(E18,1,100)),DATOS!Z:AA,2,0))</f>
        <v/>
      </c>
      <c r="I18" s="165" t="str">
        <f>IF(ISERROR(VLOOKUP(CONCATENATE($I$7,"-",MID(E18,1,100)),DATOS!Z:AA,2,0)),"",VLOOKUP(CONCATENATE($I$7,"-",MID(E18,1,100)),DATOS!Z:AA,2,0))</f>
        <v/>
      </c>
      <c r="J18" s="165" t="str">
        <f>IF(ISERROR(VLOOKUP(CONCATENATE($J$7,"-",MID(E18,1,100)),DATOS!Z:AA,2,0)),"",VLOOKUP(CONCATENATE($J$7,"-",MID(E18,1,100)),DATOS!Z:AA,2,0))</f>
        <v/>
      </c>
      <c r="K18" s="165" t="str">
        <f>IF(ISERROR(VLOOKUP(CONCATENATE($K$7,"-",MID(E18,1,100)),DATOS!Z:AA,2,0)),"",VLOOKUP(CONCATENATE($K$7,"-",MID(E18,1,100)),DATOS!Z:AA,2,0))</f>
        <v/>
      </c>
      <c r="L18" s="165" t="str">
        <f>IF(ISERROR(VLOOKUP(CONCATENATE($L$7,"-",MID(E18,1,100)),DATOS!Z:AA,2,0)),"",VLOOKUP(CONCATENATE($L$7,"-",MID(E18,1,100)),DATOS!Z:AA,2,0))</f>
        <v/>
      </c>
      <c r="M18" s="165" t="str">
        <f>IF(ISERROR(VLOOKUP(CONCATENATE($M$7,"-",MID(E18,1,100)),DATOS!Z:AA,2,0)),"",VLOOKUP(CONCATENATE($M$7,"-",MID(E18,1,100)),DATOS!Z:AA,2,0))</f>
        <v/>
      </c>
      <c r="N18" s="165" t="str">
        <f>IF(ISERROR(VLOOKUP(CONCATENATE($N$7,"-",MID(E18,1,100)),DATOS!Z:AA,2,0)),"",VLOOKUP(CONCATENATE($N$7,"-",MID(E18,1,100)),DATOS!Z:AA,2,0))</f>
        <v/>
      </c>
      <c r="O18" s="166" t="str">
        <f>IF(ISERROR(VLOOKUP(CONCATENATE($O$7,"-",MID(E18,1,100)),DATOS!Z:AA,2,0)),"",VLOOKUP(CONCATENATE($O$7,"-",MID(E18,1,100)),DATOS!Z:AA,2,0))</f>
        <v/>
      </c>
      <c r="P18" s="164" t="str">
        <f>IF(ISERROR(VLOOKUP(CONCATENATE($P$7,"-",MID(E18,1,100)),DATOS!Z:AA,2,0)),"",VLOOKUP(CONCATENATE($P$7,"-",MID(E18,1,100)),DATOS!Z:AA,2,0))</f>
        <v/>
      </c>
      <c r="Q18" s="165" t="str">
        <f>IF(ISERROR(VLOOKUP(CONCATENATE($Q$7,"-",MID(E18,1,100)),DATOS!Z:AA,2,0)),"",VLOOKUP(CONCATENATE($Q$7,"-",MID(E18,1,100)),DATOS!Z:AA,2,0))</f>
        <v/>
      </c>
      <c r="R18" s="165" t="str">
        <f>IF(ISERROR(VLOOKUP(CONCATENATE($R$7,"-",MID(E18,1,100)),DATOS!Z:AA,2,0)),"",VLOOKUP(CONCATENATE($R$7,"-",MID(E18,1,100)),DATOS!Z:AA,2,0))</f>
        <v/>
      </c>
      <c r="S18" s="165" t="str">
        <f>IF(ISERROR(VLOOKUP(CONCATENATE($S$7,"-",MID(E18,1,100)),DATOS!Z:AA,2,0)),"",VLOOKUP(CONCATENATE($S$7,"-",MID(E18,1,100)),DATOS!Z:AA,2,0))</f>
        <v/>
      </c>
      <c r="T18" s="165" t="str">
        <f>IF(ISERROR(VLOOKUP(CONCATENATE($T$7,"-",MID(E18,1,100)),DATOS!Z:AA,2,0)),"",VLOOKUP(CONCATENATE($T$7,"-",MID(E18,1,100)),DATOS!Z:AA,2,0))</f>
        <v/>
      </c>
      <c r="U18" s="165" t="str">
        <f>IF(ISERROR(VLOOKUP(CONCATENATE($U$7,"-",MID(E18,1,100)),DATOS!Z:AA,2,0)),"",VLOOKUP(CONCATENATE($U$7,"-",MID(E18,1,100)),DATOS!Z:AA,2,0))</f>
        <v/>
      </c>
      <c r="V18" s="165" t="str">
        <f>IF(ISERROR(VLOOKUP(CONCATENATE($V$7,"-",MID(E18,1,100)),DATOS!Z:AA,2,0)),"",VLOOKUP(CONCATENATE($V$7,"-",MID(E18,1,100)),DATOS!Z:AA,2,0))</f>
        <v/>
      </c>
      <c r="W18" s="165" t="str">
        <f>IF(ISERROR(VLOOKUP(CONCATENATE($W$7,"-",MID(E18,1,100)),DATOS!Z:AA,2,0)),"",VLOOKUP(CONCATENATE($W$7,"-",MID(E18,1,100)),DATOS!Z:AA,2,0))</f>
        <v/>
      </c>
      <c r="X18" s="165" t="str">
        <f>IF(ISERROR(VLOOKUP(CONCATENATE($X$7,"-",MID(E18,1,100)),DATOS!Z:AA,2,0)),"",VLOOKUP(CONCATENATE($X$7,"-",MID(E18,1,100)),DATOS!Z:AA,2,0))</f>
        <v/>
      </c>
      <c r="Y18" s="166" t="str">
        <f>IF(ISERROR(VLOOKUP(CONCATENATE($Y$7,"-",MID(E18,1,100)),DATOS!Z:AA,2,0)),"",VLOOKUP(CONCATENATE($Y$7,"-",MID(E18,1,100)),DATOS!Z:AA,2,0))</f>
        <v/>
      </c>
      <c r="Z18" s="164" t="str">
        <f>IF(ISERROR(VLOOKUP(CONCATENATE($Z$7,"-",MID(E18,1,100)),DATOS!Z:AA,2,0)),"",VLOOKUP(CONCATENATE($Z$7,"-",MID(E18,1,100)),DATOS!Z:AA,2,0))</f>
        <v/>
      </c>
      <c r="AA18" s="165" t="str">
        <f>IF(ISERROR(VLOOKUP(CONCATENATE($AA$7,"-",MID(E18,1,100)),DATOS!Z:AA,2,0)),"",VLOOKUP(CONCATENATE($AA$7,"-",MID(E18,1,100)),DATOS!Z:AA,2,0))</f>
        <v/>
      </c>
      <c r="AB18" s="165" t="str">
        <f>IF(ISERROR(VLOOKUP(CONCATENATE($AB$7,"-",MID(E18,1,100)),DATOS!Z:AA,2,0)),"",VLOOKUP(CONCATENATE($AB$7,"-",MID(E18,1,100)),DATOS!Z:AA,2,0))</f>
        <v/>
      </c>
      <c r="AC18" s="165" t="str">
        <f>IF(ISERROR(VLOOKUP(CONCATENATE($AC$7,"-",MID(E18,1,100)),DATOS!Z:AA,2,0)),"",VLOOKUP(CONCATENATE($AC$7,"-",MID(E18,1,100)),DATOS!Z:AA,2,0))</f>
        <v/>
      </c>
      <c r="AD18" s="165" t="str">
        <f>IF(ISERROR(VLOOKUP(CONCATENATE($AD$7,"-",MID(E18,1,100)),DATOS!Z:AA,2,0)),"",VLOOKUP(CONCATENATE($AD$7,"-",MID(E18,1,100)),DATOS!Z:AA,2,0))</f>
        <v/>
      </c>
      <c r="AE18" s="165" t="str">
        <f>IF(ISERROR(VLOOKUP(CONCATENATE($AE$7,"-",MID(E18,1,100)),DATOS!Z:AA,2,0)),"",VLOOKUP(CONCATENATE($AE$7,"-",MID(E18,1,100)),DATOS!Z:AA,2,0))</f>
        <v/>
      </c>
      <c r="AF18" s="165" t="str">
        <f>IF(ISERROR(VLOOKUP(CONCATENATE($AF$7,"-",MID(E18,1,100)),DATOS!Z:AA,2,0)),"",VLOOKUP(CONCATENATE($AF$7,"-",MID(E18,1,100)),DATOS!Z:AA,2,0))</f>
        <v/>
      </c>
      <c r="AG18" s="165" t="str">
        <f>IF(ISERROR(VLOOKUP(CONCATENATE($AG$7,"-",MID(E18,1,100)),DATOS!Z:AA,2,0)),"",VLOOKUP(CONCATENATE($AG$7,"-",MID(E18,1,100)),DATOS!Z:AA,2,0))</f>
        <v/>
      </c>
      <c r="AH18" s="165" t="str">
        <f>IF(ISERROR(VLOOKUP(CONCATENATE($AH$7,"-",MID(E18,1,100)),DATOS!Z:AA,2,0)),"",VLOOKUP(CONCATENATE($AH$7,"-",MID(E18,1,100)),DATOS!Z:AA,2,0))</f>
        <v/>
      </c>
      <c r="AI18" s="166" t="str">
        <f>IF(ISERROR(VLOOKUP(CONCATENATE($AI$7,"-",MID(E18,1,100)),DATOS!Z:AA,2,0)),"",VLOOKUP(CONCATENATE($AI$7,"-",MID(E18,1,100)),DATOS!Z:AA,2,0))</f>
        <v/>
      </c>
      <c r="AJ18" s="164" t="str">
        <f>IF(ISERROR(VLOOKUP(CONCATENATE($AJ$7,"-",MID(E18,1,100)),DATOS!Z:AA,2,0)),"",VLOOKUP(CONCATENATE($AJ$7,"-",MID(E18,1,100)),DATOS!Z:AA,2,0))</f>
        <v/>
      </c>
      <c r="AK18" s="165" t="str">
        <f>IF(ISERROR(VLOOKUP(CONCATENATE($AK$7,"-",MID(E18,1,100)),DATOS!Z:AA,2,0)),"",VLOOKUP(CONCATENATE($AK$7,"-",MID(E18,1,100)),DATOS!Z:AA,2,0))</f>
        <v/>
      </c>
      <c r="AL18" s="165" t="str">
        <f>IF(ISERROR(VLOOKUP(CONCATENATE($AL$7,"-",MID(E18,1,100)),DATOS!Z:AA,2,0)),"",VLOOKUP(CONCATENATE($AL$7,"-",MID(E18,1,100)),DATOS!Z:AA,2,0))</f>
        <v/>
      </c>
      <c r="AM18" s="165" t="str">
        <f>IF(ISERROR(VLOOKUP(CONCATENATE($AM$7,"-",MID(E18,1,100)),DATOS!Z:AA,2,0)),"",VLOOKUP(CONCATENATE($AM$7,"-",MID(E18,1,100)),DATOS!Z:AA,2,0))</f>
        <v/>
      </c>
      <c r="AN18" s="165" t="str">
        <f>IF(ISERROR(VLOOKUP(CONCATENATE($AN$7,"-",MID(E18,1,100)),DATOS!Z:AA,2,0)),"",VLOOKUP(CONCATENATE($AN$7,"-",MID(E18,1,100)),DATOS!Z:AA,2,0))</f>
        <v/>
      </c>
      <c r="AO18" s="165" t="str">
        <f>IF(ISERROR(VLOOKUP(CONCATENATE($AO$7,"-",MID(E18,1,100)),DATOS!Z:AA,2,0)),"",VLOOKUP(CONCATENATE($AO$7,"-",MID(E18,1,100)),DATOS!Z:AA,2,0))</f>
        <v/>
      </c>
      <c r="AP18" s="165" t="str">
        <f>IF(ISERROR(VLOOKUP(CONCATENATE($AP$7,"-",MID(E18,1,100)),DATOS!Z:AA,2,0)),"",VLOOKUP(CONCATENATE($AP$7,"-",MID(E18,1,100)),DATOS!Z:AA,2,0))</f>
        <v/>
      </c>
      <c r="AQ18" s="165" t="str">
        <f>IF(ISERROR(VLOOKUP(CONCATENATE($AQ$7,"-",MID(E18,1,100)),DATOS!Z:AA,2,0)),"",VLOOKUP(CONCATENATE($AQ$7,"-",MID(E18,1,100)),DATOS!Z:AA,2,0))</f>
        <v/>
      </c>
      <c r="AR18" s="165" t="str">
        <f>IF(ISERROR(VLOOKUP(CONCATENATE($AR$7,"-",MID(E18,1,100)),DATOS!Z:AA,2,0)),"",VLOOKUP(CONCATENATE($AR$7,"-",MID(E18,1,100)),DATOS!Z:AA,2,0))</f>
        <v/>
      </c>
      <c r="AS18" s="166" t="str">
        <f>IF(ISERROR(VLOOKUP(CONCATENATE($AS$7,"-",MID(E18,1,100)),DATOS!Z:AA,2,0)),"",VLOOKUP(CONCATENATE($AS$7,"-",MID(E18,1,100)),DATOS!Z:AA,2,0))</f>
        <v/>
      </c>
      <c r="AT18" s="207" t="str">
        <f>IF(ISERROR(VLOOKUP(CONCATENATE($AT$7,"-",MID(E18,1,100)),DATOS!Z:AA,2,0)),"",VLOOKUP(CONCATENATE($AT$7,"-",MID(E18,1,100)),DATOS!Z:AA,2,0))</f>
        <v/>
      </c>
      <c r="AU18" s="208" t="str">
        <f>IF(ISERROR(VLOOKUP(CONCATENATE($AU$7,"-",MID(E18,1,100)),DATOS!Z:AA,2,0)),"",VLOOKUP(CONCATENATE($AU$7,"-",MID(E18,1,100)),DATOS!Z:AA,2,0))</f>
        <v/>
      </c>
      <c r="AV18" s="208" t="str">
        <f>IF(ISERROR(VLOOKUP(CONCATENATE($AV$7,"-",MID(E18,1,100)),DATOS!Z:AA,2,0)),"",VLOOKUP(CONCATENATE($AV$7,"-",MID(E18,1,100)),DATOS!Z:AA,2,0))</f>
        <v/>
      </c>
      <c r="AW18" s="208" t="str">
        <f>IF(ISERROR(VLOOKUP(CONCATENATE($AW$7,"-",MID(E18,1,100)),DATOS!Z:AA,2,0)),"",VLOOKUP(CONCATENATE($AW$7,"-",MID(E18,1,100)),DATOS!Z:AA,2,0))</f>
        <v/>
      </c>
      <c r="AX18" s="208" t="str">
        <f>IF(ISERROR(VLOOKUP(CONCATENATE($AX$7,"-",MID(E18,1,100)),DATOS!Z:AA,2,0)),"",VLOOKUP(CONCATENATE($AX$7,"-",MID(E18,1,100)),DATOS!Z:AA,2,0))</f>
        <v>a</v>
      </c>
      <c r="AY18" s="208" t="str">
        <f>IF(ISERROR(VLOOKUP(CONCATENATE($AY$7,"-",MID(E18,1,100)),DATOS!Z:AA,2,0)),"",VLOOKUP(CONCATENATE($AY$7,"-",MID(E18,1,100)),DATOS!Z:AA,2,0))</f>
        <v/>
      </c>
      <c r="AZ18" s="208" t="str">
        <f>IF(ISERROR(VLOOKUP(CONCATENATE($AZ$7,"-",MID(E18,1,100)),DATOS!Z:AA,2,0)),"",VLOOKUP(CONCATENATE($AZ$7,"-",MID(E18,1,100)),DATOS!Z:AA,2,0))</f>
        <v/>
      </c>
      <c r="BA18" s="208" t="str">
        <f>IF(ISERROR(VLOOKUP(CONCATENATE($BA$7,"-",MID(E18,1,100)),DATOS!Z:AA,2,0)),"",VLOOKUP(CONCATENATE($BA$7,"-",MID(E18,1,100)),DATOS!Z:AA,2,0))</f>
        <v/>
      </c>
      <c r="BB18" s="208" t="str">
        <f>IF(ISERROR(VLOOKUP(CONCATENATE($BB$7,"-",MID(E18,1,100)),DATOS!Z:AA,2,0)),"",VLOOKUP(CONCATENATE($BB$7,"-",MID(E18,1,100)),DATOS!Z:AA,2,0))</f>
        <v/>
      </c>
      <c r="BC18" s="209" t="str">
        <f>IF(ISERROR(VLOOKUP(CONCATENATE($BC$7,"-",MID(E18,1,100)),DATOS!Z:AA,2,0)),"",VLOOKUP(CONCATENATE($BC$7,"-",MID(E18,1,100)),DATOS!Z:AA,2,0))</f>
        <v/>
      </c>
      <c r="BD18" s="207" t="str">
        <f>IF(ISERROR(VLOOKUP(CONCATENATE($BD$7,"-",MID(E18,1,100)),DATOS!Z:AA,2,0)),"",VLOOKUP(CONCATENATE($BD$7,"-",MID(E18,1,100)),DATOS!Z:AA,2,0))</f>
        <v/>
      </c>
      <c r="BE18" s="208" t="str">
        <f>IF(ISERROR(VLOOKUP(CONCATENATE($BE$7,"-",MID(E18,1,100)),DATOS!Z:AA,2,0)),"",VLOOKUP(CONCATENATE($BE$7,"-",MID(E18,1,100)),DATOS!Z:AA,2,0))</f>
        <v/>
      </c>
      <c r="BF18" s="208" t="str">
        <f>IF(ISERROR(VLOOKUP(CONCATENATE($BF$7,"-",MID(E18,1,100)),DATOS!Z:AA,2,0)),"",VLOOKUP(CONCATENATE($BF$7,"-",MID(E18,1,100)),DATOS!Z:AA,2,0))</f>
        <v/>
      </c>
      <c r="BG18" s="208" t="str">
        <f>IF(ISERROR(VLOOKUP(CONCATENATE($BG$7,"-",MID(E18,1,100)),DATOS!Z:AA,2,0)),"",VLOOKUP(CONCATENATE($BG$7,"-",MID(E18,1,100)),DATOS!Z:AA,2,0))</f>
        <v/>
      </c>
      <c r="BH18" s="208" t="str">
        <f>IF(ISERROR(VLOOKUP(CONCATENATE($BH$7,"-",MID(E18,1,100)),DATOS!Z:AA,2,0)),"",VLOOKUP(CONCATENATE($BH$7,"-",MID(E18,1,100)),DATOS!Z:AA,2,0))</f>
        <v>a</v>
      </c>
      <c r="BI18" s="208" t="str">
        <f>IF(ISERROR(VLOOKUP(CONCATENATE($BI$7,"-",MID(E18,1,100)),DATOS!Z:AA,2,0)),"",VLOOKUP(CONCATENATE($BI$7,"-",MID(E18,1,100)),DATOS!Z:AA,2,0))</f>
        <v/>
      </c>
      <c r="BJ18" s="208" t="str">
        <f>IF(ISERROR(VLOOKUP(CONCATENATE($BJ$7,"-",MID(E18,1,100)),DATOS!Z:AA,2,0)),"",VLOOKUP(CONCATENATE($BJ$7,"-",MID(E18,1,100)),DATOS!Z:AA,2,0))</f>
        <v/>
      </c>
      <c r="BK18" s="208" t="str">
        <f>IF(ISERROR(VLOOKUP(CONCATENATE($BK$7,"-",MID(E18,1,100)),DATOS!Z:AA,2,0)),"",VLOOKUP(CONCATENATE($BK$7,"-",MID(E18,1,100)),DATOS!Z:AA,2,0))</f>
        <v/>
      </c>
      <c r="BL18" s="208" t="str">
        <f>IF(ISERROR(VLOOKUP(CONCATENATE($BL$7,"-",MID(E18,1,100)),DATOS!Z:AA,2,0)),"",VLOOKUP(CONCATENATE($BL$7,"-",MID(E18,1,100)),DATOS!Z:AA,2,0))</f>
        <v/>
      </c>
      <c r="BM18" s="209" t="str">
        <f>IF(ISERROR(VLOOKUP(CONCATENATE($BM$7,"-",MID(E18,1,100)),DATOS!Z:AA,2,0)),"",VLOOKUP(CONCATENATE($BM$7,"-",MID(E18,1,100)),DATOS!Z:AA,2,0))</f>
        <v/>
      </c>
      <c r="BN18" s="207" t="str">
        <f>IF(ISERROR(VLOOKUP(CONCATENATE($BN$7,"-",MID(E18,1,100)),DATOS!Z:AA,2,0)),"",VLOOKUP(CONCATENATE($BN$7,"-",MID(E18,1,100)),DATOS!Z:AA,2,0))</f>
        <v/>
      </c>
      <c r="BO18" s="208" t="str">
        <f>IF(ISERROR(VLOOKUP(CONCATENATE($BO$7,"-",MID(E18,1,100)),DATOS!Z:AA,2,0)),"",VLOOKUP(CONCATENATE($BO$7,"-",MID(E18,1,100)),DATOS!Z:AA,2,0))</f>
        <v/>
      </c>
      <c r="BP18" s="208" t="str">
        <f>IF(ISERROR(VLOOKUP(CONCATENATE($BP$7,"-",MID(E18,1,100)),DATOS!Z:AA,2,0)),"",VLOOKUP(CONCATENATE($BP$7,"-",MID(E18,1,100)),DATOS!Z:AA,2,0))</f>
        <v/>
      </c>
      <c r="BQ18" s="208" t="str">
        <f>IF(ISERROR(VLOOKUP(CONCATENATE($BQ$7,"-",MID(E18,1,100)),DATOS!Z:AA,2,0)),"",VLOOKUP(CONCATENATE($BQ$7,"-",MID(E18,1,100)),DATOS!Z:AA,2,0))</f>
        <v/>
      </c>
      <c r="BR18" s="208" t="str">
        <f>IF(ISERROR(VLOOKUP(CONCATENATE($BR$7,"-",MID(E18,1,100)),DATOS!Z:AA,2,0)),"",VLOOKUP(CONCATENATE($BR$7,"-",MID(E18,1,100)),DATOS!Z:AA,2,0))</f>
        <v/>
      </c>
      <c r="BS18" s="208" t="str">
        <f>IF(ISERROR(VLOOKUP(CONCATENATE($BS$7,"-",MID(E18,1,100)),DATOS!Z:AA,2,0)),"",VLOOKUP(CONCATENATE($BS$7,"-",MID(E18,1,100)),DATOS!Z:AA,2,0))</f>
        <v/>
      </c>
      <c r="BT18" s="208" t="str">
        <f>IF(ISERROR(VLOOKUP(CONCATENATE($BT$7,"-",MID(E18,1,100)),DATOS!Z:AA,2,0)),"",VLOOKUP(CONCATENATE($BT$7,"-",MID(E18,1,100)),DATOS!Z:AA,2,0))</f>
        <v/>
      </c>
      <c r="BU18" s="208" t="str">
        <f>IF(ISERROR(VLOOKUP(CONCATENATE($BU$7,"-",MID(E18,1,100)),DATOS!Z:AA,2,0)),"",VLOOKUP(CONCATENATE($BU$7,"-",MID(E18,1,100)),DATOS!Z:AA,2,0))</f>
        <v/>
      </c>
      <c r="BV18" s="208" t="str">
        <f>IF(ISERROR(VLOOKUP(CONCATENATE($BV$7,"-",MID(E18,1,100)),DATOS!Z:AA,2,0)),"",VLOOKUP(CONCATENATE($BV$7,"-",MID(E18,1,100)),DATOS!Z:AA,2,0))</f>
        <v/>
      </c>
      <c r="BW18" s="209" t="str">
        <f>IF(ISERROR(VLOOKUP(CONCATENATE($BW$7,"-",MID(E18,1,100)),DATOS!Z:AA,2,0)),"",VLOOKUP(CONCATENATE($BW$7,"-",MID(E18,1,100)),DATOS!Z:AA,2,0))</f>
        <v/>
      </c>
      <c r="BX18" s="164" t="str">
        <f>IF(ISERROR(VLOOKUP(CONCATENATE($BX$7,"-",MID(E18,1,100)),DATOS!Z:AA,2,0)),"",VLOOKUP(CONCATENATE($BX$7,"-",MID(E18,1,100)),DATOS!Z:AA,2,0))</f>
        <v/>
      </c>
      <c r="BY18" s="165" t="str">
        <f>IF(ISERROR(VLOOKUP(CONCATENATE($BY$7,"-",MID(E18,1,100)),DATOS!Z:AA,2,0)),"",VLOOKUP(CONCATENATE($BY$7,"-",MID(E18,1,100)),DATOS!Z:AA,2,0))</f>
        <v/>
      </c>
      <c r="BZ18" s="165" t="str">
        <f>IF(ISERROR(VLOOKUP(CONCATENATE($BZ$7,"-",MID(E18,1,100)),DATOS!Z:AA,2,0)),"",VLOOKUP(CONCATENATE($BZ$7,"-",MID(E18,1,100)),DATOS!Z:AA,2,0))</f>
        <v/>
      </c>
      <c r="CA18" s="165" t="str">
        <f>IF(ISERROR(VLOOKUP(CONCATENATE($CA$7,"-",MID(E18,1,100)),DATOS!Z:AA,2,0)),"",VLOOKUP(CONCATENATE($CA$7,"-",MID(E18,1,100)),DATOS!Z:AA,2,0))</f>
        <v/>
      </c>
      <c r="CB18" s="165" t="str">
        <f>IF(ISERROR(VLOOKUP(CONCATENATE($CB$7,"-",MID(E18,1,100)),DATOS!Z:AA,2,0)),"",VLOOKUP(CONCATENATE($CB$7,"-",MID(E18,1,100)),DATOS!Z:AA,2,0))</f>
        <v/>
      </c>
      <c r="CC18" s="165" t="str">
        <f>IF(ISERROR(VLOOKUP(CONCATENATE($CC$7,"-",MID(E18,1,100)),DATOS!Z:AA,2,0)),"",VLOOKUP(CONCATENATE($CC$7,"-",MID(E18,1,100)),DATOS!Z:AA,2,0))</f>
        <v/>
      </c>
      <c r="CD18" s="165" t="str">
        <f>IF(ISERROR(VLOOKUP(CONCATENATE($CD$7,"-",MID(E18,1,100)),DATOS!Z:AA,2,0)),"",VLOOKUP(CONCATENATE($CD$7,"-",MID(E18,1,100)),DATOS!Z:AA,2,0))</f>
        <v/>
      </c>
      <c r="CE18" s="165" t="str">
        <f>IF(ISERROR(VLOOKUP(CONCATENATE($CE$7,"-",MID(E18,1,100)),DATOS!Z:AA,2,0)),"",VLOOKUP(CONCATENATE($CE$7,"-",MID(E18,1,100)),DATOS!Z:AA,2,0))</f>
        <v/>
      </c>
      <c r="CF18" s="165" t="str">
        <f>IF(ISERROR(VLOOKUP(CONCATENATE($CF$7,"-",MID(E18,1,100)),DATOS!Z:AA,2,0)),"",VLOOKUP(CONCATENATE($CF$7,"-",MID(E18,1,100)),DATOS!Z:AA,2,0))</f>
        <v/>
      </c>
      <c r="CG18" s="166" t="str">
        <f>IF(ISERROR(VLOOKUP(CONCATENATE($CG$7,"-",MID(E18,1,100)),DATOS!Z:AA,2,0)),"",VLOOKUP(CONCATENATE($CG$7,"-",MID(E18,1,100)),DATOS!Z:AA,2,0))</f>
        <v/>
      </c>
      <c r="CH18" s="164" t="str">
        <f>IF(ISERROR(VLOOKUP(CONCATENATE($CH$7,"-",MID(E18,1,100)),DATOS!Z:AA,2,0)),"",VLOOKUP(CONCATENATE($CH$7,"-",MID(E18,1,100)),DATOS!Z:AA,2,0))</f>
        <v/>
      </c>
      <c r="CI18" s="165" t="str">
        <f>IF(ISERROR(VLOOKUP(CONCATENATE($CI$7,"-",MID(E18,1,100)),DATOS!Z:AA,2,0)),"",VLOOKUP(CONCATENATE($CI$7,"-",MID(E18,1,100)),DATOS!Z:AA,2,0))</f>
        <v/>
      </c>
      <c r="CJ18" s="165" t="str">
        <f>IF(ISERROR(VLOOKUP(CONCATENATE($CJ$7,"-",MID(E18,1,100)),DATOS!Z:AA,2,0)),"",VLOOKUP(CONCATENATE($CJ$7,"-",MID(E18,1,100)),DATOS!Z:AA,2,0))</f>
        <v/>
      </c>
      <c r="CK18" s="165" t="str">
        <f>IF(ISERROR(VLOOKUP(CONCATENATE($CK$7,"-",MID(E18,1,100)),DATOS!Z:AA,2,0)),"",VLOOKUP(CONCATENATE($CK$7,"-",MID(E18,1,100)),DATOS!Z:AA,2,0))</f>
        <v/>
      </c>
      <c r="CL18" s="165" t="str">
        <f>IF(ISERROR(VLOOKUP(CONCATENATE($CL$7,"-",MID(E18,1,100)),DATOS!Z:AA,2,0)),"",VLOOKUP(CONCATENATE($CL$7,"-",MID(E18,1,100)),DATOS!Z:AA,2,0))</f>
        <v/>
      </c>
      <c r="CM18" s="165" t="str">
        <f>IF(ISERROR(VLOOKUP(CONCATENATE($CM$7,"-",MID(E18,1,100)),DATOS!Z:AA,2,0)),"",VLOOKUP(CONCATENATE($CM$7,"-",MID(E18,1,100)),DATOS!Z:AA,2,0))</f>
        <v/>
      </c>
      <c r="CN18" s="165" t="str">
        <f>IF(ISERROR(VLOOKUP(CONCATENATE($CN$7,"-",MID(E18,1,100)),DATOS!Z:AA,2,0)),"",VLOOKUP(CONCATENATE($CN$7,"-",MID(E18,1,100)),DATOS!Z:AA,2,0))</f>
        <v/>
      </c>
      <c r="CO18" s="165" t="str">
        <f>IF(ISERROR(VLOOKUP(CONCATENATE($CO$7,"-",MID(E18,1,100)),DATOS!Z:AA,2,0)),"",VLOOKUP(CONCATENATE($CO$7,"-",MID(E18,1,100)),DATOS!Z:AA,2,0))</f>
        <v/>
      </c>
      <c r="CP18" s="195" t="str">
        <f>IF(ISERROR(VLOOKUP(CONCATENATE($CP$7,"-",MID(E18,1,100)),DATOS!Z:AA,2,0)),"",VLOOKUP(CONCATENATE($CP$7,"-",MID(E18,1,100)),DATOS!Z:AA,2,0))</f>
        <v/>
      </c>
      <c r="CQ18" s="166" t="str">
        <f>IF(ISERROR(VLOOKUP(CONCATENATE($CQ$7,"-",MID(E18,1,100)),DATOS!Z:AA,2,0)),"",VLOOKUP(CONCATENATE($CQ$7,"-",MID(E18,1,100)),DATOS!Z:AA,2,0))</f>
        <v/>
      </c>
      <c r="CR18" s="164" t="str">
        <f>IF(ISERROR(VLOOKUP(CONCATENATE(CR$7,"-",MID($E18,1,100)),DATOS!$Z:$AA,2,0)),"",VLOOKUP(CONCATENATE(CR$7,"-",MID($E18,1,100)),DATOS!$Z:$AA,2,0))</f>
        <v/>
      </c>
      <c r="CS18" s="165" t="str">
        <f>IF(ISERROR(VLOOKUP(CONCATENATE(CS$7,"-",MID($E18,1,100)),DATOS!$Z:$AA,2,0)),"",VLOOKUP(CONCATENATE(CS$7,"-",MID($E18,1,100)),DATOS!$Z:$AA,2,0))</f>
        <v/>
      </c>
      <c r="CT18" s="165" t="str">
        <f>IF(ISERROR(VLOOKUP(CONCATENATE(CT$7,"-",MID($E18,1,100)),DATOS!$Z:$AA,2,0)),"",VLOOKUP(CONCATENATE(CT$7,"-",MID($E18,1,100)),DATOS!$Z:$AA,2,0))</f>
        <v/>
      </c>
      <c r="CU18" s="165" t="str">
        <f>IF(ISERROR(VLOOKUP(CONCATENATE(CU$7,"-",MID($E18,1,100)),DATOS!$Z:$AA,2,0)),"",VLOOKUP(CONCATENATE(CU$7,"-",MID($E18,1,100)),DATOS!$Z:$AA,2,0))</f>
        <v/>
      </c>
      <c r="CV18" s="165" t="str">
        <f>IF(ISERROR(VLOOKUP(CONCATENATE(CV$7,"-",MID($E18,1,100)),DATOS!$Z:$AA,2,0)),"",VLOOKUP(CONCATENATE(CV$7,"-",MID($E18,1,100)),DATOS!$Z:$AA,2,0))</f>
        <v/>
      </c>
      <c r="CW18" s="165" t="str">
        <f>IF(ISERROR(VLOOKUP(CONCATENATE(CW$7,"-",MID($E18,1,100)),DATOS!$Z:$AA,2,0)),"",VLOOKUP(CONCATENATE(CW$7,"-",MID($E18,1,100)),DATOS!$Z:$AA,2,0))</f>
        <v/>
      </c>
      <c r="CX18" s="165" t="str">
        <f>IF(ISERROR(VLOOKUP(CONCATENATE(CX$7,"-",MID($E18,1,100)),DATOS!$Z:$AA,2,0)),"",VLOOKUP(CONCATENATE(CX$7,"-",MID($E18,1,100)),DATOS!$Z:$AA,2,0))</f>
        <v/>
      </c>
      <c r="CY18" s="165" t="str">
        <f>IF(ISERROR(VLOOKUP(CONCATENATE(CY$7,"-",MID($E18,1,100)),DATOS!$Z:$AA,2,0)),"",VLOOKUP(CONCATENATE(CY$7,"-",MID($E18,1,100)),DATOS!$Z:$AA,2,0))</f>
        <v/>
      </c>
      <c r="CZ18" s="195" t="str">
        <f>IF(ISERROR(VLOOKUP(CONCATENATE(CZ$7,"-",MID($E18,1,100)),DATOS!$Z:$AA,2,0)),"",VLOOKUP(CONCATENATE(CZ$7,"-",MID($E18,1,100)),DATOS!$Z:$AA,2,0))</f>
        <v/>
      </c>
      <c r="DA18" s="166" t="str">
        <f>IF(ISERROR(VLOOKUP(CONCATENATE(DA$7,"-",MID($E18,1,100)),DATOS!$Z:$AA,2,0)),"",VLOOKUP(CONCATENATE(DA$7,"-",MID($E18,1,100)),DATOS!$Z:$AA,2,0))</f>
        <v/>
      </c>
      <c r="DB18" s="164" t="str">
        <f>IF(ISERROR(VLOOKUP(CONCATENATE(DB$7,"-",MID($E18,1,100)),DATOS!$Z:$AA,2,0)),"",VLOOKUP(CONCATENATE(DB$7,"-",MID($E18,1,100)),DATOS!$Z:$AA,2,0))</f>
        <v/>
      </c>
      <c r="DC18" s="165" t="str">
        <f>IF(ISERROR(VLOOKUP(CONCATENATE(DC$7,"-",MID($E18,1,100)),DATOS!$Z:$AA,2,0)),"",VLOOKUP(CONCATENATE(DC$7,"-",MID($E18,1,100)),DATOS!$Z:$AA,2,0))</f>
        <v/>
      </c>
      <c r="DD18" s="165" t="str">
        <f>IF(ISERROR(VLOOKUP(CONCATENATE(DD$7,"-",MID($E18,1,100)),DATOS!$Z:$AA,2,0)),"",VLOOKUP(CONCATENATE(DD$7,"-",MID($E18,1,100)),DATOS!$Z:$AA,2,0))</f>
        <v/>
      </c>
      <c r="DE18" s="165" t="str">
        <f>IF(ISERROR(VLOOKUP(CONCATENATE(DE$7,"-",MID($E18,1,100)),DATOS!$Z:$AA,2,0)),"",VLOOKUP(CONCATENATE(DE$7,"-",MID($E18,1,100)),DATOS!$Z:$AA,2,0))</f>
        <v/>
      </c>
      <c r="DF18" s="165" t="str">
        <f>IF(ISERROR(VLOOKUP(CONCATENATE(DF$7,"-",MID($E18,1,100)),DATOS!$Z:$AA,2,0)),"",VLOOKUP(CONCATENATE(DF$7,"-",MID($E18,1,100)),DATOS!$Z:$AA,2,0))</f>
        <v/>
      </c>
      <c r="DG18" s="165" t="str">
        <f>IF(ISERROR(VLOOKUP(CONCATENATE(DG$7,"-",MID($E18,1,100)),DATOS!$Z:$AA,2,0)),"",VLOOKUP(CONCATENATE(DG$7,"-",MID($E18,1,100)),DATOS!$Z:$AA,2,0))</f>
        <v/>
      </c>
      <c r="DH18" s="165" t="str">
        <f>IF(ISERROR(VLOOKUP(CONCATENATE(DH$7,"-",MID($E18,1,100)),DATOS!$Z:$AA,2,0)),"",VLOOKUP(CONCATENATE(DH$7,"-",MID($E18,1,100)),DATOS!$Z:$AA,2,0))</f>
        <v/>
      </c>
      <c r="DI18" s="165" t="str">
        <f>IF(ISERROR(VLOOKUP(CONCATENATE(DI$7,"-",MID($E18,1,100)),DATOS!$Z:$AA,2,0)),"",VLOOKUP(CONCATENATE(DI$7,"-",MID($E18,1,100)),DATOS!$Z:$AA,2,0))</f>
        <v/>
      </c>
      <c r="DJ18" s="195" t="str">
        <f>IF(ISERROR(VLOOKUP(CONCATENATE(DJ$7,"-",MID($E18,1,100)),DATOS!$Z:$AA,2,0)),"",VLOOKUP(CONCATENATE(DJ$7,"-",MID($E18,1,100)),DATOS!$Z:$AA,2,0))</f>
        <v/>
      </c>
      <c r="DK18" s="166" t="str">
        <f>IF(ISERROR(VLOOKUP(CONCATENATE(DK$7,"-",MID($E18,1,100)),DATOS!$Z:$AA,2,0)),"",VLOOKUP(CONCATENATE(DK$7,"-",MID($E18,1,100)),DATOS!$Z:$AA,2,0))</f>
        <v/>
      </c>
      <c r="DL18" s="164" t="str">
        <f>IF(ISERROR(VLOOKUP(CONCATENATE(DL$7,"-",MID($E18,1,100)),DATOS!$Z:$AA,2,0)),"",VLOOKUP(CONCATENATE(DL$7,"-",MID($E18,1,100)),DATOS!$Z:$AA,2,0))</f>
        <v/>
      </c>
      <c r="DM18" s="165" t="str">
        <f>IF(ISERROR(VLOOKUP(CONCATENATE(DM$7,"-",MID($E18,1,100)),DATOS!$Z:$AA,2,0)),"",VLOOKUP(CONCATENATE(DM$7,"-",MID($E18,1,100)),DATOS!$Z:$AA,2,0))</f>
        <v/>
      </c>
      <c r="DN18" s="165" t="str">
        <f>IF(ISERROR(VLOOKUP(CONCATENATE(DN$7,"-",MID($E18,1,100)),DATOS!$Z:$AA,2,0)),"",VLOOKUP(CONCATENATE(DN$7,"-",MID($E18,1,100)),DATOS!$Z:$AA,2,0))</f>
        <v/>
      </c>
      <c r="DO18" s="165" t="str">
        <f>IF(ISERROR(VLOOKUP(CONCATENATE(DO$7,"-",MID($E18,1,100)),DATOS!$Z:$AA,2,0)),"",VLOOKUP(CONCATENATE(DO$7,"-",MID($E18,1,100)),DATOS!$Z:$AA,2,0))</f>
        <v/>
      </c>
      <c r="DP18" s="165" t="str">
        <f>IF(ISERROR(VLOOKUP(CONCATENATE(DP$7,"-",MID($E18,1,100)),DATOS!$Z:$AA,2,0)),"",VLOOKUP(CONCATENATE(DP$7,"-",MID($E18,1,100)),DATOS!$Z:$AA,2,0))</f>
        <v/>
      </c>
      <c r="DQ18" s="165" t="str">
        <f>IF(ISERROR(VLOOKUP(CONCATENATE(DQ$7,"-",MID($E18,1,100)),DATOS!$Z:$AA,2,0)),"",VLOOKUP(CONCATENATE(DQ$7,"-",MID($E18,1,100)),DATOS!$Z:$AA,2,0))</f>
        <v/>
      </c>
      <c r="DR18" s="165" t="str">
        <f>IF(ISERROR(VLOOKUP(CONCATENATE(DR$7,"-",MID($E18,1,100)),DATOS!$Z:$AA,2,0)),"",VLOOKUP(CONCATENATE(DR$7,"-",MID($E18,1,100)),DATOS!$Z:$AA,2,0))</f>
        <v/>
      </c>
      <c r="DS18" s="165" t="str">
        <f>IF(ISERROR(VLOOKUP(CONCATENATE(DS$7,"-",MID($E18,1,100)),DATOS!$Z:$AA,2,0)),"",VLOOKUP(CONCATENATE(DS$7,"-",MID($E18,1,100)),DATOS!$Z:$AA,2,0))</f>
        <v/>
      </c>
      <c r="DT18" s="195" t="str">
        <f>IF(ISERROR(VLOOKUP(CONCATENATE(DT$7,"-",MID($E18,1,100)),DATOS!$Z:$AA,2,0)),"",VLOOKUP(CONCATENATE(DT$7,"-",MID($E18,1,100)),DATOS!$Z:$AA,2,0))</f>
        <v/>
      </c>
      <c r="DU18" s="166" t="str">
        <f>IF(ISERROR(VLOOKUP(CONCATENATE(DU$7,"-",MID($E18,1,100)),DATOS!$Z:$AA,2,0)),"",VLOOKUP(CONCATENATE(DU$7,"-",MID($E18,1,100)),DATOS!$Z:$AA,2,0))</f>
        <v/>
      </c>
      <c r="DV18" s="164" t="str">
        <f>IF(ISERROR(VLOOKUP(CONCATENATE(DV$7,"-",MID($E18,1,100)),DATOS!$Z:$AA,2,0)),"",VLOOKUP(CONCATENATE(DV$7,"-",MID($E18,1,100)),DATOS!$Z:$AA,2,0))</f>
        <v/>
      </c>
      <c r="DW18" s="165" t="str">
        <f>IF(ISERROR(VLOOKUP(CONCATENATE(DW$7,"-",MID($E18,1,100)),DATOS!$Z:$AA,2,0)),"",VLOOKUP(CONCATENATE(DW$7,"-",MID($E18,1,100)),DATOS!$Z:$AA,2,0))</f>
        <v/>
      </c>
      <c r="DX18" s="165" t="str">
        <f>IF(ISERROR(VLOOKUP(CONCATENATE(DX$7,"-",MID($E18,1,100)),DATOS!$Z:$AA,2,0)),"",VLOOKUP(CONCATENATE(DX$7,"-",MID($E18,1,100)),DATOS!$Z:$AA,2,0))</f>
        <v/>
      </c>
      <c r="DY18" s="165" t="str">
        <f>IF(ISERROR(VLOOKUP(CONCATENATE(DY$7,"-",MID($E18,1,100)),DATOS!$Z:$AA,2,0)),"",VLOOKUP(CONCATENATE(DY$7,"-",MID($E18,1,100)),DATOS!$Z:$AA,2,0))</f>
        <v/>
      </c>
      <c r="DZ18" s="165" t="str">
        <f>IF(ISERROR(VLOOKUP(CONCATENATE(DZ$7,"-",MID($E18,1,100)),DATOS!$Z:$AA,2,0)),"",VLOOKUP(CONCATENATE(DZ$7,"-",MID($E18,1,100)),DATOS!$Z:$AA,2,0))</f>
        <v/>
      </c>
      <c r="EA18" s="165" t="str">
        <f>IF(ISERROR(VLOOKUP(CONCATENATE(EA$7,"-",MID($E18,1,100)),DATOS!$Z:$AA,2,0)),"",VLOOKUP(CONCATENATE(EA$7,"-",MID($E18,1,100)),DATOS!$Z:$AA,2,0))</f>
        <v/>
      </c>
      <c r="EB18" s="165" t="str">
        <f>IF(ISERROR(VLOOKUP(CONCATENATE(EB$7,"-",MID($E18,1,100)),DATOS!$Z:$AA,2,0)),"",VLOOKUP(CONCATENATE(EB$7,"-",MID($E18,1,100)),DATOS!$Z:$AA,2,0))</f>
        <v/>
      </c>
      <c r="EC18" s="165" t="str">
        <f>IF(ISERROR(VLOOKUP(CONCATENATE(EC$7,"-",MID($E18,1,100)),DATOS!$Z:$AA,2,0)),"",VLOOKUP(CONCATENATE(EC$7,"-",MID($E18,1,100)),DATOS!$Z:$AA,2,0))</f>
        <v/>
      </c>
      <c r="ED18" s="195" t="str">
        <f>IF(ISERROR(VLOOKUP(CONCATENATE(ED$7,"-",MID($E18,1,100)),DATOS!$Z:$AA,2,0)),"",VLOOKUP(CONCATENATE(ED$7,"-",MID($E18,1,100)),DATOS!$Z:$AA,2,0))</f>
        <v/>
      </c>
      <c r="EE18" s="166" t="str">
        <f>IF(ISERROR(VLOOKUP(CONCATENATE(EE$7,"-",MID($E18,1,100)),DATOS!$Z:$AA,2,0)),"",VLOOKUP(CONCATENATE(EE$7,"-",MID($E18,1,100)),DATOS!$Z:$AA,2,0))</f>
        <v/>
      </c>
      <c r="EF18" s="164" t="str">
        <f>IF(ISERROR(VLOOKUP(CONCATENATE($EF$7,"-",MID(E18,1,100)),DATOS!Z:AA,2,0)),"",VLOOKUP(CONCATENATE($EF$7,"-",MID(E18,1,100)),DATOS!Z:AA,2,0))</f>
        <v/>
      </c>
      <c r="EG18" s="165" t="str">
        <f>IF(ISERROR(VLOOKUP(CONCATENATE($EG$7,"-",MID(E18,1,100)),DATOS!Z:AA,2,0)),"",VLOOKUP(CONCATENATE($EG$7,"-",MID(E18,1,100)),DATOS!Z:AA,2,0))</f>
        <v/>
      </c>
      <c r="EH18" s="165" t="str">
        <f>IF(ISERROR(VLOOKUP(CONCATENATE($EH$7,"-",MID(E18,1,100)),DATOS!Z:AA,2,0)),"",VLOOKUP(CONCATENATE($EH$7,"-",MID(E18,1,100)),DATOS!Z:AA,2,0))</f>
        <v/>
      </c>
      <c r="EI18" s="165" t="str">
        <f>IF(ISERROR(VLOOKUP(CONCATENATE($EI$7,"-",MID(E18,1,100)),DATOS!Z:AA,2,0)),"",VLOOKUP(CONCATENATE($EI$7,"-",MID(E18,1,100)),DATOS!Z:AA,2,0))</f>
        <v/>
      </c>
      <c r="EJ18" s="165" t="str">
        <f>IF(ISERROR(VLOOKUP(CONCATENATE($EJ$7,"-",MID(E18,1,100)),DATOS!Z:AA,2,0)),"",VLOOKUP(CONCATENATE($EJ$7,"-",MID(E18,1,100)),DATOS!Z:AA,2,0))</f>
        <v/>
      </c>
      <c r="EK18" s="165" t="str">
        <f>IF(ISERROR(VLOOKUP(CONCATENATE($EK$7,"-",MID(E18,1,100)),DATOS!Z:AA,2,0)),"",VLOOKUP(CONCATENATE($EK$7,"-",MID(E18,1,100)),DATOS!Z:AA,2,0))</f>
        <v/>
      </c>
      <c r="EL18" s="165" t="str">
        <f>IF(ISERROR(VLOOKUP(CONCATENATE($EL$7,"-",MID(E18,1,100)),DATOS!Z:AA,2,0)),"",VLOOKUP(CONCATENATE($EL$7,"-",MID(E18,1,100)),DATOS!Z:AA,2,0))</f>
        <v/>
      </c>
      <c r="EM18" s="165" t="str">
        <f>IF(ISERROR(VLOOKUP(CONCATENATE($EM$7,"-",MID(E18,1,100)),DATOS!Z:AA,2,0)),"",VLOOKUP(CONCATENATE($EM$7,"-",MID(E18,1,100)),DATOS!Z:AA,2,0))</f>
        <v/>
      </c>
      <c r="EN18" s="165" t="str">
        <f>IF(ISERROR(VLOOKUP(CONCATENATE($EN$7,"-",MID(E18,1,100)),DATOS!Z:AA,2,0)),"",VLOOKUP(CONCATENATE($EN$7,"-",MID(E18,1,100)),DATOS!Z:AA,2,0))</f>
        <v/>
      </c>
      <c r="EO18" s="166" t="str">
        <f>IF(ISERROR(VLOOKUP(CONCATENATE($EO$7,"-",MID(E18,1,100)),DATOS!Z:AA,2,0)),"",VLOOKUP(CONCATENATE($EO$7,"-",MID(E18,1,100)),DATOS!Z:AA,2,0))</f>
        <v/>
      </c>
      <c r="EP18" s="167">
        <f t="shared" si="0"/>
        <v>2</v>
      </c>
      <c r="EQ18" s="159" t="str">
        <f t="shared" si="1"/>
        <v>CG4: Gestión de Recursos-N2</v>
      </c>
    </row>
    <row r="19" spans="1:147" ht="17.25" customHeight="1">
      <c r="A19" s="148"/>
      <c r="B19" s="168" t="str">
        <f>IF('1.Fundamentos'!B55="","",'1.Fundamentos'!B55)</f>
        <v>CG4: Gestión de Recursos</v>
      </c>
      <c r="C19" s="169" t="s">
        <v>84</v>
      </c>
      <c r="D19" s="170" t="str">
        <f>IF('1.Fundamentos'!D55="","",'1.Fundamentos'!D55)</f>
        <v>Utiliza herramientas de gestión de recursos empresariales de manera adecuada para la toma de decisiones.</v>
      </c>
      <c r="E19" s="171" t="str">
        <f t="shared" si="2"/>
        <v>CG4: Gestión de Recursos:N3 Utiliza herramientas de gestión de recursos empresariales de manera adecuada para la toma de decisiones.</v>
      </c>
      <c r="F19" s="172" t="str">
        <f>IF(ISERROR(VLOOKUP(CONCATENATE($F$7,"-",MID(E19,1,100)),DATOS!Z:AA,2,0)),"",VLOOKUP(CONCATENATE($F$7,"-",MID(E19,1,100)),DATOS!Z:AA,2,0))</f>
        <v/>
      </c>
      <c r="G19" s="173" t="str">
        <f>IF(ISERROR(VLOOKUP(CONCATENATE($G$7,"-",MID(E19,1,100)),DATOS!Z:AA,2,0)),"",VLOOKUP(CONCATENATE($G$7,"-",MID(E19,1,100)),DATOS!Z:AA,2,0))</f>
        <v/>
      </c>
      <c r="H19" s="173" t="str">
        <f>IF(ISERROR(VLOOKUP(CONCATENATE($H$7,"-",MID(E19,1,100)),DATOS!Z:AA,2,0)),"",VLOOKUP(CONCATENATE($H$7,"-",MID(E19,1,100)),DATOS!Z:AA,2,0))</f>
        <v/>
      </c>
      <c r="I19" s="173" t="str">
        <f>IF(ISERROR(VLOOKUP(CONCATENATE($I$7,"-",MID(E19,1,100)),DATOS!Z:AA,2,0)),"",VLOOKUP(CONCATENATE($I$7,"-",MID(E19,1,100)),DATOS!Z:AA,2,0))</f>
        <v/>
      </c>
      <c r="J19" s="173" t="str">
        <f>IF(ISERROR(VLOOKUP(CONCATENATE($J$7,"-",MID(E19,1,100)),DATOS!Z:AA,2,0)),"",VLOOKUP(CONCATENATE($J$7,"-",MID(E19,1,100)),DATOS!Z:AA,2,0))</f>
        <v/>
      </c>
      <c r="K19" s="173" t="str">
        <f>IF(ISERROR(VLOOKUP(CONCATENATE($K$7,"-",MID(E19,1,100)),DATOS!Z:AA,2,0)),"",VLOOKUP(CONCATENATE($K$7,"-",MID(E19,1,100)),DATOS!Z:AA,2,0))</f>
        <v/>
      </c>
      <c r="L19" s="173" t="str">
        <f>IF(ISERROR(VLOOKUP(CONCATENATE($L$7,"-",MID(E19,1,100)),DATOS!Z:AA,2,0)),"",VLOOKUP(CONCATENATE($L$7,"-",MID(E19,1,100)),DATOS!Z:AA,2,0))</f>
        <v/>
      </c>
      <c r="M19" s="173" t="str">
        <f>IF(ISERROR(VLOOKUP(CONCATENATE($M$7,"-",MID(E19,1,100)),DATOS!Z:AA,2,0)),"",VLOOKUP(CONCATENATE($M$7,"-",MID(E19,1,100)),DATOS!Z:AA,2,0))</f>
        <v/>
      </c>
      <c r="N19" s="173" t="str">
        <f>IF(ISERROR(VLOOKUP(CONCATENATE($N$7,"-",MID(E19,1,100)),DATOS!Z:AA,2,0)),"",VLOOKUP(CONCATENATE($N$7,"-",MID(E19,1,100)),DATOS!Z:AA,2,0))</f>
        <v/>
      </c>
      <c r="O19" s="174" t="str">
        <f>IF(ISERROR(VLOOKUP(CONCATENATE($O$7,"-",MID(E19,1,100)),DATOS!Z:AA,2,0)),"",VLOOKUP(CONCATENATE($O$7,"-",MID(E19,1,100)),DATOS!Z:AA,2,0))</f>
        <v/>
      </c>
      <c r="P19" s="172" t="str">
        <f>IF(ISERROR(VLOOKUP(CONCATENATE($P$7,"-",MID(E19,1,100)),DATOS!Z:AA,2,0)),"",VLOOKUP(CONCATENATE($P$7,"-",MID(E19,1,100)),DATOS!Z:AA,2,0))</f>
        <v/>
      </c>
      <c r="Q19" s="173" t="str">
        <f>IF(ISERROR(VLOOKUP(CONCATENATE($Q$7,"-",MID(E19,1,100)),DATOS!Z:AA,2,0)),"",VLOOKUP(CONCATENATE($Q$7,"-",MID(E19,1,100)),DATOS!Z:AA,2,0))</f>
        <v/>
      </c>
      <c r="R19" s="173" t="str">
        <f>IF(ISERROR(VLOOKUP(CONCATENATE($R$7,"-",MID(E19,1,100)),DATOS!Z:AA,2,0)),"",VLOOKUP(CONCATENATE($R$7,"-",MID(E19,1,100)),DATOS!Z:AA,2,0))</f>
        <v/>
      </c>
      <c r="S19" s="173" t="str">
        <f>IF(ISERROR(VLOOKUP(CONCATENATE($S$7,"-",MID(E19,1,100)),DATOS!Z:AA,2,0)),"",VLOOKUP(CONCATENATE($S$7,"-",MID(E19,1,100)),DATOS!Z:AA,2,0))</f>
        <v/>
      </c>
      <c r="T19" s="173" t="str">
        <f>IF(ISERROR(VLOOKUP(CONCATENATE($T$7,"-",MID(E19,1,100)),DATOS!Z:AA,2,0)),"",VLOOKUP(CONCATENATE($T$7,"-",MID(E19,1,100)),DATOS!Z:AA,2,0))</f>
        <v/>
      </c>
      <c r="U19" s="173" t="str">
        <f>IF(ISERROR(VLOOKUP(CONCATENATE($U$7,"-",MID(E19,1,100)),DATOS!Z:AA,2,0)),"",VLOOKUP(CONCATENATE($U$7,"-",MID(E19,1,100)),DATOS!Z:AA,2,0))</f>
        <v/>
      </c>
      <c r="V19" s="173" t="str">
        <f>IF(ISERROR(VLOOKUP(CONCATENATE($V$7,"-",MID(E19,1,100)),DATOS!Z:AA,2,0)),"",VLOOKUP(CONCATENATE($V$7,"-",MID(E19,1,100)),DATOS!Z:AA,2,0))</f>
        <v/>
      </c>
      <c r="W19" s="173" t="str">
        <f>IF(ISERROR(VLOOKUP(CONCATENATE($W$7,"-",MID(E19,1,100)),DATOS!Z:AA,2,0)),"",VLOOKUP(CONCATENATE($W$7,"-",MID(E19,1,100)),DATOS!Z:AA,2,0))</f>
        <v/>
      </c>
      <c r="X19" s="173" t="str">
        <f>IF(ISERROR(VLOOKUP(CONCATENATE($X$7,"-",MID(E19,1,100)),DATOS!Z:AA,2,0)),"",VLOOKUP(CONCATENATE($X$7,"-",MID(E19,1,100)),DATOS!Z:AA,2,0))</f>
        <v/>
      </c>
      <c r="Y19" s="174" t="str">
        <f>IF(ISERROR(VLOOKUP(CONCATENATE($Y$7,"-",MID(E19,1,100)),DATOS!Z:AA,2,0)),"",VLOOKUP(CONCATENATE($Y$7,"-",MID(E19,1,100)),DATOS!Z:AA,2,0))</f>
        <v/>
      </c>
      <c r="Z19" s="172" t="str">
        <f>IF(ISERROR(VLOOKUP(CONCATENATE($Z$7,"-",MID(E19,1,100)),DATOS!Z:AA,2,0)),"",VLOOKUP(CONCATENATE($Z$7,"-",MID(E19,1,100)),DATOS!Z:AA,2,0))</f>
        <v/>
      </c>
      <c r="AA19" s="173" t="str">
        <f>IF(ISERROR(VLOOKUP(CONCATENATE($AA$7,"-",MID(E19,1,100)),DATOS!Z:AA,2,0)),"",VLOOKUP(CONCATENATE($AA$7,"-",MID(E19,1,100)),DATOS!Z:AA,2,0))</f>
        <v/>
      </c>
      <c r="AB19" s="173" t="str">
        <f>IF(ISERROR(VLOOKUP(CONCATENATE($AB$7,"-",MID(E19,1,100)),DATOS!Z:AA,2,0)),"",VLOOKUP(CONCATENATE($AB$7,"-",MID(E19,1,100)),DATOS!Z:AA,2,0))</f>
        <v/>
      </c>
      <c r="AC19" s="173" t="str">
        <f>IF(ISERROR(VLOOKUP(CONCATENATE($AC$7,"-",MID(E19,1,100)),DATOS!Z:AA,2,0)),"",VLOOKUP(CONCATENATE($AC$7,"-",MID(E19,1,100)),DATOS!Z:AA,2,0))</f>
        <v/>
      </c>
      <c r="AD19" s="173" t="str">
        <f>IF(ISERROR(VLOOKUP(CONCATENATE($AD$7,"-",MID(E19,1,100)),DATOS!Z:AA,2,0)),"",VLOOKUP(CONCATENATE($AD$7,"-",MID(E19,1,100)),DATOS!Z:AA,2,0))</f>
        <v/>
      </c>
      <c r="AE19" s="173" t="str">
        <f>IF(ISERROR(VLOOKUP(CONCATENATE($AE$7,"-",MID(E19,1,100)),DATOS!Z:AA,2,0)),"",VLOOKUP(CONCATENATE($AE$7,"-",MID(E19,1,100)),DATOS!Z:AA,2,0))</f>
        <v/>
      </c>
      <c r="AF19" s="173" t="str">
        <f>IF(ISERROR(VLOOKUP(CONCATENATE($AF$7,"-",MID(E19,1,100)),DATOS!Z:AA,2,0)),"",VLOOKUP(CONCATENATE($AF$7,"-",MID(E19,1,100)),DATOS!Z:AA,2,0))</f>
        <v/>
      </c>
      <c r="AG19" s="173" t="str">
        <f>IF(ISERROR(VLOOKUP(CONCATENATE($AG$7,"-",MID(E19,1,100)),DATOS!Z:AA,2,0)),"",VLOOKUP(CONCATENATE($AG$7,"-",MID(E19,1,100)),DATOS!Z:AA,2,0))</f>
        <v/>
      </c>
      <c r="AH19" s="173" t="str">
        <f>IF(ISERROR(VLOOKUP(CONCATENATE($AH$7,"-",MID(E19,1,100)),DATOS!Z:AA,2,0)),"",VLOOKUP(CONCATENATE($AH$7,"-",MID(E19,1,100)),DATOS!Z:AA,2,0))</f>
        <v/>
      </c>
      <c r="AI19" s="174" t="str">
        <f>IF(ISERROR(VLOOKUP(CONCATENATE($AI$7,"-",MID(E19,1,100)),DATOS!Z:AA,2,0)),"",VLOOKUP(CONCATENATE($AI$7,"-",MID(E19,1,100)),DATOS!Z:AA,2,0))</f>
        <v/>
      </c>
      <c r="AJ19" s="172" t="str">
        <f>IF(ISERROR(VLOOKUP(CONCATENATE($AJ$7,"-",MID(E19,1,100)),DATOS!Z:AA,2,0)),"",VLOOKUP(CONCATENATE($AJ$7,"-",MID(E19,1,100)),DATOS!Z:AA,2,0))</f>
        <v/>
      </c>
      <c r="AK19" s="173" t="str">
        <f>IF(ISERROR(VLOOKUP(CONCATENATE($AK$7,"-",MID(E19,1,100)),DATOS!Z:AA,2,0)),"",VLOOKUP(CONCATENATE($AK$7,"-",MID(E19,1,100)),DATOS!Z:AA,2,0))</f>
        <v/>
      </c>
      <c r="AL19" s="173" t="str">
        <f>IF(ISERROR(VLOOKUP(CONCATENATE($AL$7,"-",MID(E19,1,100)),DATOS!Z:AA,2,0)),"",VLOOKUP(CONCATENATE($AL$7,"-",MID(E19,1,100)),DATOS!Z:AA,2,0))</f>
        <v/>
      </c>
      <c r="AM19" s="173" t="str">
        <f>IF(ISERROR(VLOOKUP(CONCATENATE($AM$7,"-",MID(E19,1,100)),DATOS!Z:AA,2,0)),"",VLOOKUP(CONCATENATE($AM$7,"-",MID(E19,1,100)),DATOS!Z:AA,2,0))</f>
        <v/>
      </c>
      <c r="AN19" s="173" t="str">
        <f>IF(ISERROR(VLOOKUP(CONCATENATE($AN$7,"-",MID(E19,1,100)),DATOS!Z:AA,2,0)),"",VLOOKUP(CONCATENATE($AN$7,"-",MID(E19,1,100)),DATOS!Z:AA,2,0))</f>
        <v/>
      </c>
      <c r="AO19" s="173" t="str">
        <f>IF(ISERROR(VLOOKUP(CONCATENATE($AO$7,"-",MID(E19,1,100)),DATOS!Z:AA,2,0)),"",VLOOKUP(CONCATENATE($AO$7,"-",MID(E19,1,100)),DATOS!Z:AA,2,0))</f>
        <v/>
      </c>
      <c r="AP19" s="173" t="str">
        <f>IF(ISERROR(VLOOKUP(CONCATENATE($AP$7,"-",MID(E19,1,100)),DATOS!Z:AA,2,0)),"",VLOOKUP(CONCATENATE($AP$7,"-",MID(E19,1,100)),DATOS!Z:AA,2,0))</f>
        <v/>
      </c>
      <c r="AQ19" s="173" t="str">
        <f>IF(ISERROR(VLOOKUP(CONCATENATE($AQ$7,"-",MID(E19,1,100)),DATOS!Z:AA,2,0)),"",VLOOKUP(CONCATENATE($AQ$7,"-",MID(E19,1,100)),DATOS!Z:AA,2,0))</f>
        <v/>
      </c>
      <c r="AR19" s="173" t="str">
        <f>IF(ISERROR(VLOOKUP(CONCATENATE($AR$7,"-",MID(E19,1,100)),DATOS!Z:AA,2,0)),"",VLOOKUP(CONCATENATE($AR$7,"-",MID(E19,1,100)),DATOS!Z:AA,2,0))</f>
        <v/>
      </c>
      <c r="AS19" s="174" t="str">
        <f>IF(ISERROR(VLOOKUP(CONCATENATE($AS$7,"-",MID(E19,1,100)),DATOS!Z:AA,2,0)),"",VLOOKUP(CONCATENATE($AS$7,"-",MID(E19,1,100)),DATOS!Z:AA,2,0))</f>
        <v/>
      </c>
      <c r="AT19" s="172" t="str">
        <f>IF(ISERROR(VLOOKUP(CONCATENATE($AT$7,"-",MID(E19,1,100)),DATOS!Z:AA,2,0)),"",VLOOKUP(CONCATENATE($AT$7,"-",MID(E19,1,100)),DATOS!Z:AA,2,0))</f>
        <v/>
      </c>
      <c r="AU19" s="173" t="str">
        <f>IF(ISERROR(VLOOKUP(CONCATENATE($AU$7,"-",MID(E19,1,100)),DATOS!Z:AA,2,0)),"",VLOOKUP(CONCATENATE($AU$7,"-",MID(E19,1,100)),DATOS!Z:AA,2,0))</f>
        <v/>
      </c>
      <c r="AV19" s="173" t="str">
        <f>IF(ISERROR(VLOOKUP(CONCATENATE($AV$7,"-",MID(E19,1,100)),DATOS!Z:AA,2,0)),"",VLOOKUP(CONCATENATE($AV$7,"-",MID(E19,1,100)),DATOS!Z:AA,2,0))</f>
        <v/>
      </c>
      <c r="AW19" s="173" t="str">
        <f>IF(ISERROR(VLOOKUP(CONCATENATE($AW$7,"-",MID(E19,1,100)),DATOS!Z:AA,2,0)),"",VLOOKUP(CONCATENATE($AW$7,"-",MID(E19,1,100)),DATOS!Z:AA,2,0))</f>
        <v/>
      </c>
      <c r="AX19" s="173" t="str">
        <f>IF(ISERROR(VLOOKUP(CONCATENATE($AX$7,"-",MID(E19,1,100)),DATOS!Z:AA,2,0)),"",VLOOKUP(CONCATENATE($AX$7,"-",MID(E19,1,100)),DATOS!Z:AA,2,0))</f>
        <v/>
      </c>
      <c r="AY19" s="173" t="str">
        <f>IF(ISERROR(VLOOKUP(CONCATENATE($AY$7,"-",MID(E19,1,100)),DATOS!Z:AA,2,0)),"",VLOOKUP(CONCATENATE($AY$7,"-",MID(E19,1,100)),DATOS!Z:AA,2,0))</f>
        <v/>
      </c>
      <c r="AZ19" s="173" t="str">
        <f>IF(ISERROR(VLOOKUP(CONCATENATE($AZ$7,"-",MID(E19,1,100)),DATOS!Z:AA,2,0)),"",VLOOKUP(CONCATENATE($AZ$7,"-",MID(E19,1,100)),DATOS!Z:AA,2,0))</f>
        <v/>
      </c>
      <c r="BA19" s="173" t="str">
        <f>IF(ISERROR(VLOOKUP(CONCATENATE($BA$7,"-",MID(E19,1,100)),DATOS!Z:AA,2,0)),"",VLOOKUP(CONCATENATE($BA$7,"-",MID(E19,1,100)),DATOS!Z:AA,2,0))</f>
        <v/>
      </c>
      <c r="BB19" s="173" t="str">
        <f>IF(ISERROR(VLOOKUP(CONCATENATE($BB$7,"-",MID(E19,1,100)),DATOS!Z:AA,2,0)),"",VLOOKUP(CONCATENATE($BB$7,"-",MID(E19,1,100)),DATOS!Z:AA,2,0))</f>
        <v/>
      </c>
      <c r="BC19" s="174" t="str">
        <f>IF(ISERROR(VLOOKUP(CONCATENATE($BC$7,"-",MID(E19,1,100)),DATOS!Z:AA,2,0)),"",VLOOKUP(CONCATENATE($BC$7,"-",MID(E19,1,100)),DATOS!Z:AA,2,0))</f>
        <v/>
      </c>
      <c r="BD19" s="172" t="str">
        <f>IF(ISERROR(VLOOKUP(CONCATENATE($BD$7,"-",MID(E19,1,100)),DATOS!Z:AA,2,0)),"",VLOOKUP(CONCATENATE($BD$7,"-",MID(E19,1,100)),DATOS!Z:AA,2,0))</f>
        <v/>
      </c>
      <c r="BE19" s="173" t="str">
        <f>IF(ISERROR(VLOOKUP(CONCATENATE($BE$7,"-",MID(E19,1,100)),DATOS!Z:AA,2,0)),"",VLOOKUP(CONCATENATE($BE$7,"-",MID(E19,1,100)),DATOS!Z:AA,2,0))</f>
        <v/>
      </c>
      <c r="BF19" s="173" t="str">
        <f>IF(ISERROR(VLOOKUP(CONCATENATE($BF$7,"-",MID(E19,1,100)),DATOS!Z:AA,2,0)),"",VLOOKUP(CONCATENATE($BF$7,"-",MID(E19,1,100)),DATOS!Z:AA,2,0))</f>
        <v/>
      </c>
      <c r="BG19" s="173" t="str">
        <f>IF(ISERROR(VLOOKUP(CONCATENATE($BG$7,"-",MID(E19,1,100)),DATOS!Z:AA,2,0)),"",VLOOKUP(CONCATENATE($BG$7,"-",MID(E19,1,100)),DATOS!Z:AA,2,0))</f>
        <v/>
      </c>
      <c r="BH19" s="173" t="str">
        <f>IF(ISERROR(VLOOKUP(CONCATENATE($BH$7,"-",MID(E19,1,100)),DATOS!Z:AA,2,0)),"",VLOOKUP(CONCATENATE($BH$7,"-",MID(E19,1,100)),DATOS!Z:AA,2,0))</f>
        <v/>
      </c>
      <c r="BI19" s="173" t="str">
        <f>IF(ISERROR(VLOOKUP(CONCATENATE($BI$7,"-",MID(E19,1,100)),DATOS!Z:AA,2,0)),"",VLOOKUP(CONCATENATE($BI$7,"-",MID(E19,1,100)),DATOS!Z:AA,2,0))</f>
        <v/>
      </c>
      <c r="BJ19" s="173" t="str">
        <f>IF(ISERROR(VLOOKUP(CONCATENATE($BJ$7,"-",MID(E19,1,100)),DATOS!Z:AA,2,0)),"",VLOOKUP(CONCATENATE($BJ$7,"-",MID(E19,1,100)),DATOS!Z:AA,2,0))</f>
        <v/>
      </c>
      <c r="BK19" s="173" t="str">
        <f>IF(ISERROR(VLOOKUP(CONCATENATE($BK$7,"-",MID(E19,1,100)),DATOS!Z:AA,2,0)),"",VLOOKUP(CONCATENATE($BK$7,"-",MID(E19,1,100)),DATOS!Z:AA,2,0))</f>
        <v/>
      </c>
      <c r="BL19" s="173" t="str">
        <f>IF(ISERROR(VLOOKUP(CONCATENATE($BL$7,"-",MID(E19,1,100)),DATOS!Z:AA,2,0)),"",VLOOKUP(CONCATENATE($BL$7,"-",MID(E19,1,100)),DATOS!Z:AA,2,0))</f>
        <v/>
      </c>
      <c r="BM19" s="174" t="str">
        <f>IF(ISERROR(VLOOKUP(CONCATENATE($BM$7,"-",MID(E19,1,100)),DATOS!Z:AA,2,0)),"",VLOOKUP(CONCATENATE($BM$7,"-",MID(E19,1,100)),DATOS!Z:AA,2,0))</f>
        <v/>
      </c>
      <c r="BN19" s="172" t="str">
        <f>IF(ISERROR(VLOOKUP(CONCATENATE($BN$7,"-",MID(E19,1,100)),DATOS!Z:AA,2,0)),"",VLOOKUP(CONCATENATE($BN$7,"-",MID(E19,1,100)),DATOS!Z:AA,2,0))</f>
        <v/>
      </c>
      <c r="BO19" s="173" t="str">
        <f>IF(ISERROR(VLOOKUP(CONCATENATE($BO$7,"-",MID(E19,1,100)),DATOS!Z:AA,2,0)),"",VLOOKUP(CONCATENATE($BO$7,"-",MID(E19,1,100)),DATOS!Z:AA,2,0))</f>
        <v/>
      </c>
      <c r="BP19" s="173" t="str">
        <f>IF(ISERROR(VLOOKUP(CONCATENATE($BP$7,"-",MID(E19,1,100)),DATOS!Z:AA,2,0)),"",VLOOKUP(CONCATENATE($BP$7,"-",MID(E19,1,100)),DATOS!Z:AA,2,0))</f>
        <v/>
      </c>
      <c r="BQ19" s="173" t="str">
        <f>IF(ISERROR(VLOOKUP(CONCATENATE($BQ$7,"-",MID(E19,1,100)),DATOS!Z:AA,2,0)),"",VLOOKUP(CONCATENATE($BQ$7,"-",MID(E19,1,100)),DATOS!Z:AA,2,0))</f>
        <v/>
      </c>
      <c r="BR19" s="173" t="str">
        <f>IF(ISERROR(VLOOKUP(CONCATENATE($BR$7,"-",MID(E19,1,100)),DATOS!Z:AA,2,0)),"",VLOOKUP(CONCATENATE($BR$7,"-",MID(E19,1,100)),DATOS!Z:AA,2,0))</f>
        <v/>
      </c>
      <c r="BS19" s="173" t="str">
        <f>IF(ISERROR(VLOOKUP(CONCATENATE($BS$7,"-",MID(E19,1,100)),DATOS!Z:AA,2,0)),"",VLOOKUP(CONCATENATE($BS$7,"-",MID(E19,1,100)),DATOS!Z:AA,2,0))</f>
        <v/>
      </c>
      <c r="BT19" s="173" t="str">
        <f>IF(ISERROR(VLOOKUP(CONCATENATE($BT$7,"-",MID(E19,1,100)),DATOS!Z:AA,2,0)),"",VLOOKUP(CONCATENATE($BT$7,"-",MID(E19,1,100)),DATOS!Z:AA,2,0))</f>
        <v/>
      </c>
      <c r="BU19" s="173" t="str">
        <f>IF(ISERROR(VLOOKUP(CONCATENATE($BU$7,"-",MID(E19,1,100)),DATOS!Z:AA,2,0)),"",VLOOKUP(CONCATENATE($BU$7,"-",MID(E19,1,100)),DATOS!Z:AA,2,0))</f>
        <v/>
      </c>
      <c r="BV19" s="173" t="str">
        <f>IF(ISERROR(VLOOKUP(CONCATENATE($BV$7,"-",MID(E19,1,100)),DATOS!Z:AA,2,0)),"",VLOOKUP(CONCATENATE($BV$7,"-",MID(E19,1,100)),DATOS!Z:AA,2,0))</f>
        <v/>
      </c>
      <c r="BW19" s="174" t="str">
        <f>IF(ISERROR(VLOOKUP(CONCATENATE($BW$7,"-",MID(E19,1,100)),DATOS!Z:AA,2,0)),"",VLOOKUP(CONCATENATE($BW$7,"-",MID(E19,1,100)),DATOS!Z:AA,2,0))</f>
        <v/>
      </c>
      <c r="BX19" s="210" t="str">
        <f>IF(ISERROR(VLOOKUP(CONCATENATE($BX$7,"-",MID(E19,1,100)),DATOS!Z:AA,2,0)),"",VLOOKUP(CONCATENATE($BX$7,"-",MID(E19,1,100)),DATOS!Z:AA,2,0))</f>
        <v/>
      </c>
      <c r="BY19" s="211" t="str">
        <f>IF(ISERROR(VLOOKUP(CONCATENATE($BY$7,"-",MID(E19,1,100)),DATOS!Z:AA,2,0)),"",VLOOKUP(CONCATENATE($BY$7,"-",MID(E19,1,100)),DATOS!Z:AA,2,0))</f>
        <v/>
      </c>
      <c r="BZ19" s="211" t="str">
        <f>IF(ISERROR(VLOOKUP(CONCATENATE($BZ$7,"-",MID(E19,1,100)),DATOS!Z:AA,2,0)),"",VLOOKUP(CONCATENATE($BZ$7,"-",MID(E19,1,100)),DATOS!Z:AA,2,0))</f>
        <v/>
      </c>
      <c r="CA19" s="211" t="str">
        <f>IF(ISERROR(VLOOKUP(CONCATENATE($CA$7,"-",MID(E19,1,100)),DATOS!Z:AA,2,0)),"",VLOOKUP(CONCATENATE($CA$7,"-",MID(E19,1,100)),DATOS!Z:AA,2,0))</f>
        <v/>
      </c>
      <c r="CB19" s="211" t="str">
        <f>IF(ISERROR(VLOOKUP(CONCATENATE($CB$7,"-",MID(E19,1,100)),DATOS!Z:AA,2,0)),"",VLOOKUP(CONCATENATE($CB$7,"-",MID(E19,1,100)),DATOS!Z:AA,2,0))</f>
        <v/>
      </c>
      <c r="CC19" s="211" t="str">
        <f>IF(ISERROR(VLOOKUP(CONCATENATE($CC$7,"-",MID(E19,1,100)),DATOS!Z:AA,2,0)),"",VLOOKUP(CONCATENATE($CC$7,"-",MID(E19,1,100)),DATOS!Z:AA,2,0))</f>
        <v/>
      </c>
      <c r="CD19" s="211" t="str">
        <f>IF(ISERROR(VLOOKUP(CONCATENATE($CD$7,"-",MID(E19,1,100)),DATOS!Z:AA,2,0)),"",VLOOKUP(CONCATENATE($CD$7,"-",MID(E19,1,100)),DATOS!Z:AA,2,0))</f>
        <v/>
      </c>
      <c r="CE19" s="211" t="str">
        <f>IF(ISERROR(VLOOKUP(CONCATENATE($CE$7,"-",MID(E19,1,100)),DATOS!Z:AA,2,0)),"",VLOOKUP(CONCATENATE($CE$7,"-",MID(E19,1,100)),DATOS!Z:AA,2,0))</f>
        <v/>
      </c>
      <c r="CF19" s="211" t="str">
        <f>IF(ISERROR(VLOOKUP(CONCATENATE($CF$7,"-",MID(E19,1,100)),DATOS!Z:AA,2,0)),"",VLOOKUP(CONCATENATE($CF$7,"-",MID(E19,1,100)),DATOS!Z:AA,2,0))</f>
        <v/>
      </c>
      <c r="CG19" s="212" t="str">
        <f>IF(ISERROR(VLOOKUP(CONCATENATE($CG$7,"-",MID(E19,1,100)),DATOS!Z:AA,2,0)),"",VLOOKUP(CONCATENATE($CG$7,"-",MID(E19,1,100)),DATOS!Z:AA,2,0))</f>
        <v/>
      </c>
      <c r="CH19" s="210" t="str">
        <f>IF(ISERROR(VLOOKUP(CONCATENATE($CH$7,"-",MID(E19,1,100)),DATOS!Z:AA,2,0)),"",VLOOKUP(CONCATENATE($CH$7,"-",MID(E19,1,100)),DATOS!Z:AA,2,0))</f>
        <v>a</v>
      </c>
      <c r="CI19" s="211" t="str">
        <f>IF(ISERROR(VLOOKUP(CONCATENATE($CI$7,"-",MID(E19,1,100)),DATOS!Z:AA,2,0)),"",VLOOKUP(CONCATENATE($CI$7,"-",MID(E19,1,100)),DATOS!Z:AA,2,0))</f>
        <v/>
      </c>
      <c r="CJ19" s="211" t="str">
        <f>IF(ISERROR(VLOOKUP(CONCATENATE($CJ$7,"-",MID(E19,1,100)),DATOS!Z:AA,2,0)),"",VLOOKUP(CONCATENATE($CJ$7,"-",MID(E19,1,100)),DATOS!Z:AA,2,0))</f>
        <v/>
      </c>
      <c r="CK19" s="211" t="str">
        <f>IF(ISERROR(VLOOKUP(CONCATENATE($CK$7,"-",MID(E19,1,100)),DATOS!Z:AA,2,0)),"",VLOOKUP(CONCATENATE($CK$7,"-",MID(E19,1,100)),DATOS!Z:AA,2,0))</f>
        <v/>
      </c>
      <c r="CL19" s="211" t="str">
        <f>IF(ISERROR(VLOOKUP(CONCATENATE($CL$7,"-",MID(E19,1,100)),DATOS!Z:AA,2,0)),"",VLOOKUP(CONCATENATE($CL$7,"-",MID(E19,1,100)),DATOS!Z:AA,2,0))</f>
        <v/>
      </c>
      <c r="CM19" s="211" t="str">
        <f>IF(ISERROR(VLOOKUP(CONCATENATE($CM$7,"-",MID(E19,1,100)),DATOS!Z:AA,2,0)),"",VLOOKUP(CONCATENATE($CM$7,"-",MID(E19,1,100)),DATOS!Z:AA,2,0))</f>
        <v/>
      </c>
      <c r="CN19" s="211" t="str">
        <f>IF(ISERROR(VLOOKUP(CONCATENATE($CN$7,"-",MID(E19,1,100)),DATOS!Z:AA,2,0)),"",VLOOKUP(CONCATENATE($CN$7,"-",MID(E19,1,100)),DATOS!Z:AA,2,0))</f>
        <v/>
      </c>
      <c r="CO19" s="211" t="str">
        <f>IF(ISERROR(VLOOKUP(CONCATENATE($CO$7,"-",MID(E19,1,100)),DATOS!Z:AA,2,0)),"",VLOOKUP(CONCATENATE($CO$7,"-",MID(E19,1,100)),DATOS!Z:AA,2,0))</f>
        <v/>
      </c>
      <c r="CP19" s="213" t="str">
        <f>IF(ISERROR(VLOOKUP(CONCATENATE($CP$7,"-",MID(E19,1,100)),DATOS!Z:AA,2,0)),"",VLOOKUP(CONCATENATE($CP$7,"-",MID(E19,1,100)),DATOS!Z:AA,2,0))</f>
        <v/>
      </c>
      <c r="CQ19" s="212" t="str">
        <f>IF(ISERROR(VLOOKUP(CONCATENATE($CQ$7,"-",MID(E19,1,100)),DATOS!Z:AA,2,0)),"",VLOOKUP(CONCATENATE($CQ$7,"-",MID(E19,1,100)),DATOS!Z:AA,2,0))</f>
        <v/>
      </c>
      <c r="CR19" s="210" t="str">
        <f>IF(ISERROR(VLOOKUP(CONCATENATE(CR$7,"-",MID($E19,1,100)),DATOS!$Z:$AA,2,0)),"",VLOOKUP(CONCATENATE(CR$7,"-",MID($E19,1,100)),DATOS!$Z:$AA,2,0))</f>
        <v/>
      </c>
      <c r="CS19" s="211" t="str">
        <f>IF(ISERROR(VLOOKUP(CONCATENATE(CS$7,"-",MID($E19,1,100)),DATOS!$Z:$AA,2,0)),"",VLOOKUP(CONCATENATE(CS$7,"-",MID($E19,1,100)),DATOS!$Z:$AA,2,0))</f>
        <v/>
      </c>
      <c r="CT19" s="211" t="str">
        <f>IF(ISERROR(VLOOKUP(CONCATENATE(CT$7,"-",MID($E19,1,100)),DATOS!$Z:$AA,2,0)),"",VLOOKUP(CONCATENATE(CT$7,"-",MID($E19,1,100)),DATOS!$Z:$AA,2,0))</f>
        <v/>
      </c>
      <c r="CU19" s="211" t="str">
        <f>IF(ISERROR(VLOOKUP(CONCATENATE(CU$7,"-",MID($E19,1,100)),DATOS!$Z:$AA,2,0)),"",VLOOKUP(CONCATENATE(CU$7,"-",MID($E19,1,100)),DATOS!$Z:$AA,2,0))</f>
        <v/>
      </c>
      <c r="CV19" s="211" t="str">
        <f>IF(ISERROR(VLOOKUP(CONCATENATE(CV$7,"-",MID($E19,1,100)),DATOS!$Z:$AA,2,0)),"",VLOOKUP(CONCATENATE(CV$7,"-",MID($E19,1,100)),DATOS!$Z:$AA,2,0))</f>
        <v/>
      </c>
      <c r="CW19" s="211" t="str">
        <f>IF(ISERROR(VLOOKUP(CONCATENATE(CW$7,"-",MID($E19,1,100)),DATOS!$Z:$AA,2,0)),"",VLOOKUP(CONCATENATE(CW$7,"-",MID($E19,1,100)),DATOS!$Z:$AA,2,0))</f>
        <v/>
      </c>
      <c r="CX19" s="211" t="str">
        <f>IF(ISERROR(VLOOKUP(CONCATENATE(CX$7,"-",MID($E19,1,100)),DATOS!$Z:$AA,2,0)),"",VLOOKUP(CONCATENATE(CX$7,"-",MID($E19,1,100)),DATOS!$Z:$AA,2,0))</f>
        <v/>
      </c>
      <c r="CY19" s="211" t="str">
        <f>IF(ISERROR(VLOOKUP(CONCATENATE(CY$7,"-",MID($E19,1,100)),DATOS!$Z:$AA,2,0)),"",VLOOKUP(CONCATENATE(CY$7,"-",MID($E19,1,100)),DATOS!$Z:$AA,2,0))</f>
        <v/>
      </c>
      <c r="CZ19" s="213" t="str">
        <f>IF(ISERROR(VLOOKUP(CONCATENATE(CZ$7,"-",MID($E19,1,100)),DATOS!$Z:$AA,2,0)),"",VLOOKUP(CONCATENATE(CZ$7,"-",MID($E19,1,100)),DATOS!$Z:$AA,2,0))</f>
        <v/>
      </c>
      <c r="DA19" s="212" t="str">
        <f>IF(ISERROR(VLOOKUP(CONCATENATE(DA$7,"-",MID($E19,1,100)),DATOS!$Z:$AA,2,0)),"",VLOOKUP(CONCATENATE(DA$7,"-",MID($E19,1,100)),DATOS!$Z:$AA,2,0))</f>
        <v/>
      </c>
      <c r="DB19" s="210" t="str">
        <f>IF(ISERROR(VLOOKUP(CONCATENATE(DB$7,"-",MID($E19,1,100)),DATOS!$Z:$AA,2,0)),"",VLOOKUP(CONCATENATE(DB$7,"-",MID($E19,1,100)),DATOS!$Z:$AA,2,0))</f>
        <v/>
      </c>
      <c r="DC19" s="211" t="str">
        <f>IF(ISERROR(VLOOKUP(CONCATENATE(DC$7,"-",MID($E19,1,100)),DATOS!$Z:$AA,2,0)),"",VLOOKUP(CONCATENATE(DC$7,"-",MID($E19,1,100)),DATOS!$Z:$AA,2,0))</f>
        <v/>
      </c>
      <c r="DD19" s="211" t="str">
        <f>IF(ISERROR(VLOOKUP(CONCATENATE(DD$7,"-",MID($E19,1,100)),DATOS!$Z:$AA,2,0)),"",VLOOKUP(CONCATENATE(DD$7,"-",MID($E19,1,100)),DATOS!$Z:$AA,2,0))</f>
        <v/>
      </c>
      <c r="DE19" s="211" t="str">
        <f>IF(ISERROR(VLOOKUP(CONCATENATE(DE$7,"-",MID($E19,1,100)),DATOS!$Z:$AA,2,0)),"",VLOOKUP(CONCATENATE(DE$7,"-",MID($E19,1,100)),DATOS!$Z:$AA,2,0))</f>
        <v/>
      </c>
      <c r="DF19" s="211" t="str">
        <f>IF(ISERROR(VLOOKUP(CONCATENATE(DF$7,"-",MID($E19,1,100)),DATOS!$Z:$AA,2,0)),"",VLOOKUP(CONCATENATE(DF$7,"-",MID($E19,1,100)),DATOS!$Z:$AA,2,0))</f>
        <v/>
      </c>
      <c r="DG19" s="211" t="str">
        <f>IF(ISERROR(VLOOKUP(CONCATENATE(DG$7,"-",MID($E19,1,100)),DATOS!$Z:$AA,2,0)),"",VLOOKUP(CONCATENATE(DG$7,"-",MID($E19,1,100)),DATOS!$Z:$AA,2,0))</f>
        <v/>
      </c>
      <c r="DH19" s="211" t="str">
        <f>IF(ISERROR(VLOOKUP(CONCATENATE(DH$7,"-",MID($E19,1,100)),DATOS!$Z:$AA,2,0)),"",VLOOKUP(CONCATENATE(DH$7,"-",MID($E19,1,100)),DATOS!$Z:$AA,2,0))</f>
        <v/>
      </c>
      <c r="DI19" s="211" t="str">
        <f>IF(ISERROR(VLOOKUP(CONCATENATE(DI$7,"-",MID($E19,1,100)),DATOS!$Z:$AA,2,0)),"",VLOOKUP(CONCATENATE(DI$7,"-",MID($E19,1,100)),DATOS!$Z:$AA,2,0))</f>
        <v/>
      </c>
      <c r="DJ19" s="213" t="str">
        <f>IF(ISERROR(VLOOKUP(CONCATENATE(DJ$7,"-",MID($E19,1,100)),DATOS!$Z:$AA,2,0)),"",VLOOKUP(CONCATENATE(DJ$7,"-",MID($E19,1,100)),DATOS!$Z:$AA,2,0))</f>
        <v/>
      </c>
      <c r="DK19" s="212" t="str">
        <f>IF(ISERROR(VLOOKUP(CONCATENATE(DK$7,"-",MID($E19,1,100)),DATOS!$Z:$AA,2,0)),"",VLOOKUP(CONCATENATE(DK$7,"-",MID($E19,1,100)),DATOS!$Z:$AA,2,0))</f>
        <v/>
      </c>
      <c r="DL19" s="210" t="str">
        <f>IF(ISERROR(VLOOKUP(CONCATENATE(DL$7,"-",MID($E19,1,100)),DATOS!$Z:$AA,2,0)),"",VLOOKUP(CONCATENATE(DL$7,"-",MID($E19,1,100)),DATOS!$Z:$AA,2,0))</f>
        <v/>
      </c>
      <c r="DM19" s="211" t="str">
        <f>IF(ISERROR(VLOOKUP(CONCATENATE(DM$7,"-",MID($E19,1,100)),DATOS!$Z:$AA,2,0)),"",VLOOKUP(CONCATENATE(DM$7,"-",MID($E19,1,100)),DATOS!$Z:$AA,2,0))</f>
        <v/>
      </c>
      <c r="DN19" s="211" t="str">
        <f>IF(ISERROR(VLOOKUP(CONCATENATE(DN$7,"-",MID($E19,1,100)),DATOS!$Z:$AA,2,0)),"",VLOOKUP(CONCATENATE(DN$7,"-",MID($E19,1,100)),DATOS!$Z:$AA,2,0))</f>
        <v/>
      </c>
      <c r="DO19" s="211" t="str">
        <f>IF(ISERROR(VLOOKUP(CONCATENATE(DO$7,"-",MID($E19,1,100)),DATOS!$Z:$AA,2,0)),"",VLOOKUP(CONCATENATE(DO$7,"-",MID($E19,1,100)),DATOS!$Z:$AA,2,0))</f>
        <v/>
      </c>
      <c r="DP19" s="211" t="str">
        <f>IF(ISERROR(VLOOKUP(CONCATENATE(DP$7,"-",MID($E19,1,100)),DATOS!$Z:$AA,2,0)),"",VLOOKUP(CONCATENATE(DP$7,"-",MID($E19,1,100)),DATOS!$Z:$AA,2,0))</f>
        <v/>
      </c>
      <c r="DQ19" s="211" t="str">
        <f>IF(ISERROR(VLOOKUP(CONCATENATE(DQ$7,"-",MID($E19,1,100)),DATOS!$Z:$AA,2,0)),"",VLOOKUP(CONCATENATE(DQ$7,"-",MID($E19,1,100)),DATOS!$Z:$AA,2,0))</f>
        <v/>
      </c>
      <c r="DR19" s="211" t="str">
        <f>IF(ISERROR(VLOOKUP(CONCATENATE(DR$7,"-",MID($E19,1,100)),DATOS!$Z:$AA,2,0)),"",VLOOKUP(CONCATENATE(DR$7,"-",MID($E19,1,100)),DATOS!$Z:$AA,2,0))</f>
        <v/>
      </c>
      <c r="DS19" s="211" t="str">
        <f>IF(ISERROR(VLOOKUP(CONCATENATE(DS$7,"-",MID($E19,1,100)),DATOS!$Z:$AA,2,0)),"",VLOOKUP(CONCATENATE(DS$7,"-",MID($E19,1,100)),DATOS!$Z:$AA,2,0))</f>
        <v/>
      </c>
      <c r="DT19" s="213" t="str">
        <f>IF(ISERROR(VLOOKUP(CONCATENATE(DT$7,"-",MID($E19,1,100)),DATOS!$Z:$AA,2,0)),"",VLOOKUP(CONCATENATE(DT$7,"-",MID($E19,1,100)),DATOS!$Z:$AA,2,0))</f>
        <v/>
      </c>
      <c r="DU19" s="212" t="str">
        <f>IF(ISERROR(VLOOKUP(CONCATENATE(DU$7,"-",MID($E19,1,100)),DATOS!$Z:$AA,2,0)),"",VLOOKUP(CONCATENATE(DU$7,"-",MID($E19,1,100)),DATOS!$Z:$AA,2,0))</f>
        <v/>
      </c>
      <c r="DV19" s="210" t="str">
        <f>IF(ISERROR(VLOOKUP(CONCATENATE(DV$7,"-",MID($E19,1,100)),DATOS!$Z:$AA,2,0)),"",VLOOKUP(CONCATENATE(DV$7,"-",MID($E19,1,100)),DATOS!$Z:$AA,2,0))</f>
        <v/>
      </c>
      <c r="DW19" s="211" t="str">
        <f>IF(ISERROR(VLOOKUP(CONCATENATE(DW$7,"-",MID($E19,1,100)),DATOS!$Z:$AA,2,0)),"",VLOOKUP(CONCATENATE(DW$7,"-",MID($E19,1,100)),DATOS!$Z:$AA,2,0))</f>
        <v/>
      </c>
      <c r="DX19" s="211" t="str">
        <f>IF(ISERROR(VLOOKUP(CONCATENATE(DX$7,"-",MID($E19,1,100)),DATOS!$Z:$AA,2,0)),"",VLOOKUP(CONCATENATE(DX$7,"-",MID($E19,1,100)),DATOS!$Z:$AA,2,0))</f>
        <v/>
      </c>
      <c r="DY19" s="211" t="str">
        <f>IF(ISERROR(VLOOKUP(CONCATENATE(DY$7,"-",MID($E19,1,100)),DATOS!$Z:$AA,2,0)),"",VLOOKUP(CONCATENATE(DY$7,"-",MID($E19,1,100)),DATOS!$Z:$AA,2,0))</f>
        <v/>
      </c>
      <c r="DZ19" s="211" t="str">
        <f>IF(ISERROR(VLOOKUP(CONCATENATE(DZ$7,"-",MID($E19,1,100)),DATOS!$Z:$AA,2,0)),"",VLOOKUP(CONCATENATE(DZ$7,"-",MID($E19,1,100)),DATOS!$Z:$AA,2,0))</f>
        <v/>
      </c>
      <c r="EA19" s="211" t="str">
        <f>IF(ISERROR(VLOOKUP(CONCATENATE(EA$7,"-",MID($E19,1,100)),DATOS!$Z:$AA,2,0)),"",VLOOKUP(CONCATENATE(EA$7,"-",MID($E19,1,100)),DATOS!$Z:$AA,2,0))</f>
        <v/>
      </c>
      <c r="EB19" s="211" t="str">
        <f>IF(ISERROR(VLOOKUP(CONCATENATE(EB$7,"-",MID($E19,1,100)),DATOS!$Z:$AA,2,0)),"",VLOOKUP(CONCATENATE(EB$7,"-",MID($E19,1,100)),DATOS!$Z:$AA,2,0))</f>
        <v/>
      </c>
      <c r="EC19" s="211" t="str">
        <f>IF(ISERROR(VLOOKUP(CONCATENATE(EC$7,"-",MID($E19,1,100)),DATOS!$Z:$AA,2,0)),"",VLOOKUP(CONCATENATE(EC$7,"-",MID($E19,1,100)),DATOS!$Z:$AA,2,0))</f>
        <v/>
      </c>
      <c r="ED19" s="213" t="str">
        <f>IF(ISERROR(VLOOKUP(CONCATENATE(ED$7,"-",MID($E19,1,100)),DATOS!$Z:$AA,2,0)),"",VLOOKUP(CONCATENATE(ED$7,"-",MID($E19,1,100)),DATOS!$Z:$AA,2,0))</f>
        <v/>
      </c>
      <c r="EE19" s="212" t="str">
        <f>IF(ISERROR(VLOOKUP(CONCATENATE(EE$7,"-",MID($E19,1,100)),DATOS!$Z:$AA,2,0)),"",VLOOKUP(CONCATENATE(EE$7,"-",MID($E19,1,100)),DATOS!$Z:$AA,2,0))</f>
        <v/>
      </c>
      <c r="EF19" s="210" t="str">
        <f>IF(ISERROR(VLOOKUP(CONCATENATE($EF$7,"-",MID(E19,1,100)),DATOS!Z:AA,2,0)),"",VLOOKUP(CONCATENATE($EF$7,"-",MID(E19,1,100)),DATOS!Z:AA,2,0))</f>
        <v/>
      </c>
      <c r="EG19" s="211" t="str">
        <f>IF(ISERROR(VLOOKUP(CONCATENATE($EG$7,"-",MID(E19,1,100)),DATOS!Z:AA,2,0)),"",VLOOKUP(CONCATENATE($EG$7,"-",MID(E19,1,100)),DATOS!Z:AA,2,0))</f>
        <v/>
      </c>
      <c r="EH19" s="211" t="str">
        <f>IF(ISERROR(VLOOKUP(CONCATENATE($EH$7,"-",MID(E19,1,100)),DATOS!Z:AA,2,0)),"",VLOOKUP(CONCATENATE($EH$7,"-",MID(E19,1,100)),DATOS!Z:AA,2,0))</f>
        <v/>
      </c>
      <c r="EI19" s="211" t="str">
        <f>IF(ISERROR(VLOOKUP(CONCATENATE($EI$7,"-",MID(E19,1,100)),DATOS!Z:AA,2,0)),"",VLOOKUP(CONCATENATE($EI$7,"-",MID(E19,1,100)),DATOS!Z:AA,2,0))</f>
        <v/>
      </c>
      <c r="EJ19" s="211" t="str">
        <f>IF(ISERROR(VLOOKUP(CONCATENATE($EJ$7,"-",MID(E19,1,100)),DATOS!Z:AA,2,0)),"",VLOOKUP(CONCATENATE($EJ$7,"-",MID(E19,1,100)),DATOS!Z:AA,2,0))</f>
        <v/>
      </c>
      <c r="EK19" s="211" t="str">
        <f>IF(ISERROR(VLOOKUP(CONCATENATE($EK$7,"-",MID(E19,1,100)),DATOS!Z:AA,2,0)),"",VLOOKUP(CONCATENATE($EK$7,"-",MID(E19,1,100)),DATOS!Z:AA,2,0))</f>
        <v/>
      </c>
      <c r="EL19" s="211" t="str">
        <f>IF(ISERROR(VLOOKUP(CONCATENATE($EL$7,"-",MID(E19,1,100)),DATOS!Z:AA,2,0)),"",VLOOKUP(CONCATENATE($EL$7,"-",MID(E19,1,100)),DATOS!Z:AA,2,0))</f>
        <v/>
      </c>
      <c r="EM19" s="211" t="str">
        <f>IF(ISERROR(VLOOKUP(CONCATENATE($EM$7,"-",MID(E19,1,100)),DATOS!Z:AA,2,0)),"",VLOOKUP(CONCATENATE($EM$7,"-",MID(E19,1,100)),DATOS!Z:AA,2,0))</f>
        <v/>
      </c>
      <c r="EN19" s="211" t="str">
        <f>IF(ISERROR(VLOOKUP(CONCATENATE($EN$7,"-",MID(E19,1,100)),DATOS!Z:AA,2,0)),"",VLOOKUP(CONCATENATE($EN$7,"-",MID(E19,1,100)),DATOS!Z:AA,2,0))</f>
        <v/>
      </c>
      <c r="EO19" s="212" t="str">
        <f>IF(ISERROR(VLOOKUP(CONCATENATE($EO$7,"-",MID(E19,1,100)),DATOS!Z:AA,2,0)),"",VLOOKUP(CONCATENATE($EO$7,"-",MID(E19,1,100)),DATOS!Z:AA,2,0))</f>
        <v/>
      </c>
      <c r="EP19" s="175">
        <f t="shared" si="0"/>
        <v>1</v>
      </c>
      <c r="EQ19" s="159" t="str">
        <f t="shared" si="1"/>
        <v>CG4: Gestión de Recursos-N3</v>
      </c>
    </row>
    <row r="20" spans="1:147" ht="16.5" customHeight="1">
      <c r="A20" s="148"/>
      <c r="B20" s="151" t="str">
        <f>IF('1.Fundamentos'!B56="","",'1.Fundamentos'!B56)</f>
        <v>CG5: Desarrollo Humano</v>
      </c>
      <c r="C20" s="152" t="s">
        <v>78</v>
      </c>
      <c r="D20" s="153" t="str">
        <f>IF('1.Fundamentos'!F56="","",'1.Fundamentos'!F56)</f>
        <v>Identifica sus capacidades y/o cualidades personales y académicas mediante ejercicios y base teórica conducente al fortalecimiento del autoconocimiento.</v>
      </c>
      <c r="E20" s="154" t="str">
        <f t="shared" si="2"/>
        <v>CG5: Desarrollo Humano:N1 Identifica sus capacidades y/o cualidades personales y académicas mediante ejercicios y base teórica conducente al fortalecimiento del autoconocimiento.</v>
      </c>
      <c r="F20" s="204" t="str">
        <f>IF(ISERROR(VLOOKUP(CONCATENATE($F$7,"-",MID(E20,1,100)),DATOS!Z:AA,2,0)),"",VLOOKUP(CONCATENATE($F$7,"-",MID(E20,1,100)),DATOS!Z:AA,2,0))</f>
        <v/>
      </c>
      <c r="G20" s="205" t="str">
        <f>IF(ISERROR(VLOOKUP(CONCATENATE($G$7,"-",MID(E20,1,100)),DATOS!Z:AA,2,0)),"",VLOOKUP(CONCATENATE($G$7,"-",MID(E20,1,100)),DATOS!Z:AA,2,0))</f>
        <v>a</v>
      </c>
      <c r="H20" s="205" t="str">
        <f>IF(ISERROR(VLOOKUP(CONCATENATE($H$7,"-",MID(E20,1,100)),DATOS!Z:AA,2,0)),"",VLOOKUP(CONCATENATE($H$7,"-",MID(E20,1,100)),DATOS!Z:AA,2,0))</f>
        <v/>
      </c>
      <c r="I20" s="205" t="str">
        <f>IF(ISERROR(VLOOKUP(CONCATENATE($I$7,"-",MID(E20,1,100)),DATOS!Z:AA,2,0)),"",VLOOKUP(CONCATENATE($I$7,"-",MID(E20,1,100)),DATOS!Z:AA,2,0))</f>
        <v/>
      </c>
      <c r="J20" s="205" t="str">
        <f>IF(ISERROR(VLOOKUP(CONCATENATE($J$7,"-",MID(E20,1,100)),DATOS!Z:AA,2,0)),"",VLOOKUP(CONCATENATE($J$7,"-",MID(E20,1,100)),DATOS!Z:AA,2,0))</f>
        <v/>
      </c>
      <c r="K20" s="205" t="str">
        <f>IF(ISERROR(VLOOKUP(CONCATENATE($K$7,"-",MID(E20,1,100)),DATOS!Z:AA,2,0)),"",VLOOKUP(CONCATENATE($K$7,"-",MID(E20,1,100)),DATOS!Z:AA,2,0))</f>
        <v/>
      </c>
      <c r="L20" s="205" t="str">
        <f>IF(ISERROR(VLOOKUP(CONCATENATE($L$7,"-",MID(E20,1,100)),DATOS!Z:AA,2,0)),"",VLOOKUP(CONCATENATE($L$7,"-",MID(E20,1,100)),DATOS!Z:AA,2,0))</f>
        <v/>
      </c>
      <c r="M20" s="205" t="str">
        <f>IF(ISERROR(VLOOKUP(CONCATENATE($M$7,"-",MID(E20,1,100)),DATOS!Z:AA,2,0)),"",VLOOKUP(CONCATENATE($M$7,"-",MID(E20,1,100)),DATOS!Z:AA,2,0))</f>
        <v/>
      </c>
      <c r="N20" s="205" t="str">
        <f>IF(ISERROR(VLOOKUP(CONCATENATE($N$7,"-",MID(E20,1,100)),DATOS!Z:AA,2,0)),"",VLOOKUP(CONCATENATE($N$7,"-",MID(E20,1,100)),DATOS!Z:AA,2,0))</f>
        <v/>
      </c>
      <c r="O20" s="206" t="str">
        <f>IF(ISERROR(VLOOKUP(CONCATENATE($O$7,"-",MID(E20,1,100)),DATOS!Z:AA,2,0)),"",VLOOKUP(CONCATENATE($O$7,"-",MID(E20,1,100)),DATOS!Z:AA,2,0))</f>
        <v/>
      </c>
      <c r="P20" s="204" t="str">
        <f>IF(ISERROR(VLOOKUP(CONCATENATE($P$7,"-",MID(E20,1,100)),DATOS!Z:AA,2,0)),"",VLOOKUP(CONCATENATE($P$7,"-",MID(E20,1,100)),DATOS!Z:AA,2,0))</f>
        <v/>
      </c>
      <c r="Q20" s="205" t="str">
        <f>IF(ISERROR(VLOOKUP(CONCATENATE($Q$7,"-",MID(E20,1,100)),DATOS!Z:AA,2,0)),"",VLOOKUP(CONCATENATE($Q$7,"-",MID(E20,1,100)),DATOS!Z:AA,2,0))</f>
        <v/>
      </c>
      <c r="R20" s="205" t="str">
        <f>IF(ISERROR(VLOOKUP(CONCATENATE($R$7,"-",MID(E20,1,100)),DATOS!Z:AA,2,0)),"",VLOOKUP(CONCATENATE($R$7,"-",MID(E20,1,100)),DATOS!Z:AA,2,0))</f>
        <v/>
      </c>
      <c r="S20" s="205" t="str">
        <f>IF(ISERROR(VLOOKUP(CONCATENATE($S$7,"-",MID(E20,1,100)),DATOS!Z:AA,2,0)),"",VLOOKUP(CONCATENATE($S$7,"-",MID(E20,1,100)),DATOS!Z:AA,2,0))</f>
        <v/>
      </c>
      <c r="T20" s="205" t="str">
        <f>IF(ISERROR(VLOOKUP(CONCATENATE($T$7,"-",MID(E20,1,100)),DATOS!Z:AA,2,0)),"",VLOOKUP(CONCATENATE($T$7,"-",MID(E20,1,100)),DATOS!Z:AA,2,0))</f>
        <v/>
      </c>
      <c r="U20" s="205" t="str">
        <f>IF(ISERROR(VLOOKUP(CONCATENATE($U$7,"-",MID(E20,1,100)),DATOS!Z:AA,2,0)),"",VLOOKUP(CONCATENATE($U$7,"-",MID(E20,1,100)),DATOS!Z:AA,2,0))</f>
        <v/>
      </c>
      <c r="V20" s="205" t="str">
        <f>IF(ISERROR(VLOOKUP(CONCATENATE($V$7,"-",MID(E20,1,100)),DATOS!Z:AA,2,0)),"",VLOOKUP(CONCATENATE($V$7,"-",MID(E20,1,100)),DATOS!Z:AA,2,0))</f>
        <v/>
      </c>
      <c r="W20" s="205" t="str">
        <f>IF(ISERROR(VLOOKUP(CONCATENATE($W$7,"-",MID(E20,1,100)),DATOS!Z:AA,2,0)),"",VLOOKUP(CONCATENATE($W$7,"-",MID(E20,1,100)),DATOS!Z:AA,2,0))</f>
        <v/>
      </c>
      <c r="X20" s="205" t="str">
        <f>IF(ISERROR(VLOOKUP(CONCATENATE($X$7,"-",MID(E20,1,100)),DATOS!Z:AA,2,0)),"",VLOOKUP(CONCATENATE($X$7,"-",MID(E20,1,100)),DATOS!Z:AA,2,0))</f>
        <v/>
      </c>
      <c r="Y20" s="206" t="str">
        <f>IF(ISERROR(VLOOKUP(CONCATENATE($Y$7,"-",MID(E20,1,100)),DATOS!Z:AA,2,0)),"",VLOOKUP(CONCATENATE($Y$7,"-",MID(E20,1,100)),DATOS!Z:AA,2,0))</f>
        <v/>
      </c>
      <c r="Z20" s="204" t="str">
        <f>IF(ISERROR(VLOOKUP(CONCATENATE($Z$7,"-",MID(E20,1,100)),DATOS!Z:AA,2,0)),"",VLOOKUP(CONCATENATE($Z$7,"-",MID(E20,1,100)),DATOS!Z:AA,2,0))</f>
        <v/>
      </c>
      <c r="AA20" s="205" t="str">
        <f>IF(ISERROR(VLOOKUP(CONCATENATE($AA$7,"-",MID(E20,1,100)),DATOS!Z:AA,2,0)),"",VLOOKUP(CONCATENATE($AA$7,"-",MID(E20,1,100)),DATOS!Z:AA,2,0))</f>
        <v/>
      </c>
      <c r="AB20" s="205" t="str">
        <f>IF(ISERROR(VLOOKUP(CONCATENATE($AB$7,"-",MID(E20,1,100)),DATOS!Z:AA,2,0)),"",VLOOKUP(CONCATENATE($AB$7,"-",MID(E20,1,100)),DATOS!Z:AA,2,0))</f>
        <v/>
      </c>
      <c r="AC20" s="205" t="str">
        <f>IF(ISERROR(VLOOKUP(CONCATENATE($AC$7,"-",MID(E20,1,100)),DATOS!Z:AA,2,0)),"",VLOOKUP(CONCATENATE($AC$7,"-",MID(E20,1,100)),DATOS!Z:AA,2,0))</f>
        <v/>
      </c>
      <c r="AD20" s="205" t="str">
        <f>IF(ISERROR(VLOOKUP(CONCATENATE($AD$7,"-",MID(E20,1,100)),DATOS!Z:AA,2,0)),"",VLOOKUP(CONCATENATE($AD$7,"-",MID(E20,1,100)),DATOS!Z:AA,2,0))</f>
        <v>a</v>
      </c>
      <c r="AE20" s="205" t="str">
        <f>IF(ISERROR(VLOOKUP(CONCATENATE($AE$7,"-",MID(E20,1,100)),DATOS!Z:AA,2,0)),"",VLOOKUP(CONCATENATE($AE$7,"-",MID(E20,1,100)),DATOS!Z:AA,2,0))</f>
        <v/>
      </c>
      <c r="AF20" s="205" t="str">
        <f>IF(ISERROR(VLOOKUP(CONCATENATE($AF$7,"-",MID(E20,1,100)),DATOS!Z:AA,2,0)),"",VLOOKUP(CONCATENATE($AF$7,"-",MID(E20,1,100)),DATOS!Z:AA,2,0))</f>
        <v/>
      </c>
      <c r="AG20" s="205" t="str">
        <f>IF(ISERROR(VLOOKUP(CONCATENATE($AG$7,"-",MID(E20,1,100)),DATOS!Z:AA,2,0)),"",VLOOKUP(CONCATENATE($AG$7,"-",MID(E20,1,100)),DATOS!Z:AA,2,0))</f>
        <v/>
      </c>
      <c r="AH20" s="205" t="str">
        <f>IF(ISERROR(VLOOKUP(CONCATENATE($AH$7,"-",MID(E20,1,100)),DATOS!Z:AA,2,0)),"",VLOOKUP(CONCATENATE($AH$7,"-",MID(E20,1,100)),DATOS!Z:AA,2,0))</f>
        <v/>
      </c>
      <c r="AI20" s="206" t="str">
        <f>IF(ISERROR(VLOOKUP(CONCATENATE($AI$7,"-",MID(E20,1,100)),DATOS!Z:AA,2,0)),"",VLOOKUP(CONCATENATE($AI$7,"-",MID(E20,1,100)),DATOS!Z:AA,2,0))</f>
        <v/>
      </c>
      <c r="AJ20" s="204" t="str">
        <f>IF(ISERROR(VLOOKUP(CONCATENATE($AJ$7,"-",MID(E20,1,100)),DATOS!Z:AA,2,0)),"",VLOOKUP(CONCATENATE($AJ$7,"-",MID(E20,1,100)),DATOS!Z:AA,2,0))</f>
        <v/>
      </c>
      <c r="AK20" s="205" t="str">
        <f>IF(ISERROR(VLOOKUP(CONCATENATE($AK$7,"-",MID(E20,1,100)),DATOS!Z:AA,2,0)),"",VLOOKUP(CONCATENATE($AK$7,"-",MID(E20,1,100)),DATOS!Z:AA,2,0))</f>
        <v/>
      </c>
      <c r="AL20" s="205" t="str">
        <f>IF(ISERROR(VLOOKUP(CONCATENATE($AL$7,"-",MID(E20,1,100)),DATOS!Z:AA,2,0)),"",VLOOKUP(CONCATENATE($AL$7,"-",MID(E20,1,100)),DATOS!Z:AA,2,0))</f>
        <v/>
      </c>
      <c r="AM20" s="205" t="str">
        <f>IF(ISERROR(VLOOKUP(CONCATENATE($AM$7,"-",MID(E20,1,100)),DATOS!Z:AA,2,0)),"",VLOOKUP(CONCATENATE($AM$7,"-",MID(E20,1,100)),DATOS!Z:AA,2,0))</f>
        <v/>
      </c>
      <c r="AN20" s="205" t="str">
        <f>IF(ISERROR(VLOOKUP(CONCATENATE($AN$7,"-",MID(E20,1,100)),DATOS!Z:AA,2,0)),"",VLOOKUP(CONCATENATE($AN$7,"-",MID(E20,1,100)),DATOS!Z:AA,2,0))</f>
        <v/>
      </c>
      <c r="AO20" s="205" t="str">
        <f>IF(ISERROR(VLOOKUP(CONCATENATE($AO$7,"-",MID(E20,1,100)),DATOS!Z:AA,2,0)),"",VLOOKUP(CONCATENATE($AO$7,"-",MID(E20,1,100)),DATOS!Z:AA,2,0))</f>
        <v/>
      </c>
      <c r="AP20" s="205" t="str">
        <f>IF(ISERROR(VLOOKUP(CONCATENATE($AP$7,"-",MID(E20,1,100)),DATOS!Z:AA,2,0)),"",VLOOKUP(CONCATENATE($AP$7,"-",MID(E20,1,100)),DATOS!Z:AA,2,0))</f>
        <v/>
      </c>
      <c r="AQ20" s="205" t="str">
        <f>IF(ISERROR(VLOOKUP(CONCATENATE($AQ$7,"-",MID(E20,1,100)),DATOS!Z:AA,2,0)),"",VLOOKUP(CONCATENATE($AQ$7,"-",MID(E20,1,100)),DATOS!Z:AA,2,0))</f>
        <v/>
      </c>
      <c r="AR20" s="205" t="str">
        <f>IF(ISERROR(VLOOKUP(CONCATENATE($AR$7,"-",MID(E20,1,100)),DATOS!Z:AA,2,0)),"",VLOOKUP(CONCATENATE($AR$7,"-",MID(E20,1,100)),DATOS!Z:AA,2,0))</f>
        <v/>
      </c>
      <c r="AS20" s="206" t="str">
        <f>IF(ISERROR(VLOOKUP(CONCATENATE($AS$7,"-",MID(E20,1,100)),DATOS!Z:AA,2,0)),"",VLOOKUP(CONCATENATE($AS$7,"-",MID(E20,1,100)),DATOS!Z:AA,2,0))</f>
        <v/>
      </c>
      <c r="AT20" s="155" t="str">
        <f>IF(ISERROR(VLOOKUP(CONCATENATE($AT$7,"-",MID(E20,1,100)),DATOS!Z:AA,2,0)),"",VLOOKUP(CONCATENATE($AT$7,"-",MID(E20,1,100)),DATOS!Z:AA,2,0))</f>
        <v/>
      </c>
      <c r="AU20" s="156" t="str">
        <f>IF(ISERROR(VLOOKUP(CONCATENATE($AU$7,"-",MID(E20,1,100)),DATOS!Z:AA,2,0)),"",VLOOKUP(CONCATENATE($AU$7,"-",MID(E20,1,100)),DATOS!Z:AA,2,0))</f>
        <v/>
      </c>
      <c r="AV20" s="156" t="str">
        <f>IF(ISERROR(VLOOKUP(CONCATENATE($AV$7,"-",MID(E20,1,100)),DATOS!Z:AA,2,0)),"",VLOOKUP(CONCATENATE($AV$7,"-",MID(E20,1,100)),DATOS!Z:AA,2,0))</f>
        <v/>
      </c>
      <c r="AW20" s="156" t="str">
        <f>IF(ISERROR(VLOOKUP(CONCATENATE($AW$7,"-",MID(E20,1,100)),DATOS!Z:AA,2,0)),"",VLOOKUP(CONCATENATE($AW$7,"-",MID(E20,1,100)),DATOS!Z:AA,2,0))</f>
        <v/>
      </c>
      <c r="AX20" s="156" t="str">
        <f>IF(ISERROR(VLOOKUP(CONCATENATE($AX$7,"-",MID(E20,1,100)),DATOS!Z:AA,2,0)),"",VLOOKUP(CONCATENATE($AX$7,"-",MID(E20,1,100)),DATOS!Z:AA,2,0))</f>
        <v/>
      </c>
      <c r="AY20" s="156" t="str">
        <f>IF(ISERROR(VLOOKUP(CONCATENATE($AY$7,"-",MID(E20,1,100)),DATOS!Z:AA,2,0)),"",VLOOKUP(CONCATENATE($AY$7,"-",MID(E20,1,100)),DATOS!Z:AA,2,0))</f>
        <v/>
      </c>
      <c r="AZ20" s="156" t="str">
        <f>IF(ISERROR(VLOOKUP(CONCATENATE($AZ$7,"-",MID(E20,1,100)),DATOS!Z:AA,2,0)),"",VLOOKUP(CONCATENATE($AZ$7,"-",MID(E20,1,100)),DATOS!Z:AA,2,0))</f>
        <v/>
      </c>
      <c r="BA20" s="156" t="str">
        <f>IF(ISERROR(VLOOKUP(CONCATENATE($BA$7,"-",MID(E20,1,100)),DATOS!Z:AA,2,0)),"",VLOOKUP(CONCATENATE($BA$7,"-",MID(E20,1,100)),DATOS!Z:AA,2,0))</f>
        <v/>
      </c>
      <c r="BB20" s="156" t="str">
        <f>IF(ISERROR(VLOOKUP(CONCATENATE($BB$7,"-",MID(E20,1,100)),DATOS!Z:AA,2,0)),"",VLOOKUP(CONCATENATE($BB$7,"-",MID(E20,1,100)),DATOS!Z:AA,2,0))</f>
        <v/>
      </c>
      <c r="BC20" s="157" t="str">
        <f>IF(ISERROR(VLOOKUP(CONCATENATE($BC$7,"-",MID(E20,1,100)),DATOS!Z:AA,2,0)),"",VLOOKUP(CONCATENATE($BC$7,"-",MID(E20,1,100)),DATOS!Z:AA,2,0))</f>
        <v/>
      </c>
      <c r="BD20" s="155" t="str">
        <f>IF(ISERROR(VLOOKUP(CONCATENATE($BD$7,"-",MID(E20,1,100)),DATOS!Z:AA,2,0)),"",VLOOKUP(CONCATENATE($BD$7,"-",MID(E20,1,100)),DATOS!Z:AA,2,0))</f>
        <v/>
      </c>
      <c r="BE20" s="156" t="str">
        <f>IF(ISERROR(VLOOKUP(CONCATENATE($BE$7,"-",MID(E20,1,100)),DATOS!Z:AA,2,0)),"",VLOOKUP(CONCATENATE($BE$7,"-",MID(E20,1,100)),DATOS!Z:AA,2,0))</f>
        <v/>
      </c>
      <c r="BF20" s="156" t="str">
        <f>IF(ISERROR(VLOOKUP(CONCATENATE($BF$7,"-",MID(E20,1,100)),DATOS!Z:AA,2,0)),"",VLOOKUP(CONCATENATE($BF$7,"-",MID(E20,1,100)),DATOS!Z:AA,2,0))</f>
        <v/>
      </c>
      <c r="BG20" s="156" t="str">
        <f>IF(ISERROR(VLOOKUP(CONCATENATE($BG$7,"-",MID(E20,1,100)),DATOS!Z:AA,2,0)),"",VLOOKUP(CONCATENATE($BG$7,"-",MID(E20,1,100)),DATOS!Z:AA,2,0))</f>
        <v/>
      </c>
      <c r="BH20" s="156" t="str">
        <f>IF(ISERROR(VLOOKUP(CONCATENATE($BH$7,"-",MID(E20,1,100)),DATOS!Z:AA,2,0)),"",VLOOKUP(CONCATENATE($BH$7,"-",MID(E20,1,100)),DATOS!Z:AA,2,0))</f>
        <v/>
      </c>
      <c r="BI20" s="156" t="str">
        <f>IF(ISERROR(VLOOKUP(CONCATENATE($BI$7,"-",MID(E20,1,100)),DATOS!Z:AA,2,0)),"",VLOOKUP(CONCATENATE($BI$7,"-",MID(E20,1,100)),DATOS!Z:AA,2,0))</f>
        <v/>
      </c>
      <c r="BJ20" s="156" t="str">
        <f>IF(ISERROR(VLOOKUP(CONCATENATE($BJ$7,"-",MID(E20,1,100)),DATOS!Z:AA,2,0)),"",VLOOKUP(CONCATENATE($BJ$7,"-",MID(E20,1,100)),DATOS!Z:AA,2,0))</f>
        <v/>
      </c>
      <c r="BK20" s="156" t="str">
        <f>IF(ISERROR(VLOOKUP(CONCATENATE($BK$7,"-",MID(E20,1,100)),DATOS!Z:AA,2,0)),"",VLOOKUP(CONCATENATE($BK$7,"-",MID(E20,1,100)),DATOS!Z:AA,2,0))</f>
        <v/>
      </c>
      <c r="BL20" s="156" t="str">
        <f>IF(ISERROR(VLOOKUP(CONCATENATE($BL$7,"-",MID(E20,1,100)),DATOS!Z:AA,2,0)),"",VLOOKUP(CONCATENATE($BL$7,"-",MID(E20,1,100)),DATOS!Z:AA,2,0))</f>
        <v/>
      </c>
      <c r="BM20" s="157" t="str">
        <f>IF(ISERROR(VLOOKUP(CONCATENATE($BM$7,"-",MID(E20,1,100)),DATOS!Z:AA,2,0)),"",VLOOKUP(CONCATENATE($BM$7,"-",MID(E20,1,100)),DATOS!Z:AA,2,0))</f>
        <v/>
      </c>
      <c r="BN20" s="155" t="str">
        <f>IF(ISERROR(VLOOKUP(CONCATENATE($BN$7,"-",MID(E20,1,100)),DATOS!Z:AA,2,0)),"",VLOOKUP(CONCATENATE($BN$7,"-",MID(E20,1,100)),DATOS!Z:AA,2,0))</f>
        <v/>
      </c>
      <c r="BO20" s="156" t="str">
        <f>IF(ISERROR(VLOOKUP(CONCATENATE($BO$7,"-",MID(E20,1,100)),DATOS!Z:AA,2,0)),"",VLOOKUP(CONCATENATE($BO$7,"-",MID(E20,1,100)),DATOS!Z:AA,2,0))</f>
        <v/>
      </c>
      <c r="BP20" s="156" t="str">
        <f>IF(ISERROR(VLOOKUP(CONCATENATE($BP$7,"-",MID(E20,1,100)),DATOS!Z:AA,2,0)),"",VLOOKUP(CONCATENATE($BP$7,"-",MID(E20,1,100)),DATOS!Z:AA,2,0))</f>
        <v/>
      </c>
      <c r="BQ20" s="156" t="str">
        <f>IF(ISERROR(VLOOKUP(CONCATENATE($BQ$7,"-",MID(E20,1,100)),DATOS!Z:AA,2,0)),"",VLOOKUP(CONCATENATE($BQ$7,"-",MID(E20,1,100)),DATOS!Z:AA,2,0))</f>
        <v/>
      </c>
      <c r="BR20" s="156" t="str">
        <f>IF(ISERROR(VLOOKUP(CONCATENATE($BR$7,"-",MID(E20,1,100)),DATOS!Z:AA,2,0)),"",VLOOKUP(CONCATENATE($BR$7,"-",MID(E20,1,100)),DATOS!Z:AA,2,0))</f>
        <v/>
      </c>
      <c r="BS20" s="156" t="str">
        <f>IF(ISERROR(VLOOKUP(CONCATENATE($BS$7,"-",MID(E20,1,100)),DATOS!Z:AA,2,0)),"",VLOOKUP(CONCATENATE($BS$7,"-",MID(E20,1,100)),DATOS!Z:AA,2,0))</f>
        <v/>
      </c>
      <c r="BT20" s="156" t="str">
        <f>IF(ISERROR(VLOOKUP(CONCATENATE($BT$7,"-",MID(E20,1,100)),DATOS!Z:AA,2,0)),"",VLOOKUP(CONCATENATE($BT$7,"-",MID(E20,1,100)),DATOS!Z:AA,2,0))</f>
        <v/>
      </c>
      <c r="BU20" s="156" t="str">
        <f>IF(ISERROR(VLOOKUP(CONCATENATE($BU$7,"-",MID(E20,1,100)),DATOS!Z:AA,2,0)),"",VLOOKUP(CONCATENATE($BU$7,"-",MID(E20,1,100)),DATOS!Z:AA,2,0))</f>
        <v/>
      </c>
      <c r="BV20" s="156" t="str">
        <f>IF(ISERROR(VLOOKUP(CONCATENATE($BV$7,"-",MID(E20,1,100)),DATOS!Z:AA,2,0)),"",VLOOKUP(CONCATENATE($BV$7,"-",MID(E20,1,100)),DATOS!Z:AA,2,0))</f>
        <v/>
      </c>
      <c r="BW20" s="157" t="str">
        <f>IF(ISERROR(VLOOKUP(CONCATENATE($BW$7,"-",MID(E20,1,100)),DATOS!Z:AA,2,0)),"",VLOOKUP(CONCATENATE($BW$7,"-",MID(E20,1,100)),DATOS!Z:AA,2,0))</f>
        <v/>
      </c>
      <c r="BX20" s="155" t="str">
        <f>IF(ISERROR(VLOOKUP(CONCATENATE($BX$7,"-",MID(E20,1,100)),DATOS!Z:AA,2,0)),"",VLOOKUP(CONCATENATE($BX$7,"-",MID(E20,1,100)),DATOS!Z:AA,2,0))</f>
        <v/>
      </c>
      <c r="BY20" s="156" t="str">
        <f>IF(ISERROR(VLOOKUP(CONCATENATE($BY$7,"-",MID(E20,1,100)),DATOS!Z:AA,2,0)),"",VLOOKUP(CONCATENATE($BY$7,"-",MID(E20,1,100)),DATOS!Z:AA,2,0))</f>
        <v/>
      </c>
      <c r="BZ20" s="156" t="str">
        <f>IF(ISERROR(VLOOKUP(CONCATENATE($BZ$7,"-",MID(E20,1,100)),DATOS!Z:AA,2,0)),"",VLOOKUP(CONCATENATE($BZ$7,"-",MID(E20,1,100)),DATOS!Z:AA,2,0))</f>
        <v/>
      </c>
      <c r="CA20" s="156" t="str">
        <f>IF(ISERROR(VLOOKUP(CONCATENATE($CA$7,"-",MID(E20,1,100)),DATOS!Z:AA,2,0)),"",VLOOKUP(CONCATENATE($CA$7,"-",MID(E20,1,100)),DATOS!Z:AA,2,0))</f>
        <v/>
      </c>
      <c r="CB20" s="156" t="str">
        <f>IF(ISERROR(VLOOKUP(CONCATENATE($CB$7,"-",MID(E20,1,100)),DATOS!Z:AA,2,0)),"",VLOOKUP(CONCATENATE($CB$7,"-",MID(E20,1,100)),DATOS!Z:AA,2,0))</f>
        <v/>
      </c>
      <c r="CC20" s="156" t="str">
        <f>IF(ISERROR(VLOOKUP(CONCATENATE($CC$7,"-",MID(E20,1,100)),DATOS!Z:AA,2,0)),"",VLOOKUP(CONCATENATE($CC$7,"-",MID(E20,1,100)),DATOS!Z:AA,2,0))</f>
        <v/>
      </c>
      <c r="CD20" s="156" t="str">
        <f>IF(ISERROR(VLOOKUP(CONCATENATE($CD$7,"-",MID(E20,1,100)),DATOS!Z:AA,2,0)),"",VLOOKUP(CONCATENATE($CD$7,"-",MID(E20,1,100)),DATOS!Z:AA,2,0))</f>
        <v/>
      </c>
      <c r="CE20" s="156" t="str">
        <f>IF(ISERROR(VLOOKUP(CONCATENATE($CE$7,"-",MID(E20,1,100)),DATOS!Z:AA,2,0)),"",VLOOKUP(CONCATENATE($CE$7,"-",MID(E20,1,100)),DATOS!Z:AA,2,0))</f>
        <v/>
      </c>
      <c r="CF20" s="156" t="str">
        <f>IF(ISERROR(VLOOKUP(CONCATENATE($CF$7,"-",MID(E20,1,100)),DATOS!Z:AA,2,0)),"",VLOOKUP(CONCATENATE($CF$7,"-",MID(E20,1,100)),DATOS!Z:AA,2,0))</f>
        <v/>
      </c>
      <c r="CG20" s="157" t="str">
        <f>IF(ISERROR(VLOOKUP(CONCATENATE($CG$7,"-",MID(E20,1,100)),DATOS!Z:AA,2,0)),"",VLOOKUP(CONCATENATE($CG$7,"-",MID(E20,1,100)),DATOS!Z:AA,2,0))</f>
        <v/>
      </c>
      <c r="CH20" s="155" t="str">
        <f>IF(ISERROR(VLOOKUP(CONCATENATE($CH$7,"-",MID(E20,1,100)),DATOS!Z:AA,2,0)),"",VLOOKUP(CONCATENATE($CH$7,"-",MID(E20,1,100)),DATOS!Z:AA,2,0))</f>
        <v/>
      </c>
      <c r="CI20" s="156" t="str">
        <f>IF(ISERROR(VLOOKUP(CONCATENATE($CI$7,"-",MID(E20,1,100)),DATOS!Z:AA,2,0)),"",VLOOKUP(CONCATENATE($CI$7,"-",MID(E20,1,100)),DATOS!Z:AA,2,0))</f>
        <v/>
      </c>
      <c r="CJ20" s="156" t="str">
        <f>IF(ISERROR(VLOOKUP(CONCATENATE($CJ$7,"-",MID(E20,1,100)),DATOS!Z:AA,2,0)),"",VLOOKUP(CONCATENATE($CJ$7,"-",MID(E20,1,100)),DATOS!Z:AA,2,0))</f>
        <v/>
      </c>
      <c r="CK20" s="156" t="str">
        <f>IF(ISERROR(VLOOKUP(CONCATENATE($CK$7,"-",MID(E20,1,100)),DATOS!Z:AA,2,0)),"",VLOOKUP(CONCATENATE($CK$7,"-",MID(E20,1,100)),DATOS!Z:AA,2,0))</f>
        <v/>
      </c>
      <c r="CL20" s="156" t="str">
        <f>IF(ISERROR(VLOOKUP(CONCATENATE($CL$7,"-",MID(E20,1,100)),DATOS!Z:AA,2,0)),"",VLOOKUP(CONCATENATE($CL$7,"-",MID(E20,1,100)),DATOS!Z:AA,2,0))</f>
        <v/>
      </c>
      <c r="CM20" s="156" t="str">
        <f>IF(ISERROR(VLOOKUP(CONCATENATE($CM$7,"-",MID(E20,1,100)),DATOS!Z:AA,2,0)),"",VLOOKUP(CONCATENATE($CM$7,"-",MID(E20,1,100)),DATOS!Z:AA,2,0))</f>
        <v/>
      </c>
      <c r="CN20" s="156" t="str">
        <f>IF(ISERROR(VLOOKUP(CONCATENATE($CN$7,"-",MID(E20,1,100)),DATOS!Z:AA,2,0)),"",VLOOKUP(CONCATENATE($CN$7,"-",MID(E20,1,100)),DATOS!Z:AA,2,0))</f>
        <v/>
      </c>
      <c r="CO20" s="156" t="str">
        <f>IF(ISERROR(VLOOKUP(CONCATENATE($CO$7,"-",MID(E20,1,100)),DATOS!Z:AA,2,0)),"",VLOOKUP(CONCATENATE($CO$7,"-",MID(E20,1,100)),DATOS!Z:AA,2,0))</f>
        <v/>
      </c>
      <c r="CP20" s="194" t="str">
        <f>IF(ISERROR(VLOOKUP(CONCATENATE($CP$7,"-",MID(E20,1,100)),DATOS!Z:AA,2,0)),"",VLOOKUP(CONCATENATE($CP$7,"-",MID(E20,1,100)),DATOS!Z:AA,2,0))</f>
        <v/>
      </c>
      <c r="CQ20" s="157" t="str">
        <f>IF(ISERROR(VLOOKUP(CONCATENATE($CQ$7,"-",MID(E20,1,100)),DATOS!Z:AA,2,0)),"",VLOOKUP(CONCATENATE($CQ$7,"-",MID(E20,1,100)),DATOS!Z:AA,2,0))</f>
        <v/>
      </c>
      <c r="CR20" s="155" t="str">
        <f>IF(ISERROR(VLOOKUP(CONCATENATE(CR$7,"-",MID($E20,1,100)),DATOS!$Z:$AA,2,0)),"",VLOOKUP(CONCATENATE(CR$7,"-",MID($E20,1,100)),DATOS!$Z:$AA,2,0))</f>
        <v/>
      </c>
      <c r="CS20" s="156" t="str">
        <f>IF(ISERROR(VLOOKUP(CONCATENATE(CS$7,"-",MID($E20,1,100)),DATOS!$Z:$AA,2,0)),"",VLOOKUP(CONCATENATE(CS$7,"-",MID($E20,1,100)),DATOS!$Z:$AA,2,0))</f>
        <v/>
      </c>
      <c r="CT20" s="156" t="str">
        <f>IF(ISERROR(VLOOKUP(CONCATENATE(CT$7,"-",MID($E20,1,100)),DATOS!$Z:$AA,2,0)),"",VLOOKUP(CONCATENATE(CT$7,"-",MID($E20,1,100)),DATOS!$Z:$AA,2,0))</f>
        <v/>
      </c>
      <c r="CU20" s="156" t="str">
        <f>IF(ISERROR(VLOOKUP(CONCATENATE(CU$7,"-",MID($E20,1,100)),DATOS!$Z:$AA,2,0)),"",VLOOKUP(CONCATENATE(CU$7,"-",MID($E20,1,100)),DATOS!$Z:$AA,2,0))</f>
        <v/>
      </c>
      <c r="CV20" s="156" t="str">
        <f>IF(ISERROR(VLOOKUP(CONCATENATE(CV$7,"-",MID($E20,1,100)),DATOS!$Z:$AA,2,0)),"",VLOOKUP(CONCATENATE(CV$7,"-",MID($E20,1,100)),DATOS!$Z:$AA,2,0))</f>
        <v/>
      </c>
      <c r="CW20" s="156" t="str">
        <f>IF(ISERROR(VLOOKUP(CONCATENATE(CW$7,"-",MID($E20,1,100)),DATOS!$Z:$AA,2,0)),"",VLOOKUP(CONCATENATE(CW$7,"-",MID($E20,1,100)),DATOS!$Z:$AA,2,0))</f>
        <v/>
      </c>
      <c r="CX20" s="156" t="str">
        <f>IF(ISERROR(VLOOKUP(CONCATENATE(CX$7,"-",MID($E20,1,100)),DATOS!$Z:$AA,2,0)),"",VLOOKUP(CONCATENATE(CX$7,"-",MID($E20,1,100)),DATOS!$Z:$AA,2,0))</f>
        <v/>
      </c>
      <c r="CY20" s="156" t="str">
        <f>IF(ISERROR(VLOOKUP(CONCATENATE(CY$7,"-",MID($E20,1,100)),DATOS!$Z:$AA,2,0)),"",VLOOKUP(CONCATENATE(CY$7,"-",MID($E20,1,100)),DATOS!$Z:$AA,2,0))</f>
        <v/>
      </c>
      <c r="CZ20" s="194" t="str">
        <f>IF(ISERROR(VLOOKUP(CONCATENATE(CZ$7,"-",MID($E20,1,100)),DATOS!$Z:$AA,2,0)),"",VLOOKUP(CONCATENATE(CZ$7,"-",MID($E20,1,100)),DATOS!$Z:$AA,2,0))</f>
        <v/>
      </c>
      <c r="DA20" s="157" t="str">
        <f>IF(ISERROR(VLOOKUP(CONCATENATE(DA$7,"-",MID($E20,1,100)),DATOS!$Z:$AA,2,0)),"",VLOOKUP(CONCATENATE(DA$7,"-",MID($E20,1,100)),DATOS!$Z:$AA,2,0))</f>
        <v/>
      </c>
      <c r="DB20" s="155" t="str">
        <f>IF(ISERROR(VLOOKUP(CONCATENATE(DB$7,"-",MID($E20,1,100)),DATOS!$Z:$AA,2,0)),"",VLOOKUP(CONCATENATE(DB$7,"-",MID($E20,1,100)),DATOS!$Z:$AA,2,0))</f>
        <v/>
      </c>
      <c r="DC20" s="156" t="str">
        <f>IF(ISERROR(VLOOKUP(CONCATENATE(DC$7,"-",MID($E20,1,100)),DATOS!$Z:$AA,2,0)),"",VLOOKUP(CONCATENATE(DC$7,"-",MID($E20,1,100)),DATOS!$Z:$AA,2,0))</f>
        <v/>
      </c>
      <c r="DD20" s="156" t="str">
        <f>IF(ISERROR(VLOOKUP(CONCATENATE(DD$7,"-",MID($E20,1,100)),DATOS!$Z:$AA,2,0)),"",VLOOKUP(CONCATENATE(DD$7,"-",MID($E20,1,100)),DATOS!$Z:$AA,2,0))</f>
        <v/>
      </c>
      <c r="DE20" s="156" t="str">
        <f>IF(ISERROR(VLOOKUP(CONCATENATE(DE$7,"-",MID($E20,1,100)),DATOS!$Z:$AA,2,0)),"",VLOOKUP(CONCATENATE(DE$7,"-",MID($E20,1,100)),DATOS!$Z:$AA,2,0))</f>
        <v/>
      </c>
      <c r="DF20" s="156" t="str">
        <f>IF(ISERROR(VLOOKUP(CONCATENATE(DF$7,"-",MID($E20,1,100)),DATOS!$Z:$AA,2,0)),"",VLOOKUP(CONCATENATE(DF$7,"-",MID($E20,1,100)),DATOS!$Z:$AA,2,0))</f>
        <v/>
      </c>
      <c r="DG20" s="156" t="str">
        <f>IF(ISERROR(VLOOKUP(CONCATENATE(DG$7,"-",MID($E20,1,100)),DATOS!$Z:$AA,2,0)),"",VLOOKUP(CONCATENATE(DG$7,"-",MID($E20,1,100)),DATOS!$Z:$AA,2,0))</f>
        <v/>
      </c>
      <c r="DH20" s="156" t="str">
        <f>IF(ISERROR(VLOOKUP(CONCATENATE(DH$7,"-",MID($E20,1,100)),DATOS!$Z:$AA,2,0)),"",VLOOKUP(CONCATENATE(DH$7,"-",MID($E20,1,100)),DATOS!$Z:$AA,2,0))</f>
        <v/>
      </c>
      <c r="DI20" s="156" t="str">
        <f>IF(ISERROR(VLOOKUP(CONCATENATE(DI$7,"-",MID($E20,1,100)),DATOS!$Z:$AA,2,0)),"",VLOOKUP(CONCATENATE(DI$7,"-",MID($E20,1,100)),DATOS!$Z:$AA,2,0))</f>
        <v/>
      </c>
      <c r="DJ20" s="194" t="str">
        <f>IF(ISERROR(VLOOKUP(CONCATENATE(DJ$7,"-",MID($E20,1,100)),DATOS!$Z:$AA,2,0)),"",VLOOKUP(CONCATENATE(DJ$7,"-",MID($E20,1,100)),DATOS!$Z:$AA,2,0))</f>
        <v/>
      </c>
      <c r="DK20" s="157" t="str">
        <f>IF(ISERROR(VLOOKUP(CONCATENATE(DK$7,"-",MID($E20,1,100)),DATOS!$Z:$AA,2,0)),"",VLOOKUP(CONCATENATE(DK$7,"-",MID($E20,1,100)),DATOS!$Z:$AA,2,0))</f>
        <v/>
      </c>
      <c r="DL20" s="155" t="str">
        <f>IF(ISERROR(VLOOKUP(CONCATENATE(DL$7,"-",MID($E20,1,100)),DATOS!$Z:$AA,2,0)),"",VLOOKUP(CONCATENATE(DL$7,"-",MID($E20,1,100)),DATOS!$Z:$AA,2,0))</f>
        <v/>
      </c>
      <c r="DM20" s="156" t="str">
        <f>IF(ISERROR(VLOOKUP(CONCATENATE(DM$7,"-",MID($E20,1,100)),DATOS!$Z:$AA,2,0)),"",VLOOKUP(CONCATENATE(DM$7,"-",MID($E20,1,100)),DATOS!$Z:$AA,2,0))</f>
        <v/>
      </c>
      <c r="DN20" s="156" t="str">
        <f>IF(ISERROR(VLOOKUP(CONCATENATE(DN$7,"-",MID($E20,1,100)),DATOS!$Z:$AA,2,0)),"",VLOOKUP(CONCATENATE(DN$7,"-",MID($E20,1,100)),DATOS!$Z:$AA,2,0))</f>
        <v/>
      </c>
      <c r="DO20" s="156" t="str">
        <f>IF(ISERROR(VLOOKUP(CONCATENATE(DO$7,"-",MID($E20,1,100)),DATOS!$Z:$AA,2,0)),"",VLOOKUP(CONCATENATE(DO$7,"-",MID($E20,1,100)),DATOS!$Z:$AA,2,0))</f>
        <v/>
      </c>
      <c r="DP20" s="156" t="str">
        <f>IF(ISERROR(VLOOKUP(CONCATENATE(DP$7,"-",MID($E20,1,100)),DATOS!$Z:$AA,2,0)),"",VLOOKUP(CONCATENATE(DP$7,"-",MID($E20,1,100)),DATOS!$Z:$AA,2,0))</f>
        <v/>
      </c>
      <c r="DQ20" s="156" t="str">
        <f>IF(ISERROR(VLOOKUP(CONCATENATE(DQ$7,"-",MID($E20,1,100)),DATOS!$Z:$AA,2,0)),"",VLOOKUP(CONCATENATE(DQ$7,"-",MID($E20,1,100)),DATOS!$Z:$AA,2,0))</f>
        <v/>
      </c>
      <c r="DR20" s="156" t="str">
        <f>IF(ISERROR(VLOOKUP(CONCATENATE(DR$7,"-",MID($E20,1,100)),DATOS!$Z:$AA,2,0)),"",VLOOKUP(CONCATENATE(DR$7,"-",MID($E20,1,100)),DATOS!$Z:$AA,2,0))</f>
        <v/>
      </c>
      <c r="DS20" s="156" t="str">
        <f>IF(ISERROR(VLOOKUP(CONCATENATE(DS$7,"-",MID($E20,1,100)),DATOS!$Z:$AA,2,0)),"",VLOOKUP(CONCATENATE(DS$7,"-",MID($E20,1,100)),DATOS!$Z:$AA,2,0))</f>
        <v/>
      </c>
      <c r="DT20" s="194" t="str">
        <f>IF(ISERROR(VLOOKUP(CONCATENATE(DT$7,"-",MID($E20,1,100)),DATOS!$Z:$AA,2,0)),"",VLOOKUP(CONCATENATE(DT$7,"-",MID($E20,1,100)),DATOS!$Z:$AA,2,0))</f>
        <v/>
      </c>
      <c r="DU20" s="157" t="str">
        <f>IF(ISERROR(VLOOKUP(CONCATENATE(DU$7,"-",MID($E20,1,100)),DATOS!$Z:$AA,2,0)),"",VLOOKUP(CONCATENATE(DU$7,"-",MID($E20,1,100)),DATOS!$Z:$AA,2,0))</f>
        <v/>
      </c>
      <c r="DV20" s="155" t="str">
        <f>IF(ISERROR(VLOOKUP(CONCATENATE(DV$7,"-",MID($E20,1,100)),DATOS!$Z:$AA,2,0)),"",VLOOKUP(CONCATENATE(DV$7,"-",MID($E20,1,100)),DATOS!$Z:$AA,2,0))</f>
        <v/>
      </c>
      <c r="DW20" s="156" t="str">
        <f>IF(ISERROR(VLOOKUP(CONCATENATE(DW$7,"-",MID($E20,1,100)),DATOS!$Z:$AA,2,0)),"",VLOOKUP(CONCATENATE(DW$7,"-",MID($E20,1,100)),DATOS!$Z:$AA,2,0))</f>
        <v/>
      </c>
      <c r="DX20" s="156" t="str">
        <f>IF(ISERROR(VLOOKUP(CONCATENATE(DX$7,"-",MID($E20,1,100)),DATOS!$Z:$AA,2,0)),"",VLOOKUP(CONCATENATE(DX$7,"-",MID($E20,1,100)),DATOS!$Z:$AA,2,0))</f>
        <v/>
      </c>
      <c r="DY20" s="156" t="str">
        <f>IF(ISERROR(VLOOKUP(CONCATENATE(DY$7,"-",MID($E20,1,100)),DATOS!$Z:$AA,2,0)),"",VLOOKUP(CONCATENATE(DY$7,"-",MID($E20,1,100)),DATOS!$Z:$AA,2,0))</f>
        <v/>
      </c>
      <c r="DZ20" s="156" t="str">
        <f>IF(ISERROR(VLOOKUP(CONCATENATE(DZ$7,"-",MID($E20,1,100)),DATOS!$Z:$AA,2,0)),"",VLOOKUP(CONCATENATE(DZ$7,"-",MID($E20,1,100)),DATOS!$Z:$AA,2,0))</f>
        <v/>
      </c>
      <c r="EA20" s="156" t="str">
        <f>IF(ISERROR(VLOOKUP(CONCATENATE(EA$7,"-",MID($E20,1,100)),DATOS!$Z:$AA,2,0)),"",VLOOKUP(CONCATENATE(EA$7,"-",MID($E20,1,100)),DATOS!$Z:$AA,2,0))</f>
        <v/>
      </c>
      <c r="EB20" s="156" t="str">
        <f>IF(ISERROR(VLOOKUP(CONCATENATE(EB$7,"-",MID($E20,1,100)),DATOS!$Z:$AA,2,0)),"",VLOOKUP(CONCATENATE(EB$7,"-",MID($E20,1,100)),DATOS!$Z:$AA,2,0))</f>
        <v/>
      </c>
      <c r="EC20" s="156" t="str">
        <f>IF(ISERROR(VLOOKUP(CONCATENATE(EC$7,"-",MID($E20,1,100)),DATOS!$Z:$AA,2,0)),"",VLOOKUP(CONCATENATE(EC$7,"-",MID($E20,1,100)),DATOS!$Z:$AA,2,0))</f>
        <v/>
      </c>
      <c r="ED20" s="194" t="str">
        <f>IF(ISERROR(VLOOKUP(CONCATENATE(ED$7,"-",MID($E20,1,100)),DATOS!$Z:$AA,2,0)),"",VLOOKUP(CONCATENATE(ED$7,"-",MID($E20,1,100)),DATOS!$Z:$AA,2,0))</f>
        <v/>
      </c>
      <c r="EE20" s="157" t="str">
        <f>IF(ISERROR(VLOOKUP(CONCATENATE(EE$7,"-",MID($E20,1,100)),DATOS!$Z:$AA,2,0)),"",VLOOKUP(CONCATENATE(EE$7,"-",MID($E20,1,100)),DATOS!$Z:$AA,2,0))</f>
        <v/>
      </c>
      <c r="EF20" s="155" t="str">
        <f>IF(ISERROR(VLOOKUP(CONCATENATE($EF$7,"-",MID(E20,1,100)),DATOS!Z:AA,2,0)),"",VLOOKUP(CONCATENATE($EF$7,"-",MID(E20,1,100)),DATOS!Z:AA,2,0))</f>
        <v/>
      </c>
      <c r="EG20" s="156" t="str">
        <f>IF(ISERROR(VLOOKUP(CONCATENATE($EG$7,"-",MID(E20,1,100)),DATOS!Z:AA,2,0)),"",VLOOKUP(CONCATENATE($EG$7,"-",MID(E20,1,100)),DATOS!Z:AA,2,0))</f>
        <v/>
      </c>
      <c r="EH20" s="156" t="str">
        <f>IF(ISERROR(VLOOKUP(CONCATENATE($EH$7,"-",MID(E20,1,100)),DATOS!Z:AA,2,0)),"",VLOOKUP(CONCATENATE($EH$7,"-",MID(E20,1,100)),DATOS!Z:AA,2,0))</f>
        <v/>
      </c>
      <c r="EI20" s="156" t="str">
        <f>IF(ISERROR(VLOOKUP(CONCATENATE($EI$7,"-",MID(E20,1,100)),DATOS!Z:AA,2,0)),"",VLOOKUP(CONCATENATE($EI$7,"-",MID(E20,1,100)),DATOS!Z:AA,2,0))</f>
        <v/>
      </c>
      <c r="EJ20" s="156" t="str">
        <f>IF(ISERROR(VLOOKUP(CONCATENATE($EJ$7,"-",MID(E20,1,100)),DATOS!Z:AA,2,0)),"",VLOOKUP(CONCATENATE($EJ$7,"-",MID(E20,1,100)),DATOS!Z:AA,2,0))</f>
        <v/>
      </c>
      <c r="EK20" s="156" t="str">
        <f>IF(ISERROR(VLOOKUP(CONCATENATE($EK$7,"-",MID(E20,1,100)),DATOS!Z:AA,2,0)),"",VLOOKUP(CONCATENATE($EK$7,"-",MID(E20,1,100)),DATOS!Z:AA,2,0))</f>
        <v/>
      </c>
      <c r="EL20" s="156" t="str">
        <f>IF(ISERROR(VLOOKUP(CONCATENATE($EL$7,"-",MID(E20,1,100)),DATOS!Z:AA,2,0)),"",VLOOKUP(CONCATENATE($EL$7,"-",MID(E20,1,100)),DATOS!Z:AA,2,0))</f>
        <v/>
      </c>
      <c r="EM20" s="156" t="str">
        <f>IF(ISERROR(VLOOKUP(CONCATENATE($EM$7,"-",MID(E20,1,100)),DATOS!Z:AA,2,0)),"",VLOOKUP(CONCATENATE($EM$7,"-",MID(E20,1,100)),DATOS!Z:AA,2,0))</f>
        <v/>
      </c>
      <c r="EN20" s="156" t="str">
        <f>IF(ISERROR(VLOOKUP(CONCATENATE($EN$7,"-",MID(E20,1,100)),DATOS!Z:AA,2,0)),"",VLOOKUP(CONCATENATE($EN$7,"-",MID(E20,1,100)),DATOS!Z:AA,2,0))</f>
        <v/>
      </c>
      <c r="EO20" s="157" t="str">
        <f>IF(ISERROR(VLOOKUP(CONCATENATE($EO$7,"-",MID(E20,1,100)),DATOS!Z:AA,2,0)),"",VLOOKUP(CONCATENATE($EO$7,"-",MID(E20,1,100)),DATOS!Z:AA,2,0))</f>
        <v/>
      </c>
      <c r="EP20" s="158">
        <f t="shared" si="0"/>
        <v>2</v>
      </c>
      <c r="EQ20" s="159" t="str">
        <f t="shared" si="1"/>
        <v>CG5: Desarrollo Humano-N1</v>
      </c>
    </row>
    <row r="21" spans="1:147" ht="16.5" customHeight="1">
      <c r="A21" s="148"/>
      <c r="B21" s="160" t="str">
        <f>IF('1.Fundamentos'!B56="","",'1.Fundamentos'!B56)</f>
        <v>CG5: Desarrollo Humano</v>
      </c>
      <c r="C21" s="161" t="s">
        <v>82</v>
      </c>
      <c r="D21" s="162" t="str">
        <f>IF('1.Fundamentos'!E56="","",'1.Fundamentos'!E56)</f>
        <v>Relaciona sus características personales, valores y capacidades a través del análisis de casos para interactuar de forma propositiva con su entorno social.</v>
      </c>
      <c r="E21" s="163" t="str">
        <f t="shared" si="2"/>
        <v>CG5: Desarrollo Humano:N2 Relaciona sus características personales, valores y capacidades a través del análisis de casos para interactuar de forma propositiva con su entorno social.</v>
      </c>
      <c r="F21" s="164" t="str">
        <f>IF(ISERROR(VLOOKUP(CONCATENATE($F$7,"-",MID(E21,1,100)),DATOS!Z:AA,2,0)),"",VLOOKUP(CONCATENATE($F$7,"-",MID(E21,1,100)),DATOS!Z:AA,2,0))</f>
        <v/>
      </c>
      <c r="G21" s="165" t="str">
        <f>IF(ISERROR(VLOOKUP(CONCATENATE($G$7,"-",MID(E21,1,100)),DATOS!Z:AA,2,0)),"",VLOOKUP(CONCATENATE($G$7,"-",MID(E21,1,100)),DATOS!Z:AA,2,0))</f>
        <v/>
      </c>
      <c r="H21" s="165" t="str">
        <f>IF(ISERROR(VLOOKUP(CONCATENATE($H$7,"-",MID(E21,1,100)),DATOS!Z:AA,2,0)),"",VLOOKUP(CONCATENATE($H$7,"-",MID(E21,1,100)),DATOS!Z:AA,2,0))</f>
        <v/>
      </c>
      <c r="I21" s="165" t="str">
        <f>IF(ISERROR(VLOOKUP(CONCATENATE($I$7,"-",MID(E21,1,100)),DATOS!Z:AA,2,0)),"",VLOOKUP(CONCATENATE($I$7,"-",MID(E21,1,100)),DATOS!Z:AA,2,0))</f>
        <v/>
      </c>
      <c r="J21" s="165" t="str">
        <f>IF(ISERROR(VLOOKUP(CONCATENATE($J$7,"-",MID(E21,1,100)),DATOS!Z:AA,2,0)),"",VLOOKUP(CONCATENATE($J$7,"-",MID(E21,1,100)),DATOS!Z:AA,2,0))</f>
        <v/>
      </c>
      <c r="K21" s="165" t="str">
        <f>IF(ISERROR(VLOOKUP(CONCATENATE($K$7,"-",MID(E21,1,100)),DATOS!Z:AA,2,0)),"",VLOOKUP(CONCATENATE($K$7,"-",MID(E21,1,100)),DATOS!Z:AA,2,0))</f>
        <v/>
      </c>
      <c r="L21" s="165" t="str">
        <f>IF(ISERROR(VLOOKUP(CONCATENATE($L$7,"-",MID(E21,1,100)),DATOS!Z:AA,2,0)),"",VLOOKUP(CONCATENATE($L$7,"-",MID(E21,1,100)),DATOS!Z:AA,2,0))</f>
        <v/>
      </c>
      <c r="M21" s="165" t="str">
        <f>IF(ISERROR(VLOOKUP(CONCATENATE($M$7,"-",MID(E21,1,100)),DATOS!Z:AA,2,0)),"",VLOOKUP(CONCATENATE($M$7,"-",MID(E21,1,100)),DATOS!Z:AA,2,0))</f>
        <v/>
      </c>
      <c r="N21" s="165" t="str">
        <f>IF(ISERROR(VLOOKUP(CONCATENATE($N$7,"-",MID(E21,1,100)),DATOS!Z:AA,2,0)),"",VLOOKUP(CONCATENATE($N$7,"-",MID(E21,1,100)),DATOS!Z:AA,2,0))</f>
        <v/>
      </c>
      <c r="O21" s="166" t="str">
        <f>IF(ISERROR(VLOOKUP(CONCATENATE($O$7,"-",MID(E21,1,100)),DATOS!Z:AA,2,0)),"",VLOOKUP(CONCATENATE($O$7,"-",MID(E21,1,100)),DATOS!Z:AA,2,0))</f>
        <v/>
      </c>
      <c r="P21" s="164" t="str">
        <f>IF(ISERROR(VLOOKUP(CONCATENATE($P$7,"-",MID(E21,1,100)),DATOS!Z:AA,2,0)),"",VLOOKUP(CONCATENATE($P$7,"-",MID(E21,1,100)),DATOS!Z:AA,2,0))</f>
        <v/>
      </c>
      <c r="Q21" s="165" t="str">
        <f>IF(ISERROR(VLOOKUP(CONCATENATE($Q$7,"-",MID(E21,1,100)),DATOS!Z:AA,2,0)),"",VLOOKUP(CONCATENATE($Q$7,"-",MID(E21,1,100)),DATOS!Z:AA,2,0))</f>
        <v/>
      </c>
      <c r="R21" s="165" t="str">
        <f>IF(ISERROR(VLOOKUP(CONCATENATE($R$7,"-",MID(E21,1,100)),DATOS!Z:AA,2,0)),"",VLOOKUP(CONCATENATE($R$7,"-",MID(E21,1,100)),DATOS!Z:AA,2,0))</f>
        <v/>
      </c>
      <c r="S21" s="165" t="str">
        <f>IF(ISERROR(VLOOKUP(CONCATENATE($S$7,"-",MID(E21,1,100)),DATOS!Z:AA,2,0)),"",VLOOKUP(CONCATENATE($S$7,"-",MID(E21,1,100)),DATOS!Z:AA,2,0))</f>
        <v/>
      </c>
      <c r="T21" s="165" t="str">
        <f>IF(ISERROR(VLOOKUP(CONCATENATE($T$7,"-",MID(E21,1,100)),DATOS!Z:AA,2,0)),"",VLOOKUP(CONCATENATE($T$7,"-",MID(E21,1,100)),DATOS!Z:AA,2,0))</f>
        <v/>
      </c>
      <c r="U21" s="165" t="str">
        <f>IF(ISERROR(VLOOKUP(CONCATENATE($U$7,"-",MID(E21,1,100)),DATOS!Z:AA,2,0)),"",VLOOKUP(CONCATENATE($U$7,"-",MID(E21,1,100)),DATOS!Z:AA,2,0))</f>
        <v/>
      </c>
      <c r="V21" s="165" t="str">
        <f>IF(ISERROR(VLOOKUP(CONCATENATE($V$7,"-",MID(E21,1,100)),DATOS!Z:AA,2,0)),"",VLOOKUP(CONCATENATE($V$7,"-",MID(E21,1,100)),DATOS!Z:AA,2,0))</f>
        <v/>
      </c>
      <c r="W21" s="165" t="str">
        <f>IF(ISERROR(VLOOKUP(CONCATENATE($W$7,"-",MID(E21,1,100)),DATOS!Z:AA,2,0)),"",VLOOKUP(CONCATENATE($W$7,"-",MID(E21,1,100)),DATOS!Z:AA,2,0))</f>
        <v/>
      </c>
      <c r="X21" s="165" t="str">
        <f>IF(ISERROR(VLOOKUP(CONCATENATE($X$7,"-",MID(E21,1,100)),DATOS!Z:AA,2,0)),"",VLOOKUP(CONCATENATE($X$7,"-",MID(E21,1,100)),DATOS!Z:AA,2,0))</f>
        <v/>
      </c>
      <c r="Y21" s="166" t="str">
        <f>IF(ISERROR(VLOOKUP(CONCATENATE($Y$7,"-",MID(E21,1,100)),DATOS!Z:AA,2,0)),"",VLOOKUP(CONCATENATE($Y$7,"-",MID(E21,1,100)),DATOS!Z:AA,2,0))</f>
        <v/>
      </c>
      <c r="Z21" s="164" t="str">
        <f>IF(ISERROR(VLOOKUP(CONCATENATE($Z$7,"-",MID(E21,1,100)),DATOS!Z:AA,2,0)),"",VLOOKUP(CONCATENATE($Z$7,"-",MID(E21,1,100)),DATOS!Z:AA,2,0))</f>
        <v/>
      </c>
      <c r="AA21" s="165" t="str">
        <f>IF(ISERROR(VLOOKUP(CONCATENATE($AA$7,"-",MID(E21,1,100)),DATOS!Z:AA,2,0)),"",VLOOKUP(CONCATENATE($AA$7,"-",MID(E21,1,100)),DATOS!Z:AA,2,0))</f>
        <v/>
      </c>
      <c r="AB21" s="165" t="str">
        <f>IF(ISERROR(VLOOKUP(CONCATENATE($AB$7,"-",MID(E21,1,100)),DATOS!Z:AA,2,0)),"",VLOOKUP(CONCATENATE($AB$7,"-",MID(E21,1,100)),DATOS!Z:AA,2,0))</f>
        <v/>
      </c>
      <c r="AC21" s="165" t="str">
        <f>IF(ISERROR(VLOOKUP(CONCATENATE($AC$7,"-",MID(E21,1,100)),DATOS!Z:AA,2,0)),"",VLOOKUP(CONCATENATE($AC$7,"-",MID(E21,1,100)),DATOS!Z:AA,2,0))</f>
        <v/>
      </c>
      <c r="AD21" s="165" t="str">
        <f>IF(ISERROR(VLOOKUP(CONCATENATE($AD$7,"-",MID(E21,1,100)),DATOS!Z:AA,2,0)),"",VLOOKUP(CONCATENATE($AD$7,"-",MID(E21,1,100)),DATOS!Z:AA,2,0))</f>
        <v/>
      </c>
      <c r="AE21" s="165" t="str">
        <f>IF(ISERROR(VLOOKUP(CONCATENATE($AE$7,"-",MID(E21,1,100)),DATOS!Z:AA,2,0)),"",VLOOKUP(CONCATENATE($AE$7,"-",MID(E21,1,100)),DATOS!Z:AA,2,0))</f>
        <v/>
      </c>
      <c r="AF21" s="165" t="str">
        <f>IF(ISERROR(VLOOKUP(CONCATENATE($AF$7,"-",MID(E21,1,100)),DATOS!Z:AA,2,0)),"",VLOOKUP(CONCATENATE($AF$7,"-",MID(E21,1,100)),DATOS!Z:AA,2,0))</f>
        <v/>
      </c>
      <c r="AG21" s="165" t="str">
        <f>IF(ISERROR(VLOOKUP(CONCATENATE($AG$7,"-",MID(E21,1,100)),DATOS!Z:AA,2,0)),"",VLOOKUP(CONCATENATE($AG$7,"-",MID(E21,1,100)),DATOS!Z:AA,2,0))</f>
        <v/>
      </c>
      <c r="AH21" s="165" t="str">
        <f>IF(ISERROR(VLOOKUP(CONCATENATE($AH$7,"-",MID(E21,1,100)),DATOS!Z:AA,2,0)),"",VLOOKUP(CONCATENATE($AH$7,"-",MID(E21,1,100)),DATOS!Z:AA,2,0))</f>
        <v/>
      </c>
      <c r="AI21" s="166" t="str">
        <f>IF(ISERROR(VLOOKUP(CONCATENATE($AI$7,"-",MID(E21,1,100)),DATOS!Z:AA,2,0)),"",VLOOKUP(CONCATENATE($AI$7,"-",MID(E21,1,100)),DATOS!Z:AA,2,0))</f>
        <v/>
      </c>
      <c r="AJ21" s="164" t="str">
        <f>IF(ISERROR(VLOOKUP(CONCATENATE($AJ$7,"-",MID(E21,1,100)),DATOS!Z:AA,2,0)),"",VLOOKUP(CONCATENATE($AJ$7,"-",MID(E21,1,100)),DATOS!Z:AA,2,0))</f>
        <v/>
      </c>
      <c r="AK21" s="165" t="str">
        <f>IF(ISERROR(VLOOKUP(CONCATENATE($AK$7,"-",MID(E21,1,100)),DATOS!Z:AA,2,0)),"",VLOOKUP(CONCATENATE($AK$7,"-",MID(E21,1,100)),DATOS!Z:AA,2,0))</f>
        <v/>
      </c>
      <c r="AL21" s="165" t="str">
        <f>IF(ISERROR(VLOOKUP(CONCATENATE($AL$7,"-",MID(E21,1,100)),DATOS!Z:AA,2,0)),"",VLOOKUP(CONCATENATE($AL$7,"-",MID(E21,1,100)),DATOS!Z:AA,2,0))</f>
        <v/>
      </c>
      <c r="AM21" s="165" t="str">
        <f>IF(ISERROR(VLOOKUP(CONCATENATE($AM$7,"-",MID(E21,1,100)),DATOS!Z:AA,2,0)),"",VLOOKUP(CONCATENATE($AM$7,"-",MID(E21,1,100)),DATOS!Z:AA,2,0))</f>
        <v/>
      </c>
      <c r="AN21" s="165" t="str">
        <f>IF(ISERROR(VLOOKUP(CONCATENATE($AN$7,"-",MID(E21,1,100)),DATOS!Z:AA,2,0)),"",VLOOKUP(CONCATENATE($AN$7,"-",MID(E21,1,100)),DATOS!Z:AA,2,0))</f>
        <v/>
      </c>
      <c r="AO21" s="165" t="str">
        <f>IF(ISERROR(VLOOKUP(CONCATENATE($AO$7,"-",MID(E21,1,100)),DATOS!Z:AA,2,0)),"",VLOOKUP(CONCATENATE($AO$7,"-",MID(E21,1,100)),DATOS!Z:AA,2,0))</f>
        <v/>
      </c>
      <c r="AP21" s="165" t="str">
        <f>IF(ISERROR(VLOOKUP(CONCATENATE($AP$7,"-",MID(E21,1,100)),DATOS!Z:AA,2,0)),"",VLOOKUP(CONCATENATE($AP$7,"-",MID(E21,1,100)),DATOS!Z:AA,2,0))</f>
        <v/>
      </c>
      <c r="AQ21" s="165" t="str">
        <f>IF(ISERROR(VLOOKUP(CONCATENATE($AQ$7,"-",MID(E21,1,100)),DATOS!Z:AA,2,0)),"",VLOOKUP(CONCATENATE($AQ$7,"-",MID(E21,1,100)),DATOS!Z:AA,2,0))</f>
        <v/>
      </c>
      <c r="AR21" s="165" t="str">
        <f>IF(ISERROR(VLOOKUP(CONCATENATE($AR$7,"-",MID(E21,1,100)),DATOS!Z:AA,2,0)),"",VLOOKUP(CONCATENATE($AR$7,"-",MID(E21,1,100)),DATOS!Z:AA,2,0))</f>
        <v/>
      </c>
      <c r="AS21" s="166" t="str">
        <f>IF(ISERROR(VLOOKUP(CONCATENATE($AS$7,"-",MID(E21,1,100)),DATOS!Z:AA,2,0)),"",VLOOKUP(CONCATENATE($AS$7,"-",MID(E21,1,100)),DATOS!Z:AA,2,0))</f>
        <v/>
      </c>
      <c r="AT21" s="207" t="str">
        <f>IF(ISERROR(VLOOKUP(CONCATENATE($AT$7,"-",MID(E21,1,100)),DATOS!Z:AA,2,0)),"",VLOOKUP(CONCATENATE($AT$7,"-",MID(E21,1,100)),DATOS!Z:AA,2,0))</f>
        <v/>
      </c>
      <c r="AU21" s="208" t="str">
        <f>IF(ISERROR(VLOOKUP(CONCATENATE($AU$7,"-",MID(E21,1,100)),DATOS!Z:AA,2,0)),"",VLOOKUP(CONCATENATE($AU$7,"-",MID(E21,1,100)),DATOS!Z:AA,2,0))</f>
        <v/>
      </c>
      <c r="AV21" s="208" t="str">
        <f>IF(ISERROR(VLOOKUP(CONCATENATE($AV$7,"-",MID(E21,1,100)),DATOS!Z:AA,2,0)),"",VLOOKUP(CONCATENATE($AV$7,"-",MID(E21,1,100)),DATOS!Z:AA,2,0))</f>
        <v/>
      </c>
      <c r="AW21" s="208" t="str">
        <f>IF(ISERROR(VLOOKUP(CONCATENATE($AW$7,"-",MID(E21,1,100)),DATOS!Z:AA,2,0)),"",VLOOKUP(CONCATENATE($AW$7,"-",MID(E21,1,100)),DATOS!Z:AA,2,0))</f>
        <v/>
      </c>
      <c r="AX21" s="208" t="str">
        <f>IF(ISERROR(VLOOKUP(CONCATENATE($AX$7,"-",MID(E21,1,100)),DATOS!Z:AA,2,0)),"",VLOOKUP(CONCATENATE($AX$7,"-",MID(E21,1,100)),DATOS!Z:AA,2,0))</f>
        <v/>
      </c>
      <c r="AY21" s="208" t="str">
        <f>IF(ISERROR(VLOOKUP(CONCATENATE($AY$7,"-",MID(E21,1,100)),DATOS!Z:AA,2,0)),"",VLOOKUP(CONCATENATE($AY$7,"-",MID(E21,1,100)),DATOS!Z:AA,2,0))</f>
        <v>a</v>
      </c>
      <c r="AZ21" s="208" t="str">
        <f>IF(ISERROR(VLOOKUP(CONCATENATE($AZ$7,"-",MID(E21,1,100)),DATOS!Z:AA,2,0)),"",VLOOKUP(CONCATENATE($AZ$7,"-",MID(E21,1,100)),DATOS!Z:AA,2,0))</f>
        <v/>
      </c>
      <c r="BA21" s="208" t="str">
        <f>IF(ISERROR(VLOOKUP(CONCATENATE($BA$7,"-",MID(E21,1,100)),DATOS!Z:AA,2,0)),"",VLOOKUP(CONCATENATE($BA$7,"-",MID(E21,1,100)),DATOS!Z:AA,2,0))</f>
        <v/>
      </c>
      <c r="BB21" s="208" t="str">
        <f>IF(ISERROR(VLOOKUP(CONCATENATE($BB$7,"-",MID(E21,1,100)),DATOS!Z:AA,2,0)),"",VLOOKUP(CONCATENATE($BB$7,"-",MID(E21,1,100)),DATOS!Z:AA,2,0))</f>
        <v/>
      </c>
      <c r="BC21" s="209" t="str">
        <f>IF(ISERROR(VLOOKUP(CONCATENATE($BC$7,"-",MID(E21,1,100)),DATOS!Z:AA,2,0)),"",VLOOKUP(CONCATENATE($BC$7,"-",MID(E21,1,100)),DATOS!Z:AA,2,0))</f>
        <v/>
      </c>
      <c r="BD21" s="207" t="str">
        <f>IF(ISERROR(VLOOKUP(CONCATENATE($BD$7,"-",MID(E21,1,100)),DATOS!Z:AA,2,0)),"",VLOOKUP(CONCATENATE($BD$7,"-",MID(E21,1,100)),DATOS!Z:AA,2,0))</f>
        <v/>
      </c>
      <c r="BE21" s="208" t="str">
        <f>IF(ISERROR(VLOOKUP(CONCATENATE($BE$7,"-",MID(E21,1,100)),DATOS!Z:AA,2,0)),"",VLOOKUP(CONCATENATE($BE$7,"-",MID(E21,1,100)),DATOS!Z:AA,2,0))</f>
        <v/>
      </c>
      <c r="BF21" s="208" t="str">
        <f>IF(ISERROR(VLOOKUP(CONCATENATE($BF$7,"-",MID(E21,1,100)),DATOS!Z:AA,2,0)),"",VLOOKUP(CONCATENATE($BF$7,"-",MID(E21,1,100)),DATOS!Z:AA,2,0))</f>
        <v/>
      </c>
      <c r="BG21" s="208" t="str">
        <f>IF(ISERROR(VLOOKUP(CONCATENATE($BG$7,"-",MID(E21,1,100)),DATOS!Z:AA,2,0)),"",VLOOKUP(CONCATENATE($BG$7,"-",MID(E21,1,100)),DATOS!Z:AA,2,0))</f>
        <v/>
      </c>
      <c r="BH21" s="208" t="str">
        <f>IF(ISERROR(VLOOKUP(CONCATENATE($BH$7,"-",MID(E21,1,100)),DATOS!Z:AA,2,0)),"",VLOOKUP(CONCATENATE($BH$7,"-",MID(E21,1,100)),DATOS!Z:AA,2,0))</f>
        <v/>
      </c>
      <c r="BI21" s="208" t="str">
        <f>IF(ISERROR(VLOOKUP(CONCATENATE($BI$7,"-",MID(E21,1,100)),DATOS!Z:AA,2,0)),"",VLOOKUP(CONCATENATE($BI$7,"-",MID(E21,1,100)),DATOS!Z:AA,2,0))</f>
        <v/>
      </c>
      <c r="BJ21" s="208" t="str">
        <f>IF(ISERROR(VLOOKUP(CONCATENATE($BJ$7,"-",MID(E21,1,100)),DATOS!Z:AA,2,0)),"",VLOOKUP(CONCATENATE($BJ$7,"-",MID(E21,1,100)),DATOS!Z:AA,2,0))</f>
        <v/>
      </c>
      <c r="BK21" s="208" t="str">
        <f>IF(ISERROR(VLOOKUP(CONCATENATE($BK$7,"-",MID(E21,1,100)),DATOS!Z:AA,2,0)),"",VLOOKUP(CONCATENATE($BK$7,"-",MID(E21,1,100)),DATOS!Z:AA,2,0))</f>
        <v/>
      </c>
      <c r="BL21" s="208" t="str">
        <f>IF(ISERROR(VLOOKUP(CONCATENATE($BL$7,"-",MID(E21,1,100)),DATOS!Z:AA,2,0)),"",VLOOKUP(CONCATENATE($BL$7,"-",MID(E21,1,100)),DATOS!Z:AA,2,0))</f>
        <v/>
      </c>
      <c r="BM21" s="209" t="str">
        <f>IF(ISERROR(VLOOKUP(CONCATENATE($BM$7,"-",MID(E21,1,100)),DATOS!Z:AA,2,0)),"",VLOOKUP(CONCATENATE($BM$7,"-",MID(E21,1,100)),DATOS!Z:AA,2,0))</f>
        <v/>
      </c>
      <c r="BN21" s="207" t="str">
        <f>IF(ISERROR(VLOOKUP(CONCATENATE($BN$7,"-",MID(E21,1,100)),DATOS!Z:AA,2,0)),"",VLOOKUP(CONCATENATE($BN$7,"-",MID(E21,1,100)),DATOS!Z:AA,2,0))</f>
        <v/>
      </c>
      <c r="BO21" s="208" t="str">
        <f>IF(ISERROR(VLOOKUP(CONCATENATE($BO$7,"-",MID(E21,1,100)),DATOS!Z:AA,2,0)),"",VLOOKUP(CONCATENATE($BO$7,"-",MID(E21,1,100)),DATOS!Z:AA,2,0))</f>
        <v/>
      </c>
      <c r="BP21" s="208" t="str">
        <f>IF(ISERROR(VLOOKUP(CONCATENATE($BP$7,"-",MID(E21,1,100)),DATOS!Z:AA,2,0)),"",VLOOKUP(CONCATENATE($BP$7,"-",MID(E21,1,100)),DATOS!Z:AA,2,0))</f>
        <v/>
      </c>
      <c r="BQ21" s="208" t="str">
        <f>IF(ISERROR(VLOOKUP(CONCATENATE($BQ$7,"-",MID(E21,1,100)),DATOS!Z:AA,2,0)),"",VLOOKUP(CONCATENATE($BQ$7,"-",MID(E21,1,100)),DATOS!Z:AA,2,0))</f>
        <v/>
      </c>
      <c r="BR21" s="208" t="str">
        <f>IF(ISERROR(VLOOKUP(CONCATENATE($BR$7,"-",MID(E21,1,100)),DATOS!Z:AA,2,0)),"",VLOOKUP(CONCATENATE($BR$7,"-",MID(E21,1,100)),DATOS!Z:AA,2,0))</f>
        <v/>
      </c>
      <c r="BS21" s="208" t="str">
        <f>IF(ISERROR(VLOOKUP(CONCATENATE($BS$7,"-",MID(E21,1,100)),DATOS!Z:AA,2,0)),"",VLOOKUP(CONCATENATE($BS$7,"-",MID(E21,1,100)),DATOS!Z:AA,2,0))</f>
        <v/>
      </c>
      <c r="BT21" s="208" t="str">
        <f>IF(ISERROR(VLOOKUP(CONCATENATE($BT$7,"-",MID(E21,1,100)),DATOS!Z:AA,2,0)),"",VLOOKUP(CONCATENATE($BT$7,"-",MID(E21,1,100)),DATOS!Z:AA,2,0))</f>
        <v/>
      </c>
      <c r="BU21" s="208" t="str">
        <f>IF(ISERROR(VLOOKUP(CONCATENATE($BU$7,"-",MID(E21,1,100)),DATOS!Z:AA,2,0)),"",VLOOKUP(CONCATENATE($BU$7,"-",MID(E21,1,100)),DATOS!Z:AA,2,0))</f>
        <v/>
      </c>
      <c r="BV21" s="208" t="str">
        <f>IF(ISERROR(VLOOKUP(CONCATENATE($BV$7,"-",MID(E21,1,100)),DATOS!Z:AA,2,0)),"",VLOOKUP(CONCATENATE($BV$7,"-",MID(E21,1,100)),DATOS!Z:AA,2,0))</f>
        <v/>
      </c>
      <c r="BW21" s="209" t="str">
        <f>IF(ISERROR(VLOOKUP(CONCATENATE($BW$7,"-",MID(E21,1,100)),DATOS!Z:AA,2,0)),"",VLOOKUP(CONCATENATE($BW$7,"-",MID(E21,1,100)),DATOS!Z:AA,2,0))</f>
        <v/>
      </c>
      <c r="BX21" s="164" t="str">
        <f>IF(ISERROR(VLOOKUP(CONCATENATE($BX$7,"-",MID(E21,1,100)),DATOS!Z:AA,2,0)),"",VLOOKUP(CONCATENATE($BX$7,"-",MID(E21,1,100)),DATOS!Z:AA,2,0))</f>
        <v/>
      </c>
      <c r="BY21" s="165" t="str">
        <f>IF(ISERROR(VLOOKUP(CONCATENATE($BY$7,"-",MID(E21,1,100)),DATOS!Z:AA,2,0)),"",VLOOKUP(CONCATENATE($BY$7,"-",MID(E21,1,100)),DATOS!Z:AA,2,0))</f>
        <v/>
      </c>
      <c r="BZ21" s="165" t="str">
        <f>IF(ISERROR(VLOOKUP(CONCATENATE($BZ$7,"-",MID(E21,1,100)),DATOS!Z:AA,2,0)),"",VLOOKUP(CONCATENATE($BZ$7,"-",MID(E21,1,100)),DATOS!Z:AA,2,0))</f>
        <v/>
      </c>
      <c r="CA21" s="165" t="str">
        <f>IF(ISERROR(VLOOKUP(CONCATENATE($CA$7,"-",MID(E21,1,100)),DATOS!Z:AA,2,0)),"",VLOOKUP(CONCATENATE($CA$7,"-",MID(E21,1,100)),DATOS!Z:AA,2,0))</f>
        <v/>
      </c>
      <c r="CB21" s="165" t="str">
        <f>IF(ISERROR(VLOOKUP(CONCATENATE($CB$7,"-",MID(E21,1,100)),DATOS!Z:AA,2,0)),"",VLOOKUP(CONCATENATE($CB$7,"-",MID(E21,1,100)),DATOS!Z:AA,2,0))</f>
        <v/>
      </c>
      <c r="CC21" s="165" t="str">
        <f>IF(ISERROR(VLOOKUP(CONCATENATE($CC$7,"-",MID(E21,1,100)),DATOS!Z:AA,2,0)),"",VLOOKUP(CONCATENATE($CC$7,"-",MID(E21,1,100)),DATOS!Z:AA,2,0))</f>
        <v/>
      </c>
      <c r="CD21" s="165" t="str">
        <f>IF(ISERROR(VLOOKUP(CONCATENATE($CD$7,"-",MID(E21,1,100)),DATOS!Z:AA,2,0)),"",VLOOKUP(CONCATENATE($CD$7,"-",MID(E21,1,100)),DATOS!Z:AA,2,0))</f>
        <v/>
      </c>
      <c r="CE21" s="165" t="str">
        <f>IF(ISERROR(VLOOKUP(CONCATENATE($CE$7,"-",MID(E21,1,100)),DATOS!Z:AA,2,0)),"",VLOOKUP(CONCATENATE($CE$7,"-",MID(E21,1,100)),DATOS!Z:AA,2,0))</f>
        <v/>
      </c>
      <c r="CF21" s="165" t="str">
        <f>IF(ISERROR(VLOOKUP(CONCATENATE($CF$7,"-",MID(E21,1,100)),DATOS!Z:AA,2,0)),"",VLOOKUP(CONCATENATE($CF$7,"-",MID(E21,1,100)),DATOS!Z:AA,2,0))</f>
        <v/>
      </c>
      <c r="CG21" s="166" t="str">
        <f>IF(ISERROR(VLOOKUP(CONCATENATE($CG$7,"-",MID(E21,1,100)),DATOS!Z:AA,2,0)),"",VLOOKUP(CONCATENATE($CG$7,"-",MID(E21,1,100)),DATOS!Z:AA,2,0))</f>
        <v/>
      </c>
      <c r="CH21" s="164" t="str">
        <f>IF(ISERROR(VLOOKUP(CONCATENATE($CH$7,"-",MID(E21,1,100)),DATOS!Z:AA,2,0)),"",VLOOKUP(CONCATENATE($CH$7,"-",MID(E21,1,100)),DATOS!Z:AA,2,0))</f>
        <v/>
      </c>
      <c r="CI21" s="165" t="str">
        <f>IF(ISERROR(VLOOKUP(CONCATENATE($CI$7,"-",MID(E21,1,100)),DATOS!Z:AA,2,0)),"",VLOOKUP(CONCATENATE($CI$7,"-",MID(E21,1,100)),DATOS!Z:AA,2,0))</f>
        <v/>
      </c>
      <c r="CJ21" s="165" t="str">
        <f>IF(ISERROR(VLOOKUP(CONCATENATE($CJ$7,"-",MID(E21,1,100)),DATOS!Z:AA,2,0)),"",VLOOKUP(CONCATENATE($CJ$7,"-",MID(E21,1,100)),DATOS!Z:AA,2,0))</f>
        <v/>
      </c>
      <c r="CK21" s="165" t="str">
        <f>IF(ISERROR(VLOOKUP(CONCATENATE($CK$7,"-",MID(E21,1,100)),DATOS!Z:AA,2,0)),"",VLOOKUP(CONCATENATE($CK$7,"-",MID(E21,1,100)),DATOS!Z:AA,2,0))</f>
        <v/>
      </c>
      <c r="CL21" s="165" t="str">
        <f>IF(ISERROR(VLOOKUP(CONCATENATE($CL$7,"-",MID(E21,1,100)),DATOS!Z:AA,2,0)),"",VLOOKUP(CONCATENATE($CL$7,"-",MID(E21,1,100)),DATOS!Z:AA,2,0))</f>
        <v/>
      </c>
      <c r="CM21" s="165" t="str">
        <f>IF(ISERROR(VLOOKUP(CONCATENATE($CM$7,"-",MID(E21,1,100)),DATOS!Z:AA,2,0)),"",VLOOKUP(CONCATENATE($CM$7,"-",MID(E21,1,100)),DATOS!Z:AA,2,0))</f>
        <v/>
      </c>
      <c r="CN21" s="165" t="str">
        <f>IF(ISERROR(VLOOKUP(CONCATENATE($CN$7,"-",MID(E21,1,100)),DATOS!Z:AA,2,0)),"",VLOOKUP(CONCATENATE($CN$7,"-",MID(E21,1,100)),DATOS!Z:AA,2,0))</f>
        <v/>
      </c>
      <c r="CO21" s="165" t="str">
        <f>IF(ISERROR(VLOOKUP(CONCATENATE($CO$7,"-",MID(E21,1,100)),DATOS!Z:AA,2,0)),"",VLOOKUP(CONCATENATE($CO$7,"-",MID(E21,1,100)),DATOS!Z:AA,2,0))</f>
        <v/>
      </c>
      <c r="CP21" s="195" t="str">
        <f>IF(ISERROR(VLOOKUP(CONCATENATE($CP$7,"-",MID(E21,1,100)),DATOS!Z:AA,2,0)),"",VLOOKUP(CONCATENATE($CP$7,"-",MID(E21,1,100)),DATOS!Z:AA,2,0))</f>
        <v/>
      </c>
      <c r="CQ21" s="166" t="str">
        <f>IF(ISERROR(VLOOKUP(CONCATENATE($CQ$7,"-",MID(E21,1,100)),DATOS!Z:AA,2,0)),"",VLOOKUP(CONCATENATE($CQ$7,"-",MID(E21,1,100)),DATOS!Z:AA,2,0))</f>
        <v/>
      </c>
      <c r="CR21" s="164" t="str">
        <f>IF(ISERROR(VLOOKUP(CONCATENATE(CR$7,"-",MID($E21,1,100)),DATOS!$Z:$AA,2,0)),"",VLOOKUP(CONCATENATE(CR$7,"-",MID($E21,1,100)),DATOS!$Z:$AA,2,0))</f>
        <v/>
      </c>
      <c r="CS21" s="165" t="str">
        <f>IF(ISERROR(VLOOKUP(CONCATENATE(CS$7,"-",MID($E21,1,100)),DATOS!$Z:$AA,2,0)),"",VLOOKUP(CONCATENATE(CS$7,"-",MID($E21,1,100)),DATOS!$Z:$AA,2,0))</f>
        <v/>
      </c>
      <c r="CT21" s="165" t="str">
        <f>IF(ISERROR(VLOOKUP(CONCATENATE(CT$7,"-",MID($E21,1,100)),DATOS!$Z:$AA,2,0)),"",VLOOKUP(CONCATENATE(CT$7,"-",MID($E21,1,100)),DATOS!$Z:$AA,2,0))</f>
        <v/>
      </c>
      <c r="CU21" s="165" t="str">
        <f>IF(ISERROR(VLOOKUP(CONCATENATE(CU$7,"-",MID($E21,1,100)),DATOS!$Z:$AA,2,0)),"",VLOOKUP(CONCATENATE(CU$7,"-",MID($E21,1,100)),DATOS!$Z:$AA,2,0))</f>
        <v/>
      </c>
      <c r="CV21" s="165" t="str">
        <f>IF(ISERROR(VLOOKUP(CONCATENATE(CV$7,"-",MID($E21,1,100)),DATOS!$Z:$AA,2,0)),"",VLOOKUP(CONCATENATE(CV$7,"-",MID($E21,1,100)),DATOS!$Z:$AA,2,0))</f>
        <v/>
      </c>
      <c r="CW21" s="165" t="str">
        <f>IF(ISERROR(VLOOKUP(CONCATENATE(CW$7,"-",MID($E21,1,100)),DATOS!$Z:$AA,2,0)),"",VLOOKUP(CONCATENATE(CW$7,"-",MID($E21,1,100)),DATOS!$Z:$AA,2,0))</f>
        <v/>
      </c>
      <c r="CX21" s="165" t="str">
        <f>IF(ISERROR(VLOOKUP(CONCATENATE(CX$7,"-",MID($E21,1,100)),DATOS!$Z:$AA,2,0)),"",VLOOKUP(CONCATENATE(CX$7,"-",MID($E21,1,100)),DATOS!$Z:$AA,2,0))</f>
        <v/>
      </c>
      <c r="CY21" s="165" t="str">
        <f>IF(ISERROR(VLOOKUP(CONCATENATE(CY$7,"-",MID($E21,1,100)),DATOS!$Z:$AA,2,0)),"",VLOOKUP(CONCATENATE(CY$7,"-",MID($E21,1,100)),DATOS!$Z:$AA,2,0))</f>
        <v/>
      </c>
      <c r="CZ21" s="195" t="str">
        <f>IF(ISERROR(VLOOKUP(CONCATENATE(CZ$7,"-",MID($E21,1,100)),DATOS!$Z:$AA,2,0)),"",VLOOKUP(CONCATENATE(CZ$7,"-",MID($E21,1,100)),DATOS!$Z:$AA,2,0))</f>
        <v/>
      </c>
      <c r="DA21" s="166" t="str">
        <f>IF(ISERROR(VLOOKUP(CONCATENATE(DA$7,"-",MID($E21,1,100)),DATOS!$Z:$AA,2,0)),"",VLOOKUP(CONCATENATE(DA$7,"-",MID($E21,1,100)),DATOS!$Z:$AA,2,0))</f>
        <v/>
      </c>
      <c r="DB21" s="164" t="str">
        <f>IF(ISERROR(VLOOKUP(CONCATENATE(DB$7,"-",MID($E21,1,100)),DATOS!$Z:$AA,2,0)),"",VLOOKUP(CONCATENATE(DB$7,"-",MID($E21,1,100)),DATOS!$Z:$AA,2,0))</f>
        <v/>
      </c>
      <c r="DC21" s="165" t="str">
        <f>IF(ISERROR(VLOOKUP(CONCATENATE(DC$7,"-",MID($E21,1,100)),DATOS!$Z:$AA,2,0)),"",VLOOKUP(CONCATENATE(DC$7,"-",MID($E21,1,100)),DATOS!$Z:$AA,2,0))</f>
        <v/>
      </c>
      <c r="DD21" s="165" t="str">
        <f>IF(ISERROR(VLOOKUP(CONCATENATE(DD$7,"-",MID($E21,1,100)),DATOS!$Z:$AA,2,0)),"",VLOOKUP(CONCATENATE(DD$7,"-",MID($E21,1,100)),DATOS!$Z:$AA,2,0))</f>
        <v/>
      </c>
      <c r="DE21" s="165" t="str">
        <f>IF(ISERROR(VLOOKUP(CONCATENATE(DE$7,"-",MID($E21,1,100)),DATOS!$Z:$AA,2,0)),"",VLOOKUP(CONCATENATE(DE$7,"-",MID($E21,1,100)),DATOS!$Z:$AA,2,0))</f>
        <v/>
      </c>
      <c r="DF21" s="165" t="str">
        <f>IF(ISERROR(VLOOKUP(CONCATENATE(DF$7,"-",MID($E21,1,100)),DATOS!$Z:$AA,2,0)),"",VLOOKUP(CONCATENATE(DF$7,"-",MID($E21,1,100)),DATOS!$Z:$AA,2,0))</f>
        <v/>
      </c>
      <c r="DG21" s="165" t="str">
        <f>IF(ISERROR(VLOOKUP(CONCATENATE(DG$7,"-",MID($E21,1,100)),DATOS!$Z:$AA,2,0)),"",VLOOKUP(CONCATENATE(DG$7,"-",MID($E21,1,100)),DATOS!$Z:$AA,2,0))</f>
        <v/>
      </c>
      <c r="DH21" s="165" t="str">
        <f>IF(ISERROR(VLOOKUP(CONCATENATE(DH$7,"-",MID($E21,1,100)),DATOS!$Z:$AA,2,0)),"",VLOOKUP(CONCATENATE(DH$7,"-",MID($E21,1,100)),DATOS!$Z:$AA,2,0))</f>
        <v/>
      </c>
      <c r="DI21" s="165" t="str">
        <f>IF(ISERROR(VLOOKUP(CONCATENATE(DI$7,"-",MID($E21,1,100)),DATOS!$Z:$AA,2,0)),"",VLOOKUP(CONCATENATE(DI$7,"-",MID($E21,1,100)),DATOS!$Z:$AA,2,0))</f>
        <v/>
      </c>
      <c r="DJ21" s="195" t="str">
        <f>IF(ISERROR(VLOOKUP(CONCATENATE(DJ$7,"-",MID($E21,1,100)),DATOS!$Z:$AA,2,0)),"",VLOOKUP(CONCATENATE(DJ$7,"-",MID($E21,1,100)),DATOS!$Z:$AA,2,0))</f>
        <v/>
      </c>
      <c r="DK21" s="166" t="str">
        <f>IF(ISERROR(VLOOKUP(CONCATENATE(DK$7,"-",MID($E21,1,100)),DATOS!$Z:$AA,2,0)),"",VLOOKUP(CONCATENATE(DK$7,"-",MID($E21,1,100)),DATOS!$Z:$AA,2,0))</f>
        <v/>
      </c>
      <c r="DL21" s="164" t="str">
        <f>IF(ISERROR(VLOOKUP(CONCATENATE(DL$7,"-",MID($E21,1,100)),DATOS!$Z:$AA,2,0)),"",VLOOKUP(CONCATENATE(DL$7,"-",MID($E21,1,100)),DATOS!$Z:$AA,2,0))</f>
        <v/>
      </c>
      <c r="DM21" s="165" t="str">
        <f>IF(ISERROR(VLOOKUP(CONCATENATE(DM$7,"-",MID($E21,1,100)),DATOS!$Z:$AA,2,0)),"",VLOOKUP(CONCATENATE(DM$7,"-",MID($E21,1,100)),DATOS!$Z:$AA,2,0))</f>
        <v/>
      </c>
      <c r="DN21" s="165" t="str">
        <f>IF(ISERROR(VLOOKUP(CONCATENATE(DN$7,"-",MID($E21,1,100)),DATOS!$Z:$AA,2,0)),"",VLOOKUP(CONCATENATE(DN$7,"-",MID($E21,1,100)),DATOS!$Z:$AA,2,0))</f>
        <v/>
      </c>
      <c r="DO21" s="165" t="str">
        <f>IF(ISERROR(VLOOKUP(CONCATENATE(DO$7,"-",MID($E21,1,100)),DATOS!$Z:$AA,2,0)),"",VLOOKUP(CONCATENATE(DO$7,"-",MID($E21,1,100)),DATOS!$Z:$AA,2,0))</f>
        <v/>
      </c>
      <c r="DP21" s="165" t="str">
        <f>IF(ISERROR(VLOOKUP(CONCATENATE(DP$7,"-",MID($E21,1,100)),DATOS!$Z:$AA,2,0)),"",VLOOKUP(CONCATENATE(DP$7,"-",MID($E21,1,100)),DATOS!$Z:$AA,2,0))</f>
        <v/>
      </c>
      <c r="DQ21" s="165" t="str">
        <f>IF(ISERROR(VLOOKUP(CONCATENATE(DQ$7,"-",MID($E21,1,100)),DATOS!$Z:$AA,2,0)),"",VLOOKUP(CONCATENATE(DQ$7,"-",MID($E21,1,100)),DATOS!$Z:$AA,2,0))</f>
        <v/>
      </c>
      <c r="DR21" s="165" t="str">
        <f>IF(ISERROR(VLOOKUP(CONCATENATE(DR$7,"-",MID($E21,1,100)),DATOS!$Z:$AA,2,0)),"",VLOOKUP(CONCATENATE(DR$7,"-",MID($E21,1,100)),DATOS!$Z:$AA,2,0))</f>
        <v/>
      </c>
      <c r="DS21" s="165" t="str">
        <f>IF(ISERROR(VLOOKUP(CONCATENATE(DS$7,"-",MID($E21,1,100)),DATOS!$Z:$AA,2,0)),"",VLOOKUP(CONCATENATE(DS$7,"-",MID($E21,1,100)),DATOS!$Z:$AA,2,0))</f>
        <v/>
      </c>
      <c r="DT21" s="195" t="str">
        <f>IF(ISERROR(VLOOKUP(CONCATENATE(DT$7,"-",MID($E21,1,100)),DATOS!$Z:$AA,2,0)),"",VLOOKUP(CONCATENATE(DT$7,"-",MID($E21,1,100)),DATOS!$Z:$AA,2,0))</f>
        <v/>
      </c>
      <c r="DU21" s="166" t="str">
        <f>IF(ISERROR(VLOOKUP(CONCATENATE(DU$7,"-",MID($E21,1,100)),DATOS!$Z:$AA,2,0)),"",VLOOKUP(CONCATENATE(DU$7,"-",MID($E21,1,100)),DATOS!$Z:$AA,2,0))</f>
        <v/>
      </c>
      <c r="DV21" s="164" t="str">
        <f>IF(ISERROR(VLOOKUP(CONCATENATE(DV$7,"-",MID($E21,1,100)),DATOS!$Z:$AA,2,0)),"",VLOOKUP(CONCATENATE(DV$7,"-",MID($E21,1,100)),DATOS!$Z:$AA,2,0))</f>
        <v/>
      </c>
      <c r="DW21" s="165" t="str">
        <f>IF(ISERROR(VLOOKUP(CONCATENATE(DW$7,"-",MID($E21,1,100)),DATOS!$Z:$AA,2,0)),"",VLOOKUP(CONCATENATE(DW$7,"-",MID($E21,1,100)),DATOS!$Z:$AA,2,0))</f>
        <v/>
      </c>
      <c r="DX21" s="165" t="str">
        <f>IF(ISERROR(VLOOKUP(CONCATENATE(DX$7,"-",MID($E21,1,100)),DATOS!$Z:$AA,2,0)),"",VLOOKUP(CONCATENATE(DX$7,"-",MID($E21,1,100)),DATOS!$Z:$AA,2,0))</f>
        <v/>
      </c>
      <c r="DY21" s="165" t="str">
        <f>IF(ISERROR(VLOOKUP(CONCATENATE(DY$7,"-",MID($E21,1,100)),DATOS!$Z:$AA,2,0)),"",VLOOKUP(CONCATENATE(DY$7,"-",MID($E21,1,100)),DATOS!$Z:$AA,2,0))</f>
        <v/>
      </c>
      <c r="DZ21" s="165" t="str">
        <f>IF(ISERROR(VLOOKUP(CONCATENATE(DZ$7,"-",MID($E21,1,100)),DATOS!$Z:$AA,2,0)),"",VLOOKUP(CONCATENATE(DZ$7,"-",MID($E21,1,100)),DATOS!$Z:$AA,2,0))</f>
        <v/>
      </c>
      <c r="EA21" s="165" t="str">
        <f>IF(ISERROR(VLOOKUP(CONCATENATE(EA$7,"-",MID($E21,1,100)),DATOS!$Z:$AA,2,0)),"",VLOOKUP(CONCATENATE(EA$7,"-",MID($E21,1,100)),DATOS!$Z:$AA,2,0))</f>
        <v/>
      </c>
      <c r="EB21" s="165" t="str">
        <f>IF(ISERROR(VLOOKUP(CONCATENATE(EB$7,"-",MID($E21,1,100)),DATOS!$Z:$AA,2,0)),"",VLOOKUP(CONCATENATE(EB$7,"-",MID($E21,1,100)),DATOS!$Z:$AA,2,0))</f>
        <v/>
      </c>
      <c r="EC21" s="165" t="str">
        <f>IF(ISERROR(VLOOKUP(CONCATENATE(EC$7,"-",MID($E21,1,100)),DATOS!$Z:$AA,2,0)),"",VLOOKUP(CONCATENATE(EC$7,"-",MID($E21,1,100)),DATOS!$Z:$AA,2,0))</f>
        <v/>
      </c>
      <c r="ED21" s="195" t="str">
        <f>IF(ISERROR(VLOOKUP(CONCATENATE(ED$7,"-",MID($E21,1,100)),DATOS!$Z:$AA,2,0)),"",VLOOKUP(CONCATENATE(ED$7,"-",MID($E21,1,100)),DATOS!$Z:$AA,2,0))</f>
        <v/>
      </c>
      <c r="EE21" s="166" t="str">
        <f>IF(ISERROR(VLOOKUP(CONCATENATE(EE$7,"-",MID($E21,1,100)),DATOS!$Z:$AA,2,0)),"",VLOOKUP(CONCATENATE(EE$7,"-",MID($E21,1,100)),DATOS!$Z:$AA,2,0))</f>
        <v/>
      </c>
      <c r="EF21" s="164" t="str">
        <f>IF(ISERROR(VLOOKUP(CONCATENATE($EF$7,"-",MID(E21,1,100)),DATOS!Z:AA,2,0)),"",VLOOKUP(CONCATENATE($EF$7,"-",MID(E21,1,100)),DATOS!Z:AA,2,0))</f>
        <v/>
      </c>
      <c r="EG21" s="165" t="str">
        <f>IF(ISERROR(VLOOKUP(CONCATENATE($EG$7,"-",MID(E21,1,100)),DATOS!Z:AA,2,0)),"",VLOOKUP(CONCATENATE($EG$7,"-",MID(E21,1,100)),DATOS!Z:AA,2,0))</f>
        <v/>
      </c>
      <c r="EH21" s="165" t="str">
        <f>IF(ISERROR(VLOOKUP(CONCATENATE($EH$7,"-",MID(E21,1,100)),DATOS!Z:AA,2,0)),"",VLOOKUP(CONCATENATE($EH$7,"-",MID(E21,1,100)),DATOS!Z:AA,2,0))</f>
        <v/>
      </c>
      <c r="EI21" s="165" t="str">
        <f>IF(ISERROR(VLOOKUP(CONCATENATE($EI$7,"-",MID(E21,1,100)),DATOS!Z:AA,2,0)),"",VLOOKUP(CONCATENATE($EI$7,"-",MID(E21,1,100)),DATOS!Z:AA,2,0))</f>
        <v/>
      </c>
      <c r="EJ21" s="165" t="str">
        <f>IF(ISERROR(VLOOKUP(CONCATENATE($EJ$7,"-",MID(E21,1,100)),DATOS!Z:AA,2,0)),"",VLOOKUP(CONCATENATE($EJ$7,"-",MID(E21,1,100)),DATOS!Z:AA,2,0))</f>
        <v/>
      </c>
      <c r="EK21" s="165" t="str">
        <f>IF(ISERROR(VLOOKUP(CONCATENATE($EK$7,"-",MID(E21,1,100)),DATOS!Z:AA,2,0)),"",VLOOKUP(CONCATENATE($EK$7,"-",MID(E21,1,100)),DATOS!Z:AA,2,0))</f>
        <v/>
      </c>
      <c r="EL21" s="165" t="str">
        <f>IF(ISERROR(VLOOKUP(CONCATENATE($EL$7,"-",MID(E21,1,100)),DATOS!Z:AA,2,0)),"",VLOOKUP(CONCATENATE($EL$7,"-",MID(E21,1,100)),DATOS!Z:AA,2,0))</f>
        <v/>
      </c>
      <c r="EM21" s="165" t="str">
        <f>IF(ISERROR(VLOOKUP(CONCATENATE($EM$7,"-",MID(E21,1,100)),DATOS!Z:AA,2,0)),"",VLOOKUP(CONCATENATE($EM$7,"-",MID(E21,1,100)),DATOS!Z:AA,2,0))</f>
        <v/>
      </c>
      <c r="EN21" s="165" t="str">
        <f>IF(ISERROR(VLOOKUP(CONCATENATE($EN$7,"-",MID(E21,1,100)),DATOS!Z:AA,2,0)),"",VLOOKUP(CONCATENATE($EN$7,"-",MID(E21,1,100)),DATOS!Z:AA,2,0))</f>
        <v/>
      </c>
      <c r="EO21" s="166" t="str">
        <f>IF(ISERROR(VLOOKUP(CONCATENATE($EO$7,"-",MID(E21,1,100)),DATOS!Z:AA,2,0)),"",VLOOKUP(CONCATENATE($EO$7,"-",MID(E21,1,100)),DATOS!Z:AA,2,0))</f>
        <v/>
      </c>
      <c r="EP21" s="167">
        <f t="shared" si="0"/>
        <v>1</v>
      </c>
      <c r="EQ21" s="159" t="str">
        <f t="shared" si="1"/>
        <v>CG5: Desarrollo Humano-N2</v>
      </c>
    </row>
    <row r="22" spans="1:147" ht="16.5" customHeight="1">
      <c r="A22" s="148"/>
      <c r="B22" s="168" t="str">
        <f>IF('1.Fundamentos'!B56="","",'1.Fundamentos'!B56)</f>
        <v>CG5: Desarrollo Humano</v>
      </c>
      <c r="C22" s="169" t="s">
        <v>84</v>
      </c>
      <c r="D22" s="170" t="str">
        <f>IF('1.Fundamentos'!D56="","",'1.Fundamentos'!D56)</f>
        <v>Demuestra sensibilidad y disposición social en las interacciones de su vida académica, con asertividad y empatía, para afrontar de manera satisfactoria las exigencias sociales y profesionales.</v>
      </c>
      <c r="E22" s="171" t="str">
        <f t="shared" si="2"/>
        <v>CG5: Desarrollo Humano:N3 Demuestra sensibilidad y disposición social en las interacciones de su vida académica, con asertividad y empatía, para afrontar de manera satisfactoria las exigencias sociales y profesionales.</v>
      </c>
      <c r="F22" s="172" t="str">
        <f>IF(ISERROR(VLOOKUP(CONCATENATE($F$7,"-",MID(E22,1,100)),DATOS!Z:AA,2,0)),"",VLOOKUP(CONCATENATE($F$7,"-",MID(E22,1,100)),DATOS!Z:AA,2,0))</f>
        <v/>
      </c>
      <c r="G22" s="173" t="str">
        <f>IF(ISERROR(VLOOKUP(CONCATENATE($G$7,"-",MID(E22,1,100)),DATOS!Z:AA,2,0)),"",VLOOKUP(CONCATENATE($G$7,"-",MID(E22,1,100)),DATOS!Z:AA,2,0))</f>
        <v/>
      </c>
      <c r="H22" s="173" t="str">
        <f>IF(ISERROR(VLOOKUP(CONCATENATE($H$7,"-",MID(E22,1,100)),DATOS!Z:AA,2,0)),"",VLOOKUP(CONCATENATE($H$7,"-",MID(E22,1,100)),DATOS!Z:AA,2,0))</f>
        <v/>
      </c>
      <c r="I22" s="173" t="str">
        <f>IF(ISERROR(VLOOKUP(CONCATENATE($I$7,"-",MID(E22,1,100)),DATOS!Z:AA,2,0)),"",VLOOKUP(CONCATENATE($I$7,"-",MID(E22,1,100)),DATOS!Z:AA,2,0))</f>
        <v/>
      </c>
      <c r="J22" s="173" t="str">
        <f>IF(ISERROR(VLOOKUP(CONCATENATE($J$7,"-",MID(E22,1,100)),DATOS!Z:AA,2,0)),"",VLOOKUP(CONCATENATE($J$7,"-",MID(E22,1,100)),DATOS!Z:AA,2,0))</f>
        <v/>
      </c>
      <c r="K22" s="173" t="str">
        <f>IF(ISERROR(VLOOKUP(CONCATENATE($K$7,"-",MID(E22,1,100)),DATOS!Z:AA,2,0)),"",VLOOKUP(CONCATENATE($K$7,"-",MID(E22,1,100)),DATOS!Z:AA,2,0))</f>
        <v/>
      </c>
      <c r="L22" s="173" t="str">
        <f>IF(ISERROR(VLOOKUP(CONCATENATE($L$7,"-",MID(E22,1,100)),DATOS!Z:AA,2,0)),"",VLOOKUP(CONCATENATE($L$7,"-",MID(E22,1,100)),DATOS!Z:AA,2,0))</f>
        <v/>
      </c>
      <c r="M22" s="173" t="str">
        <f>IF(ISERROR(VLOOKUP(CONCATENATE($M$7,"-",MID(E22,1,100)),DATOS!Z:AA,2,0)),"",VLOOKUP(CONCATENATE($M$7,"-",MID(E22,1,100)),DATOS!Z:AA,2,0))</f>
        <v/>
      </c>
      <c r="N22" s="173" t="str">
        <f>IF(ISERROR(VLOOKUP(CONCATENATE($N$7,"-",MID(E22,1,100)),DATOS!Z:AA,2,0)),"",VLOOKUP(CONCATENATE($N$7,"-",MID(E22,1,100)),DATOS!Z:AA,2,0))</f>
        <v/>
      </c>
      <c r="O22" s="174" t="str">
        <f>IF(ISERROR(VLOOKUP(CONCATENATE($O$7,"-",MID(E22,1,100)),DATOS!Z:AA,2,0)),"",VLOOKUP(CONCATENATE($O$7,"-",MID(E22,1,100)),DATOS!Z:AA,2,0))</f>
        <v/>
      </c>
      <c r="P22" s="172" t="str">
        <f>IF(ISERROR(VLOOKUP(CONCATENATE($P$7,"-",MID(E22,1,100)),DATOS!Z:AA,2,0)),"",VLOOKUP(CONCATENATE($P$7,"-",MID(E22,1,100)),DATOS!Z:AA,2,0))</f>
        <v/>
      </c>
      <c r="Q22" s="173" t="str">
        <f>IF(ISERROR(VLOOKUP(CONCATENATE($Q$7,"-",MID(E22,1,100)),DATOS!Z:AA,2,0)),"",VLOOKUP(CONCATENATE($Q$7,"-",MID(E22,1,100)),DATOS!Z:AA,2,0))</f>
        <v/>
      </c>
      <c r="R22" s="173" t="str">
        <f>IF(ISERROR(VLOOKUP(CONCATENATE($R$7,"-",MID(E22,1,100)),DATOS!Z:AA,2,0)),"",VLOOKUP(CONCATENATE($R$7,"-",MID(E22,1,100)),DATOS!Z:AA,2,0))</f>
        <v/>
      </c>
      <c r="S22" s="173" t="str">
        <f>IF(ISERROR(VLOOKUP(CONCATENATE($S$7,"-",MID(E22,1,100)),DATOS!Z:AA,2,0)),"",VLOOKUP(CONCATENATE($S$7,"-",MID(E22,1,100)),DATOS!Z:AA,2,0))</f>
        <v/>
      </c>
      <c r="T22" s="173" t="str">
        <f>IF(ISERROR(VLOOKUP(CONCATENATE($T$7,"-",MID(E22,1,100)),DATOS!Z:AA,2,0)),"",VLOOKUP(CONCATENATE($T$7,"-",MID(E22,1,100)),DATOS!Z:AA,2,0))</f>
        <v/>
      </c>
      <c r="U22" s="173" t="str">
        <f>IF(ISERROR(VLOOKUP(CONCATENATE($U$7,"-",MID(E22,1,100)),DATOS!Z:AA,2,0)),"",VLOOKUP(CONCATENATE($U$7,"-",MID(E22,1,100)),DATOS!Z:AA,2,0))</f>
        <v/>
      </c>
      <c r="V22" s="173" t="str">
        <f>IF(ISERROR(VLOOKUP(CONCATENATE($V$7,"-",MID(E22,1,100)),DATOS!Z:AA,2,0)),"",VLOOKUP(CONCATENATE($V$7,"-",MID(E22,1,100)),DATOS!Z:AA,2,0))</f>
        <v/>
      </c>
      <c r="W22" s="173" t="str">
        <f>IF(ISERROR(VLOOKUP(CONCATENATE($W$7,"-",MID(E22,1,100)),DATOS!Z:AA,2,0)),"",VLOOKUP(CONCATENATE($W$7,"-",MID(E22,1,100)),DATOS!Z:AA,2,0))</f>
        <v/>
      </c>
      <c r="X22" s="173" t="str">
        <f>IF(ISERROR(VLOOKUP(CONCATENATE($X$7,"-",MID(E22,1,100)),DATOS!Z:AA,2,0)),"",VLOOKUP(CONCATENATE($X$7,"-",MID(E22,1,100)),DATOS!Z:AA,2,0))</f>
        <v/>
      </c>
      <c r="Y22" s="174" t="str">
        <f>IF(ISERROR(VLOOKUP(CONCATENATE($Y$7,"-",MID(E22,1,100)),DATOS!Z:AA,2,0)),"",VLOOKUP(CONCATENATE($Y$7,"-",MID(E22,1,100)),DATOS!Z:AA,2,0))</f>
        <v/>
      </c>
      <c r="Z22" s="172" t="str">
        <f>IF(ISERROR(VLOOKUP(CONCATENATE($Z$7,"-",MID(E22,1,100)),DATOS!Z:AA,2,0)),"",VLOOKUP(CONCATENATE($Z$7,"-",MID(E22,1,100)),DATOS!Z:AA,2,0))</f>
        <v/>
      </c>
      <c r="AA22" s="173" t="str">
        <f>IF(ISERROR(VLOOKUP(CONCATENATE($AA$7,"-",MID(E22,1,100)),DATOS!Z:AA,2,0)),"",VLOOKUP(CONCATENATE($AA$7,"-",MID(E22,1,100)),DATOS!Z:AA,2,0))</f>
        <v/>
      </c>
      <c r="AB22" s="173" t="str">
        <f>IF(ISERROR(VLOOKUP(CONCATENATE($AB$7,"-",MID(E22,1,100)),DATOS!Z:AA,2,0)),"",VLOOKUP(CONCATENATE($AB$7,"-",MID(E22,1,100)),DATOS!Z:AA,2,0))</f>
        <v/>
      </c>
      <c r="AC22" s="173" t="str">
        <f>IF(ISERROR(VLOOKUP(CONCATENATE($AC$7,"-",MID(E22,1,100)),DATOS!Z:AA,2,0)),"",VLOOKUP(CONCATENATE($AC$7,"-",MID(E22,1,100)),DATOS!Z:AA,2,0))</f>
        <v/>
      </c>
      <c r="AD22" s="173" t="str">
        <f>IF(ISERROR(VLOOKUP(CONCATENATE($AD$7,"-",MID(E22,1,100)),DATOS!Z:AA,2,0)),"",VLOOKUP(CONCATENATE($AD$7,"-",MID(E22,1,100)),DATOS!Z:AA,2,0))</f>
        <v/>
      </c>
      <c r="AE22" s="173" t="str">
        <f>IF(ISERROR(VLOOKUP(CONCATENATE($AE$7,"-",MID(E22,1,100)),DATOS!Z:AA,2,0)),"",VLOOKUP(CONCATENATE($AE$7,"-",MID(E22,1,100)),DATOS!Z:AA,2,0))</f>
        <v/>
      </c>
      <c r="AF22" s="173" t="str">
        <f>IF(ISERROR(VLOOKUP(CONCATENATE($AF$7,"-",MID(E22,1,100)),DATOS!Z:AA,2,0)),"",VLOOKUP(CONCATENATE($AF$7,"-",MID(E22,1,100)),DATOS!Z:AA,2,0))</f>
        <v/>
      </c>
      <c r="AG22" s="173" t="str">
        <f>IF(ISERROR(VLOOKUP(CONCATENATE($AG$7,"-",MID(E22,1,100)),DATOS!Z:AA,2,0)),"",VLOOKUP(CONCATENATE($AG$7,"-",MID(E22,1,100)),DATOS!Z:AA,2,0))</f>
        <v/>
      </c>
      <c r="AH22" s="173" t="str">
        <f>IF(ISERROR(VLOOKUP(CONCATENATE($AH$7,"-",MID(E22,1,100)),DATOS!Z:AA,2,0)),"",VLOOKUP(CONCATENATE($AH$7,"-",MID(E22,1,100)),DATOS!Z:AA,2,0))</f>
        <v/>
      </c>
      <c r="AI22" s="174" t="str">
        <f>IF(ISERROR(VLOOKUP(CONCATENATE($AI$7,"-",MID(E22,1,100)),DATOS!Z:AA,2,0)),"",VLOOKUP(CONCATENATE($AI$7,"-",MID(E22,1,100)),DATOS!Z:AA,2,0))</f>
        <v/>
      </c>
      <c r="AJ22" s="172" t="str">
        <f>IF(ISERROR(VLOOKUP(CONCATENATE($AJ$7,"-",MID(E22,1,100)),DATOS!Z:AA,2,0)),"",VLOOKUP(CONCATENATE($AJ$7,"-",MID(E22,1,100)),DATOS!Z:AA,2,0))</f>
        <v/>
      </c>
      <c r="AK22" s="173" t="str">
        <f>IF(ISERROR(VLOOKUP(CONCATENATE($AK$7,"-",MID(E22,1,100)),DATOS!Z:AA,2,0)),"",VLOOKUP(CONCATENATE($AK$7,"-",MID(E22,1,100)),DATOS!Z:AA,2,0))</f>
        <v/>
      </c>
      <c r="AL22" s="173" t="str">
        <f>IF(ISERROR(VLOOKUP(CONCATENATE($AL$7,"-",MID(E22,1,100)),DATOS!Z:AA,2,0)),"",VLOOKUP(CONCATENATE($AL$7,"-",MID(E22,1,100)),DATOS!Z:AA,2,0))</f>
        <v/>
      </c>
      <c r="AM22" s="173" t="str">
        <f>IF(ISERROR(VLOOKUP(CONCATENATE($AM$7,"-",MID(E22,1,100)),DATOS!Z:AA,2,0)),"",VLOOKUP(CONCATENATE($AM$7,"-",MID(E22,1,100)),DATOS!Z:AA,2,0))</f>
        <v/>
      </c>
      <c r="AN22" s="173" t="str">
        <f>IF(ISERROR(VLOOKUP(CONCATENATE($AN$7,"-",MID(E22,1,100)),DATOS!Z:AA,2,0)),"",VLOOKUP(CONCATENATE($AN$7,"-",MID(E22,1,100)),DATOS!Z:AA,2,0))</f>
        <v/>
      </c>
      <c r="AO22" s="173" t="str">
        <f>IF(ISERROR(VLOOKUP(CONCATENATE($AO$7,"-",MID(E22,1,100)),DATOS!Z:AA,2,0)),"",VLOOKUP(CONCATENATE($AO$7,"-",MID(E22,1,100)),DATOS!Z:AA,2,0))</f>
        <v/>
      </c>
      <c r="AP22" s="173" t="str">
        <f>IF(ISERROR(VLOOKUP(CONCATENATE($AP$7,"-",MID(E22,1,100)),DATOS!Z:AA,2,0)),"",VLOOKUP(CONCATENATE($AP$7,"-",MID(E22,1,100)),DATOS!Z:AA,2,0))</f>
        <v/>
      </c>
      <c r="AQ22" s="173" t="str">
        <f>IF(ISERROR(VLOOKUP(CONCATENATE($AQ$7,"-",MID(E22,1,100)),DATOS!Z:AA,2,0)),"",VLOOKUP(CONCATENATE($AQ$7,"-",MID(E22,1,100)),DATOS!Z:AA,2,0))</f>
        <v/>
      </c>
      <c r="AR22" s="173" t="str">
        <f>IF(ISERROR(VLOOKUP(CONCATENATE($AR$7,"-",MID(E22,1,100)),DATOS!Z:AA,2,0)),"",VLOOKUP(CONCATENATE($AR$7,"-",MID(E22,1,100)),DATOS!Z:AA,2,0))</f>
        <v/>
      </c>
      <c r="AS22" s="174" t="str">
        <f>IF(ISERROR(VLOOKUP(CONCATENATE($AS$7,"-",MID(E22,1,100)),DATOS!Z:AA,2,0)),"",VLOOKUP(CONCATENATE($AS$7,"-",MID(E22,1,100)),DATOS!Z:AA,2,0))</f>
        <v/>
      </c>
      <c r="AT22" s="172" t="str">
        <f>IF(ISERROR(VLOOKUP(CONCATENATE($AT$7,"-",MID(E22,1,100)),DATOS!Z:AA,2,0)),"",VLOOKUP(CONCATENATE($AT$7,"-",MID(E22,1,100)),DATOS!Z:AA,2,0))</f>
        <v/>
      </c>
      <c r="AU22" s="173" t="str">
        <f>IF(ISERROR(VLOOKUP(CONCATENATE($AU$7,"-",MID(E22,1,100)),DATOS!Z:AA,2,0)),"",VLOOKUP(CONCATENATE($AU$7,"-",MID(E22,1,100)),DATOS!Z:AA,2,0))</f>
        <v/>
      </c>
      <c r="AV22" s="173" t="str">
        <f>IF(ISERROR(VLOOKUP(CONCATENATE($AV$7,"-",MID(E22,1,100)),DATOS!Z:AA,2,0)),"",VLOOKUP(CONCATENATE($AV$7,"-",MID(E22,1,100)),DATOS!Z:AA,2,0))</f>
        <v>a</v>
      </c>
      <c r="AW22" s="173" t="str">
        <f>IF(ISERROR(VLOOKUP(CONCATENATE($AW$7,"-",MID(E22,1,100)),DATOS!Z:AA,2,0)),"",VLOOKUP(CONCATENATE($AW$7,"-",MID(E22,1,100)),DATOS!Z:AA,2,0))</f>
        <v/>
      </c>
      <c r="AX22" s="173" t="str">
        <f>IF(ISERROR(VLOOKUP(CONCATENATE($AX$7,"-",MID(E22,1,100)),DATOS!Z:AA,2,0)),"",VLOOKUP(CONCATENATE($AX$7,"-",MID(E22,1,100)),DATOS!Z:AA,2,0))</f>
        <v/>
      </c>
      <c r="AY22" s="173" t="str">
        <f>IF(ISERROR(VLOOKUP(CONCATENATE($AY$7,"-",MID(E22,1,100)),DATOS!Z:AA,2,0)),"",VLOOKUP(CONCATENATE($AY$7,"-",MID(E22,1,100)),DATOS!Z:AA,2,0))</f>
        <v/>
      </c>
      <c r="AZ22" s="173" t="str">
        <f>IF(ISERROR(VLOOKUP(CONCATENATE($AZ$7,"-",MID(E22,1,100)),DATOS!Z:AA,2,0)),"",VLOOKUP(CONCATENATE($AZ$7,"-",MID(E22,1,100)),DATOS!Z:AA,2,0))</f>
        <v/>
      </c>
      <c r="BA22" s="173" t="str">
        <f>IF(ISERROR(VLOOKUP(CONCATENATE($BA$7,"-",MID(E22,1,100)),DATOS!Z:AA,2,0)),"",VLOOKUP(CONCATENATE($BA$7,"-",MID(E22,1,100)),DATOS!Z:AA,2,0))</f>
        <v/>
      </c>
      <c r="BB22" s="173" t="str">
        <f>IF(ISERROR(VLOOKUP(CONCATENATE($BB$7,"-",MID(E22,1,100)),DATOS!Z:AA,2,0)),"",VLOOKUP(CONCATENATE($BB$7,"-",MID(E22,1,100)),DATOS!Z:AA,2,0))</f>
        <v/>
      </c>
      <c r="BC22" s="174" t="str">
        <f>IF(ISERROR(VLOOKUP(CONCATENATE($BC$7,"-",MID(E22,1,100)),DATOS!Z:AA,2,0)),"",VLOOKUP(CONCATENATE($BC$7,"-",MID(E22,1,100)),DATOS!Z:AA,2,0))</f>
        <v/>
      </c>
      <c r="BD22" s="172" t="str">
        <f>IF(ISERROR(VLOOKUP(CONCATENATE($BD$7,"-",MID(E22,1,100)),DATOS!Z:AA,2,0)),"",VLOOKUP(CONCATENATE($BD$7,"-",MID(E22,1,100)),DATOS!Z:AA,2,0))</f>
        <v/>
      </c>
      <c r="BE22" s="173" t="str">
        <f>IF(ISERROR(VLOOKUP(CONCATENATE($BE$7,"-",MID(E22,1,100)),DATOS!Z:AA,2,0)),"",VLOOKUP(CONCATENATE($BE$7,"-",MID(E22,1,100)),DATOS!Z:AA,2,0))</f>
        <v/>
      </c>
      <c r="BF22" s="173" t="str">
        <f>IF(ISERROR(VLOOKUP(CONCATENATE($BF$7,"-",MID(E22,1,100)),DATOS!Z:AA,2,0)),"",VLOOKUP(CONCATENATE($BF$7,"-",MID(E22,1,100)),DATOS!Z:AA,2,0))</f>
        <v/>
      </c>
      <c r="BG22" s="173" t="str">
        <f>IF(ISERROR(VLOOKUP(CONCATENATE($BG$7,"-",MID(E22,1,100)),DATOS!Z:AA,2,0)),"",VLOOKUP(CONCATENATE($BG$7,"-",MID(E22,1,100)),DATOS!Z:AA,2,0))</f>
        <v/>
      </c>
      <c r="BH22" s="173" t="str">
        <f>IF(ISERROR(VLOOKUP(CONCATENATE($BH$7,"-",MID(E22,1,100)),DATOS!Z:AA,2,0)),"",VLOOKUP(CONCATENATE($BH$7,"-",MID(E22,1,100)),DATOS!Z:AA,2,0))</f>
        <v/>
      </c>
      <c r="BI22" s="173" t="str">
        <f>IF(ISERROR(VLOOKUP(CONCATENATE($BI$7,"-",MID(E22,1,100)),DATOS!Z:AA,2,0)),"",VLOOKUP(CONCATENATE($BI$7,"-",MID(E22,1,100)),DATOS!Z:AA,2,0))</f>
        <v/>
      </c>
      <c r="BJ22" s="173" t="str">
        <f>IF(ISERROR(VLOOKUP(CONCATENATE($BJ$7,"-",MID(E22,1,100)),DATOS!Z:AA,2,0)),"",VLOOKUP(CONCATENATE($BJ$7,"-",MID(E22,1,100)),DATOS!Z:AA,2,0))</f>
        <v/>
      </c>
      <c r="BK22" s="173" t="str">
        <f>IF(ISERROR(VLOOKUP(CONCATENATE($BK$7,"-",MID(E22,1,100)),DATOS!Z:AA,2,0)),"",VLOOKUP(CONCATENATE($BK$7,"-",MID(E22,1,100)),DATOS!Z:AA,2,0))</f>
        <v/>
      </c>
      <c r="BL22" s="173" t="str">
        <f>IF(ISERROR(VLOOKUP(CONCATENATE($BL$7,"-",MID(E22,1,100)),DATOS!Z:AA,2,0)),"",VLOOKUP(CONCATENATE($BL$7,"-",MID(E22,1,100)),DATOS!Z:AA,2,0))</f>
        <v/>
      </c>
      <c r="BM22" s="174" t="str">
        <f>IF(ISERROR(VLOOKUP(CONCATENATE($BM$7,"-",MID(E22,1,100)),DATOS!Z:AA,2,0)),"",VLOOKUP(CONCATENATE($BM$7,"-",MID(E22,1,100)),DATOS!Z:AA,2,0))</f>
        <v/>
      </c>
      <c r="BN22" s="172" t="str">
        <f>IF(ISERROR(VLOOKUP(CONCATENATE($BN$7,"-",MID(E22,1,100)),DATOS!Z:AA,2,0)),"",VLOOKUP(CONCATENATE($BN$7,"-",MID(E22,1,100)),DATOS!Z:AA,2,0))</f>
        <v/>
      </c>
      <c r="BO22" s="173" t="str">
        <f>IF(ISERROR(VLOOKUP(CONCATENATE($BO$7,"-",MID(E22,1,100)),DATOS!Z:AA,2,0)),"",VLOOKUP(CONCATENATE($BO$7,"-",MID(E22,1,100)),DATOS!Z:AA,2,0))</f>
        <v/>
      </c>
      <c r="BP22" s="173" t="str">
        <f>IF(ISERROR(VLOOKUP(CONCATENATE($BP$7,"-",MID(E22,1,100)),DATOS!Z:AA,2,0)),"",VLOOKUP(CONCATENATE($BP$7,"-",MID(E22,1,100)),DATOS!Z:AA,2,0))</f>
        <v/>
      </c>
      <c r="BQ22" s="173" t="str">
        <f>IF(ISERROR(VLOOKUP(CONCATENATE($BQ$7,"-",MID(E22,1,100)),DATOS!Z:AA,2,0)),"",VLOOKUP(CONCATENATE($BQ$7,"-",MID(E22,1,100)),DATOS!Z:AA,2,0))</f>
        <v/>
      </c>
      <c r="BR22" s="173" t="str">
        <f>IF(ISERROR(VLOOKUP(CONCATENATE($BR$7,"-",MID(E22,1,100)),DATOS!Z:AA,2,0)),"",VLOOKUP(CONCATENATE($BR$7,"-",MID(E22,1,100)),DATOS!Z:AA,2,0))</f>
        <v/>
      </c>
      <c r="BS22" s="173" t="str">
        <f>IF(ISERROR(VLOOKUP(CONCATENATE($BS$7,"-",MID(E22,1,100)),DATOS!Z:AA,2,0)),"",VLOOKUP(CONCATENATE($BS$7,"-",MID(E22,1,100)),DATOS!Z:AA,2,0))</f>
        <v/>
      </c>
      <c r="BT22" s="173" t="str">
        <f>IF(ISERROR(VLOOKUP(CONCATENATE($BT$7,"-",MID(E22,1,100)),DATOS!Z:AA,2,0)),"",VLOOKUP(CONCATENATE($BT$7,"-",MID(E22,1,100)),DATOS!Z:AA,2,0))</f>
        <v/>
      </c>
      <c r="BU22" s="173" t="str">
        <f>IF(ISERROR(VLOOKUP(CONCATENATE($BU$7,"-",MID(E22,1,100)),DATOS!Z:AA,2,0)),"",VLOOKUP(CONCATENATE($BU$7,"-",MID(E22,1,100)),DATOS!Z:AA,2,0))</f>
        <v/>
      </c>
      <c r="BV22" s="173" t="str">
        <f>IF(ISERROR(VLOOKUP(CONCATENATE($BV$7,"-",MID(E22,1,100)),DATOS!Z:AA,2,0)),"",VLOOKUP(CONCATENATE($BV$7,"-",MID(E22,1,100)),DATOS!Z:AA,2,0))</f>
        <v/>
      </c>
      <c r="BW22" s="174" t="str">
        <f>IF(ISERROR(VLOOKUP(CONCATENATE($BW$7,"-",MID(E22,1,100)),DATOS!Z:AA,2,0)),"",VLOOKUP(CONCATENATE($BW$7,"-",MID(E22,1,100)),DATOS!Z:AA,2,0))</f>
        <v/>
      </c>
      <c r="BX22" s="210" t="str">
        <f>IF(ISERROR(VLOOKUP(CONCATENATE($BX$7,"-",MID(E22,1,100)),DATOS!Z:AA,2,0)),"",VLOOKUP(CONCATENATE($BX$7,"-",MID(E22,1,100)),DATOS!Z:AA,2,0))</f>
        <v/>
      </c>
      <c r="BY22" s="211" t="str">
        <f>IF(ISERROR(VLOOKUP(CONCATENATE($BY$7,"-",MID(E22,1,100)),DATOS!Z:AA,2,0)),"",VLOOKUP(CONCATENATE($BY$7,"-",MID(E22,1,100)),DATOS!Z:AA,2,0))</f>
        <v/>
      </c>
      <c r="BZ22" s="211" t="str">
        <f>IF(ISERROR(VLOOKUP(CONCATENATE($BZ$7,"-",MID(E22,1,100)),DATOS!Z:AA,2,0)),"",VLOOKUP(CONCATENATE($BZ$7,"-",MID(E22,1,100)),DATOS!Z:AA,2,0))</f>
        <v/>
      </c>
      <c r="CA22" s="211" t="str">
        <f>IF(ISERROR(VLOOKUP(CONCATENATE($CA$7,"-",MID(E22,1,100)),DATOS!Z:AA,2,0)),"",VLOOKUP(CONCATENATE($CA$7,"-",MID(E22,1,100)),DATOS!Z:AA,2,0))</f>
        <v/>
      </c>
      <c r="CB22" s="211" t="str">
        <f>IF(ISERROR(VLOOKUP(CONCATENATE($CB$7,"-",MID(E22,1,100)),DATOS!Z:AA,2,0)),"",VLOOKUP(CONCATENATE($CB$7,"-",MID(E22,1,100)),DATOS!Z:AA,2,0))</f>
        <v/>
      </c>
      <c r="CC22" s="211" t="str">
        <f>IF(ISERROR(VLOOKUP(CONCATENATE($CC$7,"-",MID(E22,1,100)),DATOS!Z:AA,2,0)),"",VLOOKUP(CONCATENATE($CC$7,"-",MID(E22,1,100)),DATOS!Z:AA,2,0))</f>
        <v/>
      </c>
      <c r="CD22" s="211" t="str">
        <f>IF(ISERROR(VLOOKUP(CONCATENATE($CD$7,"-",MID(E22,1,100)),DATOS!Z:AA,2,0)),"",VLOOKUP(CONCATENATE($CD$7,"-",MID(E22,1,100)),DATOS!Z:AA,2,0))</f>
        <v/>
      </c>
      <c r="CE22" s="211" t="str">
        <f>IF(ISERROR(VLOOKUP(CONCATENATE($CE$7,"-",MID(E22,1,100)),DATOS!Z:AA,2,0)),"",VLOOKUP(CONCATENATE($CE$7,"-",MID(E22,1,100)),DATOS!Z:AA,2,0))</f>
        <v/>
      </c>
      <c r="CF22" s="211" t="str">
        <f>IF(ISERROR(VLOOKUP(CONCATENATE($CF$7,"-",MID(E22,1,100)),DATOS!Z:AA,2,0)),"",VLOOKUP(CONCATENATE($CF$7,"-",MID(E22,1,100)),DATOS!Z:AA,2,0))</f>
        <v/>
      </c>
      <c r="CG22" s="212" t="str">
        <f>IF(ISERROR(VLOOKUP(CONCATENATE($CG$7,"-",MID(E22,1,100)),DATOS!Z:AA,2,0)),"",VLOOKUP(CONCATENATE($CG$7,"-",MID(E22,1,100)),DATOS!Z:AA,2,0))</f>
        <v/>
      </c>
      <c r="CH22" s="210" t="str">
        <f>IF(ISERROR(VLOOKUP(CONCATENATE($CH$7,"-",MID(E22,1,100)),DATOS!Z:AA,2,0)),"",VLOOKUP(CONCATENATE($CH$7,"-",MID(E22,1,100)),DATOS!Z:AA,2,0))</f>
        <v/>
      </c>
      <c r="CI22" s="211" t="str">
        <f>IF(ISERROR(VLOOKUP(CONCATENATE($CI$7,"-",MID(E22,1,100)),DATOS!Z:AA,2,0)),"",VLOOKUP(CONCATENATE($CI$7,"-",MID(E22,1,100)),DATOS!Z:AA,2,0))</f>
        <v/>
      </c>
      <c r="CJ22" s="211" t="str">
        <f>IF(ISERROR(VLOOKUP(CONCATENATE($CJ$7,"-",MID(E22,1,100)),DATOS!Z:AA,2,0)),"",VLOOKUP(CONCATENATE($CJ$7,"-",MID(E22,1,100)),DATOS!Z:AA,2,0))</f>
        <v/>
      </c>
      <c r="CK22" s="211" t="str">
        <f>IF(ISERROR(VLOOKUP(CONCATENATE($CK$7,"-",MID(E22,1,100)),DATOS!Z:AA,2,0)),"",VLOOKUP(CONCATENATE($CK$7,"-",MID(E22,1,100)),DATOS!Z:AA,2,0))</f>
        <v/>
      </c>
      <c r="CL22" s="211" t="str">
        <f>IF(ISERROR(VLOOKUP(CONCATENATE($CL$7,"-",MID(E22,1,100)),DATOS!Z:AA,2,0)),"",VLOOKUP(CONCATENATE($CL$7,"-",MID(E22,1,100)),DATOS!Z:AA,2,0))</f>
        <v/>
      </c>
      <c r="CM22" s="211" t="str">
        <f>IF(ISERROR(VLOOKUP(CONCATENATE($CM$7,"-",MID(E22,1,100)),DATOS!Z:AA,2,0)),"",VLOOKUP(CONCATENATE($CM$7,"-",MID(E22,1,100)),DATOS!Z:AA,2,0))</f>
        <v/>
      </c>
      <c r="CN22" s="211" t="str">
        <f>IF(ISERROR(VLOOKUP(CONCATENATE($CN$7,"-",MID(E22,1,100)),DATOS!Z:AA,2,0)),"",VLOOKUP(CONCATENATE($CN$7,"-",MID(E22,1,100)),DATOS!Z:AA,2,0))</f>
        <v/>
      </c>
      <c r="CO22" s="211" t="str">
        <f>IF(ISERROR(VLOOKUP(CONCATENATE($CO$7,"-",MID(E22,1,100)),DATOS!Z:AA,2,0)),"",VLOOKUP(CONCATENATE($CO$7,"-",MID(E22,1,100)),DATOS!Z:AA,2,0))</f>
        <v/>
      </c>
      <c r="CP22" s="213" t="str">
        <f>IF(ISERROR(VLOOKUP(CONCATENATE($CP$7,"-",MID(E22,1,100)),DATOS!Z:AA,2,0)),"",VLOOKUP(CONCATENATE($CP$7,"-",MID(E22,1,100)),DATOS!Z:AA,2,0))</f>
        <v/>
      </c>
      <c r="CQ22" s="212" t="str">
        <f>IF(ISERROR(VLOOKUP(CONCATENATE($CQ$7,"-",MID(E22,1,100)),DATOS!Z:AA,2,0)),"",VLOOKUP(CONCATENATE($CQ$7,"-",MID(E22,1,100)),DATOS!Z:AA,2,0))</f>
        <v/>
      </c>
      <c r="CR22" s="210" t="str">
        <f>IF(ISERROR(VLOOKUP(CONCATENATE(CR$7,"-",MID($E22,1,100)),DATOS!$Z:$AA,2,0)),"",VLOOKUP(CONCATENATE(CR$7,"-",MID($E22,1,100)),DATOS!$Z:$AA,2,0))</f>
        <v>a</v>
      </c>
      <c r="CS22" s="211" t="str">
        <f>IF(ISERROR(VLOOKUP(CONCATENATE(CS$7,"-",MID($E22,1,100)),DATOS!$Z:$AA,2,0)),"",VLOOKUP(CONCATENATE(CS$7,"-",MID($E22,1,100)),DATOS!$Z:$AA,2,0))</f>
        <v/>
      </c>
      <c r="CT22" s="211" t="str">
        <f>IF(ISERROR(VLOOKUP(CONCATENATE(CT$7,"-",MID($E22,1,100)),DATOS!$Z:$AA,2,0)),"",VLOOKUP(CONCATENATE(CT$7,"-",MID($E22,1,100)),DATOS!$Z:$AA,2,0))</f>
        <v/>
      </c>
      <c r="CU22" s="211" t="str">
        <f>IF(ISERROR(VLOOKUP(CONCATENATE(CU$7,"-",MID($E22,1,100)),DATOS!$Z:$AA,2,0)),"",VLOOKUP(CONCATENATE(CU$7,"-",MID($E22,1,100)),DATOS!$Z:$AA,2,0))</f>
        <v/>
      </c>
      <c r="CV22" s="211" t="str">
        <f>IF(ISERROR(VLOOKUP(CONCATENATE(CV$7,"-",MID($E22,1,100)),DATOS!$Z:$AA,2,0)),"",VLOOKUP(CONCATENATE(CV$7,"-",MID($E22,1,100)),DATOS!$Z:$AA,2,0))</f>
        <v/>
      </c>
      <c r="CW22" s="211" t="str">
        <f>IF(ISERROR(VLOOKUP(CONCATENATE(CW$7,"-",MID($E22,1,100)),DATOS!$Z:$AA,2,0)),"",VLOOKUP(CONCATENATE(CW$7,"-",MID($E22,1,100)),DATOS!$Z:$AA,2,0))</f>
        <v/>
      </c>
      <c r="CX22" s="211" t="str">
        <f>IF(ISERROR(VLOOKUP(CONCATENATE(CX$7,"-",MID($E22,1,100)),DATOS!$Z:$AA,2,0)),"",VLOOKUP(CONCATENATE(CX$7,"-",MID($E22,1,100)),DATOS!$Z:$AA,2,0))</f>
        <v/>
      </c>
      <c r="CY22" s="211" t="str">
        <f>IF(ISERROR(VLOOKUP(CONCATENATE(CY$7,"-",MID($E22,1,100)),DATOS!$Z:$AA,2,0)),"",VLOOKUP(CONCATENATE(CY$7,"-",MID($E22,1,100)),DATOS!$Z:$AA,2,0))</f>
        <v/>
      </c>
      <c r="CZ22" s="213" t="str">
        <f>IF(ISERROR(VLOOKUP(CONCATENATE(CZ$7,"-",MID($E22,1,100)),DATOS!$Z:$AA,2,0)),"",VLOOKUP(CONCATENATE(CZ$7,"-",MID($E22,1,100)),DATOS!$Z:$AA,2,0))</f>
        <v/>
      </c>
      <c r="DA22" s="212" t="str">
        <f>IF(ISERROR(VLOOKUP(CONCATENATE(DA$7,"-",MID($E22,1,100)),DATOS!$Z:$AA,2,0)),"",VLOOKUP(CONCATENATE(DA$7,"-",MID($E22,1,100)),DATOS!$Z:$AA,2,0))</f>
        <v/>
      </c>
      <c r="DB22" s="210" t="str">
        <f>IF(ISERROR(VLOOKUP(CONCATENATE(DB$7,"-",MID($E22,1,100)),DATOS!$Z:$AA,2,0)),"",VLOOKUP(CONCATENATE(DB$7,"-",MID($E22,1,100)),DATOS!$Z:$AA,2,0))</f>
        <v/>
      </c>
      <c r="DC22" s="211" t="str">
        <f>IF(ISERROR(VLOOKUP(CONCATENATE(DC$7,"-",MID($E22,1,100)),DATOS!$Z:$AA,2,0)),"",VLOOKUP(CONCATENATE(DC$7,"-",MID($E22,1,100)),DATOS!$Z:$AA,2,0))</f>
        <v/>
      </c>
      <c r="DD22" s="211" t="str">
        <f>IF(ISERROR(VLOOKUP(CONCATENATE(DD$7,"-",MID($E22,1,100)),DATOS!$Z:$AA,2,0)),"",VLOOKUP(CONCATENATE(DD$7,"-",MID($E22,1,100)),DATOS!$Z:$AA,2,0))</f>
        <v/>
      </c>
      <c r="DE22" s="211" t="str">
        <f>IF(ISERROR(VLOOKUP(CONCATENATE(DE$7,"-",MID($E22,1,100)),DATOS!$Z:$AA,2,0)),"",VLOOKUP(CONCATENATE(DE$7,"-",MID($E22,1,100)),DATOS!$Z:$AA,2,0))</f>
        <v/>
      </c>
      <c r="DF22" s="211" t="str">
        <f>IF(ISERROR(VLOOKUP(CONCATENATE(DF$7,"-",MID($E22,1,100)),DATOS!$Z:$AA,2,0)),"",VLOOKUP(CONCATENATE(DF$7,"-",MID($E22,1,100)),DATOS!$Z:$AA,2,0))</f>
        <v/>
      </c>
      <c r="DG22" s="211" t="str">
        <f>IF(ISERROR(VLOOKUP(CONCATENATE(DG$7,"-",MID($E22,1,100)),DATOS!$Z:$AA,2,0)),"",VLOOKUP(CONCATENATE(DG$7,"-",MID($E22,1,100)),DATOS!$Z:$AA,2,0))</f>
        <v/>
      </c>
      <c r="DH22" s="211" t="str">
        <f>IF(ISERROR(VLOOKUP(CONCATENATE(DH$7,"-",MID($E22,1,100)),DATOS!$Z:$AA,2,0)),"",VLOOKUP(CONCATENATE(DH$7,"-",MID($E22,1,100)),DATOS!$Z:$AA,2,0))</f>
        <v/>
      </c>
      <c r="DI22" s="211" t="str">
        <f>IF(ISERROR(VLOOKUP(CONCATENATE(DI$7,"-",MID($E22,1,100)),DATOS!$Z:$AA,2,0)),"",VLOOKUP(CONCATENATE(DI$7,"-",MID($E22,1,100)),DATOS!$Z:$AA,2,0))</f>
        <v/>
      </c>
      <c r="DJ22" s="213" t="str">
        <f>IF(ISERROR(VLOOKUP(CONCATENATE(DJ$7,"-",MID($E22,1,100)),DATOS!$Z:$AA,2,0)),"",VLOOKUP(CONCATENATE(DJ$7,"-",MID($E22,1,100)),DATOS!$Z:$AA,2,0))</f>
        <v/>
      </c>
      <c r="DK22" s="212" t="str">
        <f>IF(ISERROR(VLOOKUP(CONCATENATE(DK$7,"-",MID($E22,1,100)),DATOS!$Z:$AA,2,0)),"",VLOOKUP(CONCATENATE(DK$7,"-",MID($E22,1,100)),DATOS!$Z:$AA,2,0))</f>
        <v/>
      </c>
      <c r="DL22" s="210" t="str">
        <f>IF(ISERROR(VLOOKUP(CONCATENATE(DL$7,"-",MID($E22,1,100)),DATOS!$Z:$AA,2,0)),"",VLOOKUP(CONCATENATE(DL$7,"-",MID($E22,1,100)),DATOS!$Z:$AA,2,0))</f>
        <v/>
      </c>
      <c r="DM22" s="211" t="str">
        <f>IF(ISERROR(VLOOKUP(CONCATENATE(DM$7,"-",MID($E22,1,100)),DATOS!$Z:$AA,2,0)),"",VLOOKUP(CONCATENATE(DM$7,"-",MID($E22,1,100)),DATOS!$Z:$AA,2,0))</f>
        <v/>
      </c>
      <c r="DN22" s="211" t="str">
        <f>IF(ISERROR(VLOOKUP(CONCATENATE(DN$7,"-",MID($E22,1,100)),DATOS!$Z:$AA,2,0)),"",VLOOKUP(CONCATENATE(DN$7,"-",MID($E22,1,100)),DATOS!$Z:$AA,2,0))</f>
        <v/>
      </c>
      <c r="DO22" s="211" t="str">
        <f>IF(ISERROR(VLOOKUP(CONCATENATE(DO$7,"-",MID($E22,1,100)),DATOS!$Z:$AA,2,0)),"",VLOOKUP(CONCATENATE(DO$7,"-",MID($E22,1,100)),DATOS!$Z:$AA,2,0))</f>
        <v/>
      </c>
      <c r="DP22" s="211" t="str">
        <f>IF(ISERROR(VLOOKUP(CONCATENATE(DP$7,"-",MID($E22,1,100)),DATOS!$Z:$AA,2,0)),"",VLOOKUP(CONCATENATE(DP$7,"-",MID($E22,1,100)),DATOS!$Z:$AA,2,0))</f>
        <v/>
      </c>
      <c r="DQ22" s="211" t="str">
        <f>IF(ISERROR(VLOOKUP(CONCATENATE(DQ$7,"-",MID($E22,1,100)),DATOS!$Z:$AA,2,0)),"",VLOOKUP(CONCATENATE(DQ$7,"-",MID($E22,1,100)),DATOS!$Z:$AA,2,0))</f>
        <v/>
      </c>
      <c r="DR22" s="211" t="str">
        <f>IF(ISERROR(VLOOKUP(CONCATENATE(DR$7,"-",MID($E22,1,100)),DATOS!$Z:$AA,2,0)),"",VLOOKUP(CONCATENATE(DR$7,"-",MID($E22,1,100)),DATOS!$Z:$AA,2,0))</f>
        <v/>
      </c>
      <c r="DS22" s="211" t="str">
        <f>IF(ISERROR(VLOOKUP(CONCATENATE(DS$7,"-",MID($E22,1,100)),DATOS!$Z:$AA,2,0)),"",VLOOKUP(CONCATENATE(DS$7,"-",MID($E22,1,100)),DATOS!$Z:$AA,2,0))</f>
        <v/>
      </c>
      <c r="DT22" s="213" t="str">
        <f>IF(ISERROR(VLOOKUP(CONCATENATE(DT$7,"-",MID($E22,1,100)),DATOS!$Z:$AA,2,0)),"",VLOOKUP(CONCATENATE(DT$7,"-",MID($E22,1,100)),DATOS!$Z:$AA,2,0))</f>
        <v/>
      </c>
      <c r="DU22" s="212" t="str">
        <f>IF(ISERROR(VLOOKUP(CONCATENATE(DU$7,"-",MID($E22,1,100)),DATOS!$Z:$AA,2,0)),"",VLOOKUP(CONCATENATE(DU$7,"-",MID($E22,1,100)),DATOS!$Z:$AA,2,0))</f>
        <v/>
      </c>
      <c r="DV22" s="210" t="str">
        <f>IF(ISERROR(VLOOKUP(CONCATENATE(DV$7,"-",MID($E22,1,100)),DATOS!$Z:$AA,2,0)),"",VLOOKUP(CONCATENATE(DV$7,"-",MID($E22,1,100)),DATOS!$Z:$AA,2,0))</f>
        <v/>
      </c>
      <c r="DW22" s="211" t="str">
        <f>IF(ISERROR(VLOOKUP(CONCATENATE(DW$7,"-",MID($E22,1,100)),DATOS!$Z:$AA,2,0)),"",VLOOKUP(CONCATENATE(DW$7,"-",MID($E22,1,100)),DATOS!$Z:$AA,2,0))</f>
        <v/>
      </c>
      <c r="DX22" s="211" t="str">
        <f>IF(ISERROR(VLOOKUP(CONCATENATE(DX$7,"-",MID($E22,1,100)),DATOS!$Z:$AA,2,0)),"",VLOOKUP(CONCATENATE(DX$7,"-",MID($E22,1,100)),DATOS!$Z:$AA,2,0))</f>
        <v/>
      </c>
      <c r="DY22" s="211" t="str">
        <f>IF(ISERROR(VLOOKUP(CONCATENATE(DY$7,"-",MID($E22,1,100)),DATOS!$Z:$AA,2,0)),"",VLOOKUP(CONCATENATE(DY$7,"-",MID($E22,1,100)),DATOS!$Z:$AA,2,0))</f>
        <v/>
      </c>
      <c r="DZ22" s="211" t="str">
        <f>IF(ISERROR(VLOOKUP(CONCATENATE(DZ$7,"-",MID($E22,1,100)),DATOS!$Z:$AA,2,0)),"",VLOOKUP(CONCATENATE(DZ$7,"-",MID($E22,1,100)),DATOS!$Z:$AA,2,0))</f>
        <v/>
      </c>
      <c r="EA22" s="211" t="str">
        <f>IF(ISERROR(VLOOKUP(CONCATENATE(EA$7,"-",MID($E22,1,100)),DATOS!$Z:$AA,2,0)),"",VLOOKUP(CONCATENATE(EA$7,"-",MID($E22,1,100)),DATOS!$Z:$AA,2,0))</f>
        <v/>
      </c>
      <c r="EB22" s="211" t="str">
        <f>IF(ISERROR(VLOOKUP(CONCATENATE(EB$7,"-",MID($E22,1,100)),DATOS!$Z:$AA,2,0)),"",VLOOKUP(CONCATENATE(EB$7,"-",MID($E22,1,100)),DATOS!$Z:$AA,2,0))</f>
        <v/>
      </c>
      <c r="EC22" s="211" t="str">
        <f>IF(ISERROR(VLOOKUP(CONCATENATE(EC$7,"-",MID($E22,1,100)),DATOS!$Z:$AA,2,0)),"",VLOOKUP(CONCATENATE(EC$7,"-",MID($E22,1,100)),DATOS!$Z:$AA,2,0))</f>
        <v/>
      </c>
      <c r="ED22" s="213" t="str">
        <f>IF(ISERROR(VLOOKUP(CONCATENATE(ED$7,"-",MID($E22,1,100)),DATOS!$Z:$AA,2,0)),"",VLOOKUP(CONCATENATE(ED$7,"-",MID($E22,1,100)),DATOS!$Z:$AA,2,0))</f>
        <v/>
      </c>
      <c r="EE22" s="212" t="str">
        <f>IF(ISERROR(VLOOKUP(CONCATENATE(EE$7,"-",MID($E22,1,100)),DATOS!$Z:$AA,2,0)),"",VLOOKUP(CONCATENATE(EE$7,"-",MID($E22,1,100)),DATOS!$Z:$AA,2,0))</f>
        <v/>
      </c>
      <c r="EF22" s="210" t="str">
        <f>IF(ISERROR(VLOOKUP(CONCATENATE($EF$7,"-",MID(E22,1,100)),DATOS!Z:AA,2,0)),"",VLOOKUP(CONCATENATE($EF$7,"-",MID(E22,1,100)),DATOS!Z:AA,2,0))</f>
        <v/>
      </c>
      <c r="EG22" s="211" t="str">
        <f>IF(ISERROR(VLOOKUP(CONCATENATE($EG$7,"-",MID(E22,1,100)),DATOS!Z:AA,2,0)),"",VLOOKUP(CONCATENATE($EG$7,"-",MID(E22,1,100)),DATOS!Z:AA,2,0))</f>
        <v/>
      </c>
      <c r="EH22" s="211" t="str">
        <f>IF(ISERROR(VLOOKUP(CONCATENATE($EH$7,"-",MID(E22,1,100)),DATOS!Z:AA,2,0)),"",VLOOKUP(CONCATENATE($EH$7,"-",MID(E22,1,100)),DATOS!Z:AA,2,0))</f>
        <v/>
      </c>
      <c r="EI22" s="211" t="str">
        <f>IF(ISERROR(VLOOKUP(CONCATENATE($EI$7,"-",MID(E22,1,100)),DATOS!Z:AA,2,0)),"",VLOOKUP(CONCATENATE($EI$7,"-",MID(E22,1,100)),DATOS!Z:AA,2,0))</f>
        <v/>
      </c>
      <c r="EJ22" s="211" t="str">
        <f>IF(ISERROR(VLOOKUP(CONCATENATE($EJ$7,"-",MID(E22,1,100)),DATOS!Z:AA,2,0)),"",VLOOKUP(CONCATENATE($EJ$7,"-",MID(E22,1,100)),DATOS!Z:AA,2,0))</f>
        <v/>
      </c>
      <c r="EK22" s="211" t="str">
        <f>IF(ISERROR(VLOOKUP(CONCATENATE($EK$7,"-",MID(E22,1,100)),DATOS!Z:AA,2,0)),"",VLOOKUP(CONCATENATE($EK$7,"-",MID(E22,1,100)),DATOS!Z:AA,2,0))</f>
        <v/>
      </c>
      <c r="EL22" s="211" t="str">
        <f>IF(ISERROR(VLOOKUP(CONCATENATE($EL$7,"-",MID(E22,1,100)),DATOS!Z:AA,2,0)),"",VLOOKUP(CONCATENATE($EL$7,"-",MID(E22,1,100)),DATOS!Z:AA,2,0))</f>
        <v/>
      </c>
      <c r="EM22" s="211" t="str">
        <f>IF(ISERROR(VLOOKUP(CONCATENATE($EM$7,"-",MID(E22,1,100)),DATOS!Z:AA,2,0)),"",VLOOKUP(CONCATENATE($EM$7,"-",MID(E22,1,100)),DATOS!Z:AA,2,0))</f>
        <v/>
      </c>
      <c r="EN22" s="211" t="str">
        <f>IF(ISERROR(VLOOKUP(CONCATENATE($EN$7,"-",MID(E22,1,100)),DATOS!Z:AA,2,0)),"",VLOOKUP(CONCATENATE($EN$7,"-",MID(E22,1,100)),DATOS!Z:AA,2,0))</f>
        <v/>
      </c>
      <c r="EO22" s="212" t="str">
        <f>IF(ISERROR(VLOOKUP(CONCATENATE($EO$7,"-",MID(E22,1,100)),DATOS!Z:AA,2,0)),"",VLOOKUP(CONCATENATE($EO$7,"-",MID(E22,1,100)),DATOS!Z:AA,2,0))</f>
        <v/>
      </c>
      <c r="EP22" s="175">
        <f t="shared" si="0"/>
        <v>2</v>
      </c>
      <c r="EQ22" s="159" t="str">
        <f t="shared" si="1"/>
        <v>CG5: Desarrollo Humano-N3</v>
      </c>
    </row>
    <row r="23" spans="1:147" ht="17.25" hidden="1" customHeight="1">
      <c r="A23" s="148"/>
      <c r="B23" s="151">
        <f>IF('1.Fundamentos'!B56="","",'1.Fundamentos'!B57)</f>
        <v>0</v>
      </c>
      <c r="C23" s="152" t="s">
        <v>78</v>
      </c>
      <c r="D23" s="153" t="str">
        <f>IF('1.Fundamentos'!F57="","",'1.Fundamentos'!F57)</f>
        <v/>
      </c>
      <c r="E23" s="154" t="str">
        <f t="shared" si="2"/>
        <v/>
      </c>
      <c r="F23" s="204" t="str">
        <f>IF(ISERROR(VLOOKUP(CONCATENATE($F$7,"-",MID(E23,1,100)),DATOS!Z:AA,2,0)),"",VLOOKUP(CONCATENATE($F$7,"-",MID(E23,1,100)),DATOS!Z:AA,2,0))</f>
        <v/>
      </c>
      <c r="G23" s="205" t="str">
        <f>IF(ISERROR(VLOOKUP(CONCATENATE($G$7,"-",MID(E23,1,100)),DATOS!Z:AA,2,0)),"",VLOOKUP(CONCATENATE($G$7,"-",MID(E23,1,100)),DATOS!Z:AA,2,0))</f>
        <v/>
      </c>
      <c r="H23" s="205" t="str">
        <f>IF(ISERROR(VLOOKUP(CONCATENATE($H$7,"-",MID(E23,1,100)),DATOS!Z:AA,2,0)),"",VLOOKUP(CONCATENATE($H$7,"-",MID(E23,1,100)),DATOS!Z:AA,2,0))</f>
        <v/>
      </c>
      <c r="I23" s="205" t="str">
        <f>IF(ISERROR(VLOOKUP(CONCATENATE($I$7,"-",MID(E23,1,100)),DATOS!Z:AA,2,0)),"",VLOOKUP(CONCATENATE($I$7,"-",MID(E23,1,100)),DATOS!Z:AA,2,0))</f>
        <v/>
      </c>
      <c r="J23" s="205" t="str">
        <f>IF(ISERROR(VLOOKUP(CONCATENATE($J$7,"-",MID(E23,1,100)),DATOS!Z:AA,2,0)),"",VLOOKUP(CONCATENATE($J$7,"-",MID(E23,1,100)),DATOS!Z:AA,2,0))</f>
        <v/>
      </c>
      <c r="K23" s="205" t="str">
        <f>IF(ISERROR(VLOOKUP(CONCATENATE($K$7,"-",MID(E23,1,100)),DATOS!Z:AA,2,0)),"",VLOOKUP(CONCATENATE($K$7,"-",MID(E23,1,100)),DATOS!Z:AA,2,0))</f>
        <v/>
      </c>
      <c r="L23" s="205" t="str">
        <f>IF(ISERROR(VLOOKUP(CONCATENATE($L$7,"-",MID(E23,1,100)),DATOS!Z:AA,2,0)),"",VLOOKUP(CONCATENATE($L$7,"-",MID(E23,1,100)),DATOS!Z:AA,2,0))</f>
        <v/>
      </c>
      <c r="M23" s="205" t="str">
        <f>IF(ISERROR(VLOOKUP(CONCATENATE($M$7,"-",MID(E23,1,100)),DATOS!Z:AA,2,0)),"",VLOOKUP(CONCATENATE($M$7,"-",MID(E23,1,100)),DATOS!Z:AA,2,0))</f>
        <v/>
      </c>
      <c r="N23" s="205" t="str">
        <f>IF(ISERROR(VLOOKUP(CONCATENATE($N$7,"-",MID(E23,1,100)),DATOS!Z:AA,2,0)),"",VLOOKUP(CONCATENATE($N$7,"-",MID(E23,1,100)),DATOS!Z:AA,2,0))</f>
        <v/>
      </c>
      <c r="O23" s="206" t="str">
        <f>IF(ISERROR(VLOOKUP(CONCATENATE($O$7,"-",MID(E23,1,100)),DATOS!Z:AA,2,0)),"",VLOOKUP(CONCATENATE($O$7,"-",MID(E23,1,100)),DATOS!Z:AA,2,0))</f>
        <v/>
      </c>
      <c r="P23" s="204" t="str">
        <f>IF(ISERROR(VLOOKUP(CONCATENATE($P$7,"-",MID(E23,1,100)),DATOS!Z:AA,2,0)),"",VLOOKUP(CONCATENATE($P$7,"-",MID(E23,1,100)),DATOS!Z:AA,2,0))</f>
        <v/>
      </c>
      <c r="Q23" s="205" t="str">
        <f>IF(ISERROR(VLOOKUP(CONCATENATE($Q$7,"-",MID(E23,1,100)),DATOS!Z:AA,2,0)),"",VLOOKUP(CONCATENATE($Q$7,"-",MID(E23,1,100)),DATOS!Z:AA,2,0))</f>
        <v/>
      </c>
      <c r="R23" s="205" t="str">
        <f>IF(ISERROR(VLOOKUP(CONCATENATE($R$7,"-",MID(E23,1,100)),DATOS!Z:AA,2,0)),"",VLOOKUP(CONCATENATE($R$7,"-",MID(E23,1,100)),DATOS!Z:AA,2,0))</f>
        <v/>
      </c>
      <c r="S23" s="205" t="str">
        <f>IF(ISERROR(VLOOKUP(CONCATENATE($S$7,"-",MID(E23,1,100)),DATOS!Z:AA,2,0)),"",VLOOKUP(CONCATENATE($S$7,"-",MID(E23,1,100)),DATOS!Z:AA,2,0))</f>
        <v/>
      </c>
      <c r="T23" s="205" t="str">
        <f>IF(ISERROR(VLOOKUP(CONCATENATE($T$7,"-",MID(E23,1,100)),DATOS!Z:AA,2,0)),"",VLOOKUP(CONCATENATE($T$7,"-",MID(E23,1,100)),DATOS!Z:AA,2,0))</f>
        <v/>
      </c>
      <c r="U23" s="205" t="str">
        <f>IF(ISERROR(VLOOKUP(CONCATENATE($U$7,"-",MID(E23,1,100)),DATOS!Z:AA,2,0)),"",VLOOKUP(CONCATENATE($U$7,"-",MID(E23,1,100)),DATOS!Z:AA,2,0))</f>
        <v/>
      </c>
      <c r="V23" s="205" t="str">
        <f>IF(ISERROR(VLOOKUP(CONCATENATE($V$7,"-",MID(E23,1,100)),DATOS!Z:AA,2,0)),"",VLOOKUP(CONCATENATE($V$7,"-",MID(E23,1,100)),DATOS!Z:AA,2,0))</f>
        <v/>
      </c>
      <c r="W23" s="205" t="str">
        <f>IF(ISERROR(VLOOKUP(CONCATENATE($W$7,"-",MID(E23,1,100)),DATOS!Z:AA,2,0)),"",VLOOKUP(CONCATENATE($W$7,"-",MID(E23,1,100)),DATOS!Z:AA,2,0))</f>
        <v/>
      </c>
      <c r="X23" s="205" t="str">
        <f>IF(ISERROR(VLOOKUP(CONCATENATE($X$7,"-",MID(E23,1,100)),DATOS!Z:AA,2,0)),"",VLOOKUP(CONCATENATE($X$7,"-",MID(E23,1,100)),DATOS!Z:AA,2,0))</f>
        <v/>
      </c>
      <c r="Y23" s="206" t="str">
        <f>IF(ISERROR(VLOOKUP(CONCATENATE($Y$7,"-",MID(E23,1,100)),DATOS!Z:AA,2,0)),"",VLOOKUP(CONCATENATE($Y$7,"-",MID(E23,1,100)),DATOS!Z:AA,2,0))</f>
        <v/>
      </c>
      <c r="Z23" s="204" t="str">
        <f>IF(ISERROR(VLOOKUP(CONCATENATE($Z$7,"-",MID(E23,1,100)),DATOS!Z:AA,2,0)),"",VLOOKUP(CONCATENATE($Z$7,"-",MID(E23,1,100)),DATOS!Z:AA,2,0))</f>
        <v/>
      </c>
      <c r="AA23" s="205" t="str">
        <f>IF(ISERROR(VLOOKUP(CONCATENATE($AA$7,"-",MID(E23,1,100)),DATOS!Z:AA,2,0)),"",VLOOKUP(CONCATENATE($AA$7,"-",MID(E23,1,100)),DATOS!Z:AA,2,0))</f>
        <v/>
      </c>
      <c r="AB23" s="205" t="str">
        <f>IF(ISERROR(VLOOKUP(CONCATENATE($AB$7,"-",MID(E23,1,100)),DATOS!Z:AA,2,0)),"",VLOOKUP(CONCATENATE($AB$7,"-",MID(E23,1,100)),DATOS!Z:AA,2,0))</f>
        <v/>
      </c>
      <c r="AC23" s="205" t="str">
        <f>IF(ISERROR(VLOOKUP(CONCATENATE($AC$7,"-",MID(E23,1,100)),DATOS!Z:AA,2,0)),"",VLOOKUP(CONCATENATE($AC$7,"-",MID(E23,1,100)),DATOS!Z:AA,2,0))</f>
        <v/>
      </c>
      <c r="AD23" s="205" t="str">
        <f>IF(ISERROR(VLOOKUP(CONCATENATE($AD$7,"-",MID(E23,1,100)),DATOS!Z:AA,2,0)),"",VLOOKUP(CONCATENATE($AD$7,"-",MID(E23,1,100)),DATOS!Z:AA,2,0))</f>
        <v/>
      </c>
      <c r="AE23" s="205" t="str">
        <f>IF(ISERROR(VLOOKUP(CONCATENATE($AE$7,"-",MID(E23,1,100)),DATOS!Z:AA,2,0)),"",VLOOKUP(CONCATENATE($AE$7,"-",MID(E23,1,100)),DATOS!Z:AA,2,0))</f>
        <v/>
      </c>
      <c r="AF23" s="205" t="str">
        <f>IF(ISERROR(VLOOKUP(CONCATENATE($AF$7,"-",MID(E23,1,100)),DATOS!Z:AA,2,0)),"",VLOOKUP(CONCATENATE($AF$7,"-",MID(E23,1,100)),DATOS!Z:AA,2,0))</f>
        <v/>
      </c>
      <c r="AG23" s="205" t="str">
        <f>IF(ISERROR(VLOOKUP(CONCATENATE($AG$7,"-",MID(E23,1,100)),DATOS!Z:AA,2,0)),"",VLOOKUP(CONCATENATE($AG$7,"-",MID(E23,1,100)),DATOS!Z:AA,2,0))</f>
        <v/>
      </c>
      <c r="AH23" s="205" t="str">
        <f>IF(ISERROR(VLOOKUP(CONCATENATE($AH$7,"-",MID(E23,1,100)),DATOS!Z:AA,2,0)),"",VLOOKUP(CONCATENATE($AH$7,"-",MID(E23,1,100)),DATOS!Z:AA,2,0))</f>
        <v/>
      </c>
      <c r="AI23" s="206" t="str">
        <f>IF(ISERROR(VLOOKUP(CONCATENATE($AI$7,"-",MID(E23,1,100)),DATOS!Z:AA,2,0)),"",VLOOKUP(CONCATENATE($AI$7,"-",MID(E23,1,100)),DATOS!Z:AA,2,0))</f>
        <v/>
      </c>
      <c r="AJ23" s="204" t="str">
        <f>IF(ISERROR(VLOOKUP(CONCATENATE($AJ$7,"-",MID(E23,1,100)),DATOS!Z:AA,2,0)),"",VLOOKUP(CONCATENATE($AJ$7,"-",MID(E23,1,100)),DATOS!Z:AA,2,0))</f>
        <v/>
      </c>
      <c r="AK23" s="205" t="str">
        <f>IF(ISERROR(VLOOKUP(CONCATENATE($AK$7,"-",MID(E23,1,100)),DATOS!Z:AA,2,0)),"",VLOOKUP(CONCATENATE($AK$7,"-",MID(E23,1,100)),DATOS!Z:AA,2,0))</f>
        <v/>
      </c>
      <c r="AL23" s="205" t="str">
        <f>IF(ISERROR(VLOOKUP(CONCATENATE($AL$7,"-",MID(E23,1,100)),DATOS!Z:AA,2,0)),"",VLOOKUP(CONCATENATE($AL$7,"-",MID(E23,1,100)),DATOS!Z:AA,2,0))</f>
        <v/>
      </c>
      <c r="AM23" s="205" t="str">
        <f>IF(ISERROR(VLOOKUP(CONCATENATE($AM$7,"-",MID(E23,1,100)),DATOS!Z:AA,2,0)),"",VLOOKUP(CONCATENATE($AM$7,"-",MID(E23,1,100)),DATOS!Z:AA,2,0))</f>
        <v/>
      </c>
      <c r="AN23" s="205" t="str">
        <f>IF(ISERROR(VLOOKUP(CONCATENATE($AN$7,"-",MID(E23,1,100)),DATOS!Z:AA,2,0)),"",VLOOKUP(CONCATENATE($AN$7,"-",MID(E23,1,100)),DATOS!Z:AA,2,0))</f>
        <v/>
      </c>
      <c r="AO23" s="205" t="str">
        <f>IF(ISERROR(VLOOKUP(CONCATENATE($AO$7,"-",MID(E23,1,100)),DATOS!Z:AA,2,0)),"",VLOOKUP(CONCATENATE($AO$7,"-",MID(E23,1,100)),DATOS!Z:AA,2,0))</f>
        <v/>
      </c>
      <c r="AP23" s="205" t="str">
        <f>IF(ISERROR(VLOOKUP(CONCATENATE($AP$7,"-",MID(E23,1,100)),DATOS!Z:AA,2,0)),"",VLOOKUP(CONCATENATE($AP$7,"-",MID(E23,1,100)),DATOS!Z:AA,2,0))</f>
        <v/>
      </c>
      <c r="AQ23" s="205" t="str">
        <f>IF(ISERROR(VLOOKUP(CONCATENATE($AQ$7,"-",MID(E23,1,100)),DATOS!Z:AA,2,0)),"",VLOOKUP(CONCATENATE($AQ$7,"-",MID(E23,1,100)),DATOS!Z:AA,2,0))</f>
        <v/>
      </c>
      <c r="AR23" s="205" t="str">
        <f>IF(ISERROR(VLOOKUP(CONCATENATE($AR$7,"-",MID(E23,1,100)),DATOS!Z:AA,2,0)),"",VLOOKUP(CONCATENATE($AR$7,"-",MID(E23,1,100)),DATOS!Z:AA,2,0))</f>
        <v/>
      </c>
      <c r="AS23" s="206" t="str">
        <f>IF(ISERROR(VLOOKUP(CONCATENATE($AS$7,"-",MID(E23,1,100)),DATOS!Z:AA,2,0)),"",VLOOKUP(CONCATENATE($AS$7,"-",MID(E23,1,100)),DATOS!Z:AA,2,0))</f>
        <v/>
      </c>
      <c r="AT23" s="155" t="str">
        <f>IF(ISERROR(VLOOKUP(CONCATENATE($AT$7,"-",MID(E23,1,100)),DATOS!Z:AA,2,0)),"",VLOOKUP(CONCATENATE($AT$7,"-",MID(E23,1,100)),DATOS!Z:AA,2,0))</f>
        <v/>
      </c>
      <c r="AU23" s="156" t="str">
        <f>IF(ISERROR(VLOOKUP(CONCATENATE($AU$7,"-",MID(E23,1,100)),DATOS!Z:AA,2,0)),"",VLOOKUP(CONCATENATE($AU$7,"-",MID(E23,1,100)),DATOS!Z:AA,2,0))</f>
        <v/>
      </c>
      <c r="AV23" s="156" t="str">
        <f>IF(ISERROR(VLOOKUP(CONCATENATE($AV$7,"-",MID(E23,1,100)),DATOS!Z:AA,2,0)),"",VLOOKUP(CONCATENATE($AV$7,"-",MID(E23,1,100)),DATOS!Z:AA,2,0))</f>
        <v/>
      </c>
      <c r="AW23" s="156" t="str">
        <f>IF(ISERROR(VLOOKUP(CONCATENATE($AW$7,"-",MID(E23,1,100)),DATOS!Z:AA,2,0)),"",VLOOKUP(CONCATENATE($AW$7,"-",MID(E23,1,100)),DATOS!Z:AA,2,0))</f>
        <v/>
      </c>
      <c r="AX23" s="156" t="str">
        <f>IF(ISERROR(VLOOKUP(CONCATENATE($AX$7,"-",MID(E23,1,100)),DATOS!Z:AA,2,0)),"",VLOOKUP(CONCATENATE($AX$7,"-",MID(E23,1,100)),DATOS!Z:AA,2,0))</f>
        <v/>
      </c>
      <c r="AY23" s="156" t="str">
        <f>IF(ISERROR(VLOOKUP(CONCATENATE($AY$7,"-",MID(E23,1,100)),DATOS!Z:AA,2,0)),"",VLOOKUP(CONCATENATE($AY$7,"-",MID(E23,1,100)),DATOS!Z:AA,2,0))</f>
        <v/>
      </c>
      <c r="AZ23" s="156" t="str">
        <f>IF(ISERROR(VLOOKUP(CONCATENATE($AZ$7,"-",MID(E23,1,100)),DATOS!Z:AA,2,0)),"",VLOOKUP(CONCATENATE($AZ$7,"-",MID(E23,1,100)),DATOS!Z:AA,2,0))</f>
        <v/>
      </c>
      <c r="BA23" s="156" t="str">
        <f>IF(ISERROR(VLOOKUP(CONCATENATE($BA$7,"-",MID(E23,1,100)),DATOS!Z:AA,2,0)),"",VLOOKUP(CONCATENATE($BA$7,"-",MID(E23,1,100)),DATOS!Z:AA,2,0))</f>
        <v/>
      </c>
      <c r="BB23" s="156" t="str">
        <f>IF(ISERROR(VLOOKUP(CONCATENATE($BB$7,"-",MID(E23,1,100)),DATOS!Z:AA,2,0)),"",VLOOKUP(CONCATENATE($BB$7,"-",MID(E23,1,100)),DATOS!Z:AA,2,0))</f>
        <v/>
      </c>
      <c r="BC23" s="157" t="str">
        <f>IF(ISERROR(VLOOKUP(CONCATENATE($BC$7,"-",MID(E23,1,100)),DATOS!Z:AA,2,0)),"",VLOOKUP(CONCATENATE($BC$7,"-",MID(E23,1,100)),DATOS!Z:AA,2,0))</f>
        <v/>
      </c>
      <c r="BD23" s="155" t="str">
        <f>IF(ISERROR(VLOOKUP(CONCATENATE($BD$7,"-",MID(E23,1,100)),DATOS!Z:AA,2,0)),"",VLOOKUP(CONCATENATE($BD$7,"-",MID(E23,1,100)),DATOS!Z:AA,2,0))</f>
        <v/>
      </c>
      <c r="BE23" s="156" t="str">
        <f>IF(ISERROR(VLOOKUP(CONCATENATE($BE$7,"-",MID(E23,1,100)),DATOS!Z:AA,2,0)),"",VLOOKUP(CONCATENATE($BE$7,"-",MID(E23,1,100)),DATOS!Z:AA,2,0))</f>
        <v/>
      </c>
      <c r="BF23" s="156" t="str">
        <f>IF(ISERROR(VLOOKUP(CONCATENATE($BF$7,"-",MID(E23,1,100)),DATOS!Z:AA,2,0)),"",VLOOKUP(CONCATENATE($BF$7,"-",MID(E23,1,100)),DATOS!Z:AA,2,0))</f>
        <v/>
      </c>
      <c r="BG23" s="156" t="str">
        <f>IF(ISERROR(VLOOKUP(CONCATENATE($BG$7,"-",MID(E23,1,100)),DATOS!Z:AA,2,0)),"",VLOOKUP(CONCATENATE($BG$7,"-",MID(E23,1,100)),DATOS!Z:AA,2,0))</f>
        <v/>
      </c>
      <c r="BH23" s="156" t="str">
        <f>IF(ISERROR(VLOOKUP(CONCATENATE($BH$7,"-",MID(E23,1,100)),DATOS!Z:AA,2,0)),"",VLOOKUP(CONCATENATE($BH$7,"-",MID(E23,1,100)),DATOS!Z:AA,2,0))</f>
        <v/>
      </c>
      <c r="BI23" s="156" t="str">
        <f>IF(ISERROR(VLOOKUP(CONCATENATE($BI$7,"-",MID(E23,1,100)),DATOS!Z:AA,2,0)),"",VLOOKUP(CONCATENATE($BI$7,"-",MID(E23,1,100)),DATOS!Z:AA,2,0))</f>
        <v/>
      </c>
      <c r="BJ23" s="156" t="str">
        <f>IF(ISERROR(VLOOKUP(CONCATENATE($BJ$7,"-",MID(E23,1,100)),DATOS!Z:AA,2,0)),"",VLOOKUP(CONCATENATE($BJ$7,"-",MID(E23,1,100)),DATOS!Z:AA,2,0))</f>
        <v/>
      </c>
      <c r="BK23" s="156" t="str">
        <f>IF(ISERROR(VLOOKUP(CONCATENATE($BK$7,"-",MID(E23,1,100)),DATOS!Z:AA,2,0)),"",VLOOKUP(CONCATENATE($BK$7,"-",MID(E23,1,100)),DATOS!Z:AA,2,0))</f>
        <v/>
      </c>
      <c r="BL23" s="156" t="str">
        <f>IF(ISERROR(VLOOKUP(CONCATENATE($BL$7,"-",MID(E23,1,100)),DATOS!Z:AA,2,0)),"",VLOOKUP(CONCATENATE($BL$7,"-",MID(E23,1,100)),DATOS!Z:AA,2,0))</f>
        <v/>
      </c>
      <c r="BM23" s="157" t="str">
        <f>IF(ISERROR(VLOOKUP(CONCATENATE($BM$7,"-",MID(E23,1,100)),DATOS!Z:AA,2,0)),"",VLOOKUP(CONCATENATE($BM$7,"-",MID(E23,1,100)),DATOS!Z:AA,2,0))</f>
        <v/>
      </c>
      <c r="BN23" s="155" t="str">
        <f>IF(ISERROR(VLOOKUP(CONCATENATE($BN$7,"-",MID(E23,1,100)),DATOS!Z:AA,2,0)),"",VLOOKUP(CONCATENATE($BN$7,"-",MID(E23,1,100)),DATOS!Z:AA,2,0))</f>
        <v/>
      </c>
      <c r="BO23" s="156" t="str">
        <f>IF(ISERROR(VLOOKUP(CONCATENATE($BO$7,"-",MID(E23,1,100)),DATOS!Z:AA,2,0)),"",VLOOKUP(CONCATENATE($BO$7,"-",MID(E23,1,100)),DATOS!Z:AA,2,0))</f>
        <v/>
      </c>
      <c r="BP23" s="156" t="str">
        <f>IF(ISERROR(VLOOKUP(CONCATENATE($BP$7,"-",MID(E23,1,100)),DATOS!Z:AA,2,0)),"",VLOOKUP(CONCATENATE($BP$7,"-",MID(E23,1,100)),DATOS!Z:AA,2,0))</f>
        <v/>
      </c>
      <c r="BQ23" s="156" t="str">
        <f>IF(ISERROR(VLOOKUP(CONCATENATE($BQ$7,"-",MID(E23,1,100)),DATOS!Z:AA,2,0)),"",VLOOKUP(CONCATENATE($BQ$7,"-",MID(E23,1,100)),DATOS!Z:AA,2,0))</f>
        <v/>
      </c>
      <c r="BR23" s="156" t="str">
        <f>IF(ISERROR(VLOOKUP(CONCATENATE($BR$7,"-",MID(E23,1,100)),DATOS!Z:AA,2,0)),"",VLOOKUP(CONCATENATE($BR$7,"-",MID(E23,1,100)),DATOS!Z:AA,2,0))</f>
        <v/>
      </c>
      <c r="BS23" s="156" t="str">
        <f>IF(ISERROR(VLOOKUP(CONCATENATE($BS$7,"-",MID(E23,1,100)),DATOS!Z:AA,2,0)),"",VLOOKUP(CONCATENATE($BS$7,"-",MID(E23,1,100)),DATOS!Z:AA,2,0))</f>
        <v/>
      </c>
      <c r="BT23" s="156" t="str">
        <f>IF(ISERROR(VLOOKUP(CONCATENATE($BT$7,"-",MID(E23,1,100)),DATOS!Z:AA,2,0)),"",VLOOKUP(CONCATENATE($BT$7,"-",MID(E23,1,100)),DATOS!Z:AA,2,0))</f>
        <v/>
      </c>
      <c r="BU23" s="156" t="str">
        <f>IF(ISERROR(VLOOKUP(CONCATENATE($BU$7,"-",MID(E23,1,100)),DATOS!Z:AA,2,0)),"",VLOOKUP(CONCATENATE($BU$7,"-",MID(E23,1,100)),DATOS!Z:AA,2,0))</f>
        <v/>
      </c>
      <c r="BV23" s="156" t="str">
        <f>IF(ISERROR(VLOOKUP(CONCATENATE($BV$7,"-",MID(E23,1,100)),DATOS!Z:AA,2,0)),"",VLOOKUP(CONCATENATE($BV$7,"-",MID(E23,1,100)),DATOS!Z:AA,2,0))</f>
        <v/>
      </c>
      <c r="BW23" s="157" t="str">
        <f>IF(ISERROR(VLOOKUP(CONCATENATE($BW$7,"-",MID(E23,1,100)),DATOS!Z:AA,2,0)),"",VLOOKUP(CONCATENATE($BW$7,"-",MID(E23,1,100)),DATOS!Z:AA,2,0))</f>
        <v/>
      </c>
      <c r="BX23" s="155" t="str">
        <f>IF(ISERROR(VLOOKUP(CONCATENATE($BX$7,"-",MID(E23,1,100)),DATOS!Z:AA,2,0)),"",VLOOKUP(CONCATENATE($BX$7,"-",MID(E23,1,100)),DATOS!Z:AA,2,0))</f>
        <v/>
      </c>
      <c r="BY23" s="156" t="str">
        <f>IF(ISERROR(VLOOKUP(CONCATENATE($BY$7,"-",MID(E23,1,100)),DATOS!Z:AA,2,0)),"",VLOOKUP(CONCATENATE($BY$7,"-",MID(E23,1,100)),DATOS!Z:AA,2,0))</f>
        <v/>
      </c>
      <c r="BZ23" s="156" t="str">
        <f>IF(ISERROR(VLOOKUP(CONCATENATE($BZ$7,"-",MID(E23,1,100)),DATOS!Z:AA,2,0)),"",VLOOKUP(CONCATENATE($BZ$7,"-",MID(E23,1,100)),DATOS!Z:AA,2,0))</f>
        <v/>
      </c>
      <c r="CA23" s="156" t="str">
        <f>IF(ISERROR(VLOOKUP(CONCATENATE($CA$7,"-",MID(E23,1,100)),DATOS!Z:AA,2,0)),"",VLOOKUP(CONCATENATE($CA$7,"-",MID(E23,1,100)),DATOS!Z:AA,2,0))</f>
        <v/>
      </c>
      <c r="CB23" s="156" t="str">
        <f>IF(ISERROR(VLOOKUP(CONCATENATE($CB$7,"-",MID(E23,1,100)),DATOS!Z:AA,2,0)),"",VLOOKUP(CONCATENATE($CB$7,"-",MID(E23,1,100)),DATOS!Z:AA,2,0))</f>
        <v/>
      </c>
      <c r="CC23" s="156" t="str">
        <f>IF(ISERROR(VLOOKUP(CONCATENATE($CC$7,"-",MID(E23,1,100)),DATOS!Z:AA,2,0)),"",VLOOKUP(CONCATENATE($CC$7,"-",MID(E23,1,100)),DATOS!Z:AA,2,0))</f>
        <v/>
      </c>
      <c r="CD23" s="156" t="str">
        <f>IF(ISERROR(VLOOKUP(CONCATENATE($CD$7,"-",MID(E23,1,100)),DATOS!Z:AA,2,0)),"",VLOOKUP(CONCATENATE($CD$7,"-",MID(E23,1,100)),DATOS!Z:AA,2,0))</f>
        <v/>
      </c>
      <c r="CE23" s="156" t="str">
        <f>IF(ISERROR(VLOOKUP(CONCATENATE($CE$7,"-",MID(E23,1,100)),DATOS!Z:AA,2,0)),"",VLOOKUP(CONCATENATE($CE$7,"-",MID(E23,1,100)),DATOS!Z:AA,2,0))</f>
        <v/>
      </c>
      <c r="CF23" s="156" t="str">
        <f>IF(ISERROR(VLOOKUP(CONCATENATE($CF$7,"-",MID(E23,1,100)),DATOS!Z:AA,2,0)),"",VLOOKUP(CONCATENATE($CF$7,"-",MID(E23,1,100)),DATOS!Z:AA,2,0))</f>
        <v/>
      </c>
      <c r="CG23" s="157" t="str">
        <f>IF(ISERROR(VLOOKUP(CONCATENATE($CG$7,"-",MID(E23,1,100)),DATOS!Z:AA,2,0)),"",VLOOKUP(CONCATENATE($CG$7,"-",MID(E23,1,100)),DATOS!Z:AA,2,0))</f>
        <v/>
      </c>
      <c r="CH23" s="155" t="str">
        <f>IF(ISERROR(VLOOKUP(CONCATENATE($CH$7,"-",MID(E23,1,100)),DATOS!Z:AA,2,0)),"",VLOOKUP(CONCATENATE($CH$7,"-",MID(E23,1,100)),DATOS!Z:AA,2,0))</f>
        <v/>
      </c>
      <c r="CI23" s="156" t="str">
        <f>IF(ISERROR(VLOOKUP(CONCATENATE($CI$7,"-",MID(E23,1,100)),DATOS!Z:AA,2,0)),"",VLOOKUP(CONCATENATE($CI$7,"-",MID(E23,1,100)),DATOS!Z:AA,2,0))</f>
        <v/>
      </c>
      <c r="CJ23" s="156" t="str">
        <f>IF(ISERROR(VLOOKUP(CONCATENATE($CJ$7,"-",MID(E23,1,100)),DATOS!Z:AA,2,0)),"",VLOOKUP(CONCATENATE($CJ$7,"-",MID(E23,1,100)),DATOS!Z:AA,2,0))</f>
        <v/>
      </c>
      <c r="CK23" s="156" t="str">
        <f>IF(ISERROR(VLOOKUP(CONCATENATE($CK$7,"-",MID(E23,1,100)),DATOS!Z:AA,2,0)),"",VLOOKUP(CONCATENATE($CK$7,"-",MID(E23,1,100)),DATOS!Z:AA,2,0))</f>
        <v/>
      </c>
      <c r="CL23" s="156" t="str">
        <f>IF(ISERROR(VLOOKUP(CONCATENATE($CL$7,"-",MID(E23,1,100)),DATOS!Z:AA,2,0)),"",VLOOKUP(CONCATENATE($CL$7,"-",MID(E23,1,100)),DATOS!Z:AA,2,0))</f>
        <v/>
      </c>
      <c r="CM23" s="156" t="str">
        <f>IF(ISERROR(VLOOKUP(CONCATENATE($CM$7,"-",MID(E23,1,100)),DATOS!Z:AA,2,0)),"",VLOOKUP(CONCATENATE($CM$7,"-",MID(E23,1,100)),DATOS!Z:AA,2,0))</f>
        <v/>
      </c>
      <c r="CN23" s="156" t="str">
        <f>IF(ISERROR(VLOOKUP(CONCATENATE($CN$7,"-",MID(E23,1,100)),DATOS!Z:AA,2,0)),"",VLOOKUP(CONCATENATE($CN$7,"-",MID(E23,1,100)),DATOS!Z:AA,2,0))</f>
        <v/>
      </c>
      <c r="CO23" s="156" t="str">
        <f>IF(ISERROR(VLOOKUP(CONCATENATE($CO$7,"-",MID(E23,1,100)),DATOS!Z:AA,2,0)),"",VLOOKUP(CONCATENATE($CO$7,"-",MID(E23,1,100)),DATOS!Z:AA,2,0))</f>
        <v/>
      </c>
      <c r="CP23" s="194" t="str">
        <f>IF(ISERROR(VLOOKUP(CONCATENATE($CP$7,"-",MID(E23,1,100)),DATOS!Z:AA,2,0)),"",VLOOKUP(CONCATENATE($CP$7,"-",MID(E23,1,100)),DATOS!Z:AA,2,0))</f>
        <v/>
      </c>
      <c r="CQ23" s="157" t="str">
        <f>IF(ISERROR(VLOOKUP(CONCATENATE($CQ$7,"-",MID(E23,1,100)),DATOS!Z:AA,2,0)),"",VLOOKUP(CONCATENATE($CQ$7,"-",MID(E23,1,100)),DATOS!Z:AA,2,0))</f>
        <v/>
      </c>
      <c r="CR23" s="155" t="str">
        <f>IF(ISERROR(VLOOKUP(CONCATENATE(CR$7,"-",MID($E23,1,100)),DATOS!$Z:$AA,2,0)),"",VLOOKUP(CONCATENATE(CR$7,"-",MID($E23,1,100)),DATOS!$Z:$AA,2,0))</f>
        <v/>
      </c>
      <c r="CS23" s="156" t="str">
        <f>IF(ISERROR(VLOOKUP(CONCATENATE(CS$7,"-",MID($E23,1,100)),DATOS!$Z:$AA,2,0)),"",VLOOKUP(CONCATENATE(CS$7,"-",MID($E23,1,100)),DATOS!$Z:$AA,2,0))</f>
        <v/>
      </c>
      <c r="CT23" s="156" t="str">
        <f>IF(ISERROR(VLOOKUP(CONCATENATE(CT$7,"-",MID($E23,1,100)),DATOS!$Z:$AA,2,0)),"",VLOOKUP(CONCATENATE(CT$7,"-",MID($E23,1,100)),DATOS!$Z:$AA,2,0))</f>
        <v/>
      </c>
      <c r="CU23" s="156" t="str">
        <f>IF(ISERROR(VLOOKUP(CONCATENATE(CU$7,"-",MID($E23,1,100)),DATOS!$Z:$AA,2,0)),"",VLOOKUP(CONCATENATE(CU$7,"-",MID($E23,1,100)),DATOS!$Z:$AA,2,0))</f>
        <v/>
      </c>
      <c r="CV23" s="156" t="str">
        <f>IF(ISERROR(VLOOKUP(CONCATENATE(CV$7,"-",MID($E23,1,100)),DATOS!$Z:$AA,2,0)),"",VLOOKUP(CONCATENATE(CV$7,"-",MID($E23,1,100)),DATOS!$Z:$AA,2,0))</f>
        <v/>
      </c>
      <c r="CW23" s="156" t="str">
        <f>IF(ISERROR(VLOOKUP(CONCATENATE(CW$7,"-",MID($E23,1,100)),DATOS!$Z:$AA,2,0)),"",VLOOKUP(CONCATENATE(CW$7,"-",MID($E23,1,100)),DATOS!$Z:$AA,2,0))</f>
        <v/>
      </c>
      <c r="CX23" s="156" t="str">
        <f>IF(ISERROR(VLOOKUP(CONCATENATE(CX$7,"-",MID($E23,1,100)),DATOS!$Z:$AA,2,0)),"",VLOOKUP(CONCATENATE(CX$7,"-",MID($E23,1,100)),DATOS!$Z:$AA,2,0))</f>
        <v/>
      </c>
      <c r="CY23" s="156" t="str">
        <f>IF(ISERROR(VLOOKUP(CONCATENATE(CY$7,"-",MID($E23,1,100)),DATOS!$Z:$AA,2,0)),"",VLOOKUP(CONCATENATE(CY$7,"-",MID($E23,1,100)),DATOS!$Z:$AA,2,0))</f>
        <v/>
      </c>
      <c r="CZ23" s="194" t="str">
        <f>IF(ISERROR(VLOOKUP(CONCATENATE(CZ$7,"-",MID($E23,1,100)),DATOS!$Z:$AA,2,0)),"",VLOOKUP(CONCATENATE(CZ$7,"-",MID($E23,1,100)),DATOS!$Z:$AA,2,0))</f>
        <v/>
      </c>
      <c r="DA23" s="157" t="str">
        <f>IF(ISERROR(VLOOKUP(CONCATENATE(DA$7,"-",MID($E23,1,100)),DATOS!$Z:$AA,2,0)),"",VLOOKUP(CONCATENATE(DA$7,"-",MID($E23,1,100)),DATOS!$Z:$AA,2,0))</f>
        <v/>
      </c>
      <c r="DB23" s="155" t="str">
        <f>IF(ISERROR(VLOOKUP(CONCATENATE(DB$7,"-",MID($E23,1,100)),DATOS!$Z:$AA,2,0)),"",VLOOKUP(CONCATENATE(DB$7,"-",MID($E23,1,100)),DATOS!$Z:$AA,2,0))</f>
        <v/>
      </c>
      <c r="DC23" s="156" t="str">
        <f>IF(ISERROR(VLOOKUP(CONCATENATE(DC$7,"-",MID($E23,1,100)),DATOS!$Z:$AA,2,0)),"",VLOOKUP(CONCATENATE(DC$7,"-",MID($E23,1,100)),DATOS!$Z:$AA,2,0))</f>
        <v/>
      </c>
      <c r="DD23" s="156" t="str">
        <f>IF(ISERROR(VLOOKUP(CONCATENATE(DD$7,"-",MID($E23,1,100)),DATOS!$Z:$AA,2,0)),"",VLOOKUP(CONCATENATE(DD$7,"-",MID($E23,1,100)),DATOS!$Z:$AA,2,0))</f>
        <v/>
      </c>
      <c r="DE23" s="156" t="str">
        <f>IF(ISERROR(VLOOKUP(CONCATENATE(DE$7,"-",MID($E23,1,100)),DATOS!$Z:$AA,2,0)),"",VLOOKUP(CONCATENATE(DE$7,"-",MID($E23,1,100)),DATOS!$Z:$AA,2,0))</f>
        <v/>
      </c>
      <c r="DF23" s="156" t="str">
        <f>IF(ISERROR(VLOOKUP(CONCATENATE(DF$7,"-",MID($E23,1,100)),DATOS!$Z:$AA,2,0)),"",VLOOKUP(CONCATENATE(DF$7,"-",MID($E23,1,100)),DATOS!$Z:$AA,2,0))</f>
        <v/>
      </c>
      <c r="DG23" s="156" t="str">
        <f>IF(ISERROR(VLOOKUP(CONCATENATE(DG$7,"-",MID($E23,1,100)),DATOS!$Z:$AA,2,0)),"",VLOOKUP(CONCATENATE(DG$7,"-",MID($E23,1,100)),DATOS!$Z:$AA,2,0))</f>
        <v/>
      </c>
      <c r="DH23" s="156" t="str">
        <f>IF(ISERROR(VLOOKUP(CONCATENATE(DH$7,"-",MID($E23,1,100)),DATOS!$Z:$AA,2,0)),"",VLOOKUP(CONCATENATE(DH$7,"-",MID($E23,1,100)),DATOS!$Z:$AA,2,0))</f>
        <v/>
      </c>
      <c r="DI23" s="156" t="str">
        <f>IF(ISERROR(VLOOKUP(CONCATENATE(DI$7,"-",MID($E23,1,100)),DATOS!$Z:$AA,2,0)),"",VLOOKUP(CONCATENATE(DI$7,"-",MID($E23,1,100)),DATOS!$Z:$AA,2,0))</f>
        <v/>
      </c>
      <c r="DJ23" s="194" t="str">
        <f>IF(ISERROR(VLOOKUP(CONCATENATE(DJ$7,"-",MID($E23,1,100)),DATOS!$Z:$AA,2,0)),"",VLOOKUP(CONCATENATE(DJ$7,"-",MID($E23,1,100)),DATOS!$Z:$AA,2,0))</f>
        <v/>
      </c>
      <c r="DK23" s="157" t="str">
        <f>IF(ISERROR(VLOOKUP(CONCATENATE(DK$7,"-",MID($E23,1,100)),DATOS!$Z:$AA,2,0)),"",VLOOKUP(CONCATENATE(DK$7,"-",MID($E23,1,100)),DATOS!$Z:$AA,2,0))</f>
        <v/>
      </c>
      <c r="DL23" s="155" t="str">
        <f>IF(ISERROR(VLOOKUP(CONCATENATE(DL$7,"-",MID($E23,1,100)),DATOS!$Z:$AA,2,0)),"",VLOOKUP(CONCATENATE(DL$7,"-",MID($E23,1,100)),DATOS!$Z:$AA,2,0))</f>
        <v/>
      </c>
      <c r="DM23" s="156" t="str">
        <f>IF(ISERROR(VLOOKUP(CONCATENATE(DM$7,"-",MID($E23,1,100)),DATOS!$Z:$AA,2,0)),"",VLOOKUP(CONCATENATE(DM$7,"-",MID($E23,1,100)),DATOS!$Z:$AA,2,0))</f>
        <v/>
      </c>
      <c r="DN23" s="156" t="str">
        <f>IF(ISERROR(VLOOKUP(CONCATENATE(DN$7,"-",MID($E23,1,100)),DATOS!$Z:$AA,2,0)),"",VLOOKUP(CONCATENATE(DN$7,"-",MID($E23,1,100)),DATOS!$Z:$AA,2,0))</f>
        <v/>
      </c>
      <c r="DO23" s="156" t="str">
        <f>IF(ISERROR(VLOOKUP(CONCATENATE(DO$7,"-",MID($E23,1,100)),DATOS!$Z:$AA,2,0)),"",VLOOKUP(CONCATENATE(DO$7,"-",MID($E23,1,100)),DATOS!$Z:$AA,2,0))</f>
        <v/>
      </c>
      <c r="DP23" s="156" t="str">
        <f>IF(ISERROR(VLOOKUP(CONCATENATE(DP$7,"-",MID($E23,1,100)),DATOS!$Z:$AA,2,0)),"",VLOOKUP(CONCATENATE(DP$7,"-",MID($E23,1,100)),DATOS!$Z:$AA,2,0))</f>
        <v/>
      </c>
      <c r="DQ23" s="156" t="str">
        <f>IF(ISERROR(VLOOKUP(CONCATENATE(DQ$7,"-",MID($E23,1,100)),DATOS!$Z:$AA,2,0)),"",VLOOKUP(CONCATENATE(DQ$7,"-",MID($E23,1,100)),DATOS!$Z:$AA,2,0))</f>
        <v/>
      </c>
      <c r="DR23" s="156" t="str">
        <f>IF(ISERROR(VLOOKUP(CONCATENATE(DR$7,"-",MID($E23,1,100)),DATOS!$Z:$AA,2,0)),"",VLOOKUP(CONCATENATE(DR$7,"-",MID($E23,1,100)),DATOS!$Z:$AA,2,0))</f>
        <v/>
      </c>
      <c r="DS23" s="156" t="str">
        <f>IF(ISERROR(VLOOKUP(CONCATENATE(DS$7,"-",MID($E23,1,100)),DATOS!$Z:$AA,2,0)),"",VLOOKUP(CONCATENATE(DS$7,"-",MID($E23,1,100)),DATOS!$Z:$AA,2,0))</f>
        <v/>
      </c>
      <c r="DT23" s="194" t="str">
        <f>IF(ISERROR(VLOOKUP(CONCATENATE(DT$7,"-",MID($E23,1,100)),DATOS!$Z:$AA,2,0)),"",VLOOKUP(CONCATENATE(DT$7,"-",MID($E23,1,100)),DATOS!$Z:$AA,2,0))</f>
        <v/>
      </c>
      <c r="DU23" s="157" t="str">
        <f>IF(ISERROR(VLOOKUP(CONCATENATE(DU$7,"-",MID($E23,1,100)),DATOS!$Z:$AA,2,0)),"",VLOOKUP(CONCATENATE(DU$7,"-",MID($E23,1,100)),DATOS!$Z:$AA,2,0))</f>
        <v/>
      </c>
      <c r="DV23" s="155" t="str">
        <f>IF(ISERROR(VLOOKUP(CONCATENATE(DV$7,"-",MID($E23,1,100)),DATOS!$Z:$AA,2,0)),"",VLOOKUP(CONCATENATE(DV$7,"-",MID($E23,1,100)),DATOS!$Z:$AA,2,0))</f>
        <v/>
      </c>
      <c r="DW23" s="156" t="str">
        <f>IF(ISERROR(VLOOKUP(CONCATENATE(DW$7,"-",MID($E23,1,100)),DATOS!$Z:$AA,2,0)),"",VLOOKUP(CONCATENATE(DW$7,"-",MID($E23,1,100)),DATOS!$Z:$AA,2,0))</f>
        <v/>
      </c>
      <c r="DX23" s="156" t="str">
        <f>IF(ISERROR(VLOOKUP(CONCATENATE(DX$7,"-",MID($E23,1,100)),DATOS!$Z:$AA,2,0)),"",VLOOKUP(CONCATENATE(DX$7,"-",MID($E23,1,100)),DATOS!$Z:$AA,2,0))</f>
        <v/>
      </c>
      <c r="DY23" s="156" t="str">
        <f>IF(ISERROR(VLOOKUP(CONCATENATE(DY$7,"-",MID($E23,1,100)),DATOS!$Z:$AA,2,0)),"",VLOOKUP(CONCATENATE(DY$7,"-",MID($E23,1,100)),DATOS!$Z:$AA,2,0))</f>
        <v/>
      </c>
      <c r="DZ23" s="156" t="str">
        <f>IF(ISERROR(VLOOKUP(CONCATENATE(DZ$7,"-",MID($E23,1,100)),DATOS!$Z:$AA,2,0)),"",VLOOKUP(CONCATENATE(DZ$7,"-",MID($E23,1,100)),DATOS!$Z:$AA,2,0))</f>
        <v/>
      </c>
      <c r="EA23" s="156" t="str">
        <f>IF(ISERROR(VLOOKUP(CONCATENATE(EA$7,"-",MID($E23,1,100)),DATOS!$Z:$AA,2,0)),"",VLOOKUP(CONCATENATE(EA$7,"-",MID($E23,1,100)),DATOS!$Z:$AA,2,0))</f>
        <v/>
      </c>
      <c r="EB23" s="156" t="str">
        <f>IF(ISERROR(VLOOKUP(CONCATENATE(EB$7,"-",MID($E23,1,100)),DATOS!$Z:$AA,2,0)),"",VLOOKUP(CONCATENATE(EB$7,"-",MID($E23,1,100)),DATOS!$Z:$AA,2,0))</f>
        <v/>
      </c>
      <c r="EC23" s="156" t="str">
        <f>IF(ISERROR(VLOOKUP(CONCATENATE(EC$7,"-",MID($E23,1,100)),DATOS!$Z:$AA,2,0)),"",VLOOKUP(CONCATENATE(EC$7,"-",MID($E23,1,100)),DATOS!$Z:$AA,2,0))</f>
        <v/>
      </c>
      <c r="ED23" s="194" t="str">
        <f>IF(ISERROR(VLOOKUP(CONCATENATE(ED$7,"-",MID($E23,1,100)),DATOS!$Z:$AA,2,0)),"",VLOOKUP(CONCATENATE(ED$7,"-",MID($E23,1,100)),DATOS!$Z:$AA,2,0))</f>
        <v/>
      </c>
      <c r="EE23" s="157" t="str">
        <f>IF(ISERROR(VLOOKUP(CONCATENATE(EE$7,"-",MID($E23,1,100)),DATOS!$Z:$AA,2,0)),"",VLOOKUP(CONCATENATE(EE$7,"-",MID($E23,1,100)),DATOS!$Z:$AA,2,0))</f>
        <v/>
      </c>
      <c r="EF23" s="155" t="str">
        <f>IF(ISERROR(VLOOKUP(CONCATENATE($EF$7,"-",MID(E23,1,100)),DATOS!Z:AA,2,0)),"",VLOOKUP(CONCATENATE($EF$7,"-",MID(E23,1,100)),DATOS!Z:AA,2,0))</f>
        <v/>
      </c>
      <c r="EG23" s="156" t="str">
        <f>IF(ISERROR(VLOOKUP(CONCATENATE($EG$7,"-",MID(E23,1,100)),DATOS!Z:AA,2,0)),"",VLOOKUP(CONCATENATE($EG$7,"-",MID(E23,1,100)),DATOS!Z:AA,2,0))</f>
        <v/>
      </c>
      <c r="EH23" s="156" t="str">
        <f>IF(ISERROR(VLOOKUP(CONCATENATE($EH$7,"-",MID(E23,1,100)),DATOS!Z:AA,2,0)),"",VLOOKUP(CONCATENATE($EH$7,"-",MID(E23,1,100)),DATOS!Z:AA,2,0))</f>
        <v/>
      </c>
      <c r="EI23" s="156" t="str">
        <f>IF(ISERROR(VLOOKUP(CONCATENATE($EI$7,"-",MID(E23,1,100)),DATOS!Z:AA,2,0)),"",VLOOKUP(CONCATENATE($EI$7,"-",MID(E23,1,100)),DATOS!Z:AA,2,0))</f>
        <v/>
      </c>
      <c r="EJ23" s="156" t="str">
        <f>IF(ISERROR(VLOOKUP(CONCATENATE($EJ$7,"-",MID(E23,1,100)),DATOS!Z:AA,2,0)),"",VLOOKUP(CONCATENATE($EJ$7,"-",MID(E23,1,100)),DATOS!Z:AA,2,0))</f>
        <v/>
      </c>
      <c r="EK23" s="156" t="str">
        <f>IF(ISERROR(VLOOKUP(CONCATENATE($EK$7,"-",MID(E23,1,100)),DATOS!Z:AA,2,0)),"",VLOOKUP(CONCATENATE($EK$7,"-",MID(E23,1,100)),DATOS!Z:AA,2,0))</f>
        <v/>
      </c>
      <c r="EL23" s="156" t="str">
        <f>IF(ISERROR(VLOOKUP(CONCATENATE($EL$7,"-",MID(E23,1,100)),DATOS!Z:AA,2,0)),"",VLOOKUP(CONCATENATE($EL$7,"-",MID(E23,1,100)),DATOS!Z:AA,2,0))</f>
        <v/>
      </c>
      <c r="EM23" s="156" t="str">
        <f>IF(ISERROR(VLOOKUP(CONCATENATE($EM$7,"-",MID(E23,1,100)),DATOS!Z:AA,2,0)),"",VLOOKUP(CONCATENATE($EM$7,"-",MID(E23,1,100)),DATOS!Z:AA,2,0))</f>
        <v/>
      </c>
      <c r="EN23" s="156" t="str">
        <f>IF(ISERROR(VLOOKUP(CONCATENATE($EN$7,"-",MID(E23,1,100)),DATOS!Z:AA,2,0)),"",VLOOKUP(CONCATENATE($EN$7,"-",MID(E23,1,100)),DATOS!Z:AA,2,0))</f>
        <v/>
      </c>
      <c r="EO23" s="157" t="str">
        <f>IF(ISERROR(VLOOKUP(CONCATENATE($EO$7,"-",MID(E23,1,100)),DATOS!Z:AA,2,0)),"",VLOOKUP(CONCATENATE($EO$7,"-",MID(E23,1,100)),DATOS!Z:AA,2,0))</f>
        <v/>
      </c>
      <c r="EP23" s="158">
        <f t="shared" si="0"/>
        <v>0</v>
      </c>
      <c r="EQ23" s="159" t="str">
        <f t="shared" si="1"/>
        <v>0-N1</v>
      </c>
    </row>
    <row r="24" spans="1:147" ht="17.25" hidden="1" customHeight="1">
      <c r="A24" s="148"/>
      <c r="B24" s="160" t="str">
        <f>IF('1.Fundamentos'!B57="","",'1.Fundamentos'!B57)</f>
        <v/>
      </c>
      <c r="C24" s="161" t="s">
        <v>82</v>
      </c>
      <c r="D24" s="162" t="str">
        <f>IF('1.Fundamentos'!E57="","",'1.Fundamentos'!E57)</f>
        <v/>
      </c>
      <c r="E24" s="163" t="str">
        <f t="shared" si="2"/>
        <v/>
      </c>
      <c r="F24" s="164" t="str">
        <f>IF(ISERROR(VLOOKUP(CONCATENATE($F$7,"-",MID(E24,1,100)),DATOS!Z:AA,2,0)),"",VLOOKUP(CONCATENATE($F$7,"-",MID(E24,1,100)),DATOS!Z:AA,2,0))</f>
        <v/>
      </c>
      <c r="G24" s="165" t="str">
        <f>IF(ISERROR(VLOOKUP(CONCATENATE($G$7,"-",MID(E24,1,100)),DATOS!Z:AA,2,0)),"",VLOOKUP(CONCATENATE($G$7,"-",MID(E24,1,100)),DATOS!Z:AA,2,0))</f>
        <v/>
      </c>
      <c r="H24" s="165" t="str">
        <f>IF(ISERROR(VLOOKUP(CONCATENATE($H$7,"-",MID(E24,1,100)),DATOS!Z:AA,2,0)),"",VLOOKUP(CONCATENATE($H$7,"-",MID(E24,1,100)),DATOS!Z:AA,2,0))</f>
        <v/>
      </c>
      <c r="I24" s="165" t="str">
        <f>IF(ISERROR(VLOOKUP(CONCATENATE($I$7,"-",MID(E24,1,100)),DATOS!Z:AA,2,0)),"",VLOOKUP(CONCATENATE($I$7,"-",MID(E24,1,100)),DATOS!Z:AA,2,0))</f>
        <v/>
      </c>
      <c r="J24" s="165" t="str">
        <f>IF(ISERROR(VLOOKUP(CONCATENATE($J$7,"-",MID(E24,1,100)),DATOS!Z:AA,2,0)),"",VLOOKUP(CONCATENATE($J$7,"-",MID(E24,1,100)),DATOS!Z:AA,2,0))</f>
        <v/>
      </c>
      <c r="K24" s="165" t="str">
        <f>IF(ISERROR(VLOOKUP(CONCATENATE($K$7,"-",MID(E24,1,100)),DATOS!Z:AA,2,0)),"",VLOOKUP(CONCATENATE($K$7,"-",MID(E24,1,100)),DATOS!Z:AA,2,0))</f>
        <v/>
      </c>
      <c r="L24" s="165" t="str">
        <f>IF(ISERROR(VLOOKUP(CONCATENATE($L$7,"-",MID(E24,1,100)),DATOS!Z:AA,2,0)),"",VLOOKUP(CONCATENATE($L$7,"-",MID(E24,1,100)),DATOS!Z:AA,2,0))</f>
        <v/>
      </c>
      <c r="M24" s="165" t="str">
        <f>IF(ISERROR(VLOOKUP(CONCATENATE($M$7,"-",MID(E24,1,100)),DATOS!Z:AA,2,0)),"",VLOOKUP(CONCATENATE($M$7,"-",MID(E24,1,100)),DATOS!Z:AA,2,0))</f>
        <v/>
      </c>
      <c r="N24" s="165" t="str">
        <f>IF(ISERROR(VLOOKUP(CONCATENATE($N$7,"-",MID(E24,1,100)),DATOS!Z:AA,2,0)),"",VLOOKUP(CONCATENATE($N$7,"-",MID(E24,1,100)),DATOS!Z:AA,2,0))</f>
        <v/>
      </c>
      <c r="O24" s="166" t="str">
        <f>IF(ISERROR(VLOOKUP(CONCATENATE($O$7,"-",MID(E24,1,100)),DATOS!Z:AA,2,0)),"",VLOOKUP(CONCATENATE($O$7,"-",MID(E24,1,100)),DATOS!Z:AA,2,0))</f>
        <v/>
      </c>
      <c r="P24" s="164" t="str">
        <f>IF(ISERROR(VLOOKUP(CONCATENATE($P$7,"-",MID(E24,1,100)),DATOS!Z:AA,2,0)),"",VLOOKUP(CONCATENATE($P$7,"-",MID(E24,1,100)),DATOS!Z:AA,2,0))</f>
        <v/>
      </c>
      <c r="Q24" s="165" t="str">
        <f>IF(ISERROR(VLOOKUP(CONCATENATE($Q$7,"-",MID(E24,1,100)),DATOS!Z:AA,2,0)),"",VLOOKUP(CONCATENATE($Q$7,"-",MID(E24,1,100)),DATOS!Z:AA,2,0))</f>
        <v/>
      </c>
      <c r="R24" s="165" t="str">
        <f>IF(ISERROR(VLOOKUP(CONCATENATE($R$7,"-",MID(E24,1,100)),DATOS!Z:AA,2,0)),"",VLOOKUP(CONCATENATE($R$7,"-",MID(E24,1,100)),DATOS!Z:AA,2,0))</f>
        <v/>
      </c>
      <c r="S24" s="165" t="str">
        <f>IF(ISERROR(VLOOKUP(CONCATENATE($S$7,"-",MID(E24,1,100)),DATOS!Z:AA,2,0)),"",VLOOKUP(CONCATENATE($S$7,"-",MID(E24,1,100)),DATOS!Z:AA,2,0))</f>
        <v/>
      </c>
      <c r="T24" s="165" t="str">
        <f>IF(ISERROR(VLOOKUP(CONCATENATE($T$7,"-",MID(E24,1,100)),DATOS!Z:AA,2,0)),"",VLOOKUP(CONCATENATE($T$7,"-",MID(E24,1,100)),DATOS!Z:AA,2,0))</f>
        <v/>
      </c>
      <c r="U24" s="165" t="str">
        <f>IF(ISERROR(VLOOKUP(CONCATENATE($U$7,"-",MID(E24,1,100)),DATOS!Z:AA,2,0)),"",VLOOKUP(CONCATENATE($U$7,"-",MID(E24,1,100)),DATOS!Z:AA,2,0))</f>
        <v/>
      </c>
      <c r="V24" s="165" t="str">
        <f>IF(ISERROR(VLOOKUP(CONCATENATE($V$7,"-",MID(E24,1,100)),DATOS!Z:AA,2,0)),"",VLOOKUP(CONCATENATE($V$7,"-",MID(E24,1,100)),DATOS!Z:AA,2,0))</f>
        <v/>
      </c>
      <c r="W24" s="165" t="str">
        <f>IF(ISERROR(VLOOKUP(CONCATENATE($W$7,"-",MID(E24,1,100)),DATOS!Z:AA,2,0)),"",VLOOKUP(CONCATENATE($W$7,"-",MID(E24,1,100)),DATOS!Z:AA,2,0))</f>
        <v/>
      </c>
      <c r="X24" s="165" t="str">
        <f>IF(ISERROR(VLOOKUP(CONCATENATE($X$7,"-",MID(E24,1,100)),DATOS!Z:AA,2,0)),"",VLOOKUP(CONCATENATE($X$7,"-",MID(E24,1,100)),DATOS!Z:AA,2,0))</f>
        <v/>
      </c>
      <c r="Y24" s="166" t="str">
        <f>IF(ISERROR(VLOOKUP(CONCATENATE($Y$7,"-",MID(E24,1,100)),DATOS!Z:AA,2,0)),"",VLOOKUP(CONCATENATE($Y$7,"-",MID(E24,1,100)),DATOS!Z:AA,2,0))</f>
        <v/>
      </c>
      <c r="Z24" s="164" t="str">
        <f>IF(ISERROR(VLOOKUP(CONCATENATE($Z$7,"-",MID(E24,1,100)),DATOS!Z:AA,2,0)),"",VLOOKUP(CONCATENATE($Z$7,"-",MID(E24,1,100)),DATOS!Z:AA,2,0))</f>
        <v/>
      </c>
      <c r="AA24" s="165" t="str">
        <f>IF(ISERROR(VLOOKUP(CONCATENATE($AA$7,"-",MID(E24,1,100)),DATOS!Z:AA,2,0)),"",VLOOKUP(CONCATENATE($AA$7,"-",MID(E24,1,100)),DATOS!Z:AA,2,0))</f>
        <v/>
      </c>
      <c r="AB24" s="165" t="str">
        <f>IF(ISERROR(VLOOKUP(CONCATENATE($AB$7,"-",MID(E24,1,100)),DATOS!Z:AA,2,0)),"",VLOOKUP(CONCATENATE($AB$7,"-",MID(E24,1,100)),DATOS!Z:AA,2,0))</f>
        <v/>
      </c>
      <c r="AC24" s="165" t="str">
        <f>IF(ISERROR(VLOOKUP(CONCATENATE($AC$7,"-",MID(E24,1,100)),DATOS!Z:AA,2,0)),"",VLOOKUP(CONCATENATE($AC$7,"-",MID(E24,1,100)),DATOS!Z:AA,2,0))</f>
        <v/>
      </c>
      <c r="AD24" s="165" t="str">
        <f>IF(ISERROR(VLOOKUP(CONCATENATE($AD$7,"-",MID(E24,1,100)),DATOS!Z:AA,2,0)),"",VLOOKUP(CONCATENATE($AD$7,"-",MID(E24,1,100)),DATOS!Z:AA,2,0))</f>
        <v/>
      </c>
      <c r="AE24" s="165" t="str">
        <f>IF(ISERROR(VLOOKUP(CONCATENATE($AE$7,"-",MID(E24,1,100)),DATOS!Z:AA,2,0)),"",VLOOKUP(CONCATENATE($AE$7,"-",MID(E24,1,100)),DATOS!Z:AA,2,0))</f>
        <v/>
      </c>
      <c r="AF24" s="165" t="str">
        <f>IF(ISERROR(VLOOKUP(CONCATENATE($AF$7,"-",MID(E24,1,100)),DATOS!Z:AA,2,0)),"",VLOOKUP(CONCATENATE($AF$7,"-",MID(E24,1,100)),DATOS!Z:AA,2,0))</f>
        <v/>
      </c>
      <c r="AG24" s="165" t="str">
        <f>IF(ISERROR(VLOOKUP(CONCATENATE($AG$7,"-",MID(E24,1,100)),DATOS!Z:AA,2,0)),"",VLOOKUP(CONCATENATE($AG$7,"-",MID(E24,1,100)),DATOS!Z:AA,2,0))</f>
        <v/>
      </c>
      <c r="AH24" s="165" t="str">
        <f>IF(ISERROR(VLOOKUP(CONCATENATE($AH$7,"-",MID(E24,1,100)),DATOS!Z:AA,2,0)),"",VLOOKUP(CONCATENATE($AH$7,"-",MID(E24,1,100)),DATOS!Z:AA,2,0))</f>
        <v/>
      </c>
      <c r="AI24" s="166" t="str">
        <f>IF(ISERROR(VLOOKUP(CONCATENATE($AI$7,"-",MID(E24,1,100)),DATOS!Z:AA,2,0)),"",VLOOKUP(CONCATENATE($AI$7,"-",MID(E24,1,100)),DATOS!Z:AA,2,0))</f>
        <v/>
      </c>
      <c r="AJ24" s="164" t="str">
        <f>IF(ISERROR(VLOOKUP(CONCATENATE($AJ$7,"-",MID(E24,1,100)),DATOS!Z:AA,2,0)),"",VLOOKUP(CONCATENATE($AJ$7,"-",MID(E24,1,100)),DATOS!Z:AA,2,0))</f>
        <v/>
      </c>
      <c r="AK24" s="165" t="str">
        <f>IF(ISERROR(VLOOKUP(CONCATENATE($AK$7,"-",MID(E24,1,100)),DATOS!Z:AA,2,0)),"",VLOOKUP(CONCATENATE($AK$7,"-",MID(E24,1,100)),DATOS!Z:AA,2,0))</f>
        <v/>
      </c>
      <c r="AL24" s="165" t="str">
        <f>IF(ISERROR(VLOOKUP(CONCATENATE($AL$7,"-",MID(E24,1,100)),DATOS!Z:AA,2,0)),"",VLOOKUP(CONCATENATE($AL$7,"-",MID(E24,1,100)),DATOS!Z:AA,2,0))</f>
        <v/>
      </c>
      <c r="AM24" s="165" t="str">
        <f>IF(ISERROR(VLOOKUP(CONCATENATE($AM$7,"-",MID(E24,1,100)),DATOS!Z:AA,2,0)),"",VLOOKUP(CONCATENATE($AM$7,"-",MID(E24,1,100)),DATOS!Z:AA,2,0))</f>
        <v/>
      </c>
      <c r="AN24" s="165" t="str">
        <f>IF(ISERROR(VLOOKUP(CONCATENATE($AN$7,"-",MID(E24,1,100)),DATOS!Z:AA,2,0)),"",VLOOKUP(CONCATENATE($AN$7,"-",MID(E24,1,100)),DATOS!Z:AA,2,0))</f>
        <v/>
      </c>
      <c r="AO24" s="165" t="str">
        <f>IF(ISERROR(VLOOKUP(CONCATENATE($AO$7,"-",MID(E24,1,100)),DATOS!Z:AA,2,0)),"",VLOOKUP(CONCATENATE($AO$7,"-",MID(E24,1,100)),DATOS!Z:AA,2,0))</f>
        <v/>
      </c>
      <c r="AP24" s="165" t="str">
        <f>IF(ISERROR(VLOOKUP(CONCATENATE($AP$7,"-",MID(E24,1,100)),DATOS!Z:AA,2,0)),"",VLOOKUP(CONCATENATE($AP$7,"-",MID(E24,1,100)),DATOS!Z:AA,2,0))</f>
        <v/>
      </c>
      <c r="AQ24" s="165" t="str">
        <f>IF(ISERROR(VLOOKUP(CONCATENATE($AQ$7,"-",MID(E24,1,100)),DATOS!Z:AA,2,0)),"",VLOOKUP(CONCATENATE($AQ$7,"-",MID(E24,1,100)),DATOS!Z:AA,2,0))</f>
        <v/>
      </c>
      <c r="AR24" s="165" t="str">
        <f>IF(ISERROR(VLOOKUP(CONCATENATE($AR$7,"-",MID(E24,1,100)),DATOS!Z:AA,2,0)),"",VLOOKUP(CONCATENATE($AR$7,"-",MID(E24,1,100)),DATOS!Z:AA,2,0))</f>
        <v/>
      </c>
      <c r="AS24" s="166" t="str">
        <f>IF(ISERROR(VLOOKUP(CONCATENATE($AS$7,"-",MID(E24,1,100)),DATOS!Z:AA,2,0)),"",VLOOKUP(CONCATENATE($AS$7,"-",MID(E24,1,100)),DATOS!Z:AA,2,0))</f>
        <v/>
      </c>
      <c r="AT24" s="207" t="str">
        <f>IF(ISERROR(VLOOKUP(CONCATENATE($AT$7,"-",MID(E24,1,100)),DATOS!Z:AA,2,0)),"",VLOOKUP(CONCATENATE($AT$7,"-",MID(E24,1,100)),DATOS!Z:AA,2,0))</f>
        <v/>
      </c>
      <c r="AU24" s="208" t="str">
        <f>IF(ISERROR(VLOOKUP(CONCATENATE($AU$7,"-",MID(E24,1,100)),DATOS!Z:AA,2,0)),"",VLOOKUP(CONCATENATE($AU$7,"-",MID(E24,1,100)),DATOS!Z:AA,2,0))</f>
        <v/>
      </c>
      <c r="AV24" s="208" t="str">
        <f>IF(ISERROR(VLOOKUP(CONCATENATE($AV$7,"-",MID(E24,1,100)),DATOS!Z:AA,2,0)),"",VLOOKUP(CONCATENATE($AV$7,"-",MID(E24,1,100)),DATOS!Z:AA,2,0))</f>
        <v/>
      </c>
      <c r="AW24" s="208" t="str">
        <f>IF(ISERROR(VLOOKUP(CONCATENATE($AW$7,"-",MID(E24,1,100)),DATOS!Z:AA,2,0)),"",VLOOKUP(CONCATENATE($AW$7,"-",MID(E24,1,100)),DATOS!Z:AA,2,0))</f>
        <v/>
      </c>
      <c r="AX24" s="208" t="str">
        <f>IF(ISERROR(VLOOKUP(CONCATENATE($AX$7,"-",MID(E24,1,100)),DATOS!Z:AA,2,0)),"",VLOOKUP(CONCATENATE($AX$7,"-",MID(E24,1,100)),DATOS!Z:AA,2,0))</f>
        <v/>
      </c>
      <c r="AY24" s="208" t="str">
        <f>IF(ISERROR(VLOOKUP(CONCATENATE($AY$7,"-",MID(E24,1,100)),DATOS!Z:AA,2,0)),"",VLOOKUP(CONCATENATE($AY$7,"-",MID(E24,1,100)),DATOS!Z:AA,2,0))</f>
        <v/>
      </c>
      <c r="AZ24" s="208" t="str">
        <f>IF(ISERROR(VLOOKUP(CONCATENATE($AZ$7,"-",MID(E24,1,100)),DATOS!Z:AA,2,0)),"",VLOOKUP(CONCATENATE($AZ$7,"-",MID(E24,1,100)),DATOS!Z:AA,2,0))</f>
        <v/>
      </c>
      <c r="BA24" s="208" t="str">
        <f>IF(ISERROR(VLOOKUP(CONCATENATE($BA$7,"-",MID(E24,1,100)),DATOS!Z:AA,2,0)),"",VLOOKUP(CONCATENATE($BA$7,"-",MID(E24,1,100)),DATOS!Z:AA,2,0))</f>
        <v/>
      </c>
      <c r="BB24" s="208" t="str">
        <f>IF(ISERROR(VLOOKUP(CONCATENATE($BB$7,"-",MID(E24,1,100)),DATOS!Z:AA,2,0)),"",VLOOKUP(CONCATENATE($BB$7,"-",MID(E24,1,100)),DATOS!Z:AA,2,0))</f>
        <v/>
      </c>
      <c r="BC24" s="209" t="str">
        <f>IF(ISERROR(VLOOKUP(CONCATENATE($BC$7,"-",MID(E24,1,100)),DATOS!Z:AA,2,0)),"",VLOOKUP(CONCATENATE($BC$7,"-",MID(E24,1,100)),DATOS!Z:AA,2,0))</f>
        <v/>
      </c>
      <c r="BD24" s="207" t="str">
        <f>IF(ISERROR(VLOOKUP(CONCATENATE($BD$7,"-",MID(E24,1,100)),DATOS!Z:AA,2,0)),"",VLOOKUP(CONCATENATE($BD$7,"-",MID(E24,1,100)),DATOS!Z:AA,2,0))</f>
        <v/>
      </c>
      <c r="BE24" s="208" t="str">
        <f>IF(ISERROR(VLOOKUP(CONCATENATE($BE$7,"-",MID(E24,1,100)),DATOS!Z:AA,2,0)),"",VLOOKUP(CONCATENATE($BE$7,"-",MID(E24,1,100)),DATOS!Z:AA,2,0))</f>
        <v/>
      </c>
      <c r="BF24" s="208" t="str">
        <f>IF(ISERROR(VLOOKUP(CONCATENATE($BF$7,"-",MID(E24,1,100)),DATOS!Z:AA,2,0)),"",VLOOKUP(CONCATENATE($BF$7,"-",MID(E24,1,100)),DATOS!Z:AA,2,0))</f>
        <v/>
      </c>
      <c r="BG24" s="208" t="str">
        <f>IF(ISERROR(VLOOKUP(CONCATENATE($BG$7,"-",MID(E24,1,100)),DATOS!Z:AA,2,0)),"",VLOOKUP(CONCATENATE($BG$7,"-",MID(E24,1,100)),DATOS!Z:AA,2,0))</f>
        <v/>
      </c>
      <c r="BH24" s="208" t="str">
        <f>IF(ISERROR(VLOOKUP(CONCATENATE($BH$7,"-",MID(E24,1,100)),DATOS!Z:AA,2,0)),"",VLOOKUP(CONCATENATE($BH$7,"-",MID(E24,1,100)),DATOS!Z:AA,2,0))</f>
        <v/>
      </c>
      <c r="BI24" s="208" t="str">
        <f>IF(ISERROR(VLOOKUP(CONCATENATE($BI$7,"-",MID(E24,1,100)),DATOS!Z:AA,2,0)),"",VLOOKUP(CONCATENATE($BI$7,"-",MID(E24,1,100)),DATOS!Z:AA,2,0))</f>
        <v/>
      </c>
      <c r="BJ24" s="208" t="str">
        <f>IF(ISERROR(VLOOKUP(CONCATENATE($BJ$7,"-",MID(E24,1,100)),DATOS!Z:AA,2,0)),"",VLOOKUP(CONCATENATE($BJ$7,"-",MID(E24,1,100)),DATOS!Z:AA,2,0))</f>
        <v/>
      </c>
      <c r="BK24" s="208" t="str">
        <f>IF(ISERROR(VLOOKUP(CONCATENATE($BK$7,"-",MID(E24,1,100)),DATOS!Z:AA,2,0)),"",VLOOKUP(CONCATENATE($BK$7,"-",MID(E24,1,100)),DATOS!Z:AA,2,0))</f>
        <v/>
      </c>
      <c r="BL24" s="208" t="str">
        <f>IF(ISERROR(VLOOKUP(CONCATENATE($BL$7,"-",MID(E24,1,100)),DATOS!Z:AA,2,0)),"",VLOOKUP(CONCATENATE($BL$7,"-",MID(E24,1,100)),DATOS!Z:AA,2,0))</f>
        <v/>
      </c>
      <c r="BM24" s="209" t="str">
        <f>IF(ISERROR(VLOOKUP(CONCATENATE($BM$7,"-",MID(E24,1,100)),DATOS!Z:AA,2,0)),"",VLOOKUP(CONCATENATE($BM$7,"-",MID(E24,1,100)),DATOS!Z:AA,2,0))</f>
        <v/>
      </c>
      <c r="BN24" s="207" t="str">
        <f>IF(ISERROR(VLOOKUP(CONCATENATE($BN$7,"-",MID(E24,1,100)),DATOS!Z:AA,2,0)),"",VLOOKUP(CONCATENATE($BN$7,"-",MID(E24,1,100)),DATOS!Z:AA,2,0))</f>
        <v/>
      </c>
      <c r="BO24" s="208" t="str">
        <f>IF(ISERROR(VLOOKUP(CONCATENATE($BO$7,"-",MID(E24,1,100)),DATOS!Z:AA,2,0)),"",VLOOKUP(CONCATENATE($BO$7,"-",MID(E24,1,100)),DATOS!Z:AA,2,0))</f>
        <v/>
      </c>
      <c r="BP24" s="208" t="str">
        <f>IF(ISERROR(VLOOKUP(CONCATENATE($BP$7,"-",MID(E24,1,100)),DATOS!Z:AA,2,0)),"",VLOOKUP(CONCATENATE($BP$7,"-",MID(E24,1,100)),DATOS!Z:AA,2,0))</f>
        <v/>
      </c>
      <c r="BQ24" s="208" t="str">
        <f>IF(ISERROR(VLOOKUP(CONCATENATE($BQ$7,"-",MID(E24,1,100)),DATOS!Z:AA,2,0)),"",VLOOKUP(CONCATENATE($BQ$7,"-",MID(E24,1,100)),DATOS!Z:AA,2,0))</f>
        <v/>
      </c>
      <c r="BR24" s="208" t="str">
        <f>IF(ISERROR(VLOOKUP(CONCATENATE($BR$7,"-",MID(E24,1,100)),DATOS!Z:AA,2,0)),"",VLOOKUP(CONCATENATE($BR$7,"-",MID(E24,1,100)),DATOS!Z:AA,2,0))</f>
        <v/>
      </c>
      <c r="BS24" s="208" t="str">
        <f>IF(ISERROR(VLOOKUP(CONCATENATE($BS$7,"-",MID(E24,1,100)),DATOS!Z:AA,2,0)),"",VLOOKUP(CONCATENATE($BS$7,"-",MID(E24,1,100)),DATOS!Z:AA,2,0))</f>
        <v/>
      </c>
      <c r="BT24" s="208" t="str">
        <f>IF(ISERROR(VLOOKUP(CONCATENATE($BT$7,"-",MID(E24,1,100)),DATOS!Z:AA,2,0)),"",VLOOKUP(CONCATENATE($BT$7,"-",MID(E24,1,100)),DATOS!Z:AA,2,0))</f>
        <v/>
      </c>
      <c r="BU24" s="208" t="str">
        <f>IF(ISERROR(VLOOKUP(CONCATENATE($BU$7,"-",MID(E24,1,100)),DATOS!Z:AA,2,0)),"",VLOOKUP(CONCATENATE($BU$7,"-",MID(E24,1,100)),DATOS!Z:AA,2,0))</f>
        <v/>
      </c>
      <c r="BV24" s="208" t="str">
        <f>IF(ISERROR(VLOOKUP(CONCATENATE($BV$7,"-",MID(E24,1,100)),DATOS!Z:AA,2,0)),"",VLOOKUP(CONCATENATE($BV$7,"-",MID(E24,1,100)),DATOS!Z:AA,2,0))</f>
        <v/>
      </c>
      <c r="BW24" s="209" t="str">
        <f>IF(ISERROR(VLOOKUP(CONCATENATE($BW$7,"-",MID(E24,1,100)),DATOS!Z:AA,2,0)),"",VLOOKUP(CONCATENATE($BW$7,"-",MID(E24,1,100)),DATOS!Z:AA,2,0))</f>
        <v/>
      </c>
      <c r="BX24" s="164" t="str">
        <f>IF(ISERROR(VLOOKUP(CONCATENATE($BX$7,"-",MID(E24,1,100)),DATOS!Z:AA,2,0)),"",VLOOKUP(CONCATENATE($BX$7,"-",MID(E24,1,100)),DATOS!Z:AA,2,0))</f>
        <v/>
      </c>
      <c r="BY24" s="165" t="str">
        <f>IF(ISERROR(VLOOKUP(CONCATENATE($BY$7,"-",MID(E24,1,100)),DATOS!Z:AA,2,0)),"",VLOOKUP(CONCATENATE($BY$7,"-",MID(E24,1,100)),DATOS!Z:AA,2,0))</f>
        <v/>
      </c>
      <c r="BZ24" s="165" t="str">
        <f>IF(ISERROR(VLOOKUP(CONCATENATE($BZ$7,"-",MID(E24,1,100)),DATOS!Z:AA,2,0)),"",VLOOKUP(CONCATENATE($BZ$7,"-",MID(E24,1,100)),DATOS!Z:AA,2,0))</f>
        <v/>
      </c>
      <c r="CA24" s="165" t="str">
        <f>IF(ISERROR(VLOOKUP(CONCATENATE($CA$7,"-",MID(E24,1,100)),DATOS!Z:AA,2,0)),"",VLOOKUP(CONCATENATE($CA$7,"-",MID(E24,1,100)),DATOS!Z:AA,2,0))</f>
        <v/>
      </c>
      <c r="CB24" s="165" t="str">
        <f>IF(ISERROR(VLOOKUP(CONCATENATE($CB$7,"-",MID(E24,1,100)),DATOS!Z:AA,2,0)),"",VLOOKUP(CONCATENATE($CB$7,"-",MID(E24,1,100)),DATOS!Z:AA,2,0))</f>
        <v/>
      </c>
      <c r="CC24" s="165" t="str">
        <f>IF(ISERROR(VLOOKUP(CONCATENATE($CC$7,"-",MID(E24,1,100)),DATOS!Z:AA,2,0)),"",VLOOKUP(CONCATENATE($CC$7,"-",MID(E24,1,100)),DATOS!Z:AA,2,0))</f>
        <v/>
      </c>
      <c r="CD24" s="165" t="str">
        <f>IF(ISERROR(VLOOKUP(CONCATENATE($CD$7,"-",MID(E24,1,100)),DATOS!Z:AA,2,0)),"",VLOOKUP(CONCATENATE($CD$7,"-",MID(E24,1,100)),DATOS!Z:AA,2,0))</f>
        <v/>
      </c>
      <c r="CE24" s="165" t="str">
        <f>IF(ISERROR(VLOOKUP(CONCATENATE($CE$7,"-",MID(E24,1,100)),DATOS!Z:AA,2,0)),"",VLOOKUP(CONCATENATE($CE$7,"-",MID(E24,1,100)),DATOS!Z:AA,2,0))</f>
        <v/>
      </c>
      <c r="CF24" s="165" t="str">
        <f>IF(ISERROR(VLOOKUP(CONCATENATE($CF$7,"-",MID(E24,1,100)),DATOS!Z:AA,2,0)),"",VLOOKUP(CONCATENATE($CF$7,"-",MID(E24,1,100)),DATOS!Z:AA,2,0))</f>
        <v/>
      </c>
      <c r="CG24" s="166" t="str">
        <f>IF(ISERROR(VLOOKUP(CONCATENATE($CG$7,"-",MID(E24,1,100)),DATOS!Z:AA,2,0)),"",VLOOKUP(CONCATENATE($CG$7,"-",MID(E24,1,100)),DATOS!Z:AA,2,0))</f>
        <v/>
      </c>
      <c r="CH24" s="164" t="str">
        <f>IF(ISERROR(VLOOKUP(CONCATENATE($CH$7,"-",MID(E24,1,100)),DATOS!Z:AA,2,0)),"",VLOOKUP(CONCATENATE($CH$7,"-",MID(E24,1,100)),DATOS!Z:AA,2,0))</f>
        <v/>
      </c>
      <c r="CI24" s="165" t="str">
        <f>IF(ISERROR(VLOOKUP(CONCATENATE($CI$7,"-",MID(E24,1,100)),DATOS!Z:AA,2,0)),"",VLOOKUP(CONCATENATE($CI$7,"-",MID(E24,1,100)),DATOS!Z:AA,2,0))</f>
        <v/>
      </c>
      <c r="CJ24" s="165" t="str">
        <f>IF(ISERROR(VLOOKUP(CONCATENATE($CJ$7,"-",MID(E24,1,100)),DATOS!Z:AA,2,0)),"",VLOOKUP(CONCATENATE($CJ$7,"-",MID(E24,1,100)),DATOS!Z:AA,2,0))</f>
        <v/>
      </c>
      <c r="CK24" s="165" t="str">
        <f>IF(ISERROR(VLOOKUP(CONCATENATE($CK$7,"-",MID(E24,1,100)),DATOS!Z:AA,2,0)),"",VLOOKUP(CONCATENATE($CK$7,"-",MID(E24,1,100)),DATOS!Z:AA,2,0))</f>
        <v/>
      </c>
      <c r="CL24" s="165" t="str">
        <f>IF(ISERROR(VLOOKUP(CONCATENATE($CL$7,"-",MID(E24,1,100)),DATOS!Z:AA,2,0)),"",VLOOKUP(CONCATENATE($CL$7,"-",MID(E24,1,100)),DATOS!Z:AA,2,0))</f>
        <v/>
      </c>
      <c r="CM24" s="165" t="str">
        <f>IF(ISERROR(VLOOKUP(CONCATENATE($CM$7,"-",MID(E24,1,100)),DATOS!Z:AA,2,0)),"",VLOOKUP(CONCATENATE($CM$7,"-",MID(E24,1,100)),DATOS!Z:AA,2,0))</f>
        <v/>
      </c>
      <c r="CN24" s="165" t="str">
        <f>IF(ISERROR(VLOOKUP(CONCATENATE($CN$7,"-",MID(E24,1,100)),DATOS!Z:AA,2,0)),"",VLOOKUP(CONCATENATE($CN$7,"-",MID(E24,1,100)),DATOS!Z:AA,2,0))</f>
        <v/>
      </c>
      <c r="CO24" s="165" t="str">
        <f>IF(ISERROR(VLOOKUP(CONCATENATE($CO$7,"-",MID(E24,1,100)),DATOS!Z:AA,2,0)),"",VLOOKUP(CONCATENATE($CO$7,"-",MID(E24,1,100)),DATOS!Z:AA,2,0))</f>
        <v/>
      </c>
      <c r="CP24" s="195" t="str">
        <f>IF(ISERROR(VLOOKUP(CONCATENATE($CP$7,"-",MID(E24,1,100)),DATOS!Z:AA,2,0)),"",VLOOKUP(CONCATENATE($CP$7,"-",MID(E24,1,100)),DATOS!Z:AA,2,0))</f>
        <v/>
      </c>
      <c r="CQ24" s="166" t="str">
        <f>IF(ISERROR(VLOOKUP(CONCATENATE($CQ$7,"-",MID(E24,1,100)),DATOS!Z:AA,2,0)),"",VLOOKUP(CONCATENATE($CQ$7,"-",MID(E24,1,100)),DATOS!Z:AA,2,0))</f>
        <v/>
      </c>
      <c r="CR24" s="164" t="str">
        <f>IF(ISERROR(VLOOKUP(CONCATENATE(CR$7,"-",MID($E24,1,100)),DATOS!$Z:$AA,2,0)),"",VLOOKUP(CONCATENATE(CR$7,"-",MID($E24,1,100)),DATOS!$Z:$AA,2,0))</f>
        <v/>
      </c>
      <c r="CS24" s="165" t="str">
        <f>IF(ISERROR(VLOOKUP(CONCATENATE(CS$7,"-",MID($E24,1,100)),DATOS!$Z:$AA,2,0)),"",VLOOKUP(CONCATENATE(CS$7,"-",MID($E24,1,100)),DATOS!$Z:$AA,2,0))</f>
        <v/>
      </c>
      <c r="CT24" s="165" t="str">
        <f>IF(ISERROR(VLOOKUP(CONCATENATE(CT$7,"-",MID($E24,1,100)),DATOS!$Z:$AA,2,0)),"",VLOOKUP(CONCATENATE(CT$7,"-",MID($E24,1,100)),DATOS!$Z:$AA,2,0))</f>
        <v/>
      </c>
      <c r="CU24" s="165" t="str">
        <f>IF(ISERROR(VLOOKUP(CONCATENATE(CU$7,"-",MID($E24,1,100)),DATOS!$Z:$AA,2,0)),"",VLOOKUP(CONCATENATE(CU$7,"-",MID($E24,1,100)),DATOS!$Z:$AA,2,0))</f>
        <v/>
      </c>
      <c r="CV24" s="165" t="str">
        <f>IF(ISERROR(VLOOKUP(CONCATENATE(CV$7,"-",MID($E24,1,100)),DATOS!$Z:$AA,2,0)),"",VLOOKUP(CONCATENATE(CV$7,"-",MID($E24,1,100)),DATOS!$Z:$AA,2,0))</f>
        <v/>
      </c>
      <c r="CW24" s="165" t="str">
        <f>IF(ISERROR(VLOOKUP(CONCATENATE(CW$7,"-",MID($E24,1,100)),DATOS!$Z:$AA,2,0)),"",VLOOKUP(CONCATENATE(CW$7,"-",MID($E24,1,100)),DATOS!$Z:$AA,2,0))</f>
        <v/>
      </c>
      <c r="CX24" s="165" t="str">
        <f>IF(ISERROR(VLOOKUP(CONCATENATE(CX$7,"-",MID($E24,1,100)),DATOS!$Z:$AA,2,0)),"",VLOOKUP(CONCATENATE(CX$7,"-",MID($E24,1,100)),DATOS!$Z:$AA,2,0))</f>
        <v/>
      </c>
      <c r="CY24" s="165" t="str">
        <f>IF(ISERROR(VLOOKUP(CONCATENATE(CY$7,"-",MID($E24,1,100)),DATOS!$Z:$AA,2,0)),"",VLOOKUP(CONCATENATE(CY$7,"-",MID($E24,1,100)),DATOS!$Z:$AA,2,0))</f>
        <v/>
      </c>
      <c r="CZ24" s="195" t="str">
        <f>IF(ISERROR(VLOOKUP(CONCATENATE(CZ$7,"-",MID($E24,1,100)),DATOS!$Z:$AA,2,0)),"",VLOOKUP(CONCATENATE(CZ$7,"-",MID($E24,1,100)),DATOS!$Z:$AA,2,0))</f>
        <v/>
      </c>
      <c r="DA24" s="166" t="str">
        <f>IF(ISERROR(VLOOKUP(CONCATENATE(DA$7,"-",MID($E24,1,100)),DATOS!$Z:$AA,2,0)),"",VLOOKUP(CONCATENATE(DA$7,"-",MID($E24,1,100)),DATOS!$Z:$AA,2,0))</f>
        <v/>
      </c>
      <c r="DB24" s="164" t="str">
        <f>IF(ISERROR(VLOOKUP(CONCATENATE(DB$7,"-",MID($E24,1,100)),DATOS!$Z:$AA,2,0)),"",VLOOKUP(CONCATENATE(DB$7,"-",MID($E24,1,100)),DATOS!$Z:$AA,2,0))</f>
        <v/>
      </c>
      <c r="DC24" s="165" t="str">
        <f>IF(ISERROR(VLOOKUP(CONCATENATE(DC$7,"-",MID($E24,1,100)),DATOS!$Z:$AA,2,0)),"",VLOOKUP(CONCATENATE(DC$7,"-",MID($E24,1,100)),DATOS!$Z:$AA,2,0))</f>
        <v/>
      </c>
      <c r="DD24" s="165" t="str">
        <f>IF(ISERROR(VLOOKUP(CONCATENATE(DD$7,"-",MID($E24,1,100)),DATOS!$Z:$AA,2,0)),"",VLOOKUP(CONCATENATE(DD$7,"-",MID($E24,1,100)),DATOS!$Z:$AA,2,0))</f>
        <v/>
      </c>
      <c r="DE24" s="165" t="str">
        <f>IF(ISERROR(VLOOKUP(CONCATENATE(DE$7,"-",MID($E24,1,100)),DATOS!$Z:$AA,2,0)),"",VLOOKUP(CONCATENATE(DE$7,"-",MID($E24,1,100)),DATOS!$Z:$AA,2,0))</f>
        <v/>
      </c>
      <c r="DF24" s="165" t="str">
        <f>IF(ISERROR(VLOOKUP(CONCATENATE(DF$7,"-",MID($E24,1,100)),DATOS!$Z:$AA,2,0)),"",VLOOKUP(CONCATENATE(DF$7,"-",MID($E24,1,100)),DATOS!$Z:$AA,2,0))</f>
        <v/>
      </c>
      <c r="DG24" s="165" t="str">
        <f>IF(ISERROR(VLOOKUP(CONCATENATE(DG$7,"-",MID($E24,1,100)),DATOS!$Z:$AA,2,0)),"",VLOOKUP(CONCATENATE(DG$7,"-",MID($E24,1,100)),DATOS!$Z:$AA,2,0))</f>
        <v/>
      </c>
      <c r="DH24" s="165" t="str">
        <f>IF(ISERROR(VLOOKUP(CONCATENATE(DH$7,"-",MID($E24,1,100)),DATOS!$Z:$AA,2,0)),"",VLOOKUP(CONCATENATE(DH$7,"-",MID($E24,1,100)),DATOS!$Z:$AA,2,0))</f>
        <v/>
      </c>
      <c r="DI24" s="165" t="str">
        <f>IF(ISERROR(VLOOKUP(CONCATENATE(DI$7,"-",MID($E24,1,100)),DATOS!$Z:$AA,2,0)),"",VLOOKUP(CONCATENATE(DI$7,"-",MID($E24,1,100)),DATOS!$Z:$AA,2,0))</f>
        <v/>
      </c>
      <c r="DJ24" s="195" t="str">
        <f>IF(ISERROR(VLOOKUP(CONCATENATE(DJ$7,"-",MID($E24,1,100)),DATOS!$Z:$AA,2,0)),"",VLOOKUP(CONCATENATE(DJ$7,"-",MID($E24,1,100)),DATOS!$Z:$AA,2,0))</f>
        <v/>
      </c>
      <c r="DK24" s="166" t="str">
        <f>IF(ISERROR(VLOOKUP(CONCATENATE(DK$7,"-",MID($E24,1,100)),DATOS!$Z:$AA,2,0)),"",VLOOKUP(CONCATENATE(DK$7,"-",MID($E24,1,100)),DATOS!$Z:$AA,2,0))</f>
        <v/>
      </c>
      <c r="DL24" s="164" t="str">
        <f>IF(ISERROR(VLOOKUP(CONCATENATE(DL$7,"-",MID($E24,1,100)),DATOS!$Z:$AA,2,0)),"",VLOOKUP(CONCATENATE(DL$7,"-",MID($E24,1,100)),DATOS!$Z:$AA,2,0))</f>
        <v/>
      </c>
      <c r="DM24" s="165" t="str">
        <f>IF(ISERROR(VLOOKUP(CONCATENATE(DM$7,"-",MID($E24,1,100)),DATOS!$Z:$AA,2,0)),"",VLOOKUP(CONCATENATE(DM$7,"-",MID($E24,1,100)),DATOS!$Z:$AA,2,0))</f>
        <v/>
      </c>
      <c r="DN24" s="165" t="str">
        <f>IF(ISERROR(VLOOKUP(CONCATENATE(DN$7,"-",MID($E24,1,100)),DATOS!$Z:$AA,2,0)),"",VLOOKUP(CONCATENATE(DN$7,"-",MID($E24,1,100)),DATOS!$Z:$AA,2,0))</f>
        <v/>
      </c>
      <c r="DO24" s="165" t="str">
        <f>IF(ISERROR(VLOOKUP(CONCATENATE(DO$7,"-",MID($E24,1,100)),DATOS!$Z:$AA,2,0)),"",VLOOKUP(CONCATENATE(DO$7,"-",MID($E24,1,100)),DATOS!$Z:$AA,2,0))</f>
        <v/>
      </c>
      <c r="DP24" s="165" t="str">
        <f>IF(ISERROR(VLOOKUP(CONCATENATE(DP$7,"-",MID($E24,1,100)),DATOS!$Z:$AA,2,0)),"",VLOOKUP(CONCATENATE(DP$7,"-",MID($E24,1,100)),DATOS!$Z:$AA,2,0))</f>
        <v/>
      </c>
      <c r="DQ24" s="165" t="str">
        <f>IF(ISERROR(VLOOKUP(CONCATENATE(DQ$7,"-",MID($E24,1,100)),DATOS!$Z:$AA,2,0)),"",VLOOKUP(CONCATENATE(DQ$7,"-",MID($E24,1,100)),DATOS!$Z:$AA,2,0))</f>
        <v/>
      </c>
      <c r="DR24" s="165" t="str">
        <f>IF(ISERROR(VLOOKUP(CONCATENATE(DR$7,"-",MID($E24,1,100)),DATOS!$Z:$AA,2,0)),"",VLOOKUP(CONCATENATE(DR$7,"-",MID($E24,1,100)),DATOS!$Z:$AA,2,0))</f>
        <v/>
      </c>
      <c r="DS24" s="165" t="str">
        <f>IF(ISERROR(VLOOKUP(CONCATENATE(DS$7,"-",MID($E24,1,100)),DATOS!$Z:$AA,2,0)),"",VLOOKUP(CONCATENATE(DS$7,"-",MID($E24,1,100)),DATOS!$Z:$AA,2,0))</f>
        <v/>
      </c>
      <c r="DT24" s="195" t="str">
        <f>IF(ISERROR(VLOOKUP(CONCATENATE(DT$7,"-",MID($E24,1,100)),DATOS!$Z:$AA,2,0)),"",VLOOKUP(CONCATENATE(DT$7,"-",MID($E24,1,100)),DATOS!$Z:$AA,2,0))</f>
        <v/>
      </c>
      <c r="DU24" s="166" t="str">
        <f>IF(ISERROR(VLOOKUP(CONCATENATE(DU$7,"-",MID($E24,1,100)),DATOS!$Z:$AA,2,0)),"",VLOOKUP(CONCATENATE(DU$7,"-",MID($E24,1,100)),DATOS!$Z:$AA,2,0))</f>
        <v/>
      </c>
      <c r="DV24" s="164" t="str">
        <f>IF(ISERROR(VLOOKUP(CONCATENATE(DV$7,"-",MID($E24,1,100)),DATOS!$Z:$AA,2,0)),"",VLOOKUP(CONCATENATE(DV$7,"-",MID($E24,1,100)),DATOS!$Z:$AA,2,0))</f>
        <v/>
      </c>
      <c r="DW24" s="165" t="str">
        <f>IF(ISERROR(VLOOKUP(CONCATENATE(DW$7,"-",MID($E24,1,100)),DATOS!$Z:$AA,2,0)),"",VLOOKUP(CONCATENATE(DW$7,"-",MID($E24,1,100)),DATOS!$Z:$AA,2,0))</f>
        <v/>
      </c>
      <c r="DX24" s="165" t="str">
        <f>IF(ISERROR(VLOOKUP(CONCATENATE(DX$7,"-",MID($E24,1,100)),DATOS!$Z:$AA,2,0)),"",VLOOKUP(CONCATENATE(DX$7,"-",MID($E24,1,100)),DATOS!$Z:$AA,2,0))</f>
        <v/>
      </c>
      <c r="DY24" s="165" t="str">
        <f>IF(ISERROR(VLOOKUP(CONCATENATE(DY$7,"-",MID($E24,1,100)),DATOS!$Z:$AA,2,0)),"",VLOOKUP(CONCATENATE(DY$7,"-",MID($E24,1,100)),DATOS!$Z:$AA,2,0))</f>
        <v/>
      </c>
      <c r="DZ24" s="165" t="str">
        <f>IF(ISERROR(VLOOKUP(CONCATENATE(DZ$7,"-",MID($E24,1,100)),DATOS!$Z:$AA,2,0)),"",VLOOKUP(CONCATENATE(DZ$7,"-",MID($E24,1,100)),DATOS!$Z:$AA,2,0))</f>
        <v/>
      </c>
      <c r="EA24" s="165" t="str">
        <f>IF(ISERROR(VLOOKUP(CONCATENATE(EA$7,"-",MID($E24,1,100)),DATOS!$Z:$AA,2,0)),"",VLOOKUP(CONCATENATE(EA$7,"-",MID($E24,1,100)),DATOS!$Z:$AA,2,0))</f>
        <v/>
      </c>
      <c r="EB24" s="165" t="str">
        <f>IF(ISERROR(VLOOKUP(CONCATENATE(EB$7,"-",MID($E24,1,100)),DATOS!$Z:$AA,2,0)),"",VLOOKUP(CONCATENATE(EB$7,"-",MID($E24,1,100)),DATOS!$Z:$AA,2,0))</f>
        <v/>
      </c>
      <c r="EC24" s="165" t="str">
        <f>IF(ISERROR(VLOOKUP(CONCATENATE(EC$7,"-",MID($E24,1,100)),DATOS!$Z:$AA,2,0)),"",VLOOKUP(CONCATENATE(EC$7,"-",MID($E24,1,100)),DATOS!$Z:$AA,2,0))</f>
        <v/>
      </c>
      <c r="ED24" s="195" t="str">
        <f>IF(ISERROR(VLOOKUP(CONCATENATE(ED$7,"-",MID($E24,1,100)),DATOS!$Z:$AA,2,0)),"",VLOOKUP(CONCATENATE(ED$7,"-",MID($E24,1,100)),DATOS!$Z:$AA,2,0))</f>
        <v/>
      </c>
      <c r="EE24" s="166" t="str">
        <f>IF(ISERROR(VLOOKUP(CONCATENATE(EE$7,"-",MID($E24,1,100)),DATOS!$Z:$AA,2,0)),"",VLOOKUP(CONCATENATE(EE$7,"-",MID($E24,1,100)),DATOS!$Z:$AA,2,0))</f>
        <v/>
      </c>
      <c r="EF24" s="164" t="str">
        <f>IF(ISERROR(VLOOKUP(CONCATENATE($EF$7,"-",MID(E24,1,100)),DATOS!Z:AA,2,0)),"",VLOOKUP(CONCATENATE($EF$7,"-",MID(E24,1,100)),DATOS!Z:AA,2,0))</f>
        <v/>
      </c>
      <c r="EG24" s="165" t="str">
        <f>IF(ISERROR(VLOOKUP(CONCATENATE($EG$7,"-",MID(E24,1,100)),DATOS!Z:AA,2,0)),"",VLOOKUP(CONCATENATE($EG$7,"-",MID(E24,1,100)),DATOS!Z:AA,2,0))</f>
        <v/>
      </c>
      <c r="EH24" s="165" t="str">
        <f>IF(ISERROR(VLOOKUP(CONCATENATE($EH$7,"-",MID(E24,1,100)),DATOS!Z:AA,2,0)),"",VLOOKUP(CONCATENATE($EH$7,"-",MID(E24,1,100)),DATOS!Z:AA,2,0))</f>
        <v/>
      </c>
      <c r="EI24" s="165" t="str">
        <f>IF(ISERROR(VLOOKUP(CONCATENATE($EI$7,"-",MID(E24,1,100)),DATOS!Z:AA,2,0)),"",VLOOKUP(CONCATENATE($EI$7,"-",MID(E24,1,100)),DATOS!Z:AA,2,0))</f>
        <v/>
      </c>
      <c r="EJ24" s="165" t="str">
        <f>IF(ISERROR(VLOOKUP(CONCATENATE($EJ$7,"-",MID(E24,1,100)),DATOS!Z:AA,2,0)),"",VLOOKUP(CONCATENATE($EJ$7,"-",MID(E24,1,100)),DATOS!Z:AA,2,0))</f>
        <v/>
      </c>
      <c r="EK24" s="165" t="str">
        <f>IF(ISERROR(VLOOKUP(CONCATENATE($EK$7,"-",MID(E24,1,100)),DATOS!Z:AA,2,0)),"",VLOOKUP(CONCATENATE($EK$7,"-",MID(E24,1,100)),DATOS!Z:AA,2,0))</f>
        <v/>
      </c>
      <c r="EL24" s="165" t="str">
        <f>IF(ISERROR(VLOOKUP(CONCATENATE($EL$7,"-",MID(E24,1,100)),DATOS!Z:AA,2,0)),"",VLOOKUP(CONCATENATE($EL$7,"-",MID(E24,1,100)),DATOS!Z:AA,2,0))</f>
        <v/>
      </c>
      <c r="EM24" s="165" t="str">
        <f>IF(ISERROR(VLOOKUP(CONCATENATE($EM$7,"-",MID(E24,1,100)),DATOS!Z:AA,2,0)),"",VLOOKUP(CONCATENATE($EM$7,"-",MID(E24,1,100)),DATOS!Z:AA,2,0))</f>
        <v/>
      </c>
      <c r="EN24" s="165" t="str">
        <f>IF(ISERROR(VLOOKUP(CONCATENATE($EN$7,"-",MID(E24,1,100)),DATOS!Z:AA,2,0)),"",VLOOKUP(CONCATENATE($EN$7,"-",MID(E24,1,100)),DATOS!Z:AA,2,0))</f>
        <v/>
      </c>
      <c r="EO24" s="166" t="str">
        <f>IF(ISERROR(VLOOKUP(CONCATENATE($EO$7,"-",MID(E24,1,100)),DATOS!Z:AA,2,0)),"",VLOOKUP(CONCATENATE($EO$7,"-",MID(E24,1,100)),DATOS!Z:AA,2,0))</f>
        <v/>
      </c>
      <c r="EP24" s="167">
        <f t="shared" si="0"/>
        <v>0</v>
      </c>
      <c r="EQ24" s="159" t="str">
        <f t="shared" si="1"/>
        <v>-N2</v>
      </c>
    </row>
    <row r="25" spans="1:147" ht="17.25" hidden="1" customHeight="1">
      <c r="A25" s="148"/>
      <c r="B25" s="168" t="str">
        <f>IF('1.Fundamentos'!B57="","",'1.Fundamentos'!B57)</f>
        <v/>
      </c>
      <c r="C25" s="169" t="s">
        <v>84</v>
      </c>
      <c r="D25" s="170" t="str">
        <f>IF('1.Fundamentos'!D57="","",'1.Fundamentos'!D57)</f>
        <v/>
      </c>
      <c r="E25" s="171" t="str">
        <f t="shared" si="2"/>
        <v/>
      </c>
      <c r="F25" s="172" t="str">
        <f>IF(ISERROR(VLOOKUP(CONCATENATE($F$7,"-",MID(E25,1,100)),DATOS!Z:AA,2,0)),"",VLOOKUP(CONCATENATE($F$7,"-",MID(E25,1,100)),DATOS!Z:AA,2,0))</f>
        <v/>
      </c>
      <c r="G25" s="173" t="str">
        <f>IF(ISERROR(VLOOKUP(CONCATENATE($G$7,"-",MID(E25,1,100)),DATOS!Z:AA,2,0)),"",VLOOKUP(CONCATENATE($G$7,"-",MID(E25,1,100)),DATOS!Z:AA,2,0))</f>
        <v/>
      </c>
      <c r="H25" s="173" t="str">
        <f>IF(ISERROR(VLOOKUP(CONCATENATE($H$7,"-",MID(E25,1,100)),DATOS!Z:AA,2,0)),"",VLOOKUP(CONCATENATE($H$7,"-",MID(E25,1,100)),DATOS!Z:AA,2,0))</f>
        <v/>
      </c>
      <c r="I25" s="173" t="str">
        <f>IF(ISERROR(VLOOKUP(CONCATENATE($I$7,"-",MID(E25,1,100)),DATOS!Z:AA,2,0)),"",VLOOKUP(CONCATENATE($I$7,"-",MID(E25,1,100)),DATOS!Z:AA,2,0))</f>
        <v/>
      </c>
      <c r="J25" s="173" t="str">
        <f>IF(ISERROR(VLOOKUP(CONCATENATE($J$7,"-",MID(E25,1,100)),DATOS!Z:AA,2,0)),"",VLOOKUP(CONCATENATE($J$7,"-",MID(E25,1,100)),DATOS!Z:AA,2,0))</f>
        <v/>
      </c>
      <c r="K25" s="173" t="str">
        <f>IF(ISERROR(VLOOKUP(CONCATENATE($K$7,"-",MID(E25,1,100)),DATOS!Z:AA,2,0)),"",VLOOKUP(CONCATENATE($K$7,"-",MID(E25,1,100)),DATOS!Z:AA,2,0))</f>
        <v/>
      </c>
      <c r="L25" s="173" t="str">
        <f>IF(ISERROR(VLOOKUP(CONCATENATE($L$7,"-",MID(E25,1,100)),DATOS!Z:AA,2,0)),"",VLOOKUP(CONCATENATE($L$7,"-",MID(E25,1,100)),DATOS!Z:AA,2,0))</f>
        <v/>
      </c>
      <c r="M25" s="173" t="str">
        <f>IF(ISERROR(VLOOKUP(CONCATENATE($M$7,"-",MID(E25,1,100)),DATOS!Z:AA,2,0)),"",VLOOKUP(CONCATENATE($M$7,"-",MID(E25,1,100)),DATOS!Z:AA,2,0))</f>
        <v/>
      </c>
      <c r="N25" s="173" t="str">
        <f>IF(ISERROR(VLOOKUP(CONCATENATE($N$7,"-",MID(E25,1,100)),DATOS!Z:AA,2,0)),"",VLOOKUP(CONCATENATE($N$7,"-",MID(E25,1,100)),DATOS!Z:AA,2,0))</f>
        <v/>
      </c>
      <c r="O25" s="174" t="str">
        <f>IF(ISERROR(VLOOKUP(CONCATENATE($O$7,"-",MID(E25,1,100)),DATOS!Z:AA,2,0)),"",VLOOKUP(CONCATENATE($O$7,"-",MID(E25,1,100)),DATOS!Z:AA,2,0))</f>
        <v/>
      </c>
      <c r="P25" s="172" t="str">
        <f>IF(ISERROR(VLOOKUP(CONCATENATE($P$7,"-",MID(E25,1,100)),DATOS!Z:AA,2,0)),"",VLOOKUP(CONCATENATE($P$7,"-",MID(E25,1,100)),DATOS!Z:AA,2,0))</f>
        <v/>
      </c>
      <c r="Q25" s="173" t="str">
        <f>IF(ISERROR(VLOOKUP(CONCATENATE($Q$7,"-",MID(E25,1,100)),DATOS!Z:AA,2,0)),"",VLOOKUP(CONCATENATE($Q$7,"-",MID(E25,1,100)),DATOS!Z:AA,2,0))</f>
        <v/>
      </c>
      <c r="R25" s="173" t="str">
        <f>IF(ISERROR(VLOOKUP(CONCATENATE($R$7,"-",MID(E25,1,100)),DATOS!Z:AA,2,0)),"",VLOOKUP(CONCATENATE($R$7,"-",MID(E25,1,100)),DATOS!Z:AA,2,0))</f>
        <v/>
      </c>
      <c r="S25" s="173" t="str">
        <f>IF(ISERROR(VLOOKUP(CONCATENATE($S$7,"-",MID(E25,1,100)),DATOS!Z:AA,2,0)),"",VLOOKUP(CONCATENATE($S$7,"-",MID(E25,1,100)),DATOS!Z:AA,2,0))</f>
        <v/>
      </c>
      <c r="T25" s="173" t="str">
        <f>IF(ISERROR(VLOOKUP(CONCATENATE($T$7,"-",MID(E25,1,100)),DATOS!Z:AA,2,0)),"",VLOOKUP(CONCATENATE($T$7,"-",MID(E25,1,100)),DATOS!Z:AA,2,0))</f>
        <v/>
      </c>
      <c r="U25" s="173" t="str">
        <f>IF(ISERROR(VLOOKUP(CONCATENATE($U$7,"-",MID(E25,1,100)),DATOS!Z:AA,2,0)),"",VLOOKUP(CONCATENATE($U$7,"-",MID(E25,1,100)),DATOS!Z:AA,2,0))</f>
        <v/>
      </c>
      <c r="V25" s="173" t="str">
        <f>IF(ISERROR(VLOOKUP(CONCATENATE($V$7,"-",MID(E25,1,100)),DATOS!Z:AA,2,0)),"",VLOOKUP(CONCATENATE($V$7,"-",MID(E25,1,100)),DATOS!Z:AA,2,0))</f>
        <v/>
      </c>
      <c r="W25" s="173" t="str">
        <f>IF(ISERROR(VLOOKUP(CONCATENATE($W$7,"-",MID(E25,1,100)),DATOS!Z:AA,2,0)),"",VLOOKUP(CONCATENATE($W$7,"-",MID(E25,1,100)),DATOS!Z:AA,2,0))</f>
        <v/>
      </c>
      <c r="X25" s="173" t="str">
        <f>IF(ISERROR(VLOOKUP(CONCATENATE($X$7,"-",MID(E25,1,100)),DATOS!Z:AA,2,0)),"",VLOOKUP(CONCATENATE($X$7,"-",MID(E25,1,100)),DATOS!Z:AA,2,0))</f>
        <v/>
      </c>
      <c r="Y25" s="174" t="str">
        <f>IF(ISERROR(VLOOKUP(CONCATENATE($Y$7,"-",MID(E25,1,100)),DATOS!Z:AA,2,0)),"",VLOOKUP(CONCATENATE($Y$7,"-",MID(E25,1,100)),DATOS!Z:AA,2,0))</f>
        <v/>
      </c>
      <c r="Z25" s="172" t="str">
        <f>IF(ISERROR(VLOOKUP(CONCATENATE($Z$7,"-",MID(E25,1,100)),DATOS!Z:AA,2,0)),"",VLOOKUP(CONCATENATE($Z$7,"-",MID(E25,1,100)),DATOS!Z:AA,2,0))</f>
        <v/>
      </c>
      <c r="AA25" s="173" t="str">
        <f>IF(ISERROR(VLOOKUP(CONCATENATE($AA$7,"-",MID(E25,1,100)),DATOS!Z:AA,2,0)),"",VLOOKUP(CONCATENATE($AA$7,"-",MID(E25,1,100)),DATOS!Z:AA,2,0))</f>
        <v/>
      </c>
      <c r="AB25" s="173" t="str">
        <f>IF(ISERROR(VLOOKUP(CONCATENATE($AB$7,"-",MID(E25,1,100)),DATOS!Z:AA,2,0)),"",VLOOKUP(CONCATENATE($AB$7,"-",MID(E25,1,100)),DATOS!Z:AA,2,0))</f>
        <v/>
      </c>
      <c r="AC25" s="173" t="str">
        <f>IF(ISERROR(VLOOKUP(CONCATENATE($AC$7,"-",MID(E25,1,100)),DATOS!Z:AA,2,0)),"",VLOOKUP(CONCATENATE($AC$7,"-",MID(E25,1,100)),DATOS!Z:AA,2,0))</f>
        <v/>
      </c>
      <c r="AD25" s="173" t="str">
        <f>IF(ISERROR(VLOOKUP(CONCATENATE($AD$7,"-",MID(E25,1,100)),DATOS!Z:AA,2,0)),"",VLOOKUP(CONCATENATE($AD$7,"-",MID(E25,1,100)),DATOS!Z:AA,2,0))</f>
        <v/>
      </c>
      <c r="AE25" s="173" t="str">
        <f>IF(ISERROR(VLOOKUP(CONCATENATE($AE$7,"-",MID(E25,1,100)),DATOS!Z:AA,2,0)),"",VLOOKUP(CONCATENATE($AE$7,"-",MID(E25,1,100)),DATOS!Z:AA,2,0))</f>
        <v/>
      </c>
      <c r="AF25" s="173" t="str">
        <f>IF(ISERROR(VLOOKUP(CONCATENATE($AF$7,"-",MID(E25,1,100)),DATOS!Z:AA,2,0)),"",VLOOKUP(CONCATENATE($AF$7,"-",MID(E25,1,100)),DATOS!Z:AA,2,0))</f>
        <v/>
      </c>
      <c r="AG25" s="173" t="str">
        <f>IF(ISERROR(VLOOKUP(CONCATENATE($AG$7,"-",MID(E25,1,100)),DATOS!Z:AA,2,0)),"",VLOOKUP(CONCATENATE($AG$7,"-",MID(E25,1,100)),DATOS!Z:AA,2,0))</f>
        <v/>
      </c>
      <c r="AH25" s="173" t="str">
        <f>IF(ISERROR(VLOOKUP(CONCATENATE($AH$7,"-",MID(E25,1,100)),DATOS!Z:AA,2,0)),"",VLOOKUP(CONCATENATE($AH$7,"-",MID(E25,1,100)),DATOS!Z:AA,2,0))</f>
        <v/>
      </c>
      <c r="AI25" s="174" t="str">
        <f>IF(ISERROR(VLOOKUP(CONCATENATE($AI$7,"-",MID(E25,1,100)),DATOS!Z:AA,2,0)),"",VLOOKUP(CONCATENATE($AI$7,"-",MID(E25,1,100)),DATOS!Z:AA,2,0))</f>
        <v/>
      </c>
      <c r="AJ25" s="172" t="str">
        <f>IF(ISERROR(VLOOKUP(CONCATENATE($AJ$7,"-",MID(E25,1,100)),DATOS!Z:AA,2,0)),"",VLOOKUP(CONCATENATE($AJ$7,"-",MID(E25,1,100)),DATOS!Z:AA,2,0))</f>
        <v/>
      </c>
      <c r="AK25" s="173" t="str">
        <f>IF(ISERROR(VLOOKUP(CONCATENATE($AK$7,"-",MID(E25,1,100)),DATOS!Z:AA,2,0)),"",VLOOKUP(CONCATENATE($AK$7,"-",MID(E25,1,100)),DATOS!Z:AA,2,0))</f>
        <v/>
      </c>
      <c r="AL25" s="173" t="str">
        <f>IF(ISERROR(VLOOKUP(CONCATENATE($AL$7,"-",MID(E25,1,100)),DATOS!Z:AA,2,0)),"",VLOOKUP(CONCATENATE($AL$7,"-",MID(E25,1,100)),DATOS!Z:AA,2,0))</f>
        <v/>
      </c>
      <c r="AM25" s="173" t="str">
        <f>IF(ISERROR(VLOOKUP(CONCATENATE($AM$7,"-",MID(E25,1,100)),DATOS!Z:AA,2,0)),"",VLOOKUP(CONCATENATE($AM$7,"-",MID(E25,1,100)),DATOS!Z:AA,2,0))</f>
        <v/>
      </c>
      <c r="AN25" s="173" t="str">
        <f>IF(ISERROR(VLOOKUP(CONCATENATE($AN$7,"-",MID(E25,1,100)),DATOS!Z:AA,2,0)),"",VLOOKUP(CONCATENATE($AN$7,"-",MID(E25,1,100)),DATOS!Z:AA,2,0))</f>
        <v/>
      </c>
      <c r="AO25" s="173" t="str">
        <f>IF(ISERROR(VLOOKUP(CONCATENATE($AO$7,"-",MID(E25,1,100)),DATOS!Z:AA,2,0)),"",VLOOKUP(CONCATENATE($AO$7,"-",MID(E25,1,100)),DATOS!Z:AA,2,0))</f>
        <v/>
      </c>
      <c r="AP25" s="173" t="str">
        <f>IF(ISERROR(VLOOKUP(CONCATENATE($AP$7,"-",MID(E25,1,100)),DATOS!Z:AA,2,0)),"",VLOOKUP(CONCATENATE($AP$7,"-",MID(E25,1,100)),DATOS!Z:AA,2,0))</f>
        <v/>
      </c>
      <c r="AQ25" s="173" t="str">
        <f>IF(ISERROR(VLOOKUP(CONCATENATE($AQ$7,"-",MID(E25,1,100)),DATOS!Z:AA,2,0)),"",VLOOKUP(CONCATENATE($AQ$7,"-",MID(E25,1,100)),DATOS!Z:AA,2,0))</f>
        <v/>
      </c>
      <c r="AR25" s="173" t="str">
        <f>IF(ISERROR(VLOOKUP(CONCATENATE($AR$7,"-",MID(E25,1,100)),DATOS!Z:AA,2,0)),"",VLOOKUP(CONCATENATE($AR$7,"-",MID(E25,1,100)),DATOS!Z:AA,2,0))</f>
        <v/>
      </c>
      <c r="AS25" s="174" t="str">
        <f>IF(ISERROR(VLOOKUP(CONCATENATE($AS$7,"-",MID(E25,1,100)),DATOS!Z:AA,2,0)),"",VLOOKUP(CONCATENATE($AS$7,"-",MID(E25,1,100)),DATOS!Z:AA,2,0))</f>
        <v/>
      </c>
      <c r="AT25" s="172" t="str">
        <f>IF(ISERROR(VLOOKUP(CONCATENATE($AT$7,"-",MID(E25,1,100)),DATOS!Z:AA,2,0)),"",VLOOKUP(CONCATENATE($AT$7,"-",MID(E25,1,100)),DATOS!Z:AA,2,0))</f>
        <v/>
      </c>
      <c r="AU25" s="173" t="str">
        <f>IF(ISERROR(VLOOKUP(CONCATENATE($AU$7,"-",MID(E25,1,100)),DATOS!Z:AA,2,0)),"",VLOOKUP(CONCATENATE($AU$7,"-",MID(E25,1,100)),DATOS!Z:AA,2,0))</f>
        <v/>
      </c>
      <c r="AV25" s="173" t="str">
        <f>IF(ISERROR(VLOOKUP(CONCATENATE($AV$7,"-",MID(E25,1,100)),DATOS!Z:AA,2,0)),"",VLOOKUP(CONCATENATE($AV$7,"-",MID(E25,1,100)),DATOS!Z:AA,2,0))</f>
        <v/>
      </c>
      <c r="AW25" s="173" t="str">
        <f>IF(ISERROR(VLOOKUP(CONCATENATE($AW$7,"-",MID(E25,1,100)),DATOS!Z:AA,2,0)),"",VLOOKUP(CONCATENATE($AW$7,"-",MID(E25,1,100)),DATOS!Z:AA,2,0))</f>
        <v/>
      </c>
      <c r="AX25" s="173" t="str">
        <f>IF(ISERROR(VLOOKUP(CONCATENATE($AX$7,"-",MID(E25,1,100)),DATOS!Z:AA,2,0)),"",VLOOKUP(CONCATENATE($AX$7,"-",MID(E25,1,100)),DATOS!Z:AA,2,0))</f>
        <v/>
      </c>
      <c r="AY25" s="173" t="str">
        <f>IF(ISERROR(VLOOKUP(CONCATENATE($AY$7,"-",MID(E25,1,100)),DATOS!Z:AA,2,0)),"",VLOOKUP(CONCATENATE($AY$7,"-",MID(E25,1,100)),DATOS!Z:AA,2,0))</f>
        <v/>
      </c>
      <c r="AZ25" s="173" t="str">
        <f>IF(ISERROR(VLOOKUP(CONCATENATE($AZ$7,"-",MID(E25,1,100)),DATOS!Z:AA,2,0)),"",VLOOKUP(CONCATENATE($AZ$7,"-",MID(E25,1,100)),DATOS!Z:AA,2,0))</f>
        <v/>
      </c>
      <c r="BA25" s="173" t="str">
        <f>IF(ISERROR(VLOOKUP(CONCATENATE($BA$7,"-",MID(E25,1,100)),DATOS!Z:AA,2,0)),"",VLOOKUP(CONCATENATE($BA$7,"-",MID(E25,1,100)),DATOS!Z:AA,2,0))</f>
        <v/>
      </c>
      <c r="BB25" s="173" t="str">
        <f>IF(ISERROR(VLOOKUP(CONCATENATE($BB$7,"-",MID(E25,1,100)),DATOS!Z:AA,2,0)),"",VLOOKUP(CONCATENATE($BB$7,"-",MID(E25,1,100)),DATOS!Z:AA,2,0))</f>
        <v/>
      </c>
      <c r="BC25" s="174" t="str">
        <f>IF(ISERROR(VLOOKUP(CONCATENATE($BC$7,"-",MID(E25,1,100)),DATOS!Z:AA,2,0)),"",VLOOKUP(CONCATENATE($BC$7,"-",MID(E25,1,100)),DATOS!Z:AA,2,0))</f>
        <v/>
      </c>
      <c r="BD25" s="172" t="str">
        <f>IF(ISERROR(VLOOKUP(CONCATENATE($BD$7,"-",MID(E25,1,100)),DATOS!Z:AA,2,0)),"",VLOOKUP(CONCATENATE($BD$7,"-",MID(E25,1,100)),DATOS!Z:AA,2,0))</f>
        <v/>
      </c>
      <c r="BE25" s="173" t="str">
        <f>IF(ISERROR(VLOOKUP(CONCATENATE($BE$7,"-",MID(E25,1,100)),DATOS!Z:AA,2,0)),"",VLOOKUP(CONCATENATE($BE$7,"-",MID(E25,1,100)),DATOS!Z:AA,2,0))</f>
        <v/>
      </c>
      <c r="BF25" s="173" t="str">
        <f>IF(ISERROR(VLOOKUP(CONCATENATE($BF$7,"-",MID(E25,1,100)),DATOS!Z:AA,2,0)),"",VLOOKUP(CONCATENATE($BF$7,"-",MID(E25,1,100)),DATOS!Z:AA,2,0))</f>
        <v/>
      </c>
      <c r="BG25" s="173" t="str">
        <f>IF(ISERROR(VLOOKUP(CONCATENATE($BG$7,"-",MID(E25,1,100)),DATOS!Z:AA,2,0)),"",VLOOKUP(CONCATENATE($BG$7,"-",MID(E25,1,100)),DATOS!Z:AA,2,0))</f>
        <v/>
      </c>
      <c r="BH25" s="173" t="str">
        <f>IF(ISERROR(VLOOKUP(CONCATENATE($BH$7,"-",MID(E25,1,100)),DATOS!Z:AA,2,0)),"",VLOOKUP(CONCATENATE($BH$7,"-",MID(E25,1,100)),DATOS!Z:AA,2,0))</f>
        <v/>
      </c>
      <c r="BI25" s="173" t="str">
        <f>IF(ISERROR(VLOOKUP(CONCATENATE($BI$7,"-",MID(E25,1,100)),DATOS!Z:AA,2,0)),"",VLOOKUP(CONCATENATE($BI$7,"-",MID(E25,1,100)),DATOS!Z:AA,2,0))</f>
        <v/>
      </c>
      <c r="BJ25" s="173" t="str">
        <f>IF(ISERROR(VLOOKUP(CONCATENATE($BJ$7,"-",MID(E25,1,100)),DATOS!Z:AA,2,0)),"",VLOOKUP(CONCATENATE($BJ$7,"-",MID(E25,1,100)),DATOS!Z:AA,2,0))</f>
        <v/>
      </c>
      <c r="BK25" s="173" t="str">
        <f>IF(ISERROR(VLOOKUP(CONCATENATE($BK$7,"-",MID(E25,1,100)),DATOS!Z:AA,2,0)),"",VLOOKUP(CONCATENATE($BK$7,"-",MID(E25,1,100)),DATOS!Z:AA,2,0))</f>
        <v/>
      </c>
      <c r="BL25" s="173" t="str">
        <f>IF(ISERROR(VLOOKUP(CONCATENATE($BL$7,"-",MID(E25,1,100)),DATOS!Z:AA,2,0)),"",VLOOKUP(CONCATENATE($BL$7,"-",MID(E25,1,100)),DATOS!Z:AA,2,0))</f>
        <v/>
      </c>
      <c r="BM25" s="174" t="str">
        <f>IF(ISERROR(VLOOKUP(CONCATENATE($BM$7,"-",MID(E25,1,100)),DATOS!Z:AA,2,0)),"",VLOOKUP(CONCATENATE($BM$7,"-",MID(E25,1,100)),DATOS!Z:AA,2,0))</f>
        <v/>
      </c>
      <c r="BN25" s="172" t="str">
        <f>IF(ISERROR(VLOOKUP(CONCATENATE($BN$7,"-",MID(E25,1,100)),DATOS!Z:AA,2,0)),"",VLOOKUP(CONCATENATE($BN$7,"-",MID(E25,1,100)),DATOS!Z:AA,2,0))</f>
        <v/>
      </c>
      <c r="BO25" s="173" t="str">
        <f>IF(ISERROR(VLOOKUP(CONCATENATE($BO$7,"-",MID(E25,1,100)),DATOS!Z:AA,2,0)),"",VLOOKUP(CONCATENATE($BO$7,"-",MID(E25,1,100)),DATOS!Z:AA,2,0))</f>
        <v/>
      </c>
      <c r="BP25" s="173" t="str">
        <f>IF(ISERROR(VLOOKUP(CONCATENATE($BP$7,"-",MID(E25,1,100)),DATOS!Z:AA,2,0)),"",VLOOKUP(CONCATENATE($BP$7,"-",MID(E25,1,100)),DATOS!Z:AA,2,0))</f>
        <v/>
      </c>
      <c r="BQ25" s="173" t="str">
        <f>IF(ISERROR(VLOOKUP(CONCATENATE($BQ$7,"-",MID(E25,1,100)),DATOS!Z:AA,2,0)),"",VLOOKUP(CONCATENATE($BQ$7,"-",MID(E25,1,100)),DATOS!Z:AA,2,0))</f>
        <v/>
      </c>
      <c r="BR25" s="173" t="str">
        <f>IF(ISERROR(VLOOKUP(CONCATENATE($BR$7,"-",MID(E25,1,100)),DATOS!Z:AA,2,0)),"",VLOOKUP(CONCATENATE($BR$7,"-",MID(E25,1,100)),DATOS!Z:AA,2,0))</f>
        <v/>
      </c>
      <c r="BS25" s="173" t="str">
        <f>IF(ISERROR(VLOOKUP(CONCATENATE($BS$7,"-",MID(E25,1,100)),DATOS!Z:AA,2,0)),"",VLOOKUP(CONCATENATE($BS$7,"-",MID(E25,1,100)),DATOS!Z:AA,2,0))</f>
        <v/>
      </c>
      <c r="BT25" s="173" t="str">
        <f>IF(ISERROR(VLOOKUP(CONCATENATE($BT$7,"-",MID(E25,1,100)),DATOS!Z:AA,2,0)),"",VLOOKUP(CONCATENATE($BT$7,"-",MID(E25,1,100)),DATOS!Z:AA,2,0))</f>
        <v/>
      </c>
      <c r="BU25" s="173" t="str">
        <f>IF(ISERROR(VLOOKUP(CONCATENATE($BU$7,"-",MID(E25,1,100)),DATOS!Z:AA,2,0)),"",VLOOKUP(CONCATENATE($BU$7,"-",MID(E25,1,100)),DATOS!Z:AA,2,0))</f>
        <v/>
      </c>
      <c r="BV25" s="173" t="str">
        <f>IF(ISERROR(VLOOKUP(CONCATENATE($BV$7,"-",MID(E25,1,100)),DATOS!Z:AA,2,0)),"",VLOOKUP(CONCATENATE($BV$7,"-",MID(E25,1,100)),DATOS!Z:AA,2,0))</f>
        <v/>
      </c>
      <c r="BW25" s="174" t="str">
        <f>IF(ISERROR(VLOOKUP(CONCATENATE($BW$7,"-",MID(E25,1,100)),DATOS!Z:AA,2,0)),"",VLOOKUP(CONCATENATE($BW$7,"-",MID(E25,1,100)),DATOS!Z:AA,2,0))</f>
        <v/>
      </c>
      <c r="BX25" s="210" t="str">
        <f>IF(ISERROR(VLOOKUP(CONCATENATE($BX$7,"-",MID(E25,1,100)),DATOS!Z:AA,2,0)),"",VLOOKUP(CONCATENATE($BX$7,"-",MID(E25,1,100)),DATOS!Z:AA,2,0))</f>
        <v/>
      </c>
      <c r="BY25" s="211" t="str">
        <f>IF(ISERROR(VLOOKUP(CONCATENATE($BY$7,"-",MID(E25,1,100)),DATOS!Z:AA,2,0)),"",VLOOKUP(CONCATENATE($BY$7,"-",MID(E25,1,100)),DATOS!Z:AA,2,0))</f>
        <v/>
      </c>
      <c r="BZ25" s="211" t="str">
        <f>IF(ISERROR(VLOOKUP(CONCATENATE($BZ$7,"-",MID(E25,1,100)),DATOS!Z:AA,2,0)),"",VLOOKUP(CONCATENATE($BZ$7,"-",MID(E25,1,100)),DATOS!Z:AA,2,0))</f>
        <v/>
      </c>
      <c r="CA25" s="211" t="str">
        <f>IF(ISERROR(VLOOKUP(CONCATENATE($CA$7,"-",MID(E25,1,100)),DATOS!Z:AA,2,0)),"",VLOOKUP(CONCATENATE($CA$7,"-",MID(E25,1,100)),DATOS!Z:AA,2,0))</f>
        <v/>
      </c>
      <c r="CB25" s="211" t="str">
        <f>IF(ISERROR(VLOOKUP(CONCATENATE($CB$7,"-",MID(E25,1,100)),DATOS!Z:AA,2,0)),"",VLOOKUP(CONCATENATE($CB$7,"-",MID(E25,1,100)),DATOS!Z:AA,2,0))</f>
        <v/>
      </c>
      <c r="CC25" s="211" t="str">
        <f>IF(ISERROR(VLOOKUP(CONCATENATE($CC$7,"-",MID(E25,1,100)),DATOS!Z:AA,2,0)),"",VLOOKUP(CONCATENATE($CC$7,"-",MID(E25,1,100)),DATOS!Z:AA,2,0))</f>
        <v/>
      </c>
      <c r="CD25" s="211" t="str">
        <f>IF(ISERROR(VLOOKUP(CONCATENATE($CD$7,"-",MID(E25,1,100)),DATOS!Z:AA,2,0)),"",VLOOKUP(CONCATENATE($CD$7,"-",MID(E25,1,100)),DATOS!Z:AA,2,0))</f>
        <v/>
      </c>
      <c r="CE25" s="211" t="str">
        <f>IF(ISERROR(VLOOKUP(CONCATENATE($CE$7,"-",MID(E25,1,100)),DATOS!Z:AA,2,0)),"",VLOOKUP(CONCATENATE($CE$7,"-",MID(E25,1,100)),DATOS!Z:AA,2,0))</f>
        <v/>
      </c>
      <c r="CF25" s="211" t="str">
        <f>IF(ISERROR(VLOOKUP(CONCATENATE($CF$7,"-",MID(E25,1,100)),DATOS!Z:AA,2,0)),"",VLOOKUP(CONCATENATE($CF$7,"-",MID(E25,1,100)),DATOS!Z:AA,2,0))</f>
        <v/>
      </c>
      <c r="CG25" s="212" t="str">
        <f>IF(ISERROR(VLOOKUP(CONCATENATE($CG$7,"-",MID(E25,1,100)),DATOS!Z:AA,2,0)),"",VLOOKUP(CONCATENATE($CG$7,"-",MID(E25,1,100)),DATOS!Z:AA,2,0))</f>
        <v/>
      </c>
      <c r="CH25" s="210" t="str">
        <f>IF(ISERROR(VLOOKUP(CONCATENATE($CH$7,"-",MID(E25,1,100)),DATOS!Z:AA,2,0)),"",VLOOKUP(CONCATENATE($CH$7,"-",MID(E25,1,100)),DATOS!Z:AA,2,0))</f>
        <v/>
      </c>
      <c r="CI25" s="211" t="str">
        <f>IF(ISERROR(VLOOKUP(CONCATENATE($CI$7,"-",MID(E25,1,100)),DATOS!Z:AA,2,0)),"",VLOOKUP(CONCATENATE($CI$7,"-",MID(E25,1,100)),DATOS!Z:AA,2,0))</f>
        <v/>
      </c>
      <c r="CJ25" s="211" t="str">
        <f>IF(ISERROR(VLOOKUP(CONCATENATE($CJ$7,"-",MID(E25,1,100)),DATOS!Z:AA,2,0)),"",VLOOKUP(CONCATENATE($CJ$7,"-",MID(E25,1,100)),DATOS!Z:AA,2,0))</f>
        <v/>
      </c>
      <c r="CK25" s="211" t="str">
        <f>IF(ISERROR(VLOOKUP(CONCATENATE($CK$7,"-",MID(E25,1,100)),DATOS!Z:AA,2,0)),"",VLOOKUP(CONCATENATE($CK$7,"-",MID(E25,1,100)),DATOS!Z:AA,2,0))</f>
        <v/>
      </c>
      <c r="CL25" s="211" t="str">
        <f>IF(ISERROR(VLOOKUP(CONCATENATE($CL$7,"-",MID(E25,1,100)),DATOS!Z:AA,2,0)),"",VLOOKUP(CONCATENATE($CL$7,"-",MID(E25,1,100)),DATOS!Z:AA,2,0))</f>
        <v/>
      </c>
      <c r="CM25" s="211" t="str">
        <f>IF(ISERROR(VLOOKUP(CONCATENATE($CM$7,"-",MID(E25,1,100)),DATOS!Z:AA,2,0)),"",VLOOKUP(CONCATENATE($CM$7,"-",MID(E25,1,100)),DATOS!Z:AA,2,0))</f>
        <v/>
      </c>
      <c r="CN25" s="211" t="str">
        <f>IF(ISERROR(VLOOKUP(CONCATENATE($CN$7,"-",MID(E25,1,100)),DATOS!Z:AA,2,0)),"",VLOOKUP(CONCATENATE($CN$7,"-",MID(E25,1,100)),DATOS!Z:AA,2,0))</f>
        <v/>
      </c>
      <c r="CO25" s="211" t="str">
        <f>IF(ISERROR(VLOOKUP(CONCATENATE($CO$7,"-",MID(E25,1,100)),DATOS!Z:AA,2,0)),"",VLOOKUP(CONCATENATE($CO$7,"-",MID(E25,1,100)),DATOS!Z:AA,2,0))</f>
        <v/>
      </c>
      <c r="CP25" s="213" t="str">
        <f>IF(ISERROR(VLOOKUP(CONCATENATE($CP$7,"-",MID(E25,1,100)),DATOS!Z:AA,2,0)),"",VLOOKUP(CONCATENATE($CP$7,"-",MID(E25,1,100)),DATOS!Z:AA,2,0))</f>
        <v/>
      </c>
      <c r="CQ25" s="212" t="str">
        <f>IF(ISERROR(VLOOKUP(CONCATENATE($CQ$7,"-",MID(E25,1,100)),DATOS!Z:AA,2,0)),"",VLOOKUP(CONCATENATE($CQ$7,"-",MID(E25,1,100)),DATOS!Z:AA,2,0))</f>
        <v/>
      </c>
      <c r="CR25" s="210" t="str">
        <f>IF(ISERROR(VLOOKUP(CONCATENATE(CR$7,"-",MID($E25,1,100)),DATOS!$Z:$AA,2,0)),"",VLOOKUP(CONCATENATE(CR$7,"-",MID($E25,1,100)),DATOS!$Z:$AA,2,0))</f>
        <v/>
      </c>
      <c r="CS25" s="211" t="str">
        <f>IF(ISERROR(VLOOKUP(CONCATENATE(CS$7,"-",MID($E25,1,100)),DATOS!$Z:$AA,2,0)),"",VLOOKUP(CONCATENATE(CS$7,"-",MID($E25,1,100)),DATOS!$Z:$AA,2,0))</f>
        <v/>
      </c>
      <c r="CT25" s="211" t="str">
        <f>IF(ISERROR(VLOOKUP(CONCATENATE(CT$7,"-",MID($E25,1,100)),DATOS!$Z:$AA,2,0)),"",VLOOKUP(CONCATENATE(CT$7,"-",MID($E25,1,100)),DATOS!$Z:$AA,2,0))</f>
        <v/>
      </c>
      <c r="CU25" s="211" t="str">
        <f>IF(ISERROR(VLOOKUP(CONCATENATE(CU$7,"-",MID($E25,1,100)),DATOS!$Z:$AA,2,0)),"",VLOOKUP(CONCATENATE(CU$7,"-",MID($E25,1,100)),DATOS!$Z:$AA,2,0))</f>
        <v/>
      </c>
      <c r="CV25" s="211" t="str">
        <f>IF(ISERROR(VLOOKUP(CONCATENATE(CV$7,"-",MID($E25,1,100)),DATOS!$Z:$AA,2,0)),"",VLOOKUP(CONCATENATE(CV$7,"-",MID($E25,1,100)),DATOS!$Z:$AA,2,0))</f>
        <v/>
      </c>
      <c r="CW25" s="211" t="str">
        <f>IF(ISERROR(VLOOKUP(CONCATENATE(CW$7,"-",MID($E25,1,100)),DATOS!$Z:$AA,2,0)),"",VLOOKUP(CONCATENATE(CW$7,"-",MID($E25,1,100)),DATOS!$Z:$AA,2,0))</f>
        <v/>
      </c>
      <c r="CX25" s="211" t="str">
        <f>IF(ISERROR(VLOOKUP(CONCATENATE(CX$7,"-",MID($E25,1,100)),DATOS!$Z:$AA,2,0)),"",VLOOKUP(CONCATENATE(CX$7,"-",MID($E25,1,100)),DATOS!$Z:$AA,2,0))</f>
        <v/>
      </c>
      <c r="CY25" s="211" t="str">
        <f>IF(ISERROR(VLOOKUP(CONCATENATE(CY$7,"-",MID($E25,1,100)),DATOS!$Z:$AA,2,0)),"",VLOOKUP(CONCATENATE(CY$7,"-",MID($E25,1,100)),DATOS!$Z:$AA,2,0))</f>
        <v/>
      </c>
      <c r="CZ25" s="213" t="str">
        <f>IF(ISERROR(VLOOKUP(CONCATENATE(CZ$7,"-",MID($E25,1,100)),DATOS!$Z:$AA,2,0)),"",VLOOKUP(CONCATENATE(CZ$7,"-",MID($E25,1,100)),DATOS!$Z:$AA,2,0))</f>
        <v/>
      </c>
      <c r="DA25" s="212" t="str">
        <f>IF(ISERROR(VLOOKUP(CONCATENATE(DA$7,"-",MID($E25,1,100)),DATOS!$Z:$AA,2,0)),"",VLOOKUP(CONCATENATE(DA$7,"-",MID($E25,1,100)),DATOS!$Z:$AA,2,0))</f>
        <v/>
      </c>
      <c r="DB25" s="210" t="str">
        <f>IF(ISERROR(VLOOKUP(CONCATENATE(DB$7,"-",MID($E25,1,100)),DATOS!$Z:$AA,2,0)),"",VLOOKUP(CONCATENATE(DB$7,"-",MID($E25,1,100)),DATOS!$Z:$AA,2,0))</f>
        <v/>
      </c>
      <c r="DC25" s="211" t="str">
        <f>IF(ISERROR(VLOOKUP(CONCATENATE(DC$7,"-",MID($E25,1,100)),DATOS!$Z:$AA,2,0)),"",VLOOKUP(CONCATENATE(DC$7,"-",MID($E25,1,100)),DATOS!$Z:$AA,2,0))</f>
        <v/>
      </c>
      <c r="DD25" s="211" t="str">
        <f>IF(ISERROR(VLOOKUP(CONCATENATE(DD$7,"-",MID($E25,1,100)),DATOS!$Z:$AA,2,0)),"",VLOOKUP(CONCATENATE(DD$7,"-",MID($E25,1,100)),DATOS!$Z:$AA,2,0))</f>
        <v/>
      </c>
      <c r="DE25" s="211" t="str">
        <f>IF(ISERROR(VLOOKUP(CONCATENATE(DE$7,"-",MID($E25,1,100)),DATOS!$Z:$AA,2,0)),"",VLOOKUP(CONCATENATE(DE$7,"-",MID($E25,1,100)),DATOS!$Z:$AA,2,0))</f>
        <v/>
      </c>
      <c r="DF25" s="211" t="str">
        <f>IF(ISERROR(VLOOKUP(CONCATENATE(DF$7,"-",MID($E25,1,100)),DATOS!$Z:$AA,2,0)),"",VLOOKUP(CONCATENATE(DF$7,"-",MID($E25,1,100)),DATOS!$Z:$AA,2,0))</f>
        <v/>
      </c>
      <c r="DG25" s="211" t="str">
        <f>IF(ISERROR(VLOOKUP(CONCATENATE(DG$7,"-",MID($E25,1,100)),DATOS!$Z:$AA,2,0)),"",VLOOKUP(CONCATENATE(DG$7,"-",MID($E25,1,100)),DATOS!$Z:$AA,2,0))</f>
        <v/>
      </c>
      <c r="DH25" s="211" t="str">
        <f>IF(ISERROR(VLOOKUP(CONCATENATE(DH$7,"-",MID($E25,1,100)),DATOS!$Z:$AA,2,0)),"",VLOOKUP(CONCATENATE(DH$7,"-",MID($E25,1,100)),DATOS!$Z:$AA,2,0))</f>
        <v/>
      </c>
      <c r="DI25" s="211" t="str">
        <f>IF(ISERROR(VLOOKUP(CONCATENATE(DI$7,"-",MID($E25,1,100)),DATOS!$Z:$AA,2,0)),"",VLOOKUP(CONCATENATE(DI$7,"-",MID($E25,1,100)),DATOS!$Z:$AA,2,0))</f>
        <v/>
      </c>
      <c r="DJ25" s="213" t="str">
        <f>IF(ISERROR(VLOOKUP(CONCATENATE(DJ$7,"-",MID($E25,1,100)),DATOS!$Z:$AA,2,0)),"",VLOOKUP(CONCATENATE(DJ$7,"-",MID($E25,1,100)),DATOS!$Z:$AA,2,0))</f>
        <v/>
      </c>
      <c r="DK25" s="212" t="str">
        <f>IF(ISERROR(VLOOKUP(CONCATENATE(DK$7,"-",MID($E25,1,100)),DATOS!$Z:$AA,2,0)),"",VLOOKUP(CONCATENATE(DK$7,"-",MID($E25,1,100)),DATOS!$Z:$AA,2,0))</f>
        <v/>
      </c>
      <c r="DL25" s="210" t="str">
        <f>IF(ISERROR(VLOOKUP(CONCATENATE(DL$7,"-",MID($E25,1,100)),DATOS!$Z:$AA,2,0)),"",VLOOKUP(CONCATENATE(DL$7,"-",MID($E25,1,100)),DATOS!$Z:$AA,2,0))</f>
        <v/>
      </c>
      <c r="DM25" s="211" t="str">
        <f>IF(ISERROR(VLOOKUP(CONCATENATE(DM$7,"-",MID($E25,1,100)),DATOS!$Z:$AA,2,0)),"",VLOOKUP(CONCATENATE(DM$7,"-",MID($E25,1,100)),DATOS!$Z:$AA,2,0))</f>
        <v/>
      </c>
      <c r="DN25" s="211" t="str">
        <f>IF(ISERROR(VLOOKUP(CONCATENATE(DN$7,"-",MID($E25,1,100)),DATOS!$Z:$AA,2,0)),"",VLOOKUP(CONCATENATE(DN$7,"-",MID($E25,1,100)),DATOS!$Z:$AA,2,0))</f>
        <v/>
      </c>
      <c r="DO25" s="211" t="str">
        <f>IF(ISERROR(VLOOKUP(CONCATENATE(DO$7,"-",MID($E25,1,100)),DATOS!$Z:$AA,2,0)),"",VLOOKUP(CONCATENATE(DO$7,"-",MID($E25,1,100)),DATOS!$Z:$AA,2,0))</f>
        <v/>
      </c>
      <c r="DP25" s="211" t="str">
        <f>IF(ISERROR(VLOOKUP(CONCATENATE(DP$7,"-",MID($E25,1,100)),DATOS!$Z:$AA,2,0)),"",VLOOKUP(CONCATENATE(DP$7,"-",MID($E25,1,100)),DATOS!$Z:$AA,2,0))</f>
        <v/>
      </c>
      <c r="DQ25" s="211" t="str">
        <f>IF(ISERROR(VLOOKUP(CONCATENATE(DQ$7,"-",MID($E25,1,100)),DATOS!$Z:$AA,2,0)),"",VLOOKUP(CONCATENATE(DQ$7,"-",MID($E25,1,100)),DATOS!$Z:$AA,2,0))</f>
        <v/>
      </c>
      <c r="DR25" s="211" t="str">
        <f>IF(ISERROR(VLOOKUP(CONCATENATE(DR$7,"-",MID($E25,1,100)),DATOS!$Z:$AA,2,0)),"",VLOOKUP(CONCATENATE(DR$7,"-",MID($E25,1,100)),DATOS!$Z:$AA,2,0))</f>
        <v/>
      </c>
      <c r="DS25" s="211" t="str">
        <f>IF(ISERROR(VLOOKUP(CONCATENATE(DS$7,"-",MID($E25,1,100)),DATOS!$Z:$AA,2,0)),"",VLOOKUP(CONCATENATE(DS$7,"-",MID($E25,1,100)),DATOS!$Z:$AA,2,0))</f>
        <v/>
      </c>
      <c r="DT25" s="213" t="str">
        <f>IF(ISERROR(VLOOKUP(CONCATENATE(DT$7,"-",MID($E25,1,100)),DATOS!$Z:$AA,2,0)),"",VLOOKUP(CONCATENATE(DT$7,"-",MID($E25,1,100)),DATOS!$Z:$AA,2,0))</f>
        <v/>
      </c>
      <c r="DU25" s="212" t="str">
        <f>IF(ISERROR(VLOOKUP(CONCATENATE(DU$7,"-",MID($E25,1,100)),DATOS!$Z:$AA,2,0)),"",VLOOKUP(CONCATENATE(DU$7,"-",MID($E25,1,100)),DATOS!$Z:$AA,2,0))</f>
        <v/>
      </c>
      <c r="DV25" s="210" t="str">
        <f>IF(ISERROR(VLOOKUP(CONCATENATE(DV$7,"-",MID($E25,1,100)),DATOS!$Z:$AA,2,0)),"",VLOOKUP(CONCATENATE(DV$7,"-",MID($E25,1,100)),DATOS!$Z:$AA,2,0))</f>
        <v/>
      </c>
      <c r="DW25" s="211" t="str">
        <f>IF(ISERROR(VLOOKUP(CONCATENATE(DW$7,"-",MID($E25,1,100)),DATOS!$Z:$AA,2,0)),"",VLOOKUP(CONCATENATE(DW$7,"-",MID($E25,1,100)),DATOS!$Z:$AA,2,0))</f>
        <v/>
      </c>
      <c r="DX25" s="211" t="str">
        <f>IF(ISERROR(VLOOKUP(CONCATENATE(DX$7,"-",MID($E25,1,100)),DATOS!$Z:$AA,2,0)),"",VLOOKUP(CONCATENATE(DX$7,"-",MID($E25,1,100)),DATOS!$Z:$AA,2,0))</f>
        <v/>
      </c>
      <c r="DY25" s="211" t="str">
        <f>IF(ISERROR(VLOOKUP(CONCATENATE(DY$7,"-",MID($E25,1,100)),DATOS!$Z:$AA,2,0)),"",VLOOKUP(CONCATENATE(DY$7,"-",MID($E25,1,100)),DATOS!$Z:$AA,2,0))</f>
        <v/>
      </c>
      <c r="DZ25" s="211" t="str">
        <f>IF(ISERROR(VLOOKUP(CONCATENATE(DZ$7,"-",MID($E25,1,100)),DATOS!$Z:$AA,2,0)),"",VLOOKUP(CONCATENATE(DZ$7,"-",MID($E25,1,100)),DATOS!$Z:$AA,2,0))</f>
        <v/>
      </c>
      <c r="EA25" s="211" t="str">
        <f>IF(ISERROR(VLOOKUP(CONCATENATE(EA$7,"-",MID($E25,1,100)),DATOS!$Z:$AA,2,0)),"",VLOOKUP(CONCATENATE(EA$7,"-",MID($E25,1,100)),DATOS!$Z:$AA,2,0))</f>
        <v/>
      </c>
      <c r="EB25" s="211" t="str">
        <f>IF(ISERROR(VLOOKUP(CONCATENATE(EB$7,"-",MID($E25,1,100)),DATOS!$Z:$AA,2,0)),"",VLOOKUP(CONCATENATE(EB$7,"-",MID($E25,1,100)),DATOS!$Z:$AA,2,0))</f>
        <v/>
      </c>
      <c r="EC25" s="211" t="str">
        <f>IF(ISERROR(VLOOKUP(CONCATENATE(EC$7,"-",MID($E25,1,100)),DATOS!$Z:$AA,2,0)),"",VLOOKUP(CONCATENATE(EC$7,"-",MID($E25,1,100)),DATOS!$Z:$AA,2,0))</f>
        <v/>
      </c>
      <c r="ED25" s="213" t="str">
        <f>IF(ISERROR(VLOOKUP(CONCATENATE(ED$7,"-",MID($E25,1,100)),DATOS!$Z:$AA,2,0)),"",VLOOKUP(CONCATENATE(ED$7,"-",MID($E25,1,100)),DATOS!$Z:$AA,2,0))</f>
        <v/>
      </c>
      <c r="EE25" s="212" t="str">
        <f>IF(ISERROR(VLOOKUP(CONCATENATE(EE$7,"-",MID($E25,1,100)),DATOS!$Z:$AA,2,0)),"",VLOOKUP(CONCATENATE(EE$7,"-",MID($E25,1,100)),DATOS!$Z:$AA,2,0))</f>
        <v/>
      </c>
      <c r="EF25" s="210" t="str">
        <f>IF(ISERROR(VLOOKUP(CONCATENATE($EF$7,"-",MID(E25,1,100)),DATOS!Z:AA,2,0)),"",VLOOKUP(CONCATENATE($EF$7,"-",MID(E25,1,100)),DATOS!Z:AA,2,0))</f>
        <v/>
      </c>
      <c r="EG25" s="211" t="str">
        <f>IF(ISERROR(VLOOKUP(CONCATENATE($EG$7,"-",MID(E25,1,100)),DATOS!Z:AA,2,0)),"",VLOOKUP(CONCATENATE($EG$7,"-",MID(E25,1,100)),DATOS!Z:AA,2,0))</f>
        <v/>
      </c>
      <c r="EH25" s="211" t="str">
        <f>IF(ISERROR(VLOOKUP(CONCATENATE($EH$7,"-",MID(E25,1,100)),DATOS!Z:AA,2,0)),"",VLOOKUP(CONCATENATE($EH$7,"-",MID(E25,1,100)),DATOS!Z:AA,2,0))</f>
        <v/>
      </c>
      <c r="EI25" s="211" t="str">
        <f>IF(ISERROR(VLOOKUP(CONCATENATE($EI$7,"-",MID(E25,1,100)),DATOS!Z:AA,2,0)),"",VLOOKUP(CONCATENATE($EI$7,"-",MID(E25,1,100)),DATOS!Z:AA,2,0))</f>
        <v/>
      </c>
      <c r="EJ25" s="211" t="str">
        <f>IF(ISERROR(VLOOKUP(CONCATENATE($EJ$7,"-",MID(E25,1,100)),DATOS!Z:AA,2,0)),"",VLOOKUP(CONCATENATE($EJ$7,"-",MID(E25,1,100)),DATOS!Z:AA,2,0))</f>
        <v/>
      </c>
      <c r="EK25" s="211" t="str">
        <f>IF(ISERROR(VLOOKUP(CONCATENATE($EK$7,"-",MID(E25,1,100)),DATOS!Z:AA,2,0)),"",VLOOKUP(CONCATENATE($EK$7,"-",MID(E25,1,100)),DATOS!Z:AA,2,0))</f>
        <v/>
      </c>
      <c r="EL25" s="211" t="str">
        <f>IF(ISERROR(VLOOKUP(CONCATENATE($EL$7,"-",MID(E25,1,100)),DATOS!Z:AA,2,0)),"",VLOOKUP(CONCATENATE($EL$7,"-",MID(E25,1,100)),DATOS!Z:AA,2,0))</f>
        <v/>
      </c>
      <c r="EM25" s="211" t="str">
        <f>IF(ISERROR(VLOOKUP(CONCATENATE($EM$7,"-",MID(E25,1,100)),DATOS!Z:AA,2,0)),"",VLOOKUP(CONCATENATE($EM$7,"-",MID(E25,1,100)),DATOS!Z:AA,2,0))</f>
        <v/>
      </c>
      <c r="EN25" s="211" t="str">
        <f>IF(ISERROR(VLOOKUP(CONCATENATE($EN$7,"-",MID(E25,1,100)),DATOS!Z:AA,2,0)),"",VLOOKUP(CONCATENATE($EN$7,"-",MID(E25,1,100)),DATOS!Z:AA,2,0))</f>
        <v/>
      </c>
      <c r="EO25" s="212" t="str">
        <f>IF(ISERROR(VLOOKUP(CONCATENATE($EO$7,"-",MID(E25,1,100)),DATOS!Z:AA,2,0)),"",VLOOKUP(CONCATENATE($EO$7,"-",MID(E25,1,100)),DATOS!Z:AA,2,0))</f>
        <v/>
      </c>
      <c r="EP25" s="175">
        <f t="shared" si="0"/>
        <v>0</v>
      </c>
      <c r="EQ25" s="159" t="str">
        <f t="shared" si="1"/>
        <v>-N3</v>
      </c>
    </row>
    <row r="26" spans="1:147" ht="17.25" customHeight="1">
      <c r="A26" s="148"/>
      <c r="B26" s="151" t="str">
        <f>IF('1.Fundamentos'!B58="","",'1.Fundamentos'!B58)</f>
        <v>CP1: Orientación educativa</v>
      </c>
      <c r="C26" s="152" t="s">
        <v>78</v>
      </c>
      <c r="D26" s="153" t="str">
        <f>IF('1.Fundamentos'!F58="","",'1.Fundamentos'!F58)</f>
        <v xml:space="preserve">Establece las orientaciones fundamentales del sentido educativo en los docentes y los alumnos. </v>
      </c>
      <c r="E26" s="154" t="str">
        <f t="shared" si="2"/>
        <v xml:space="preserve">CP1: Orientación educativa:N1 Establece las orientaciones fundamentales del sentido educativo en los docentes y los alumnos. </v>
      </c>
      <c r="F26" s="204" t="str">
        <f>IF(ISERROR(VLOOKUP(CONCATENATE($F$7,"-",MID(E26,1,100)),DATOS!Z:AA,2,0)),"",VLOOKUP(CONCATENATE($F$7,"-",MID(E26,1,100)),DATOS!Z:AA,2,0))</f>
        <v/>
      </c>
      <c r="G26" s="205" t="str">
        <f>IF(ISERROR(VLOOKUP(CONCATENATE($G$7,"-",MID(E26,1,100)),DATOS!Z:AA,2,0)),"",VLOOKUP(CONCATENATE($G$7,"-",MID(E26,1,100)),DATOS!Z:AA,2,0))</f>
        <v/>
      </c>
      <c r="H26" s="205" t="str">
        <f>IF(ISERROR(VLOOKUP(CONCATENATE($H$7,"-",MID(E26,1,100)),DATOS!Z:AA,2,0)),"",VLOOKUP(CONCATENATE($H$7,"-",MID(E26,1,100)),DATOS!Z:AA,2,0))</f>
        <v/>
      </c>
      <c r="I26" s="205" t="str">
        <f>IF(ISERROR(VLOOKUP(CONCATENATE($I$7,"-",MID(E26,1,100)),DATOS!Z:AA,2,0)),"",VLOOKUP(CONCATENATE($I$7,"-",MID(E26,1,100)),DATOS!Z:AA,2,0))</f>
        <v/>
      </c>
      <c r="J26" s="205" t="str">
        <f>IF(ISERROR(VLOOKUP(CONCATENATE($J$7,"-",MID(E26,1,100)),DATOS!Z:AA,2,0)),"",VLOOKUP(CONCATENATE($J$7,"-",MID(E26,1,100)),DATOS!Z:AA,2,0))</f>
        <v/>
      </c>
      <c r="K26" s="205" t="str">
        <f>IF(ISERROR(VLOOKUP(CONCATENATE($K$7,"-",MID(E26,1,100)),DATOS!Z:AA,2,0)),"",VLOOKUP(CONCATENATE($K$7,"-",MID(E26,1,100)),DATOS!Z:AA,2,0))</f>
        <v/>
      </c>
      <c r="L26" s="205" t="str">
        <f>IF(ISERROR(VLOOKUP(CONCATENATE($L$7,"-",MID(E26,1,100)),DATOS!Z:AA,2,0)),"",VLOOKUP(CONCATENATE($L$7,"-",MID(E26,1,100)),DATOS!Z:AA,2,0))</f>
        <v/>
      </c>
      <c r="M26" s="205" t="str">
        <f>IF(ISERROR(VLOOKUP(CONCATENATE($M$7,"-",MID(E26,1,100)),DATOS!Z:AA,2,0)),"",VLOOKUP(CONCATENATE($M$7,"-",MID(E26,1,100)),DATOS!Z:AA,2,0))</f>
        <v/>
      </c>
      <c r="N26" s="205" t="str">
        <f>IF(ISERROR(VLOOKUP(CONCATENATE($N$7,"-",MID(E26,1,100)),DATOS!Z:AA,2,0)),"",VLOOKUP(CONCATENATE($N$7,"-",MID(E26,1,100)),DATOS!Z:AA,2,0))</f>
        <v/>
      </c>
      <c r="O26" s="206" t="str">
        <f>IF(ISERROR(VLOOKUP(CONCATENATE($O$7,"-",MID(E26,1,100)),DATOS!Z:AA,2,0)),"",VLOOKUP(CONCATENATE($O$7,"-",MID(E26,1,100)),DATOS!Z:AA,2,0))</f>
        <v/>
      </c>
      <c r="P26" s="204" t="str">
        <f>IF(ISERROR(VLOOKUP(CONCATENATE($P$7,"-",MID(E26,1,100)),DATOS!Z:AA,2,0)),"",VLOOKUP(CONCATENATE($P$7,"-",MID(E26,1,100)),DATOS!Z:AA,2,0))</f>
        <v/>
      </c>
      <c r="Q26" s="205" t="str">
        <f>IF(ISERROR(VLOOKUP(CONCATENATE($Q$7,"-",MID(E26,1,100)),DATOS!Z:AA,2,0)),"",VLOOKUP(CONCATENATE($Q$7,"-",MID(E26,1,100)),DATOS!Z:AA,2,0))</f>
        <v/>
      </c>
      <c r="R26" s="205" t="str">
        <f>IF(ISERROR(VLOOKUP(CONCATENATE($R$7,"-",MID(E26,1,100)),DATOS!Z:AA,2,0)),"",VLOOKUP(CONCATENATE($R$7,"-",MID(E26,1,100)),DATOS!Z:AA,2,0))</f>
        <v>a</v>
      </c>
      <c r="S26" s="205" t="str">
        <f>IF(ISERROR(VLOOKUP(CONCATENATE($S$7,"-",MID(E26,1,100)),DATOS!Z:AA,2,0)),"",VLOOKUP(CONCATENATE($S$7,"-",MID(E26,1,100)),DATOS!Z:AA,2,0))</f>
        <v/>
      </c>
      <c r="T26" s="205" t="str">
        <f>IF(ISERROR(VLOOKUP(CONCATENATE($T$7,"-",MID(E26,1,100)),DATOS!Z:AA,2,0)),"",VLOOKUP(CONCATENATE($T$7,"-",MID(E26,1,100)),DATOS!Z:AA,2,0))</f>
        <v/>
      </c>
      <c r="U26" s="205" t="str">
        <f>IF(ISERROR(VLOOKUP(CONCATENATE($U$7,"-",MID(E26,1,100)),DATOS!Z:AA,2,0)),"",VLOOKUP(CONCATENATE($U$7,"-",MID(E26,1,100)),DATOS!Z:AA,2,0))</f>
        <v>a</v>
      </c>
      <c r="V26" s="205" t="str">
        <f>IF(ISERROR(VLOOKUP(CONCATENATE($V$7,"-",MID(E26,1,100)),DATOS!Z:AA,2,0)),"",VLOOKUP(CONCATENATE($V$7,"-",MID(E26,1,100)),DATOS!Z:AA,2,0))</f>
        <v/>
      </c>
      <c r="W26" s="205" t="str">
        <f>IF(ISERROR(VLOOKUP(CONCATENATE($W$7,"-",MID(E26,1,100)),DATOS!Z:AA,2,0)),"",VLOOKUP(CONCATENATE($W$7,"-",MID(E26,1,100)),DATOS!Z:AA,2,0))</f>
        <v/>
      </c>
      <c r="X26" s="205" t="str">
        <f>IF(ISERROR(VLOOKUP(CONCATENATE($X$7,"-",MID(E26,1,100)),DATOS!Z:AA,2,0)),"",VLOOKUP(CONCATENATE($X$7,"-",MID(E26,1,100)),DATOS!Z:AA,2,0))</f>
        <v/>
      </c>
      <c r="Y26" s="206" t="str">
        <f>IF(ISERROR(VLOOKUP(CONCATENATE($Y$7,"-",MID(E26,1,100)),DATOS!Z:AA,2,0)),"",VLOOKUP(CONCATENATE($Y$7,"-",MID(E26,1,100)),DATOS!Z:AA,2,0))</f>
        <v/>
      </c>
      <c r="Z26" s="204" t="str">
        <f>IF(ISERROR(VLOOKUP(CONCATENATE($Z$7,"-",MID(E26,1,100)),DATOS!Z:AA,2,0)),"",VLOOKUP(CONCATENATE($Z$7,"-",MID(E26,1,100)),DATOS!Z:AA,2,0))</f>
        <v/>
      </c>
      <c r="AA26" s="205" t="str">
        <f>IF(ISERROR(VLOOKUP(CONCATENATE($AA$7,"-",MID(E26,1,100)),DATOS!Z:AA,2,0)),"",VLOOKUP(CONCATENATE($AA$7,"-",MID(E26,1,100)),DATOS!Z:AA,2,0))</f>
        <v/>
      </c>
      <c r="AB26" s="205" t="str">
        <f>IF(ISERROR(VLOOKUP(CONCATENATE($AB$7,"-",MID(E26,1,100)),DATOS!Z:AA,2,0)),"",VLOOKUP(CONCATENATE($AB$7,"-",MID(E26,1,100)),DATOS!Z:AA,2,0))</f>
        <v/>
      </c>
      <c r="AC26" s="205" t="str">
        <f>IF(ISERROR(VLOOKUP(CONCATENATE($AC$7,"-",MID(E26,1,100)),DATOS!Z:AA,2,0)),"",VLOOKUP(CONCATENATE($AC$7,"-",MID(E26,1,100)),DATOS!Z:AA,2,0))</f>
        <v/>
      </c>
      <c r="AD26" s="205" t="str">
        <f>IF(ISERROR(VLOOKUP(CONCATENATE($AD$7,"-",MID(E26,1,100)),DATOS!Z:AA,2,0)),"",VLOOKUP(CONCATENATE($AD$7,"-",MID(E26,1,100)),DATOS!Z:AA,2,0))</f>
        <v>a</v>
      </c>
      <c r="AE26" s="205" t="str">
        <f>IF(ISERROR(VLOOKUP(CONCATENATE($AE$7,"-",MID(E26,1,100)),DATOS!Z:AA,2,0)),"",VLOOKUP(CONCATENATE($AE$7,"-",MID(E26,1,100)),DATOS!Z:AA,2,0))</f>
        <v/>
      </c>
      <c r="AF26" s="205" t="str">
        <f>IF(ISERROR(VLOOKUP(CONCATENATE($AF$7,"-",MID(E26,1,100)),DATOS!Z:AA,2,0)),"",VLOOKUP(CONCATENATE($AF$7,"-",MID(E26,1,100)),DATOS!Z:AA,2,0))</f>
        <v/>
      </c>
      <c r="AG26" s="205" t="str">
        <f>IF(ISERROR(VLOOKUP(CONCATENATE($AG$7,"-",MID(E26,1,100)),DATOS!Z:AA,2,0)),"",VLOOKUP(CONCATENATE($AG$7,"-",MID(E26,1,100)),DATOS!Z:AA,2,0))</f>
        <v/>
      </c>
      <c r="AH26" s="205" t="str">
        <f>IF(ISERROR(VLOOKUP(CONCATENATE($AH$7,"-",MID(E26,1,100)),DATOS!Z:AA,2,0)),"",VLOOKUP(CONCATENATE($AH$7,"-",MID(E26,1,100)),DATOS!Z:AA,2,0))</f>
        <v/>
      </c>
      <c r="AI26" s="206" t="str">
        <f>IF(ISERROR(VLOOKUP(CONCATENATE($AI$7,"-",MID(E26,1,100)),DATOS!Z:AA,2,0)),"",VLOOKUP(CONCATENATE($AI$7,"-",MID(E26,1,100)),DATOS!Z:AA,2,0))</f>
        <v/>
      </c>
      <c r="AJ26" s="204" t="str">
        <f>IF(ISERROR(VLOOKUP(CONCATENATE($AJ$7,"-",MID(E26,1,100)),DATOS!Z:AA,2,0)),"",VLOOKUP(CONCATENATE($AJ$7,"-",MID(E26,1,100)),DATOS!Z:AA,2,0))</f>
        <v/>
      </c>
      <c r="AK26" s="205" t="str">
        <f>IF(ISERROR(VLOOKUP(CONCATENATE($AK$7,"-",MID(E26,1,100)),DATOS!Z:AA,2,0)),"",VLOOKUP(CONCATENATE($AK$7,"-",MID(E26,1,100)),DATOS!Z:AA,2,0))</f>
        <v/>
      </c>
      <c r="AL26" s="205" t="str">
        <f>IF(ISERROR(VLOOKUP(CONCATENATE($AL$7,"-",MID(E26,1,100)),DATOS!Z:AA,2,0)),"",VLOOKUP(CONCATENATE($AL$7,"-",MID(E26,1,100)),DATOS!Z:AA,2,0))</f>
        <v/>
      </c>
      <c r="AM26" s="205" t="str">
        <f>IF(ISERROR(VLOOKUP(CONCATENATE($AM$7,"-",MID(E26,1,100)),DATOS!Z:AA,2,0)),"",VLOOKUP(CONCATENATE($AM$7,"-",MID(E26,1,100)),DATOS!Z:AA,2,0))</f>
        <v/>
      </c>
      <c r="AN26" s="205" t="str">
        <f>IF(ISERROR(VLOOKUP(CONCATENATE($AN$7,"-",MID(E26,1,100)),DATOS!Z:AA,2,0)),"",VLOOKUP(CONCATENATE($AN$7,"-",MID(E26,1,100)),DATOS!Z:AA,2,0))</f>
        <v/>
      </c>
      <c r="AO26" s="205" t="str">
        <f>IF(ISERROR(VLOOKUP(CONCATENATE($AO$7,"-",MID(E26,1,100)),DATOS!Z:AA,2,0)),"",VLOOKUP(CONCATENATE($AO$7,"-",MID(E26,1,100)),DATOS!Z:AA,2,0))</f>
        <v/>
      </c>
      <c r="AP26" s="205" t="str">
        <f>IF(ISERROR(VLOOKUP(CONCATENATE($AP$7,"-",MID(E26,1,100)),DATOS!Z:AA,2,0)),"",VLOOKUP(CONCATENATE($AP$7,"-",MID(E26,1,100)),DATOS!Z:AA,2,0))</f>
        <v/>
      </c>
      <c r="AQ26" s="205" t="str">
        <f>IF(ISERROR(VLOOKUP(CONCATENATE($AQ$7,"-",MID(E26,1,100)),DATOS!Z:AA,2,0)),"",VLOOKUP(CONCATENATE($AQ$7,"-",MID(E26,1,100)),DATOS!Z:AA,2,0))</f>
        <v/>
      </c>
      <c r="AR26" s="205" t="str">
        <f>IF(ISERROR(VLOOKUP(CONCATENATE($AR$7,"-",MID(E26,1,100)),DATOS!Z:AA,2,0)),"",VLOOKUP(CONCATENATE($AR$7,"-",MID(E26,1,100)),DATOS!Z:AA,2,0))</f>
        <v/>
      </c>
      <c r="AS26" s="206" t="str">
        <f>IF(ISERROR(VLOOKUP(CONCATENATE($AS$7,"-",MID(E26,1,100)),DATOS!Z:AA,2,0)),"",VLOOKUP(CONCATENATE($AS$7,"-",MID(E26,1,100)),DATOS!Z:AA,2,0))</f>
        <v/>
      </c>
      <c r="AT26" s="155" t="str">
        <f>IF(ISERROR(VLOOKUP(CONCATENATE($AT$7,"-",MID(E26,1,100)),DATOS!Z:AA,2,0)),"",VLOOKUP(CONCATENATE($AT$7,"-",MID(E26,1,100)),DATOS!Z:AA,2,0))</f>
        <v/>
      </c>
      <c r="AU26" s="156" t="str">
        <f>IF(ISERROR(VLOOKUP(CONCATENATE($AU$7,"-",MID(E26,1,100)),DATOS!Z:AA,2,0)),"",VLOOKUP(CONCATENATE($AU$7,"-",MID(E26,1,100)),DATOS!Z:AA,2,0))</f>
        <v/>
      </c>
      <c r="AV26" s="156" t="str">
        <f>IF(ISERROR(VLOOKUP(CONCATENATE($AV$7,"-",MID(E26,1,100)),DATOS!Z:AA,2,0)),"",VLOOKUP(CONCATENATE($AV$7,"-",MID(E26,1,100)),DATOS!Z:AA,2,0))</f>
        <v/>
      </c>
      <c r="AW26" s="156" t="str">
        <f>IF(ISERROR(VLOOKUP(CONCATENATE($AW$7,"-",MID(E26,1,100)),DATOS!Z:AA,2,0)),"",VLOOKUP(CONCATENATE($AW$7,"-",MID(E26,1,100)),DATOS!Z:AA,2,0))</f>
        <v/>
      </c>
      <c r="AX26" s="156" t="str">
        <f>IF(ISERROR(VLOOKUP(CONCATENATE($AX$7,"-",MID(E26,1,100)),DATOS!Z:AA,2,0)),"",VLOOKUP(CONCATENATE($AX$7,"-",MID(E26,1,100)),DATOS!Z:AA,2,0))</f>
        <v/>
      </c>
      <c r="AY26" s="156" t="str">
        <f>IF(ISERROR(VLOOKUP(CONCATENATE($AY$7,"-",MID(E26,1,100)),DATOS!Z:AA,2,0)),"",VLOOKUP(CONCATENATE($AY$7,"-",MID(E26,1,100)),DATOS!Z:AA,2,0))</f>
        <v/>
      </c>
      <c r="AZ26" s="156" t="str">
        <f>IF(ISERROR(VLOOKUP(CONCATENATE($AZ$7,"-",MID(E26,1,100)),DATOS!Z:AA,2,0)),"",VLOOKUP(CONCATENATE($AZ$7,"-",MID(E26,1,100)),DATOS!Z:AA,2,0))</f>
        <v/>
      </c>
      <c r="BA26" s="156" t="str">
        <f>IF(ISERROR(VLOOKUP(CONCATENATE($BA$7,"-",MID(E26,1,100)),DATOS!Z:AA,2,0)),"",VLOOKUP(CONCATENATE($BA$7,"-",MID(E26,1,100)),DATOS!Z:AA,2,0))</f>
        <v/>
      </c>
      <c r="BB26" s="156" t="str">
        <f>IF(ISERROR(VLOOKUP(CONCATENATE($BB$7,"-",MID(E26,1,100)),DATOS!Z:AA,2,0)),"",VLOOKUP(CONCATENATE($BB$7,"-",MID(E26,1,100)),DATOS!Z:AA,2,0))</f>
        <v/>
      </c>
      <c r="BC26" s="157" t="str">
        <f>IF(ISERROR(VLOOKUP(CONCATENATE($BC$7,"-",MID(E26,1,100)),DATOS!Z:AA,2,0)),"",VLOOKUP(CONCATENATE($BC$7,"-",MID(E26,1,100)),DATOS!Z:AA,2,0))</f>
        <v/>
      </c>
      <c r="BD26" s="155" t="str">
        <f>IF(ISERROR(VLOOKUP(CONCATENATE($BD$7,"-",MID(E26,1,100)),DATOS!Z:AA,2,0)),"",VLOOKUP(CONCATENATE($BD$7,"-",MID(E26,1,100)),DATOS!Z:AA,2,0))</f>
        <v/>
      </c>
      <c r="BE26" s="156" t="str">
        <f>IF(ISERROR(VLOOKUP(CONCATENATE($BE$7,"-",MID(E26,1,100)),DATOS!Z:AA,2,0)),"",VLOOKUP(CONCATENATE($BE$7,"-",MID(E26,1,100)),DATOS!Z:AA,2,0))</f>
        <v/>
      </c>
      <c r="BF26" s="156" t="str">
        <f>IF(ISERROR(VLOOKUP(CONCATENATE($BF$7,"-",MID(E26,1,100)),DATOS!Z:AA,2,0)),"",VLOOKUP(CONCATENATE($BF$7,"-",MID(E26,1,100)),DATOS!Z:AA,2,0))</f>
        <v/>
      </c>
      <c r="BG26" s="156" t="str">
        <f>IF(ISERROR(VLOOKUP(CONCATENATE($BG$7,"-",MID(E26,1,100)),DATOS!Z:AA,2,0)),"",VLOOKUP(CONCATENATE($BG$7,"-",MID(E26,1,100)),DATOS!Z:AA,2,0))</f>
        <v/>
      </c>
      <c r="BH26" s="156" t="str">
        <f>IF(ISERROR(VLOOKUP(CONCATENATE($BH$7,"-",MID(E26,1,100)),DATOS!Z:AA,2,0)),"",VLOOKUP(CONCATENATE($BH$7,"-",MID(E26,1,100)),DATOS!Z:AA,2,0))</f>
        <v/>
      </c>
      <c r="BI26" s="156" t="str">
        <f>IF(ISERROR(VLOOKUP(CONCATENATE($BI$7,"-",MID(E26,1,100)),DATOS!Z:AA,2,0)),"",VLOOKUP(CONCATENATE($BI$7,"-",MID(E26,1,100)),DATOS!Z:AA,2,0))</f>
        <v/>
      </c>
      <c r="BJ26" s="156" t="str">
        <f>IF(ISERROR(VLOOKUP(CONCATENATE($BJ$7,"-",MID(E26,1,100)),DATOS!Z:AA,2,0)),"",VLOOKUP(CONCATENATE($BJ$7,"-",MID(E26,1,100)),DATOS!Z:AA,2,0))</f>
        <v/>
      </c>
      <c r="BK26" s="156" t="str">
        <f>IF(ISERROR(VLOOKUP(CONCATENATE($BK$7,"-",MID(E26,1,100)),DATOS!Z:AA,2,0)),"",VLOOKUP(CONCATENATE($BK$7,"-",MID(E26,1,100)),DATOS!Z:AA,2,0))</f>
        <v/>
      </c>
      <c r="BL26" s="156" t="str">
        <f>IF(ISERROR(VLOOKUP(CONCATENATE($BL$7,"-",MID(E26,1,100)),DATOS!Z:AA,2,0)),"",VLOOKUP(CONCATENATE($BL$7,"-",MID(E26,1,100)),DATOS!Z:AA,2,0))</f>
        <v/>
      </c>
      <c r="BM26" s="157" t="str">
        <f>IF(ISERROR(VLOOKUP(CONCATENATE($BM$7,"-",MID(E26,1,100)),DATOS!Z:AA,2,0)),"",VLOOKUP(CONCATENATE($BM$7,"-",MID(E26,1,100)),DATOS!Z:AA,2,0))</f>
        <v/>
      </c>
      <c r="BN26" s="155" t="str">
        <f>IF(ISERROR(VLOOKUP(CONCATENATE($BN$7,"-",MID(E26,1,100)),DATOS!Z:AA,2,0)),"",VLOOKUP(CONCATENATE($BN$7,"-",MID(E26,1,100)),DATOS!Z:AA,2,0))</f>
        <v/>
      </c>
      <c r="BO26" s="156" t="str">
        <f>IF(ISERROR(VLOOKUP(CONCATENATE($BO$7,"-",MID(E26,1,100)),DATOS!Z:AA,2,0)),"",VLOOKUP(CONCATENATE($BO$7,"-",MID(E26,1,100)),DATOS!Z:AA,2,0))</f>
        <v/>
      </c>
      <c r="BP26" s="156" t="str">
        <f>IF(ISERROR(VLOOKUP(CONCATENATE($BP$7,"-",MID(E26,1,100)),DATOS!Z:AA,2,0)),"",VLOOKUP(CONCATENATE($BP$7,"-",MID(E26,1,100)),DATOS!Z:AA,2,0))</f>
        <v/>
      </c>
      <c r="BQ26" s="156" t="str">
        <f>IF(ISERROR(VLOOKUP(CONCATENATE($BQ$7,"-",MID(E26,1,100)),DATOS!Z:AA,2,0)),"",VLOOKUP(CONCATENATE($BQ$7,"-",MID(E26,1,100)),DATOS!Z:AA,2,0))</f>
        <v/>
      </c>
      <c r="BR26" s="156" t="str">
        <f>IF(ISERROR(VLOOKUP(CONCATENATE($BR$7,"-",MID(E26,1,100)),DATOS!Z:AA,2,0)),"",VLOOKUP(CONCATENATE($BR$7,"-",MID(E26,1,100)),DATOS!Z:AA,2,0))</f>
        <v/>
      </c>
      <c r="BS26" s="156" t="str">
        <f>IF(ISERROR(VLOOKUP(CONCATENATE($BS$7,"-",MID(E26,1,100)),DATOS!Z:AA,2,0)),"",VLOOKUP(CONCATENATE($BS$7,"-",MID(E26,1,100)),DATOS!Z:AA,2,0))</f>
        <v/>
      </c>
      <c r="BT26" s="156" t="str">
        <f>IF(ISERROR(VLOOKUP(CONCATENATE($BT$7,"-",MID(E26,1,100)),DATOS!Z:AA,2,0)),"",VLOOKUP(CONCATENATE($BT$7,"-",MID(E26,1,100)),DATOS!Z:AA,2,0))</f>
        <v/>
      </c>
      <c r="BU26" s="156" t="str">
        <f>IF(ISERROR(VLOOKUP(CONCATENATE($BU$7,"-",MID(E26,1,100)),DATOS!Z:AA,2,0)),"",VLOOKUP(CONCATENATE($BU$7,"-",MID(E26,1,100)),DATOS!Z:AA,2,0))</f>
        <v/>
      </c>
      <c r="BV26" s="156" t="str">
        <f>IF(ISERROR(VLOOKUP(CONCATENATE($BV$7,"-",MID(E26,1,100)),DATOS!Z:AA,2,0)),"",VLOOKUP(CONCATENATE($BV$7,"-",MID(E26,1,100)),DATOS!Z:AA,2,0))</f>
        <v/>
      </c>
      <c r="BW26" s="157" t="str">
        <f>IF(ISERROR(VLOOKUP(CONCATENATE($BW$7,"-",MID(E26,1,100)),DATOS!Z:AA,2,0)),"",VLOOKUP(CONCATENATE($BW$7,"-",MID(E26,1,100)),DATOS!Z:AA,2,0))</f>
        <v/>
      </c>
      <c r="BX26" s="155" t="str">
        <f>IF(ISERROR(VLOOKUP(CONCATENATE($BX$7,"-",MID(E26,1,100)),DATOS!Z:AA,2,0)),"",VLOOKUP(CONCATENATE($BX$7,"-",MID(E26,1,100)),DATOS!Z:AA,2,0))</f>
        <v/>
      </c>
      <c r="BY26" s="156" t="str">
        <f>IF(ISERROR(VLOOKUP(CONCATENATE($BY$7,"-",MID(E26,1,100)),DATOS!Z:AA,2,0)),"",VLOOKUP(CONCATENATE($BY$7,"-",MID(E26,1,100)),DATOS!Z:AA,2,0))</f>
        <v/>
      </c>
      <c r="BZ26" s="156" t="str">
        <f>IF(ISERROR(VLOOKUP(CONCATENATE($BZ$7,"-",MID(E26,1,100)),DATOS!Z:AA,2,0)),"",VLOOKUP(CONCATENATE($BZ$7,"-",MID(E26,1,100)),DATOS!Z:AA,2,0))</f>
        <v/>
      </c>
      <c r="CA26" s="156" t="str">
        <f>IF(ISERROR(VLOOKUP(CONCATENATE($CA$7,"-",MID(E26,1,100)),DATOS!Z:AA,2,0)),"",VLOOKUP(CONCATENATE($CA$7,"-",MID(E26,1,100)),DATOS!Z:AA,2,0))</f>
        <v/>
      </c>
      <c r="CB26" s="156" t="str">
        <f>IF(ISERROR(VLOOKUP(CONCATENATE($CB$7,"-",MID(E26,1,100)),DATOS!Z:AA,2,0)),"",VLOOKUP(CONCATENATE($CB$7,"-",MID(E26,1,100)),DATOS!Z:AA,2,0))</f>
        <v/>
      </c>
      <c r="CC26" s="156" t="str">
        <f>IF(ISERROR(VLOOKUP(CONCATENATE($CC$7,"-",MID(E26,1,100)),DATOS!Z:AA,2,0)),"",VLOOKUP(CONCATENATE($CC$7,"-",MID(E26,1,100)),DATOS!Z:AA,2,0))</f>
        <v/>
      </c>
      <c r="CD26" s="156" t="str">
        <f>IF(ISERROR(VLOOKUP(CONCATENATE($CD$7,"-",MID(E26,1,100)),DATOS!Z:AA,2,0)),"",VLOOKUP(CONCATENATE($CD$7,"-",MID(E26,1,100)),DATOS!Z:AA,2,0))</f>
        <v/>
      </c>
      <c r="CE26" s="156" t="str">
        <f>IF(ISERROR(VLOOKUP(CONCATENATE($CE$7,"-",MID(E26,1,100)),DATOS!Z:AA,2,0)),"",VLOOKUP(CONCATENATE($CE$7,"-",MID(E26,1,100)),DATOS!Z:AA,2,0))</f>
        <v/>
      </c>
      <c r="CF26" s="156" t="str">
        <f>IF(ISERROR(VLOOKUP(CONCATENATE($CF$7,"-",MID(E26,1,100)),DATOS!Z:AA,2,0)),"",VLOOKUP(CONCATENATE($CF$7,"-",MID(E26,1,100)),DATOS!Z:AA,2,0))</f>
        <v/>
      </c>
      <c r="CG26" s="157" t="str">
        <f>IF(ISERROR(VLOOKUP(CONCATENATE($CG$7,"-",MID(E26,1,100)),DATOS!Z:AA,2,0)),"",VLOOKUP(CONCATENATE($CG$7,"-",MID(E26,1,100)),DATOS!Z:AA,2,0))</f>
        <v/>
      </c>
      <c r="CH26" s="155" t="str">
        <f>IF(ISERROR(VLOOKUP(CONCATENATE($CH$7,"-",MID(E26,1,100)),DATOS!Z:AA,2,0)),"",VLOOKUP(CONCATENATE($CH$7,"-",MID(E26,1,100)),DATOS!Z:AA,2,0))</f>
        <v/>
      </c>
      <c r="CI26" s="156" t="str">
        <f>IF(ISERROR(VLOOKUP(CONCATENATE($CI$7,"-",MID(E26,1,100)),DATOS!Z:AA,2,0)),"",VLOOKUP(CONCATENATE($CI$7,"-",MID(E26,1,100)),DATOS!Z:AA,2,0))</f>
        <v/>
      </c>
      <c r="CJ26" s="156" t="str">
        <f>IF(ISERROR(VLOOKUP(CONCATENATE($CJ$7,"-",MID(E26,1,100)),DATOS!Z:AA,2,0)),"",VLOOKUP(CONCATENATE($CJ$7,"-",MID(E26,1,100)),DATOS!Z:AA,2,0))</f>
        <v/>
      </c>
      <c r="CK26" s="156" t="str">
        <f>IF(ISERROR(VLOOKUP(CONCATENATE($CK$7,"-",MID(E26,1,100)),DATOS!Z:AA,2,0)),"",VLOOKUP(CONCATENATE($CK$7,"-",MID(E26,1,100)),DATOS!Z:AA,2,0))</f>
        <v/>
      </c>
      <c r="CL26" s="156" t="str">
        <f>IF(ISERROR(VLOOKUP(CONCATENATE($CL$7,"-",MID(E26,1,100)),DATOS!Z:AA,2,0)),"",VLOOKUP(CONCATENATE($CL$7,"-",MID(E26,1,100)),DATOS!Z:AA,2,0))</f>
        <v/>
      </c>
      <c r="CM26" s="156" t="str">
        <f>IF(ISERROR(VLOOKUP(CONCATENATE($CM$7,"-",MID(E26,1,100)),DATOS!Z:AA,2,0)),"",VLOOKUP(CONCATENATE($CM$7,"-",MID(E26,1,100)),DATOS!Z:AA,2,0))</f>
        <v/>
      </c>
      <c r="CN26" s="156" t="str">
        <f>IF(ISERROR(VLOOKUP(CONCATENATE($CN$7,"-",MID(E26,1,100)),DATOS!Z:AA,2,0)),"",VLOOKUP(CONCATENATE($CN$7,"-",MID(E26,1,100)),DATOS!Z:AA,2,0))</f>
        <v/>
      </c>
      <c r="CO26" s="156" t="str">
        <f>IF(ISERROR(VLOOKUP(CONCATENATE($CO$7,"-",MID(E26,1,100)),DATOS!Z:AA,2,0)),"",VLOOKUP(CONCATENATE($CO$7,"-",MID(E26,1,100)),DATOS!Z:AA,2,0))</f>
        <v/>
      </c>
      <c r="CP26" s="194" t="str">
        <f>IF(ISERROR(VLOOKUP(CONCATENATE($CP$7,"-",MID(E26,1,100)),DATOS!Z:AA,2,0)),"",VLOOKUP(CONCATENATE($CP$7,"-",MID(E26,1,100)),DATOS!Z:AA,2,0))</f>
        <v/>
      </c>
      <c r="CQ26" s="157" t="str">
        <f>IF(ISERROR(VLOOKUP(CONCATENATE($CQ$7,"-",MID(E26,1,100)),DATOS!Z:AA,2,0)),"",VLOOKUP(CONCATENATE($CQ$7,"-",MID(E26,1,100)),DATOS!Z:AA,2,0))</f>
        <v/>
      </c>
      <c r="CR26" s="155" t="str">
        <f>IF(ISERROR(VLOOKUP(CONCATENATE(CR$7,"-",MID($E26,1,100)),DATOS!$Z:$AA,2,0)),"",VLOOKUP(CONCATENATE(CR$7,"-",MID($E26,1,100)),DATOS!$Z:$AA,2,0))</f>
        <v/>
      </c>
      <c r="CS26" s="156" t="str">
        <f>IF(ISERROR(VLOOKUP(CONCATENATE(CS$7,"-",MID($E26,1,100)),DATOS!$Z:$AA,2,0)),"",VLOOKUP(CONCATENATE(CS$7,"-",MID($E26,1,100)),DATOS!$Z:$AA,2,0))</f>
        <v/>
      </c>
      <c r="CT26" s="156" t="str">
        <f>IF(ISERROR(VLOOKUP(CONCATENATE(CT$7,"-",MID($E26,1,100)),DATOS!$Z:$AA,2,0)),"",VLOOKUP(CONCATENATE(CT$7,"-",MID($E26,1,100)),DATOS!$Z:$AA,2,0))</f>
        <v/>
      </c>
      <c r="CU26" s="156" t="str">
        <f>IF(ISERROR(VLOOKUP(CONCATENATE(CU$7,"-",MID($E26,1,100)),DATOS!$Z:$AA,2,0)),"",VLOOKUP(CONCATENATE(CU$7,"-",MID($E26,1,100)),DATOS!$Z:$AA,2,0))</f>
        <v/>
      </c>
      <c r="CV26" s="156" t="str">
        <f>IF(ISERROR(VLOOKUP(CONCATENATE(CV$7,"-",MID($E26,1,100)),DATOS!$Z:$AA,2,0)),"",VLOOKUP(CONCATENATE(CV$7,"-",MID($E26,1,100)),DATOS!$Z:$AA,2,0))</f>
        <v/>
      </c>
      <c r="CW26" s="156" t="str">
        <f>IF(ISERROR(VLOOKUP(CONCATENATE(CW$7,"-",MID($E26,1,100)),DATOS!$Z:$AA,2,0)),"",VLOOKUP(CONCATENATE(CW$7,"-",MID($E26,1,100)),DATOS!$Z:$AA,2,0))</f>
        <v/>
      </c>
      <c r="CX26" s="156" t="str">
        <f>IF(ISERROR(VLOOKUP(CONCATENATE(CX$7,"-",MID($E26,1,100)),DATOS!$Z:$AA,2,0)),"",VLOOKUP(CONCATENATE(CX$7,"-",MID($E26,1,100)),DATOS!$Z:$AA,2,0))</f>
        <v/>
      </c>
      <c r="CY26" s="156" t="str">
        <f>IF(ISERROR(VLOOKUP(CONCATENATE(CY$7,"-",MID($E26,1,100)),DATOS!$Z:$AA,2,0)),"",VLOOKUP(CONCATENATE(CY$7,"-",MID($E26,1,100)),DATOS!$Z:$AA,2,0))</f>
        <v/>
      </c>
      <c r="CZ26" s="194" t="str">
        <f>IF(ISERROR(VLOOKUP(CONCATENATE(CZ$7,"-",MID($E26,1,100)),DATOS!$Z:$AA,2,0)),"",VLOOKUP(CONCATENATE(CZ$7,"-",MID($E26,1,100)),DATOS!$Z:$AA,2,0))</f>
        <v/>
      </c>
      <c r="DA26" s="157" t="str">
        <f>IF(ISERROR(VLOOKUP(CONCATENATE(DA$7,"-",MID($E26,1,100)),DATOS!$Z:$AA,2,0)),"",VLOOKUP(CONCATENATE(DA$7,"-",MID($E26,1,100)),DATOS!$Z:$AA,2,0))</f>
        <v/>
      </c>
      <c r="DB26" s="155" t="str">
        <f>IF(ISERROR(VLOOKUP(CONCATENATE(DB$7,"-",MID($E26,1,100)),DATOS!$Z:$AA,2,0)),"",VLOOKUP(CONCATENATE(DB$7,"-",MID($E26,1,100)),DATOS!$Z:$AA,2,0))</f>
        <v/>
      </c>
      <c r="DC26" s="156" t="str">
        <f>IF(ISERROR(VLOOKUP(CONCATENATE(DC$7,"-",MID($E26,1,100)),DATOS!$Z:$AA,2,0)),"",VLOOKUP(CONCATENATE(DC$7,"-",MID($E26,1,100)),DATOS!$Z:$AA,2,0))</f>
        <v/>
      </c>
      <c r="DD26" s="156" t="str">
        <f>IF(ISERROR(VLOOKUP(CONCATENATE(DD$7,"-",MID($E26,1,100)),DATOS!$Z:$AA,2,0)),"",VLOOKUP(CONCATENATE(DD$7,"-",MID($E26,1,100)),DATOS!$Z:$AA,2,0))</f>
        <v/>
      </c>
      <c r="DE26" s="156" t="str">
        <f>IF(ISERROR(VLOOKUP(CONCATENATE(DE$7,"-",MID($E26,1,100)),DATOS!$Z:$AA,2,0)),"",VLOOKUP(CONCATENATE(DE$7,"-",MID($E26,1,100)),DATOS!$Z:$AA,2,0))</f>
        <v/>
      </c>
      <c r="DF26" s="156" t="str">
        <f>IF(ISERROR(VLOOKUP(CONCATENATE(DF$7,"-",MID($E26,1,100)),DATOS!$Z:$AA,2,0)),"",VLOOKUP(CONCATENATE(DF$7,"-",MID($E26,1,100)),DATOS!$Z:$AA,2,0))</f>
        <v/>
      </c>
      <c r="DG26" s="156" t="str">
        <f>IF(ISERROR(VLOOKUP(CONCATENATE(DG$7,"-",MID($E26,1,100)),DATOS!$Z:$AA,2,0)),"",VLOOKUP(CONCATENATE(DG$7,"-",MID($E26,1,100)),DATOS!$Z:$AA,2,0))</f>
        <v/>
      </c>
      <c r="DH26" s="156" t="str">
        <f>IF(ISERROR(VLOOKUP(CONCATENATE(DH$7,"-",MID($E26,1,100)),DATOS!$Z:$AA,2,0)),"",VLOOKUP(CONCATENATE(DH$7,"-",MID($E26,1,100)),DATOS!$Z:$AA,2,0))</f>
        <v/>
      </c>
      <c r="DI26" s="156" t="str">
        <f>IF(ISERROR(VLOOKUP(CONCATENATE(DI$7,"-",MID($E26,1,100)),DATOS!$Z:$AA,2,0)),"",VLOOKUP(CONCATENATE(DI$7,"-",MID($E26,1,100)),DATOS!$Z:$AA,2,0))</f>
        <v/>
      </c>
      <c r="DJ26" s="194" t="str">
        <f>IF(ISERROR(VLOOKUP(CONCATENATE(DJ$7,"-",MID($E26,1,100)),DATOS!$Z:$AA,2,0)),"",VLOOKUP(CONCATENATE(DJ$7,"-",MID($E26,1,100)),DATOS!$Z:$AA,2,0))</f>
        <v/>
      </c>
      <c r="DK26" s="157" t="str">
        <f>IF(ISERROR(VLOOKUP(CONCATENATE(DK$7,"-",MID($E26,1,100)),DATOS!$Z:$AA,2,0)),"",VLOOKUP(CONCATENATE(DK$7,"-",MID($E26,1,100)),DATOS!$Z:$AA,2,0))</f>
        <v/>
      </c>
      <c r="DL26" s="155" t="str">
        <f>IF(ISERROR(VLOOKUP(CONCATENATE(DL$7,"-",MID($E26,1,100)),DATOS!$Z:$AA,2,0)),"",VLOOKUP(CONCATENATE(DL$7,"-",MID($E26,1,100)),DATOS!$Z:$AA,2,0))</f>
        <v/>
      </c>
      <c r="DM26" s="156" t="str">
        <f>IF(ISERROR(VLOOKUP(CONCATENATE(DM$7,"-",MID($E26,1,100)),DATOS!$Z:$AA,2,0)),"",VLOOKUP(CONCATENATE(DM$7,"-",MID($E26,1,100)),DATOS!$Z:$AA,2,0))</f>
        <v/>
      </c>
      <c r="DN26" s="156" t="str">
        <f>IF(ISERROR(VLOOKUP(CONCATENATE(DN$7,"-",MID($E26,1,100)),DATOS!$Z:$AA,2,0)),"",VLOOKUP(CONCATENATE(DN$7,"-",MID($E26,1,100)),DATOS!$Z:$AA,2,0))</f>
        <v/>
      </c>
      <c r="DO26" s="156" t="str">
        <f>IF(ISERROR(VLOOKUP(CONCATENATE(DO$7,"-",MID($E26,1,100)),DATOS!$Z:$AA,2,0)),"",VLOOKUP(CONCATENATE(DO$7,"-",MID($E26,1,100)),DATOS!$Z:$AA,2,0))</f>
        <v/>
      </c>
      <c r="DP26" s="156" t="str">
        <f>IF(ISERROR(VLOOKUP(CONCATENATE(DP$7,"-",MID($E26,1,100)),DATOS!$Z:$AA,2,0)),"",VLOOKUP(CONCATENATE(DP$7,"-",MID($E26,1,100)),DATOS!$Z:$AA,2,0))</f>
        <v/>
      </c>
      <c r="DQ26" s="156" t="str">
        <f>IF(ISERROR(VLOOKUP(CONCATENATE(DQ$7,"-",MID($E26,1,100)),DATOS!$Z:$AA,2,0)),"",VLOOKUP(CONCATENATE(DQ$7,"-",MID($E26,1,100)),DATOS!$Z:$AA,2,0))</f>
        <v/>
      </c>
      <c r="DR26" s="156" t="str">
        <f>IF(ISERROR(VLOOKUP(CONCATENATE(DR$7,"-",MID($E26,1,100)),DATOS!$Z:$AA,2,0)),"",VLOOKUP(CONCATENATE(DR$7,"-",MID($E26,1,100)),DATOS!$Z:$AA,2,0))</f>
        <v/>
      </c>
      <c r="DS26" s="156" t="str">
        <f>IF(ISERROR(VLOOKUP(CONCATENATE(DS$7,"-",MID($E26,1,100)),DATOS!$Z:$AA,2,0)),"",VLOOKUP(CONCATENATE(DS$7,"-",MID($E26,1,100)),DATOS!$Z:$AA,2,0))</f>
        <v/>
      </c>
      <c r="DT26" s="194" t="str">
        <f>IF(ISERROR(VLOOKUP(CONCATENATE(DT$7,"-",MID($E26,1,100)),DATOS!$Z:$AA,2,0)),"",VLOOKUP(CONCATENATE(DT$7,"-",MID($E26,1,100)),DATOS!$Z:$AA,2,0))</f>
        <v/>
      </c>
      <c r="DU26" s="157" t="str">
        <f>IF(ISERROR(VLOOKUP(CONCATENATE(DU$7,"-",MID($E26,1,100)),DATOS!$Z:$AA,2,0)),"",VLOOKUP(CONCATENATE(DU$7,"-",MID($E26,1,100)),DATOS!$Z:$AA,2,0))</f>
        <v/>
      </c>
      <c r="DV26" s="155" t="str">
        <f>IF(ISERROR(VLOOKUP(CONCATENATE(DV$7,"-",MID($E26,1,100)),DATOS!$Z:$AA,2,0)),"",VLOOKUP(CONCATENATE(DV$7,"-",MID($E26,1,100)),DATOS!$Z:$AA,2,0))</f>
        <v/>
      </c>
      <c r="DW26" s="156" t="str">
        <f>IF(ISERROR(VLOOKUP(CONCATENATE(DW$7,"-",MID($E26,1,100)),DATOS!$Z:$AA,2,0)),"",VLOOKUP(CONCATENATE(DW$7,"-",MID($E26,1,100)),DATOS!$Z:$AA,2,0))</f>
        <v/>
      </c>
      <c r="DX26" s="156" t="str">
        <f>IF(ISERROR(VLOOKUP(CONCATENATE(DX$7,"-",MID($E26,1,100)),DATOS!$Z:$AA,2,0)),"",VLOOKUP(CONCATENATE(DX$7,"-",MID($E26,1,100)),DATOS!$Z:$AA,2,0))</f>
        <v/>
      </c>
      <c r="DY26" s="156" t="str">
        <f>IF(ISERROR(VLOOKUP(CONCATENATE(DY$7,"-",MID($E26,1,100)),DATOS!$Z:$AA,2,0)),"",VLOOKUP(CONCATENATE(DY$7,"-",MID($E26,1,100)),DATOS!$Z:$AA,2,0))</f>
        <v/>
      </c>
      <c r="DZ26" s="156" t="str">
        <f>IF(ISERROR(VLOOKUP(CONCATENATE(DZ$7,"-",MID($E26,1,100)),DATOS!$Z:$AA,2,0)),"",VLOOKUP(CONCATENATE(DZ$7,"-",MID($E26,1,100)),DATOS!$Z:$AA,2,0))</f>
        <v/>
      </c>
      <c r="EA26" s="156" t="str">
        <f>IF(ISERROR(VLOOKUP(CONCATENATE(EA$7,"-",MID($E26,1,100)),DATOS!$Z:$AA,2,0)),"",VLOOKUP(CONCATENATE(EA$7,"-",MID($E26,1,100)),DATOS!$Z:$AA,2,0))</f>
        <v/>
      </c>
      <c r="EB26" s="156" t="str">
        <f>IF(ISERROR(VLOOKUP(CONCATENATE(EB$7,"-",MID($E26,1,100)),DATOS!$Z:$AA,2,0)),"",VLOOKUP(CONCATENATE(EB$7,"-",MID($E26,1,100)),DATOS!$Z:$AA,2,0))</f>
        <v/>
      </c>
      <c r="EC26" s="156" t="str">
        <f>IF(ISERROR(VLOOKUP(CONCATENATE(EC$7,"-",MID($E26,1,100)),DATOS!$Z:$AA,2,0)),"",VLOOKUP(CONCATENATE(EC$7,"-",MID($E26,1,100)),DATOS!$Z:$AA,2,0))</f>
        <v/>
      </c>
      <c r="ED26" s="194" t="str">
        <f>IF(ISERROR(VLOOKUP(CONCATENATE(ED$7,"-",MID($E26,1,100)),DATOS!$Z:$AA,2,0)),"",VLOOKUP(CONCATENATE(ED$7,"-",MID($E26,1,100)),DATOS!$Z:$AA,2,0))</f>
        <v/>
      </c>
      <c r="EE26" s="157" t="str">
        <f>IF(ISERROR(VLOOKUP(CONCATENATE(EE$7,"-",MID($E26,1,100)),DATOS!$Z:$AA,2,0)),"",VLOOKUP(CONCATENATE(EE$7,"-",MID($E26,1,100)),DATOS!$Z:$AA,2,0))</f>
        <v/>
      </c>
      <c r="EF26" s="155" t="str">
        <f>IF(ISERROR(VLOOKUP(CONCATENATE($EF$7,"-",MID(E26,1,100)),DATOS!Z:AA,2,0)),"",VLOOKUP(CONCATENATE($EF$7,"-",MID(E26,1,100)),DATOS!Z:AA,2,0))</f>
        <v/>
      </c>
      <c r="EG26" s="156" t="str">
        <f>IF(ISERROR(VLOOKUP(CONCATENATE($EG$7,"-",MID(E26,1,100)),DATOS!Z:AA,2,0)),"",VLOOKUP(CONCATENATE($EG$7,"-",MID(E26,1,100)),DATOS!Z:AA,2,0))</f>
        <v/>
      </c>
      <c r="EH26" s="156" t="str">
        <f>IF(ISERROR(VLOOKUP(CONCATENATE($EH$7,"-",MID(E26,1,100)),DATOS!Z:AA,2,0)),"",VLOOKUP(CONCATENATE($EH$7,"-",MID(E26,1,100)),DATOS!Z:AA,2,0))</f>
        <v/>
      </c>
      <c r="EI26" s="156" t="str">
        <f>IF(ISERROR(VLOOKUP(CONCATENATE($EI$7,"-",MID(E26,1,100)),DATOS!Z:AA,2,0)),"",VLOOKUP(CONCATENATE($EI$7,"-",MID(E26,1,100)),DATOS!Z:AA,2,0))</f>
        <v/>
      </c>
      <c r="EJ26" s="156" t="str">
        <f>IF(ISERROR(VLOOKUP(CONCATENATE($EJ$7,"-",MID(E26,1,100)),DATOS!Z:AA,2,0)),"",VLOOKUP(CONCATENATE($EJ$7,"-",MID(E26,1,100)),DATOS!Z:AA,2,0))</f>
        <v/>
      </c>
      <c r="EK26" s="156" t="str">
        <f>IF(ISERROR(VLOOKUP(CONCATENATE($EK$7,"-",MID(E26,1,100)),DATOS!Z:AA,2,0)),"",VLOOKUP(CONCATENATE($EK$7,"-",MID(E26,1,100)),DATOS!Z:AA,2,0))</f>
        <v/>
      </c>
      <c r="EL26" s="156" t="str">
        <f>IF(ISERROR(VLOOKUP(CONCATENATE($EL$7,"-",MID(E26,1,100)),DATOS!Z:AA,2,0)),"",VLOOKUP(CONCATENATE($EL$7,"-",MID(E26,1,100)),DATOS!Z:AA,2,0))</f>
        <v/>
      </c>
      <c r="EM26" s="156" t="str">
        <f>IF(ISERROR(VLOOKUP(CONCATENATE($EM$7,"-",MID(E26,1,100)),DATOS!Z:AA,2,0)),"",VLOOKUP(CONCATENATE($EM$7,"-",MID(E26,1,100)),DATOS!Z:AA,2,0))</f>
        <v/>
      </c>
      <c r="EN26" s="156" t="str">
        <f>IF(ISERROR(VLOOKUP(CONCATENATE($EN$7,"-",MID(E26,1,100)),DATOS!Z:AA,2,0)),"",VLOOKUP(CONCATENATE($EN$7,"-",MID(E26,1,100)),DATOS!Z:AA,2,0))</f>
        <v/>
      </c>
      <c r="EO26" s="157" t="str">
        <f>IF(ISERROR(VLOOKUP(CONCATENATE($EO$7,"-",MID(E26,1,100)),DATOS!Z:AA,2,0)),"",VLOOKUP(CONCATENATE($EO$7,"-",MID(E26,1,100)),DATOS!Z:AA,2,0))</f>
        <v/>
      </c>
      <c r="EP26" s="158">
        <f t="shared" si="0"/>
        <v>3</v>
      </c>
      <c r="EQ26" s="159" t="str">
        <f t="shared" si="1"/>
        <v>CP1: Orientación educativa-N1</v>
      </c>
    </row>
    <row r="27" spans="1:147" ht="17.25" customHeight="1">
      <c r="A27" s="148"/>
      <c r="B27" s="160" t="str">
        <f>IF('1.Fundamentos'!B58="","",'1.Fundamentos'!B58)</f>
        <v>CP1: Orientación educativa</v>
      </c>
      <c r="C27" s="161" t="s">
        <v>82</v>
      </c>
      <c r="D27" s="162" t="str">
        <f>IF('1.Fundamentos'!E58="","",'1.Fundamentos'!E58)</f>
        <v>Concibe la observación educativa a nivel de la teoría, historia y psicología  para establecer las orientaciones básicas que permitan el desarrollo evolutivo.</v>
      </c>
      <c r="E27" s="163" t="str">
        <f t="shared" si="2"/>
        <v>CP1: Orientación educativa:N2 Concibe la observación educativa a nivel de la teoría, historia y psicología  para establecer las orientaciones básicas que permitan el desarrollo evolutivo.</v>
      </c>
      <c r="F27" s="164" t="str">
        <f>IF(ISERROR(VLOOKUP(CONCATENATE($F$7,"-",MID(E27,1,100)),DATOS!Z:AA,2,0)),"",VLOOKUP(CONCATENATE($F$7,"-",MID(E27,1,100)),DATOS!Z:AA,2,0))</f>
        <v/>
      </c>
      <c r="G27" s="165" t="str">
        <f>IF(ISERROR(VLOOKUP(CONCATENATE($G$7,"-",MID(E27,1,100)),DATOS!Z:AA,2,0)),"",VLOOKUP(CONCATENATE($G$7,"-",MID(E27,1,100)),DATOS!Z:AA,2,0))</f>
        <v/>
      </c>
      <c r="H27" s="165" t="str">
        <f>IF(ISERROR(VLOOKUP(CONCATENATE($H$7,"-",MID(E27,1,100)),DATOS!Z:AA,2,0)),"",VLOOKUP(CONCATENATE($H$7,"-",MID(E27,1,100)),DATOS!Z:AA,2,0))</f>
        <v/>
      </c>
      <c r="I27" s="165" t="str">
        <f>IF(ISERROR(VLOOKUP(CONCATENATE($I$7,"-",MID(E27,1,100)),DATOS!Z:AA,2,0)),"",VLOOKUP(CONCATENATE($I$7,"-",MID(E27,1,100)),DATOS!Z:AA,2,0))</f>
        <v/>
      </c>
      <c r="J27" s="165" t="str">
        <f>IF(ISERROR(VLOOKUP(CONCATENATE($J$7,"-",MID(E27,1,100)),DATOS!Z:AA,2,0)),"",VLOOKUP(CONCATENATE($J$7,"-",MID(E27,1,100)),DATOS!Z:AA,2,0))</f>
        <v/>
      </c>
      <c r="K27" s="165" t="str">
        <f>IF(ISERROR(VLOOKUP(CONCATENATE($K$7,"-",MID(E27,1,100)),DATOS!Z:AA,2,0)),"",VLOOKUP(CONCATENATE($K$7,"-",MID(E27,1,100)),DATOS!Z:AA,2,0))</f>
        <v/>
      </c>
      <c r="L27" s="165" t="str">
        <f>IF(ISERROR(VLOOKUP(CONCATENATE($L$7,"-",MID(E27,1,100)),DATOS!Z:AA,2,0)),"",VLOOKUP(CONCATENATE($L$7,"-",MID(E27,1,100)),DATOS!Z:AA,2,0))</f>
        <v/>
      </c>
      <c r="M27" s="165" t="str">
        <f>IF(ISERROR(VLOOKUP(CONCATENATE($M$7,"-",MID(E27,1,100)),DATOS!Z:AA,2,0)),"",VLOOKUP(CONCATENATE($M$7,"-",MID(E27,1,100)),DATOS!Z:AA,2,0))</f>
        <v/>
      </c>
      <c r="N27" s="165" t="str">
        <f>IF(ISERROR(VLOOKUP(CONCATENATE($N$7,"-",MID(E27,1,100)),DATOS!Z:AA,2,0)),"",VLOOKUP(CONCATENATE($N$7,"-",MID(E27,1,100)),DATOS!Z:AA,2,0))</f>
        <v/>
      </c>
      <c r="O27" s="166" t="str">
        <f>IF(ISERROR(VLOOKUP(CONCATENATE($O$7,"-",MID(E27,1,100)),DATOS!Z:AA,2,0)),"",VLOOKUP(CONCATENATE($O$7,"-",MID(E27,1,100)),DATOS!Z:AA,2,0))</f>
        <v/>
      </c>
      <c r="P27" s="164" t="str">
        <f>IF(ISERROR(VLOOKUP(CONCATENATE($P$7,"-",MID(E27,1,100)),DATOS!Z:AA,2,0)),"",VLOOKUP(CONCATENATE($P$7,"-",MID(E27,1,100)),DATOS!Z:AA,2,0))</f>
        <v/>
      </c>
      <c r="Q27" s="165" t="str">
        <f>IF(ISERROR(VLOOKUP(CONCATENATE($Q$7,"-",MID(E27,1,100)),DATOS!Z:AA,2,0)),"",VLOOKUP(CONCATENATE($Q$7,"-",MID(E27,1,100)),DATOS!Z:AA,2,0))</f>
        <v/>
      </c>
      <c r="R27" s="165" t="str">
        <f>IF(ISERROR(VLOOKUP(CONCATENATE($R$7,"-",MID(E27,1,100)),DATOS!Z:AA,2,0)),"",VLOOKUP(CONCATENATE($R$7,"-",MID(E27,1,100)),DATOS!Z:AA,2,0))</f>
        <v/>
      </c>
      <c r="S27" s="165" t="str">
        <f>IF(ISERROR(VLOOKUP(CONCATENATE($S$7,"-",MID(E27,1,100)),DATOS!Z:AA,2,0)),"",VLOOKUP(CONCATENATE($S$7,"-",MID(E27,1,100)),DATOS!Z:AA,2,0))</f>
        <v/>
      </c>
      <c r="T27" s="165" t="str">
        <f>IF(ISERROR(VLOOKUP(CONCATENATE($T$7,"-",MID(E27,1,100)),DATOS!Z:AA,2,0)),"",VLOOKUP(CONCATENATE($T$7,"-",MID(E27,1,100)),DATOS!Z:AA,2,0))</f>
        <v/>
      </c>
      <c r="U27" s="165" t="str">
        <f>IF(ISERROR(VLOOKUP(CONCATENATE($U$7,"-",MID(E27,1,100)),DATOS!Z:AA,2,0)),"",VLOOKUP(CONCATENATE($U$7,"-",MID(E27,1,100)),DATOS!Z:AA,2,0))</f>
        <v/>
      </c>
      <c r="V27" s="165" t="str">
        <f>IF(ISERROR(VLOOKUP(CONCATENATE($V$7,"-",MID(E27,1,100)),DATOS!Z:AA,2,0)),"",VLOOKUP(CONCATENATE($V$7,"-",MID(E27,1,100)),DATOS!Z:AA,2,0))</f>
        <v/>
      </c>
      <c r="W27" s="165" t="str">
        <f>IF(ISERROR(VLOOKUP(CONCATENATE($W$7,"-",MID(E27,1,100)),DATOS!Z:AA,2,0)),"",VLOOKUP(CONCATENATE($W$7,"-",MID(E27,1,100)),DATOS!Z:AA,2,0))</f>
        <v/>
      </c>
      <c r="X27" s="165" t="str">
        <f>IF(ISERROR(VLOOKUP(CONCATENATE($X$7,"-",MID(E27,1,100)),DATOS!Z:AA,2,0)),"",VLOOKUP(CONCATENATE($X$7,"-",MID(E27,1,100)),DATOS!Z:AA,2,0))</f>
        <v/>
      </c>
      <c r="Y27" s="166" t="str">
        <f>IF(ISERROR(VLOOKUP(CONCATENATE($Y$7,"-",MID(E27,1,100)),DATOS!Z:AA,2,0)),"",VLOOKUP(CONCATENATE($Y$7,"-",MID(E27,1,100)),DATOS!Z:AA,2,0))</f>
        <v/>
      </c>
      <c r="Z27" s="164" t="str">
        <f>IF(ISERROR(VLOOKUP(CONCATENATE($Z$7,"-",MID(E27,1,100)),DATOS!Z:AA,2,0)),"",VLOOKUP(CONCATENATE($Z$7,"-",MID(E27,1,100)),DATOS!Z:AA,2,0))</f>
        <v/>
      </c>
      <c r="AA27" s="165" t="str">
        <f>IF(ISERROR(VLOOKUP(CONCATENATE($AA$7,"-",MID(E27,1,100)),DATOS!Z:AA,2,0)),"",VLOOKUP(CONCATENATE($AA$7,"-",MID(E27,1,100)),DATOS!Z:AA,2,0))</f>
        <v/>
      </c>
      <c r="AB27" s="165" t="str">
        <f>IF(ISERROR(VLOOKUP(CONCATENATE($AB$7,"-",MID(E27,1,100)),DATOS!Z:AA,2,0)),"",VLOOKUP(CONCATENATE($AB$7,"-",MID(E27,1,100)),DATOS!Z:AA,2,0))</f>
        <v/>
      </c>
      <c r="AC27" s="165" t="str">
        <f>IF(ISERROR(VLOOKUP(CONCATENATE($AC$7,"-",MID(E27,1,100)),DATOS!Z:AA,2,0)),"",VLOOKUP(CONCATENATE($AC$7,"-",MID(E27,1,100)),DATOS!Z:AA,2,0))</f>
        <v/>
      </c>
      <c r="AD27" s="165" t="str">
        <f>IF(ISERROR(VLOOKUP(CONCATENATE($AD$7,"-",MID(E27,1,100)),DATOS!Z:AA,2,0)),"",VLOOKUP(CONCATENATE($AD$7,"-",MID(E27,1,100)),DATOS!Z:AA,2,0))</f>
        <v/>
      </c>
      <c r="AE27" s="165" t="str">
        <f>IF(ISERROR(VLOOKUP(CONCATENATE($AE$7,"-",MID(E27,1,100)),DATOS!Z:AA,2,0)),"",VLOOKUP(CONCATENATE($AE$7,"-",MID(E27,1,100)),DATOS!Z:AA,2,0))</f>
        <v/>
      </c>
      <c r="AF27" s="165" t="str">
        <f>IF(ISERROR(VLOOKUP(CONCATENATE($AF$7,"-",MID(E27,1,100)),DATOS!Z:AA,2,0)),"",VLOOKUP(CONCATENATE($AF$7,"-",MID(E27,1,100)),DATOS!Z:AA,2,0))</f>
        <v/>
      </c>
      <c r="AG27" s="165" t="str">
        <f>IF(ISERROR(VLOOKUP(CONCATENATE($AG$7,"-",MID(E27,1,100)),DATOS!Z:AA,2,0)),"",VLOOKUP(CONCATENATE($AG$7,"-",MID(E27,1,100)),DATOS!Z:AA,2,0))</f>
        <v/>
      </c>
      <c r="AH27" s="165" t="str">
        <f>IF(ISERROR(VLOOKUP(CONCATENATE($AH$7,"-",MID(E27,1,100)),DATOS!Z:AA,2,0)),"",VLOOKUP(CONCATENATE($AH$7,"-",MID(E27,1,100)),DATOS!Z:AA,2,0))</f>
        <v/>
      </c>
      <c r="AI27" s="166" t="str">
        <f>IF(ISERROR(VLOOKUP(CONCATENATE($AI$7,"-",MID(E27,1,100)),DATOS!Z:AA,2,0)),"",VLOOKUP(CONCATENATE($AI$7,"-",MID(E27,1,100)),DATOS!Z:AA,2,0))</f>
        <v/>
      </c>
      <c r="AJ27" s="164" t="str">
        <f>IF(ISERROR(VLOOKUP(CONCATENATE($AJ$7,"-",MID(E27,1,100)),DATOS!Z:AA,2,0)),"",VLOOKUP(CONCATENATE($AJ$7,"-",MID(E27,1,100)),DATOS!Z:AA,2,0))</f>
        <v/>
      </c>
      <c r="AK27" s="165" t="str">
        <f>IF(ISERROR(VLOOKUP(CONCATENATE($AK$7,"-",MID(E27,1,100)),DATOS!Z:AA,2,0)),"",VLOOKUP(CONCATENATE($AK$7,"-",MID(E27,1,100)),DATOS!Z:AA,2,0))</f>
        <v/>
      </c>
      <c r="AL27" s="165" t="str">
        <f>IF(ISERROR(VLOOKUP(CONCATENATE($AL$7,"-",MID(E27,1,100)),DATOS!Z:AA,2,0)),"",VLOOKUP(CONCATENATE($AL$7,"-",MID(E27,1,100)),DATOS!Z:AA,2,0))</f>
        <v/>
      </c>
      <c r="AM27" s="165" t="str">
        <f>IF(ISERROR(VLOOKUP(CONCATENATE($AM$7,"-",MID(E27,1,100)),DATOS!Z:AA,2,0)),"",VLOOKUP(CONCATENATE($AM$7,"-",MID(E27,1,100)),DATOS!Z:AA,2,0))</f>
        <v/>
      </c>
      <c r="AN27" s="165" t="str">
        <f>IF(ISERROR(VLOOKUP(CONCATENATE($AN$7,"-",MID(E27,1,100)),DATOS!Z:AA,2,0)),"",VLOOKUP(CONCATENATE($AN$7,"-",MID(E27,1,100)),DATOS!Z:AA,2,0))</f>
        <v/>
      </c>
      <c r="AO27" s="165" t="str">
        <f>IF(ISERROR(VLOOKUP(CONCATENATE($AO$7,"-",MID(E27,1,100)),DATOS!Z:AA,2,0)),"",VLOOKUP(CONCATENATE($AO$7,"-",MID(E27,1,100)),DATOS!Z:AA,2,0))</f>
        <v/>
      </c>
      <c r="AP27" s="165" t="str">
        <f>IF(ISERROR(VLOOKUP(CONCATENATE($AP$7,"-",MID(E27,1,100)),DATOS!Z:AA,2,0)),"",VLOOKUP(CONCATENATE($AP$7,"-",MID(E27,1,100)),DATOS!Z:AA,2,0))</f>
        <v/>
      </c>
      <c r="AQ27" s="165" t="str">
        <f>IF(ISERROR(VLOOKUP(CONCATENATE($AQ$7,"-",MID(E27,1,100)),DATOS!Z:AA,2,0)),"",VLOOKUP(CONCATENATE($AQ$7,"-",MID(E27,1,100)),DATOS!Z:AA,2,0))</f>
        <v/>
      </c>
      <c r="AR27" s="165" t="str">
        <f>IF(ISERROR(VLOOKUP(CONCATENATE($AR$7,"-",MID(E27,1,100)),DATOS!Z:AA,2,0)),"",VLOOKUP(CONCATENATE($AR$7,"-",MID(E27,1,100)),DATOS!Z:AA,2,0))</f>
        <v/>
      </c>
      <c r="AS27" s="166" t="str">
        <f>IF(ISERROR(VLOOKUP(CONCATENATE($AS$7,"-",MID(E27,1,100)),DATOS!Z:AA,2,0)),"",VLOOKUP(CONCATENATE($AS$7,"-",MID(E27,1,100)),DATOS!Z:AA,2,0))</f>
        <v/>
      </c>
      <c r="AT27" s="207" t="str">
        <f>IF(ISERROR(VLOOKUP(CONCATENATE($AT$7,"-",MID(E27,1,100)),DATOS!Z:AA,2,0)),"",VLOOKUP(CONCATENATE($AT$7,"-",MID(E27,1,100)),DATOS!Z:AA,2,0))</f>
        <v/>
      </c>
      <c r="AU27" s="208" t="str">
        <f>IF(ISERROR(VLOOKUP(CONCATENATE($AU$7,"-",MID(E27,1,100)),DATOS!Z:AA,2,0)),"",VLOOKUP(CONCATENATE($AU$7,"-",MID(E27,1,100)),DATOS!Z:AA,2,0))</f>
        <v/>
      </c>
      <c r="AV27" s="208" t="str">
        <f>IF(ISERROR(VLOOKUP(CONCATENATE($AV$7,"-",MID(E27,1,100)),DATOS!Z:AA,2,0)),"",VLOOKUP(CONCATENATE($AV$7,"-",MID(E27,1,100)),DATOS!Z:AA,2,0))</f>
        <v/>
      </c>
      <c r="AW27" s="208" t="str">
        <f>IF(ISERROR(VLOOKUP(CONCATENATE($AW$7,"-",MID(E27,1,100)),DATOS!Z:AA,2,0)),"",VLOOKUP(CONCATENATE($AW$7,"-",MID(E27,1,100)),DATOS!Z:AA,2,0))</f>
        <v/>
      </c>
      <c r="AX27" s="208" t="str">
        <f>IF(ISERROR(VLOOKUP(CONCATENATE($AX$7,"-",MID(E27,1,100)),DATOS!Z:AA,2,0)),"",VLOOKUP(CONCATENATE($AX$7,"-",MID(E27,1,100)),DATOS!Z:AA,2,0))</f>
        <v/>
      </c>
      <c r="AY27" s="208" t="str">
        <f>IF(ISERROR(VLOOKUP(CONCATENATE($AY$7,"-",MID(E27,1,100)),DATOS!Z:AA,2,0)),"",VLOOKUP(CONCATENATE($AY$7,"-",MID(E27,1,100)),DATOS!Z:AA,2,0))</f>
        <v>a</v>
      </c>
      <c r="AZ27" s="208" t="str">
        <f>IF(ISERROR(VLOOKUP(CONCATENATE($AZ$7,"-",MID(E27,1,100)),DATOS!Z:AA,2,0)),"",VLOOKUP(CONCATENATE($AZ$7,"-",MID(E27,1,100)),DATOS!Z:AA,2,0))</f>
        <v/>
      </c>
      <c r="BA27" s="208" t="str">
        <f>IF(ISERROR(VLOOKUP(CONCATENATE($BA$7,"-",MID(E27,1,100)),DATOS!Z:AA,2,0)),"",VLOOKUP(CONCATENATE($BA$7,"-",MID(E27,1,100)),DATOS!Z:AA,2,0))</f>
        <v/>
      </c>
      <c r="BB27" s="208" t="str">
        <f>IF(ISERROR(VLOOKUP(CONCATENATE($BB$7,"-",MID(E27,1,100)),DATOS!Z:AA,2,0)),"",VLOOKUP(CONCATENATE($BB$7,"-",MID(E27,1,100)),DATOS!Z:AA,2,0))</f>
        <v/>
      </c>
      <c r="BC27" s="209" t="str">
        <f>IF(ISERROR(VLOOKUP(CONCATENATE($BC$7,"-",MID(E27,1,100)),DATOS!Z:AA,2,0)),"",VLOOKUP(CONCATENATE($BC$7,"-",MID(E27,1,100)),DATOS!Z:AA,2,0))</f>
        <v/>
      </c>
      <c r="BD27" s="207" t="str">
        <f>IF(ISERROR(VLOOKUP(CONCATENATE($BD$7,"-",MID(E27,1,100)),DATOS!Z:AA,2,0)),"",VLOOKUP(CONCATENATE($BD$7,"-",MID(E27,1,100)),DATOS!Z:AA,2,0))</f>
        <v/>
      </c>
      <c r="BE27" s="208" t="str">
        <f>IF(ISERROR(VLOOKUP(CONCATENATE($BE$7,"-",MID(E27,1,100)),DATOS!Z:AA,2,0)),"",VLOOKUP(CONCATENATE($BE$7,"-",MID(E27,1,100)),DATOS!Z:AA,2,0))</f>
        <v/>
      </c>
      <c r="BF27" s="208" t="str">
        <f>IF(ISERROR(VLOOKUP(CONCATENATE($BF$7,"-",MID(E27,1,100)),DATOS!Z:AA,2,0)),"",VLOOKUP(CONCATENATE($BF$7,"-",MID(E27,1,100)),DATOS!Z:AA,2,0))</f>
        <v/>
      </c>
      <c r="BG27" s="208" t="str">
        <f>IF(ISERROR(VLOOKUP(CONCATENATE($BG$7,"-",MID(E27,1,100)),DATOS!Z:AA,2,0)),"",VLOOKUP(CONCATENATE($BG$7,"-",MID(E27,1,100)),DATOS!Z:AA,2,0))</f>
        <v/>
      </c>
      <c r="BH27" s="208" t="str">
        <f>IF(ISERROR(VLOOKUP(CONCATENATE($BH$7,"-",MID(E27,1,100)),DATOS!Z:AA,2,0)),"",VLOOKUP(CONCATENATE($BH$7,"-",MID(E27,1,100)),DATOS!Z:AA,2,0))</f>
        <v/>
      </c>
      <c r="BI27" s="208" t="str">
        <f>IF(ISERROR(VLOOKUP(CONCATENATE($BI$7,"-",MID(E27,1,100)),DATOS!Z:AA,2,0)),"",VLOOKUP(CONCATENATE($BI$7,"-",MID(E27,1,100)),DATOS!Z:AA,2,0))</f>
        <v/>
      </c>
      <c r="BJ27" s="208" t="str">
        <f>IF(ISERROR(VLOOKUP(CONCATENATE($BJ$7,"-",MID(E27,1,100)),DATOS!Z:AA,2,0)),"",VLOOKUP(CONCATENATE($BJ$7,"-",MID(E27,1,100)),DATOS!Z:AA,2,0))</f>
        <v/>
      </c>
      <c r="BK27" s="208" t="str">
        <f>IF(ISERROR(VLOOKUP(CONCATENATE($BK$7,"-",MID(E27,1,100)),DATOS!Z:AA,2,0)),"",VLOOKUP(CONCATENATE($BK$7,"-",MID(E27,1,100)),DATOS!Z:AA,2,0))</f>
        <v/>
      </c>
      <c r="BL27" s="208" t="str">
        <f>IF(ISERROR(VLOOKUP(CONCATENATE($BL$7,"-",MID(E27,1,100)),DATOS!Z:AA,2,0)),"",VLOOKUP(CONCATENATE($BL$7,"-",MID(E27,1,100)),DATOS!Z:AA,2,0))</f>
        <v/>
      </c>
      <c r="BM27" s="209" t="str">
        <f>IF(ISERROR(VLOOKUP(CONCATENATE($BM$7,"-",MID(E27,1,100)),DATOS!Z:AA,2,0)),"",VLOOKUP(CONCATENATE($BM$7,"-",MID(E27,1,100)),DATOS!Z:AA,2,0))</f>
        <v/>
      </c>
      <c r="BN27" s="207" t="str">
        <f>IF(ISERROR(VLOOKUP(CONCATENATE($BN$7,"-",MID(E27,1,100)),DATOS!Z:AA,2,0)),"",VLOOKUP(CONCATENATE($BN$7,"-",MID(E27,1,100)),DATOS!Z:AA,2,0))</f>
        <v/>
      </c>
      <c r="BO27" s="208" t="str">
        <f>IF(ISERROR(VLOOKUP(CONCATENATE($BO$7,"-",MID(E27,1,100)),DATOS!Z:AA,2,0)),"",VLOOKUP(CONCATENATE($BO$7,"-",MID(E27,1,100)),DATOS!Z:AA,2,0))</f>
        <v/>
      </c>
      <c r="BP27" s="208" t="str">
        <f>IF(ISERROR(VLOOKUP(CONCATENATE($BP$7,"-",MID(E27,1,100)),DATOS!Z:AA,2,0)),"",VLOOKUP(CONCATENATE($BP$7,"-",MID(E27,1,100)),DATOS!Z:AA,2,0))</f>
        <v/>
      </c>
      <c r="BQ27" s="208" t="str">
        <f>IF(ISERROR(VLOOKUP(CONCATENATE($BQ$7,"-",MID(E27,1,100)),DATOS!Z:AA,2,0)),"",VLOOKUP(CONCATENATE($BQ$7,"-",MID(E27,1,100)),DATOS!Z:AA,2,0))</f>
        <v/>
      </c>
      <c r="BR27" s="208" t="str">
        <f>IF(ISERROR(VLOOKUP(CONCATENATE($BR$7,"-",MID(E27,1,100)),DATOS!Z:AA,2,0)),"",VLOOKUP(CONCATENATE($BR$7,"-",MID(E27,1,100)),DATOS!Z:AA,2,0))</f>
        <v/>
      </c>
      <c r="BS27" s="208" t="str">
        <f>IF(ISERROR(VLOOKUP(CONCATENATE($BS$7,"-",MID(E27,1,100)),DATOS!Z:AA,2,0)),"",VLOOKUP(CONCATENATE($BS$7,"-",MID(E27,1,100)),DATOS!Z:AA,2,0))</f>
        <v/>
      </c>
      <c r="BT27" s="208" t="str">
        <f>IF(ISERROR(VLOOKUP(CONCATENATE($BT$7,"-",MID(E27,1,100)),DATOS!Z:AA,2,0)),"",VLOOKUP(CONCATENATE($BT$7,"-",MID(E27,1,100)),DATOS!Z:AA,2,0))</f>
        <v/>
      </c>
      <c r="BU27" s="208" t="str">
        <f>IF(ISERROR(VLOOKUP(CONCATENATE($BU$7,"-",MID(E27,1,100)),DATOS!Z:AA,2,0)),"",VLOOKUP(CONCATENATE($BU$7,"-",MID(E27,1,100)),DATOS!Z:AA,2,0))</f>
        <v/>
      </c>
      <c r="BV27" s="208" t="str">
        <f>IF(ISERROR(VLOOKUP(CONCATENATE($BV$7,"-",MID(E27,1,100)),DATOS!Z:AA,2,0)),"",VLOOKUP(CONCATENATE($BV$7,"-",MID(E27,1,100)),DATOS!Z:AA,2,0))</f>
        <v/>
      </c>
      <c r="BW27" s="209" t="str">
        <f>IF(ISERROR(VLOOKUP(CONCATENATE($BW$7,"-",MID(E27,1,100)),DATOS!Z:AA,2,0)),"",VLOOKUP(CONCATENATE($BW$7,"-",MID(E27,1,100)),DATOS!Z:AA,2,0))</f>
        <v/>
      </c>
      <c r="BX27" s="164" t="str">
        <f>IF(ISERROR(VLOOKUP(CONCATENATE($BX$7,"-",MID(E27,1,100)),DATOS!Z:AA,2,0)),"",VLOOKUP(CONCATENATE($BX$7,"-",MID(E27,1,100)),DATOS!Z:AA,2,0))</f>
        <v/>
      </c>
      <c r="BY27" s="165" t="str">
        <f>IF(ISERROR(VLOOKUP(CONCATENATE($BY$7,"-",MID(E27,1,100)),DATOS!Z:AA,2,0)),"",VLOOKUP(CONCATENATE($BY$7,"-",MID(E27,1,100)),DATOS!Z:AA,2,0))</f>
        <v/>
      </c>
      <c r="BZ27" s="165" t="str">
        <f>IF(ISERROR(VLOOKUP(CONCATENATE($BZ$7,"-",MID(E27,1,100)),DATOS!Z:AA,2,0)),"",VLOOKUP(CONCATENATE($BZ$7,"-",MID(E27,1,100)),DATOS!Z:AA,2,0))</f>
        <v/>
      </c>
      <c r="CA27" s="165" t="str">
        <f>IF(ISERROR(VLOOKUP(CONCATENATE($CA$7,"-",MID(E27,1,100)),DATOS!Z:AA,2,0)),"",VLOOKUP(CONCATENATE($CA$7,"-",MID(E27,1,100)),DATOS!Z:AA,2,0))</f>
        <v/>
      </c>
      <c r="CB27" s="165" t="str">
        <f>IF(ISERROR(VLOOKUP(CONCATENATE($CB$7,"-",MID(E27,1,100)),DATOS!Z:AA,2,0)),"",VLOOKUP(CONCATENATE($CB$7,"-",MID(E27,1,100)),DATOS!Z:AA,2,0))</f>
        <v/>
      </c>
      <c r="CC27" s="165" t="str">
        <f>IF(ISERROR(VLOOKUP(CONCATENATE($CC$7,"-",MID(E27,1,100)),DATOS!Z:AA,2,0)),"",VLOOKUP(CONCATENATE($CC$7,"-",MID(E27,1,100)),DATOS!Z:AA,2,0))</f>
        <v/>
      </c>
      <c r="CD27" s="165" t="str">
        <f>IF(ISERROR(VLOOKUP(CONCATENATE($CD$7,"-",MID(E27,1,100)),DATOS!Z:AA,2,0)),"",VLOOKUP(CONCATENATE($CD$7,"-",MID(E27,1,100)),DATOS!Z:AA,2,0))</f>
        <v/>
      </c>
      <c r="CE27" s="165" t="str">
        <f>IF(ISERROR(VLOOKUP(CONCATENATE($CE$7,"-",MID(E27,1,100)),DATOS!Z:AA,2,0)),"",VLOOKUP(CONCATENATE($CE$7,"-",MID(E27,1,100)),DATOS!Z:AA,2,0))</f>
        <v/>
      </c>
      <c r="CF27" s="165" t="str">
        <f>IF(ISERROR(VLOOKUP(CONCATENATE($CF$7,"-",MID(E27,1,100)),DATOS!Z:AA,2,0)),"",VLOOKUP(CONCATENATE($CF$7,"-",MID(E27,1,100)),DATOS!Z:AA,2,0))</f>
        <v/>
      </c>
      <c r="CG27" s="166" t="str">
        <f>IF(ISERROR(VLOOKUP(CONCATENATE($CG$7,"-",MID(E27,1,100)),DATOS!Z:AA,2,0)),"",VLOOKUP(CONCATENATE($CG$7,"-",MID(E27,1,100)),DATOS!Z:AA,2,0))</f>
        <v/>
      </c>
      <c r="CH27" s="164" t="str">
        <f>IF(ISERROR(VLOOKUP(CONCATENATE($CH$7,"-",MID(E27,1,100)),DATOS!Z:AA,2,0)),"",VLOOKUP(CONCATENATE($CH$7,"-",MID(E27,1,100)),DATOS!Z:AA,2,0))</f>
        <v/>
      </c>
      <c r="CI27" s="165" t="str">
        <f>IF(ISERROR(VLOOKUP(CONCATENATE($CI$7,"-",MID(E27,1,100)),DATOS!Z:AA,2,0)),"",VLOOKUP(CONCATENATE($CI$7,"-",MID(E27,1,100)),DATOS!Z:AA,2,0))</f>
        <v/>
      </c>
      <c r="CJ27" s="165" t="str">
        <f>IF(ISERROR(VLOOKUP(CONCATENATE($CJ$7,"-",MID(E27,1,100)),DATOS!Z:AA,2,0)),"",VLOOKUP(CONCATENATE($CJ$7,"-",MID(E27,1,100)),DATOS!Z:AA,2,0))</f>
        <v/>
      </c>
      <c r="CK27" s="165" t="str">
        <f>IF(ISERROR(VLOOKUP(CONCATENATE($CK$7,"-",MID(E27,1,100)),DATOS!Z:AA,2,0)),"",VLOOKUP(CONCATENATE($CK$7,"-",MID(E27,1,100)),DATOS!Z:AA,2,0))</f>
        <v/>
      </c>
      <c r="CL27" s="165" t="str">
        <f>IF(ISERROR(VLOOKUP(CONCATENATE($CL$7,"-",MID(E27,1,100)),DATOS!Z:AA,2,0)),"",VLOOKUP(CONCATENATE($CL$7,"-",MID(E27,1,100)),DATOS!Z:AA,2,0))</f>
        <v/>
      </c>
      <c r="CM27" s="165" t="str">
        <f>IF(ISERROR(VLOOKUP(CONCATENATE($CM$7,"-",MID(E27,1,100)),DATOS!Z:AA,2,0)),"",VLOOKUP(CONCATENATE($CM$7,"-",MID(E27,1,100)),DATOS!Z:AA,2,0))</f>
        <v/>
      </c>
      <c r="CN27" s="165" t="str">
        <f>IF(ISERROR(VLOOKUP(CONCATENATE($CN$7,"-",MID(E27,1,100)),DATOS!Z:AA,2,0)),"",VLOOKUP(CONCATENATE($CN$7,"-",MID(E27,1,100)),DATOS!Z:AA,2,0))</f>
        <v/>
      </c>
      <c r="CO27" s="165" t="str">
        <f>IF(ISERROR(VLOOKUP(CONCATENATE($CO$7,"-",MID(E27,1,100)),DATOS!Z:AA,2,0)),"",VLOOKUP(CONCATENATE($CO$7,"-",MID(E27,1,100)),DATOS!Z:AA,2,0))</f>
        <v/>
      </c>
      <c r="CP27" s="195" t="str">
        <f>IF(ISERROR(VLOOKUP(CONCATENATE($CP$7,"-",MID(E27,1,100)),DATOS!Z:AA,2,0)),"",VLOOKUP(CONCATENATE($CP$7,"-",MID(E27,1,100)),DATOS!Z:AA,2,0))</f>
        <v/>
      </c>
      <c r="CQ27" s="166" t="str">
        <f>IF(ISERROR(VLOOKUP(CONCATENATE($CQ$7,"-",MID(E27,1,100)),DATOS!Z:AA,2,0)),"",VLOOKUP(CONCATENATE($CQ$7,"-",MID(E27,1,100)),DATOS!Z:AA,2,0))</f>
        <v/>
      </c>
      <c r="CR27" s="164" t="str">
        <f>IF(ISERROR(VLOOKUP(CONCATENATE(CR$7,"-",MID($E27,1,100)),DATOS!$Z:$AA,2,0)),"",VLOOKUP(CONCATENATE(CR$7,"-",MID($E27,1,100)),DATOS!$Z:$AA,2,0))</f>
        <v/>
      </c>
      <c r="CS27" s="165" t="str">
        <f>IF(ISERROR(VLOOKUP(CONCATENATE(CS$7,"-",MID($E27,1,100)),DATOS!$Z:$AA,2,0)),"",VLOOKUP(CONCATENATE(CS$7,"-",MID($E27,1,100)),DATOS!$Z:$AA,2,0))</f>
        <v/>
      </c>
      <c r="CT27" s="165" t="str">
        <f>IF(ISERROR(VLOOKUP(CONCATENATE(CT$7,"-",MID($E27,1,100)),DATOS!$Z:$AA,2,0)),"",VLOOKUP(CONCATENATE(CT$7,"-",MID($E27,1,100)),DATOS!$Z:$AA,2,0))</f>
        <v/>
      </c>
      <c r="CU27" s="165" t="str">
        <f>IF(ISERROR(VLOOKUP(CONCATENATE(CU$7,"-",MID($E27,1,100)),DATOS!$Z:$AA,2,0)),"",VLOOKUP(CONCATENATE(CU$7,"-",MID($E27,1,100)),DATOS!$Z:$AA,2,0))</f>
        <v/>
      </c>
      <c r="CV27" s="165" t="str">
        <f>IF(ISERROR(VLOOKUP(CONCATENATE(CV$7,"-",MID($E27,1,100)),DATOS!$Z:$AA,2,0)),"",VLOOKUP(CONCATENATE(CV$7,"-",MID($E27,1,100)),DATOS!$Z:$AA,2,0))</f>
        <v/>
      </c>
      <c r="CW27" s="165" t="str">
        <f>IF(ISERROR(VLOOKUP(CONCATENATE(CW$7,"-",MID($E27,1,100)),DATOS!$Z:$AA,2,0)),"",VLOOKUP(CONCATENATE(CW$7,"-",MID($E27,1,100)),DATOS!$Z:$AA,2,0))</f>
        <v/>
      </c>
      <c r="CX27" s="165" t="str">
        <f>IF(ISERROR(VLOOKUP(CONCATENATE(CX$7,"-",MID($E27,1,100)),DATOS!$Z:$AA,2,0)),"",VLOOKUP(CONCATENATE(CX$7,"-",MID($E27,1,100)),DATOS!$Z:$AA,2,0))</f>
        <v/>
      </c>
      <c r="CY27" s="165" t="str">
        <f>IF(ISERROR(VLOOKUP(CONCATENATE(CY$7,"-",MID($E27,1,100)),DATOS!$Z:$AA,2,0)),"",VLOOKUP(CONCATENATE(CY$7,"-",MID($E27,1,100)),DATOS!$Z:$AA,2,0))</f>
        <v/>
      </c>
      <c r="CZ27" s="195" t="str">
        <f>IF(ISERROR(VLOOKUP(CONCATENATE(CZ$7,"-",MID($E27,1,100)),DATOS!$Z:$AA,2,0)),"",VLOOKUP(CONCATENATE(CZ$7,"-",MID($E27,1,100)),DATOS!$Z:$AA,2,0))</f>
        <v/>
      </c>
      <c r="DA27" s="166" t="str">
        <f>IF(ISERROR(VLOOKUP(CONCATENATE(DA$7,"-",MID($E27,1,100)),DATOS!$Z:$AA,2,0)),"",VLOOKUP(CONCATENATE(DA$7,"-",MID($E27,1,100)),DATOS!$Z:$AA,2,0))</f>
        <v/>
      </c>
      <c r="DB27" s="164" t="str">
        <f>IF(ISERROR(VLOOKUP(CONCATENATE(DB$7,"-",MID($E27,1,100)),DATOS!$Z:$AA,2,0)),"",VLOOKUP(CONCATENATE(DB$7,"-",MID($E27,1,100)),DATOS!$Z:$AA,2,0))</f>
        <v/>
      </c>
      <c r="DC27" s="165" t="str">
        <f>IF(ISERROR(VLOOKUP(CONCATENATE(DC$7,"-",MID($E27,1,100)),DATOS!$Z:$AA,2,0)),"",VLOOKUP(CONCATENATE(DC$7,"-",MID($E27,1,100)),DATOS!$Z:$AA,2,0))</f>
        <v/>
      </c>
      <c r="DD27" s="165" t="str">
        <f>IF(ISERROR(VLOOKUP(CONCATENATE(DD$7,"-",MID($E27,1,100)),DATOS!$Z:$AA,2,0)),"",VLOOKUP(CONCATENATE(DD$7,"-",MID($E27,1,100)),DATOS!$Z:$AA,2,0))</f>
        <v/>
      </c>
      <c r="DE27" s="165" t="str">
        <f>IF(ISERROR(VLOOKUP(CONCATENATE(DE$7,"-",MID($E27,1,100)),DATOS!$Z:$AA,2,0)),"",VLOOKUP(CONCATENATE(DE$7,"-",MID($E27,1,100)),DATOS!$Z:$AA,2,0))</f>
        <v/>
      </c>
      <c r="DF27" s="165" t="str">
        <f>IF(ISERROR(VLOOKUP(CONCATENATE(DF$7,"-",MID($E27,1,100)),DATOS!$Z:$AA,2,0)),"",VLOOKUP(CONCATENATE(DF$7,"-",MID($E27,1,100)),DATOS!$Z:$AA,2,0))</f>
        <v/>
      </c>
      <c r="DG27" s="165" t="str">
        <f>IF(ISERROR(VLOOKUP(CONCATENATE(DG$7,"-",MID($E27,1,100)),DATOS!$Z:$AA,2,0)),"",VLOOKUP(CONCATENATE(DG$7,"-",MID($E27,1,100)),DATOS!$Z:$AA,2,0))</f>
        <v/>
      </c>
      <c r="DH27" s="165" t="str">
        <f>IF(ISERROR(VLOOKUP(CONCATENATE(DH$7,"-",MID($E27,1,100)),DATOS!$Z:$AA,2,0)),"",VLOOKUP(CONCATENATE(DH$7,"-",MID($E27,1,100)),DATOS!$Z:$AA,2,0))</f>
        <v/>
      </c>
      <c r="DI27" s="165" t="str">
        <f>IF(ISERROR(VLOOKUP(CONCATENATE(DI$7,"-",MID($E27,1,100)),DATOS!$Z:$AA,2,0)),"",VLOOKUP(CONCATENATE(DI$7,"-",MID($E27,1,100)),DATOS!$Z:$AA,2,0))</f>
        <v/>
      </c>
      <c r="DJ27" s="195" t="str">
        <f>IF(ISERROR(VLOOKUP(CONCATENATE(DJ$7,"-",MID($E27,1,100)),DATOS!$Z:$AA,2,0)),"",VLOOKUP(CONCATENATE(DJ$7,"-",MID($E27,1,100)),DATOS!$Z:$AA,2,0))</f>
        <v/>
      </c>
      <c r="DK27" s="166" t="str">
        <f>IF(ISERROR(VLOOKUP(CONCATENATE(DK$7,"-",MID($E27,1,100)),DATOS!$Z:$AA,2,0)),"",VLOOKUP(CONCATENATE(DK$7,"-",MID($E27,1,100)),DATOS!$Z:$AA,2,0))</f>
        <v/>
      </c>
      <c r="DL27" s="164" t="str">
        <f>IF(ISERROR(VLOOKUP(CONCATENATE(DL$7,"-",MID($E27,1,100)),DATOS!$Z:$AA,2,0)),"",VLOOKUP(CONCATENATE(DL$7,"-",MID($E27,1,100)),DATOS!$Z:$AA,2,0))</f>
        <v/>
      </c>
      <c r="DM27" s="165" t="str">
        <f>IF(ISERROR(VLOOKUP(CONCATENATE(DM$7,"-",MID($E27,1,100)),DATOS!$Z:$AA,2,0)),"",VLOOKUP(CONCATENATE(DM$7,"-",MID($E27,1,100)),DATOS!$Z:$AA,2,0))</f>
        <v/>
      </c>
      <c r="DN27" s="165" t="str">
        <f>IF(ISERROR(VLOOKUP(CONCATENATE(DN$7,"-",MID($E27,1,100)),DATOS!$Z:$AA,2,0)),"",VLOOKUP(CONCATENATE(DN$7,"-",MID($E27,1,100)),DATOS!$Z:$AA,2,0))</f>
        <v/>
      </c>
      <c r="DO27" s="165" t="str">
        <f>IF(ISERROR(VLOOKUP(CONCATENATE(DO$7,"-",MID($E27,1,100)),DATOS!$Z:$AA,2,0)),"",VLOOKUP(CONCATENATE(DO$7,"-",MID($E27,1,100)),DATOS!$Z:$AA,2,0))</f>
        <v/>
      </c>
      <c r="DP27" s="165" t="str">
        <f>IF(ISERROR(VLOOKUP(CONCATENATE(DP$7,"-",MID($E27,1,100)),DATOS!$Z:$AA,2,0)),"",VLOOKUP(CONCATENATE(DP$7,"-",MID($E27,1,100)),DATOS!$Z:$AA,2,0))</f>
        <v/>
      </c>
      <c r="DQ27" s="165" t="str">
        <f>IF(ISERROR(VLOOKUP(CONCATENATE(DQ$7,"-",MID($E27,1,100)),DATOS!$Z:$AA,2,0)),"",VLOOKUP(CONCATENATE(DQ$7,"-",MID($E27,1,100)),DATOS!$Z:$AA,2,0))</f>
        <v/>
      </c>
      <c r="DR27" s="165" t="str">
        <f>IF(ISERROR(VLOOKUP(CONCATENATE(DR$7,"-",MID($E27,1,100)),DATOS!$Z:$AA,2,0)),"",VLOOKUP(CONCATENATE(DR$7,"-",MID($E27,1,100)),DATOS!$Z:$AA,2,0))</f>
        <v/>
      </c>
      <c r="DS27" s="165" t="str">
        <f>IF(ISERROR(VLOOKUP(CONCATENATE(DS$7,"-",MID($E27,1,100)),DATOS!$Z:$AA,2,0)),"",VLOOKUP(CONCATENATE(DS$7,"-",MID($E27,1,100)),DATOS!$Z:$AA,2,0))</f>
        <v/>
      </c>
      <c r="DT27" s="195" t="str">
        <f>IF(ISERROR(VLOOKUP(CONCATENATE(DT$7,"-",MID($E27,1,100)),DATOS!$Z:$AA,2,0)),"",VLOOKUP(CONCATENATE(DT$7,"-",MID($E27,1,100)),DATOS!$Z:$AA,2,0))</f>
        <v/>
      </c>
      <c r="DU27" s="166" t="str">
        <f>IF(ISERROR(VLOOKUP(CONCATENATE(DU$7,"-",MID($E27,1,100)),DATOS!$Z:$AA,2,0)),"",VLOOKUP(CONCATENATE(DU$7,"-",MID($E27,1,100)),DATOS!$Z:$AA,2,0))</f>
        <v/>
      </c>
      <c r="DV27" s="164" t="str">
        <f>IF(ISERROR(VLOOKUP(CONCATENATE(DV$7,"-",MID($E27,1,100)),DATOS!$Z:$AA,2,0)),"",VLOOKUP(CONCATENATE(DV$7,"-",MID($E27,1,100)),DATOS!$Z:$AA,2,0))</f>
        <v/>
      </c>
      <c r="DW27" s="165" t="str">
        <f>IF(ISERROR(VLOOKUP(CONCATENATE(DW$7,"-",MID($E27,1,100)),DATOS!$Z:$AA,2,0)),"",VLOOKUP(CONCATENATE(DW$7,"-",MID($E27,1,100)),DATOS!$Z:$AA,2,0))</f>
        <v/>
      </c>
      <c r="DX27" s="165" t="str">
        <f>IF(ISERROR(VLOOKUP(CONCATENATE(DX$7,"-",MID($E27,1,100)),DATOS!$Z:$AA,2,0)),"",VLOOKUP(CONCATENATE(DX$7,"-",MID($E27,1,100)),DATOS!$Z:$AA,2,0))</f>
        <v/>
      </c>
      <c r="DY27" s="165" t="str">
        <f>IF(ISERROR(VLOOKUP(CONCATENATE(DY$7,"-",MID($E27,1,100)),DATOS!$Z:$AA,2,0)),"",VLOOKUP(CONCATENATE(DY$7,"-",MID($E27,1,100)),DATOS!$Z:$AA,2,0))</f>
        <v/>
      </c>
      <c r="DZ27" s="165" t="str">
        <f>IF(ISERROR(VLOOKUP(CONCATENATE(DZ$7,"-",MID($E27,1,100)),DATOS!$Z:$AA,2,0)),"",VLOOKUP(CONCATENATE(DZ$7,"-",MID($E27,1,100)),DATOS!$Z:$AA,2,0))</f>
        <v/>
      </c>
      <c r="EA27" s="165" t="str">
        <f>IF(ISERROR(VLOOKUP(CONCATENATE(EA$7,"-",MID($E27,1,100)),DATOS!$Z:$AA,2,0)),"",VLOOKUP(CONCATENATE(EA$7,"-",MID($E27,1,100)),DATOS!$Z:$AA,2,0))</f>
        <v/>
      </c>
      <c r="EB27" s="165" t="str">
        <f>IF(ISERROR(VLOOKUP(CONCATENATE(EB$7,"-",MID($E27,1,100)),DATOS!$Z:$AA,2,0)),"",VLOOKUP(CONCATENATE(EB$7,"-",MID($E27,1,100)),DATOS!$Z:$AA,2,0))</f>
        <v/>
      </c>
      <c r="EC27" s="165" t="str">
        <f>IF(ISERROR(VLOOKUP(CONCATENATE(EC$7,"-",MID($E27,1,100)),DATOS!$Z:$AA,2,0)),"",VLOOKUP(CONCATENATE(EC$7,"-",MID($E27,1,100)),DATOS!$Z:$AA,2,0))</f>
        <v/>
      </c>
      <c r="ED27" s="195" t="str">
        <f>IF(ISERROR(VLOOKUP(CONCATENATE(ED$7,"-",MID($E27,1,100)),DATOS!$Z:$AA,2,0)),"",VLOOKUP(CONCATENATE(ED$7,"-",MID($E27,1,100)),DATOS!$Z:$AA,2,0))</f>
        <v/>
      </c>
      <c r="EE27" s="166" t="str">
        <f>IF(ISERROR(VLOOKUP(CONCATENATE(EE$7,"-",MID($E27,1,100)),DATOS!$Z:$AA,2,0)),"",VLOOKUP(CONCATENATE(EE$7,"-",MID($E27,1,100)),DATOS!$Z:$AA,2,0))</f>
        <v/>
      </c>
      <c r="EF27" s="164" t="str">
        <f>IF(ISERROR(VLOOKUP(CONCATENATE($EF$7,"-",MID(E27,1,100)),DATOS!Z:AA,2,0)),"",VLOOKUP(CONCATENATE($EF$7,"-",MID(E27,1,100)),DATOS!Z:AA,2,0))</f>
        <v/>
      </c>
      <c r="EG27" s="165" t="str">
        <f>IF(ISERROR(VLOOKUP(CONCATENATE($EG$7,"-",MID(E27,1,100)),DATOS!Z:AA,2,0)),"",VLOOKUP(CONCATENATE($EG$7,"-",MID(E27,1,100)),DATOS!Z:AA,2,0))</f>
        <v/>
      </c>
      <c r="EH27" s="165" t="str">
        <f>IF(ISERROR(VLOOKUP(CONCATENATE($EH$7,"-",MID(E27,1,100)),DATOS!Z:AA,2,0)),"",VLOOKUP(CONCATENATE($EH$7,"-",MID(E27,1,100)),DATOS!Z:AA,2,0))</f>
        <v/>
      </c>
      <c r="EI27" s="165" t="str">
        <f>IF(ISERROR(VLOOKUP(CONCATENATE($EI$7,"-",MID(E27,1,100)),DATOS!Z:AA,2,0)),"",VLOOKUP(CONCATENATE($EI$7,"-",MID(E27,1,100)),DATOS!Z:AA,2,0))</f>
        <v/>
      </c>
      <c r="EJ27" s="165" t="str">
        <f>IF(ISERROR(VLOOKUP(CONCATENATE($EJ$7,"-",MID(E27,1,100)),DATOS!Z:AA,2,0)),"",VLOOKUP(CONCATENATE($EJ$7,"-",MID(E27,1,100)),DATOS!Z:AA,2,0))</f>
        <v/>
      </c>
      <c r="EK27" s="165" t="str">
        <f>IF(ISERROR(VLOOKUP(CONCATENATE($EK$7,"-",MID(E27,1,100)),DATOS!Z:AA,2,0)),"",VLOOKUP(CONCATENATE($EK$7,"-",MID(E27,1,100)),DATOS!Z:AA,2,0))</f>
        <v/>
      </c>
      <c r="EL27" s="165" t="str">
        <f>IF(ISERROR(VLOOKUP(CONCATENATE($EL$7,"-",MID(E27,1,100)),DATOS!Z:AA,2,0)),"",VLOOKUP(CONCATENATE($EL$7,"-",MID(E27,1,100)),DATOS!Z:AA,2,0))</f>
        <v/>
      </c>
      <c r="EM27" s="165" t="str">
        <f>IF(ISERROR(VLOOKUP(CONCATENATE($EM$7,"-",MID(E27,1,100)),DATOS!Z:AA,2,0)),"",VLOOKUP(CONCATENATE($EM$7,"-",MID(E27,1,100)),DATOS!Z:AA,2,0))</f>
        <v/>
      </c>
      <c r="EN27" s="165" t="str">
        <f>IF(ISERROR(VLOOKUP(CONCATENATE($EN$7,"-",MID(E27,1,100)),DATOS!Z:AA,2,0)),"",VLOOKUP(CONCATENATE($EN$7,"-",MID(E27,1,100)),DATOS!Z:AA,2,0))</f>
        <v/>
      </c>
      <c r="EO27" s="166" t="str">
        <f>IF(ISERROR(VLOOKUP(CONCATENATE($EO$7,"-",MID(E27,1,100)),DATOS!Z:AA,2,0)),"",VLOOKUP(CONCATENATE($EO$7,"-",MID(E27,1,100)),DATOS!Z:AA,2,0))</f>
        <v/>
      </c>
      <c r="EP27" s="167">
        <f t="shared" si="0"/>
        <v>1</v>
      </c>
      <c r="EQ27" s="159" t="str">
        <f t="shared" si="1"/>
        <v>CP1: Orientación educativa-N2</v>
      </c>
    </row>
    <row r="28" spans="1:147" ht="17.25" customHeight="1">
      <c r="A28" s="148"/>
      <c r="B28" s="168" t="str">
        <f>IF('1.Fundamentos'!B58="","",'1.Fundamentos'!B58)</f>
        <v>CP1: Orientación educativa</v>
      </c>
      <c r="C28" s="169" t="s">
        <v>84</v>
      </c>
      <c r="D28" s="170" t="str">
        <f>IF('1.Fundamentos'!D58="","",'1.Fundamentos'!D58)</f>
        <v>Comprende el rigor científico de la teoría, la historia y la psicología aplicadas al ámbito educativo para establecer las orientaciones fundamentales del sentido educativo en los docentes y los alumnos.</v>
      </c>
      <c r="E28" s="171" t="str">
        <f t="shared" si="2"/>
        <v>CP1: Orientación educativa:N3 Comprende el rigor científico de la teoría, la historia y la psicología aplicadas al ámbito educativo para establecer las orientaciones fundamentales del sentido educativo en los docentes y los alumnos.</v>
      </c>
      <c r="F28" s="172" t="str">
        <f>IF(ISERROR(VLOOKUP(CONCATENATE($F$7,"-",MID(E28,1,100)),DATOS!Z:AA,2,0)),"",VLOOKUP(CONCATENATE($F$7,"-",MID(E28,1,100)),DATOS!Z:AA,2,0))</f>
        <v/>
      </c>
      <c r="G28" s="173" t="str">
        <f>IF(ISERROR(VLOOKUP(CONCATENATE($G$7,"-",MID(E28,1,100)),DATOS!Z:AA,2,0)),"",VLOOKUP(CONCATENATE($G$7,"-",MID(E28,1,100)),DATOS!Z:AA,2,0))</f>
        <v/>
      </c>
      <c r="H28" s="173" t="str">
        <f>IF(ISERROR(VLOOKUP(CONCATENATE($H$7,"-",MID(E28,1,100)),DATOS!Z:AA,2,0)),"",VLOOKUP(CONCATENATE($H$7,"-",MID(E28,1,100)),DATOS!Z:AA,2,0))</f>
        <v/>
      </c>
      <c r="I28" s="173" t="str">
        <f>IF(ISERROR(VLOOKUP(CONCATENATE($I$7,"-",MID(E28,1,100)),DATOS!Z:AA,2,0)),"",VLOOKUP(CONCATENATE($I$7,"-",MID(E28,1,100)),DATOS!Z:AA,2,0))</f>
        <v/>
      </c>
      <c r="J28" s="173" t="str">
        <f>IF(ISERROR(VLOOKUP(CONCATENATE($J$7,"-",MID(E28,1,100)),DATOS!Z:AA,2,0)),"",VLOOKUP(CONCATENATE($J$7,"-",MID(E28,1,100)),DATOS!Z:AA,2,0))</f>
        <v/>
      </c>
      <c r="K28" s="173" t="str">
        <f>IF(ISERROR(VLOOKUP(CONCATENATE($K$7,"-",MID(E28,1,100)),DATOS!Z:AA,2,0)),"",VLOOKUP(CONCATENATE($K$7,"-",MID(E28,1,100)),DATOS!Z:AA,2,0))</f>
        <v/>
      </c>
      <c r="L28" s="173" t="str">
        <f>IF(ISERROR(VLOOKUP(CONCATENATE($L$7,"-",MID(E28,1,100)),DATOS!Z:AA,2,0)),"",VLOOKUP(CONCATENATE($L$7,"-",MID(E28,1,100)),DATOS!Z:AA,2,0))</f>
        <v/>
      </c>
      <c r="M28" s="173" t="str">
        <f>IF(ISERROR(VLOOKUP(CONCATENATE($M$7,"-",MID(E28,1,100)),DATOS!Z:AA,2,0)),"",VLOOKUP(CONCATENATE($M$7,"-",MID(E28,1,100)),DATOS!Z:AA,2,0))</f>
        <v/>
      </c>
      <c r="N28" s="173" t="str">
        <f>IF(ISERROR(VLOOKUP(CONCATENATE($N$7,"-",MID(E28,1,100)),DATOS!Z:AA,2,0)),"",VLOOKUP(CONCATENATE($N$7,"-",MID(E28,1,100)),DATOS!Z:AA,2,0))</f>
        <v/>
      </c>
      <c r="O28" s="174" t="str">
        <f>IF(ISERROR(VLOOKUP(CONCATENATE($O$7,"-",MID(E28,1,100)),DATOS!Z:AA,2,0)),"",VLOOKUP(CONCATENATE($O$7,"-",MID(E28,1,100)),DATOS!Z:AA,2,0))</f>
        <v/>
      </c>
      <c r="P28" s="172" t="str">
        <f>IF(ISERROR(VLOOKUP(CONCATENATE($P$7,"-",MID(E28,1,100)),DATOS!Z:AA,2,0)),"",VLOOKUP(CONCATENATE($P$7,"-",MID(E28,1,100)),DATOS!Z:AA,2,0))</f>
        <v/>
      </c>
      <c r="Q28" s="173" t="str">
        <f>IF(ISERROR(VLOOKUP(CONCATENATE($Q$7,"-",MID(E28,1,100)),DATOS!Z:AA,2,0)),"",VLOOKUP(CONCATENATE($Q$7,"-",MID(E28,1,100)),DATOS!Z:AA,2,0))</f>
        <v/>
      </c>
      <c r="R28" s="173" t="str">
        <f>IF(ISERROR(VLOOKUP(CONCATENATE($R$7,"-",MID(E28,1,100)),DATOS!Z:AA,2,0)),"",VLOOKUP(CONCATENATE($R$7,"-",MID(E28,1,100)),DATOS!Z:AA,2,0))</f>
        <v/>
      </c>
      <c r="S28" s="173" t="str">
        <f>IF(ISERROR(VLOOKUP(CONCATENATE($S$7,"-",MID(E28,1,100)),DATOS!Z:AA,2,0)),"",VLOOKUP(CONCATENATE($S$7,"-",MID(E28,1,100)),DATOS!Z:AA,2,0))</f>
        <v/>
      </c>
      <c r="T28" s="173" t="str">
        <f>IF(ISERROR(VLOOKUP(CONCATENATE($T$7,"-",MID(E28,1,100)),DATOS!Z:AA,2,0)),"",VLOOKUP(CONCATENATE($T$7,"-",MID(E28,1,100)),DATOS!Z:AA,2,0))</f>
        <v/>
      </c>
      <c r="U28" s="173" t="str">
        <f>IF(ISERROR(VLOOKUP(CONCATENATE($U$7,"-",MID(E28,1,100)),DATOS!Z:AA,2,0)),"",VLOOKUP(CONCATENATE($U$7,"-",MID(E28,1,100)),DATOS!Z:AA,2,0))</f>
        <v/>
      </c>
      <c r="V28" s="173" t="str">
        <f>IF(ISERROR(VLOOKUP(CONCATENATE($V$7,"-",MID(E28,1,100)),DATOS!Z:AA,2,0)),"",VLOOKUP(CONCATENATE($V$7,"-",MID(E28,1,100)),DATOS!Z:AA,2,0))</f>
        <v/>
      </c>
      <c r="W28" s="173" t="str">
        <f>IF(ISERROR(VLOOKUP(CONCATENATE($W$7,"-",MID(E28,1,100)),DATOS!Z:AA,2,0)),"",VLOOKUP(CONCATENATE($W$7,"-",MID(E28,1,100)),DATOS!Z:AA,2,0))</f>
        <v/>
      </c>
      <c r="X28" s="173" t="str">
        <f>IF(ISERROR(VLOOKUP(CONCATENATE($X$7,"-",MID(E28,1,100)),DATOS!Z:AA,2,0)),"",VLOOKUP(CONCATENATE($X$7,"-",MID(E28,1,100)),DATOS!Z:AA,2,0))</f>
        <v/>
      </c>
      <c r="Y28" s="174" t="str">
        <f>IF(ISERROR(VLOOKUP(CONCATENATE($Y$7,"-",MID(E28,1,100)),DATOS!Z:AA,2,0)),"",VLOOKUP(CONCATENATE($Y$7,"-",MID(E28,1,100)),DATOS!Z:AA,2,0))</f>
        <v/>
      </c>
      <c r="Z28" s="172" t="str">
        <f>IF(ISERROR(VLOOKUP(CONCATENATE($Z$7,"-",MID(E28,1,100)),DATOS!Z:AA,2,0)),"",VLOOKUP(CONCATENATE($Z$7,"-",MID(E28,1,100)),DATOS!Z:AA,2,0))</f>
        <v/>
      </c>
      <c r="AA28" s="173" t="str">
        <f>IF(ISERROR(VLOOKUP(CONCATENATE($AA$7,"-",MID(E28,1,100)),DATOS!Z:AA,2,0)),"",VLOOKUP(CONCATENATE($AA$7,"-",MID(E28,1,100)),DATOS!Z:AA,2,0))</f>
        <v/>
      </c>
      <c r="AB28" s="173" t="str">
        <f>IF(ISERROR(VLOOKUP(CONCATENATE($AB$7,"-",MID(E28,1,100)),DATOS!Z:AA,2,0)),"",VLOOKUP(CONCATENATE($AB$7,"-",MID(E28,1,100)),DATOS!Z:AA,2,0))</f>
        <v/>
      </c>
      <c r="AC28" s="173" t="str">
        <f>IF(ISERROR(VLOOKUP(CONCATENATE($AC$7,"-",MID(E28,1,100)),DATOS!Z:AA,2,0)),"",VLOOKUP(CONCATENATE($AC$7,"-",MID(E28,1,100)),DATOS!Z:AA,2,0))</f>
        <v/>
      </c>
      <c r="AD28" s="173" t="str">
        <f>IF(ISERROR(VLOOKUP(CONCATENATE($AD$7,"-",MID(E28,1,100)),DATOS!Z:AA,2,0)),"",VLOOKUP(CONCATENATE($AD$7,"-",MID(E28,1,100)),DATOS!Z:AA,2,0))</f>
        <v/>
      </c>
      <c r="AE28" s="173" t="str">
        <f>IF(ISERROR(VLOOKUP(CONCATENATE($AE$7,"-",MID(E28,1,100)),DATOS!Z:AA,2,0)),"",VLOOKUP(CONCATENATE($AE$7,"-",MID(E28,1,100)),DATOS!Z:AA,2,0))</f>
        <v/>
      </c>
      <c r="AF28" s="173" t="str">
        <f>IF(ISERROR(VLOOKUP(CONCATENATE($AF$7,"-",MID(E28,1,100)),DATOS!Z:AA,2,0)),"",VLOOKUP(CONCATENATE($AF$7,"-",MID(E28,1,100)),DATOS!Z:AA,2,0))</f>
        <v/>
      </c>
      <c r="AG28" s="173" t="str">
        <f>IF(ISERROR(VLOOKUP(CONCATENATE($AG$7,"-",MID(E28,1,100)),DATOS!Z:AA,2,0)),"",VLOOKUP(CONCATENATE($AG$7,"-",MID(E28,1,100)),DATOS!Z:AA,2,0))</f>
        <v/>
      </c>
      <c r="AH28" s="173" t="str">
        <f>IF(ISERROR(VLOOKUP(CONCATENATE($AH$7,"-",MID(E28,1,100)),DATOS!Z:AA,2,0)),"",VLOOKUP(CONCATENATE($AH$7,"-",MID(E28,1,100)),DATOS!Z:AA,2,0))</f>
        <v/>
      </c>
      <c r="AI28" s="174" t="str">
        <f>IF(ISERROR(VLOOKUP(CONCATENATE($AI$7,"-",MID(E28,1,100)),DATOS!Z:AA,2,0)),"",VLOOKUP(CONCATENATE($AI$7,"-",MID(E28,1,100)),DATOS!Z:AA,2,0))</f>
        <v/>
      </c>
      <c r="AJ28" s="172" t="str">
        <f>IF(ISERROR(VLOOKUP(CONCATENATE($AJ$7,"-",MID(E28,1,100)),DATOS!Z:AA,2,0)),"",VLOOKUP(CONCATENATE($AJ$7,"-",MID(E28,1,100)),DATOS!Z:AA,2,0))</f>
        <v/>
      </c>
      <c r="AK28" s="173" t="str">
        <f>IF(ISERROR(VLOOKUP(CONCATENATE($AK$7,"-",MID(E28,1,100)),DATOS!Z:AA,2,0)),"",VLOOKUP(CONCATENATE($AK$7,"-",MID(E28,1,100)),DATOS!Z:AA,2,0))</f>
        <v/>
      </c>
      <c r="AL28" s="173" t="str">
        <f>IF(ISERROR(VLOOKUP(CONCATENATE($AL$7,"-",MID(E28,1,100)),DATOS!Z:AA,2,0)),"",VLOOKUP(CONCATENATE($AL$7,"-",MID(E28,1,100)),DATOS!Z:AA,2,0))</f>
        <v/>
      </c>
      <c r="AM28" s="173" t="str">
        <f>IF(ISERROR(VLOOKUP(CONCATENATE($AM$7,"-",MID(E28,1,100)),DATOS!Z:AA,2,0)),"",VLOOKUP(CONCATENATE($AM$7,"-",MID(E28,1,100)),DATOS!Z:AA,2,0))</f>
        <v/>
      </c>
      <c r="AN28" s="173" t="str">
        <f>IF(ISERROR(VLOOKUP(CONCATENATE($AN$7,"-",MID(E28,1,100)),DATOS!Z:AA,2,0)),"",VLOOKUP(CONCATENATE($AN$7,"-",MID(E28,1,100)),DATOS!Z:AA,2,0))</f>
        <v/>
      </c>
      <c r="AO28" s="173" t="str">
        <f>IF(ISERROR(VLOOKUP(CONCATENATE($AO$7,"-",MID(E28,1,100)),DATOS!Z:AA,2,0)),"",VLOOKUP(CONCATENATE($AO$7,"-",MID(E28,1,100)),DATOS!Z:AA,2,0))</f>
        <v/>
      </c>
      <c r="AP28" s="173" t="str">
        <f>IF(ISERROR(VLOOKUP(CONCATENATE($AP$7,"-",MID(E28,1,100)),DATOS!Z:AA,2,0)),"",VLOOKUP(CONCATENATE($AP$7,"-",MID(E28,1,100)),DATOS!Z:AA,2,0))</f>
        <v/>
      </c>
      <c r="AQ28" s="173" t="str">
        <f>IF(ISERROR(VLOOKUP(CONCATENATE($AQ$7,"-",MID(E28,1,100)),DATOS!Z:AA,2,0)),"",VLOOKUP(CONCATENATE($AQ$7,"-",MID(E28,1,100)),DATOS!Z:AA,2,0))</f>
        <v/>
      </c>
      <c r="AR28" s="173" t="str">
        <f>IF(ISERROR(VLOOKUP(CONCATENATE($AR$7,"-",MID(E28,1,100)),DATOS!Z:AA,2,0)),"",VLOOKUP(CONCATENATE($AR$7,"-",MID(E28,1,100)),DATOS!Z:AA,2,0))</f>
        <v/>
      </c>
      <c r="AS28" s="174" t="str">
        <f>IF(ISERROR(VLOOKUP(CONCATENATE($AS$7,"-",MID(E28,1,100)),DATOS!Z:AA,2,0)),"",VLOOKUP(CONCATENATE($AS$7,"-",MID(E28,1,100)),DATOS!Z:AA,2,0))</f>
        <v/>
      </c>
      <c r="AT28" s="172" t="str">
        <f>IF(ISERROR(VLOOKUP(CONCATENATE($AT$7,"-",MID(E28,1,100)),DATOS!Z:AA,2,0)),"",VLOOKUP(CONCATENATE($AT$7,"-",MID(E28,1,100)),DATOS!Z:AA,2,0))</f>
        <v/>
      </c>
      <c r="AU28" s="173" t="str">
        <f>IF(ISERROR(VLOOKUP(CONCATENATE($AU$7,"-",MID(E28,1,100)),DATOS!Z:AA,2,0)),"",VLOOKUP(CONCATENATE($AU$7,"-",MID(E28,1,100)),DATOS!Z:AA,2,0))</f>
        <v/>
      </c>
      <c r="AV28" s="173" t="str">
        <f>IF(ISERROR(VLOOKUP(CONCATENATE($AV$7,"-",MID(E28,1,100)),DATOS!Z:AA,2,0)),"",VLOOKUP(CONCATENATE($AV$7,"-",MID(E28,1,100)),DATOS!Z:AA,2,0))</f>
        <v/>
      </c>
      <c r="AW28" s="173" t="str">
        <f>IF(ISERROR(VLOOKUP(CONCATENATE($AW$7,"-",MID(E28,1,100)),DATOS!Z:AA,2,0)),"",VLOOKUP(CONCATENATE($AW$7,"-",MID(E28,1,100)),DATOS!Z:AA,2,0))</f>
        <v/>
      </c>
      <c r="AX28" s="173" t="str">
        <f>IF(ISERROR(VLOOKUP(CONCATENATE($AX$7,"-",MID(E28,1,100)),DATOS!Z:AA,2,0)),"",VLOOKUP(CONCATENATE($AX$7,"-",MID(E28,1,100)),DATOS!Z:AA,2,0))</f>
        <v/>
      </c>
      <c r="AY28" s="173" t="str">
        <f>IF(ISERROR(VLOOKUP(CONCATENATE($AY$7,"-",MID(E28,1,100)),DATOS!Z:AA,2,0)),"",VLOOKUP(CONCATENATE($AY$7,"-",MID(E28,1,100)),DATOS!Z:AA,2,0))</f>
        <v/>
      </c>
      <c r="AZ28" s="173" t="str">
        <f>IF(ISERROR(VLOOKUP(CONCATENATE($AZ$7,"-",MID(E28,1,100)),DATOS!Z:AA,2,0)),"",VLOOKUP(CONCATENATE($AZ$7,"-",MID(E28,1,100)),DATOS!Z:AA,2,0))</f>
        <v/>
      </c>
      <c r="BA28" s="173" t="str">
        <f>IF(ISERROR(VLOOKUP(CONCATENATE($BA$7,"-",MID(E28,1,100)),DATOS!Z:AA,2,0)),"",VLOOKUP(CONCATENATE($BA$7,"-",MID(E28,1,100)),DATOS!Z:AA,2,0))</f>
        <v/>
      </c>
      <c r="BB28" s="173" t="str">
        <f>IF(ISERROR(VLOOKUP(CONCATENATE($BB$7,"-",MID(E28,1,100)),DATOS!Z:AA,2,0)),"",VLOOKUP(CONCATENATE($BB$7,"-",MID(E28,1,100)),DATOS!Z:AA,2,0))</f>
        <v/>
      </c>
      <c r="BC28" s="174" t="str">
        <f>IF(ISERROR(VLOOKUP(CONCATENATE($BC$7,"-",MID(E28,1,100)),DATOS!Z:AA,2,0)),"",VLOOKUP(CONCATENATE($BC$7,"-",MID(E28,1,100)),DATOS!Z:AA,2,0))</f>
        <v/>
      </c>
      <c r="BD28" s="172" t="str">
        <f>IF(ISERROR(VLOOKUP(CONCATENATE($BD$7,"-",MID(E28,1,100)),DATOS!Z:AA,2,0)),"",VLOOKUP(CONCATENATE($BD$7,"-",MID(E28,1,100)),DATOS!Z:AA,2,0))</f>
        <v/>
      </c>
      <c r="BE28" s="173" t="str">
        <f>IF(ISERROR(VLOOKUP(CONCATENATE($BE$7,"-",MID(E28,1,100)),DATOS!Z:AA,2,0)),"",VLOOKUP(CONCATENATE($BE$7,"-",MID(E28,1,100)),DATOS!Z:AA,2,0))</f>
        <v/>
      </c>
      <c r="BF28" s="173" t="str">
        <f>IF(ISERROR(VLOOKUP(CONCATENATE($BF$7,"-",MID(E28,1,100)),DATOS!Z:AA,2,0)),"",VLOOKUP(CONCATENATE($BF$7,"-",MID(E28,1,100)),DATOS!Z:AA,2,0))</f>
        <v/>
      </c>
      <c r="BG28" s="173" t="str">
        <f>IF(ISERROR(VLOOKUP(CONCATENATE($BG$7,"-",MID(E28,1,100)),DATOS!Z:AA,2,0)),"",VLOOKUP(CONCATENATE($BG$7,"-",MID(E28,1,100)),DATOS!Z:AA,2,0))</f>
        <v/>
      </c>
      <c r="BH28" s="173" t="str">
        <f>IF(ISERROR(VLOOKUP(CONCATENATE($BH$7,"-",MID(E28,1,100)),DATOS!Z:AA,2,0)),"",VLOOKUP(CONCATENATE($BH$7,"-",MID(E28,1,100)),DATOS!Z:AA,2,0))</f>
        <v/>
      </c>
      <c r="BI28" s="173" t="str">
        <f>IF(ISERROR(VLOOKUP(CONCATENATE($BI$7,"-",MID(E28,1,100)),DATOS!Z:AA,2,0)),"",VLOOKUP(CONCATENATE($BI$7,"-",MID(E28,1,100)),DATOS!Z:AA,2,0))</f>
        <v/>
      </c>
      <c r="BJ28" s="173" t="str">
        <f>IF(ISERROR(VLOOKUP(CONCATENATE($BJ$7,"-",MID(E28,1,100)),DATOS!Z:AA,2,0)),"",VLOOKUP(CONCATENATE($BJ$7,"-",MID(E28,1,100)),DATOS!Z:AA,2,0))</f>
        <v/>
      </c>
      <c r="BK28" s="173" t="str">
        <f>IF(ISERROR(VLOOKUP(CONCATENATE($BK$7,"-",MID(E28,1,100)),DATOS!Z:AA,2,0)),"",VLOOKUP(CONCATENATE($BK$7,"-",MID(E28,1,100)),DATOS!Z:AA,2,0))</f>
        <v/>
      </c>
      <c r="BL28" s="173" t="str">
        <f>IF(ISERROR(VLOOKUP(CONCATENATE($BL$7,"-",MID(E28,1,100)),DATOS!Z:AA,2,0)),"",VLOOKUP(CONCATENATE($BL$7,"-",MID(E28,1,100)),DATOS!Z:AA,2,0))</f>
        <v/>
      </c>
      <c r="BM28" s="174" t="str">
        <f>IF(ISERROR(VLOOKUP(CONCATENATE($BM$7,"-",MID(E28,1,100)),DATOS!Z:AA,2,0)),"",VLOOKUP(CONCATENATE($BM$7,"-",MID(E28,1,100)),DATOS!Z:AA,2,0))</f>
        <v/>
      </c>
      <c r="BN28" s="172" t="str">
        <f>IF(ISERROR(VLOOKUP(CONCATENATE($BN$7,"-",MID(E28,1,100)),DATOS!Z:AA,2,0)),"",VLOOKUP(CONCATENATE($BN$7,"-",MID(E28,1,100)),DATOS!Z:AA,2,0))</f>
        <v/>
      </c>
      <c r="BO28" s="173" t="str">
        <f>IF(ISERROR(VLOOKUP(CONCATENATE($BO$7,"-",MID(E28,1,100)),DATOS!Z:AA,2,0)),"",VLOOKUP(CONCATENATE($BO$7,"-",MID(E28,1,100)),DATOS!Z:AA,2,0))</f>
        <v/>
      </c>
      <c r="BP28" s="173" t="str">
        <f>IF(ISERROR(VLOOKUP(CONCATENATE($BP$7,"-",MID(E28,1,100)),DATOS!Z:AA,2,0)),"",VLOOKUP(CONCATENATE($BP$7,"-",MID(E28,1,100)),DATOS!Z:AA,2,0))</f>
        <v/>
      </c>
      <c r="BQ28" s="173" t="str">
        <f>IF(ISERROR(VLOOKUP(CONCATENATE($BQ$7,"-",MID(E28,1,100)),DATOS!Z:AA,2,0)),"",VLOOKUP(CONCATENATE($BQ$7,"-",MID(E28,1,100)),DATOS!Z:AA,2,0))</f>
        <v/>
      </c>
      <c r="BR28" s="173" t="str">
        <f>IF(ISERROR(VLOOKUP(CONCATENATE($BR$7,"-",MID(E28,1,100)),DATOS!Z:AA,2,0)),"",VLOOKUP(CONCATENATE($BR$7,"-",MID(E28,1,100)),DATOS!Z:AA,2,0))</f>
        <v/>
      </c>
      <c r="BS28" s="173" t="str">
        <f>IF(ISERROR(VLOOKUP(CONCATENATE($BS$7,"-",MID(E28,1,100)),DATOS!Z:AA,2,0)),"",VLOOKUP(CONCATENATE($BS$7,"-",MID(E28,1,100)),DATOS!Z:AA,2,0))</f>
        <v/>
      </c>
      <c r="BT28" s="173" t="str">
        <f>IF(ISERROR(VLOOKUP(CONCATENATE($BT$7,"-",MID(E28,1,100)),DATOS!Z:AA,2,0)),"",VLOOKUP(CONCATENATE($BT$7,"-",MID(E28,1,100)),DATOS!Z:AA,2,0))</f>
        <v/>
      </c>
      <c r="BU28" s="173" t="str">
        <f>IF(ISERROR(VLOOKUP(CONCATENATE($BU$7,"-",MID(E28,1,100)),DATOS!Z:AA,2,0)),"",VLOOKUP(CONCATENATE($BU$7,"-",MID(E28,1,100)),DATOS!Z:AA,2,0))</f>
        <v/>
      </c>
      <c r="BV28" s="173" t="str">
        <f>IF(ISERROR(VLOOKUP(CONCATENATE($BV$7,"-",MID(E28,1,100)),DATOS!Z:AA,2,0)),"",VLOOKUP(CONCATENATE($BV$7,"-",MID(E28,1,100)),DATOS!Z:AA,2,0))</f>
        <v/>
      </c>
      <c r="BW28" s="174" t="str">
        <f>IF(ISERROR(VLOOKUP(CONCATENATE($BW$7,"-",MID(E28,1,100)),DATOS!Z:AA,2,0)),"",VLOOKUP(CONCATENATE($BW$7,"-",MID(E28,1,100)),DATOS!Z:AA,2,0))</f>
        <v/>
      </c>
      <c r="BX28" s="210" t="str">
        <f>IF(ISERROR(VLOOKUP(CONCATENATE($BX$7,"-",MID(E28,1,100)),DATOS!Z:AA,2,0)),"",VLOOKUP(CONCATENATE($BX$7,"-",MID(E28,1,100)),DATOS!Z:AA,2,0))</f>
        <v/>
      </c>
      <c r="BY28" s="211" t="str">
        <f>IF(ISERROR(VLOOKUP(CONCATENATE($BY$7,"-",MID(E28,1,100)),DATOS!Z:AA,2,0)),"",VLOOKUP(CONCATENATE($BY$7,"-",MID(E28,1,100)),DATOS!Z:AA,2,0))</f>
        <v/>
      </c>
      <c r="BZ28" s="211" t="str">
        <f>IF(ISERROR(VLOOKUP(CONCATENATE($BZ$7,"-",MID(E28,1,100)),DATOS!Z:AA,2,0)),"",VLOOKUP(CONCATENATE($BZ$7,"-",MID(E28,1,100)),DATOS!Z:AA,2,0))</f>
        <v/>
      </c>
      <c r="CA28" s="211" t="str">
        <f>IF(ISERROR(VLOOKUP(CONCATENATE($CA$7,"-",MID(E28,1,100)),DATOS!Z:AA,2,0)),"",VLOOKUP(CONCATENATE($CA$7,"-",MID(E28,1,100)),DATOS!Z:AA,2,0))</f>
        <v/>
      </c>
      <c r="CB28" s="211" t="str">
        <f>IF(ISERROR(VLOOKUP(CONCATENATE($CB$7,"-",MID(E28,1,100)),DATOS!Z:AA,2,0)),"",VLOOKUP(CONCATENATE($CB$7,"-",MID(E28,1,100)),DATOS!Z:AA,2,0))</f>
        <v/>
      </c>
      <c r="CC28" s="211" t="str">
        <f>IF(ISERROR(VLOOKUP(CONCATENATE($CC$7,"-",MID(E28,1,100)),DATOS!Z:AA,2,0)),"",VLOOKUP(CONCATENATE($CC$7,"-",MID(E28,1,100)),DATOS!Z:AA,2,0))</f>
        <v/>
      </c>
      <c r="CD28" s="211" t="str">
        <f>IF(ISERROR(VLOOKUP(CONCATENATE($CD$7,"-",MID(E28,1,100)),DATOS!Z:AA,2,0)),"",VLOOKUP(CONCATENATE($CD$7,"-",MID(E28,1,100)),DATOS!Z:AA,2,0))</f>
        <v/>
      </c>
      <c r="CE28" s="211" t="str">
        <f>IF(ISERROR(VLOOKUP(CONCATENATE($CE$7,"-",MID(E28,1,100)),DATOS!Z:AA,2,0)),"",VLOOKUP(CONCATENATE($CE$7,"-",MID(E28,1,100)),DATOS!Z:AA,2,0))</f>
        <v/>
      </c>
      <c r="CF28" s="211" t="str">
        <f>IF(ISERROR(VLOOKUP(CONCATENATE($CF$7,"-",MID(E28,1,100)),DATOS!Z:AA,2,0)),"",VLOOKUP(CONCATENATE($CF$7,"-",MID(E28,1,100)),DATOS!Z:AA,2,0))</f>
        <v/>
      </c>
      <c r="CG28" s="212" t="str">
        <f>IF(ISERROR(VLOOKUP(CONCATENATE($CG$7,"-",MID(E28,1,100)),DATOS!Z:AA,2,0)),"",VLOOKUP(CONCATENATE($CG$7,"-",MID(E28,1,100)),DATOS!Z:AA,2,0))</f>
        <v/>
      </c>
      <c r="CH28" s="210" t="str">
        <f>IF(ISERROR(VLOOKUP(CONCATENATE($CH$7,"-",MID(E28,1,100)),DATOS!Z:AA,2,0)),"",VLOOKUP(CONCATENATE($CH$7,"-",MID(E28,1,100)),DATOS!Z:AA,2,0))</f>
        <v/>
      </c>
      <c r="CI28" s="211" t="str">
        <f>IF(ISERROR(VLOOKUP(CONCATENATE($CI$7,"-",MID(E28,1,100)),DATOS!Z:AA,2,0)),"",VLOOKUP(CONCATENATE($CI$7,"-",MID(E28,1,100)),DATOS!Z:AA,2,0))</f>
        <v/>
      </c>
      <c r="CJ28" s="211" t="str">
        <f>IF(ISERROR(VLOOKUP(CONCATENATE($CJ$7,"-",MID(E28,1,100)),DATOS!Z:AA,2,0)),"",VLOOKUP(CONCATENATE($CJ$7,"-",MID(E28,1,100)),DATOS!Z:AA,2,0))</f>
        <v/>
      </c>
      <c r="CK28" s="211" t="str">
        <f>IF(ISERROR(VLOOKUP(CONCATENATE($CK$7,"-",MID(E28,1,100)),DATOS!Z:AA,2,0)),"",VLOOKUP(CONCATENATE($CK$7,"-",MID(E28,1,100)),DATOS!Z:AA,2,0))</f>
        <v/>
      </c>
      <c r="CL28" s="211" t="str">
        <f>IF(ISERROR(VLOOKUP(CONCATENATE($CL$7,"-",MID(E28,1,100)),DATOS!Z:AA,2,0)),"",VLOOKUP(CONCATENATE($CL$7,"-",MID(E28,1,100)),DATOS!Z:AA,2,0))</f>
        <v/>
      </c>
      <c r="CM28" s="211" t="str">
        <f>IF(ISERROR(VLOOKUP(CONCATENATE($CM$7,"-",MID(E28,1,100)),DATOS!Z:AA,2,0)),"",VLOOKUP(CONCATENATE($CM$7,"-",MID(E28,1,100)),DATOS!Z:AA,2,0))</f>
        <v/>
      </c>
      <c r="CN28" s="211" t="str">
        <f>IF(ISERROR(VLOOKUP(CONCATENATE($CN$7,"-",MID(E28,1,100)),DATOS!Z:AA,2,0)),"",VLOOKUP(CONCATENATE($CN$7,"-",MID(E28,1,100)),DATOS!Z:AA,2,0))</f>
        <v/>
      </c>
      <c r="CO28" s="211" t="str">
        <f>IF(ISERROR(VLOOKUP(CONCATENATE($CO$7,"-",MID(E28,1,100)),DATOS!Z:AA,2,0)),"",VLOOKUP(CONCATENATE($CO$7,"-",MID(E28,1,100)),DATOS!Z:AA,2,0))</f>
        <v/>
      </c>
      <c r="CP28" s="213" t="str">
        <f>IF(ISERROR(VLOOKUP(CONCATENATE($CP$7,"-",MID(E28,1,100)),DATOS!Z:AA,2,0)),"",VLOOKUP(CONCATENATE($CP$7,"-",MID(E28,1,100)),DATOS!Z:AA,2,0))</f>
        <v/>
      </c>
      <c r="CQ28" s="212" t="str">
        <f>IF(ISERROR(VLOOKUP(CONCATENATE($CQ$7,"-",MID(E28,1,100)),DATOS!Z:AA,2,0)),"",VLOOKUP(CONCATENATE($CQ$7,"-",MID(E28,1,100)),DATOS!Z:AA,2,0))</f>
        <v/>
      </c>
      <c r="CR28" s="210" t="str">
        <f>IF(ISERROR(VLOOKUP(CONCATENATE(CR$7,"-",MID($E28,1,100)),DATOS!$Z:$AA,2,0)),"",VLOOKUP(CONCATENATE(CR$7,"-",MID($E28,1,100)),DATOS!$Z:$AA,2,0))</f>
        <v>a</v>
      </c>
      <c r="CS28" s="211" t="str">
        <f>IF(ISERROR(VLOOKUP(CONCATENATE(CS$7,"-",MID($E28,1,100)),DATOS!$Z:$AA,2,0)),"",VLOOKUP(CONCATENATE(CS$7,"-",MID($E28,1,100)),DATOS!$Z:$AA,2,0))</f>
        <v/>
      </c>
      <c r="CT28" s="211" t="str">
        <f>IF(ISERROR(VLOOKUP(CONCATENATE(CT$7,"-",MID($E28,1,100)),DATOS!$Z:$AA,2,0)),"",VLOOKUP(CONCATENATE(CT$7,"-",MID($E28,1,100)),DATOS!$Z:$AA,2,0))</f>
        <v>a</v>
      </c>
      <c r="CU28" s="211" t="str">
        <f>IF(ISERROR(VLOOKUP(CONCATENATE(CU$7,"-",MID($E28,1,100)),DATOS!$Z:$AA,2,0)),"",VLOOKUP(CONCATENATE(CU$7,"-",MID($E28,1,100)),DATOS!$Z:$AA,2,0))</f>
        <v/>
      </c>
      <c r="CV28" s="211" t="str">
        <f>IF(ISERROR(VLOOKUP(CONCATENATE(CV$7,"-",MID($E28,1,100)),DATOS!$Z:$AA,2,0)),"",VLOOKUP(CONCATENATE(CV$7,"-",MID($E28,1,100)),DATOS!$Z:$AA,2,0))</f>
        <v/>
      </c>
      <c r="CW28" s="211" t="str">
        <f>IF(ISERROR(VLOOKUP(CONCATENATE(CW$7,"-",MID($E28,1,100)),DATOS!$Z:$AA,2,0)),"",VLOOKUP(CONCATENATE(CW$7,"-",MID($E28,1,100)),DATOS!$Z:$AA,2,0))</f>
        <v/>
      </c>
      <c r="CX28" s="211" t="str">
        <f>IF(ISERROR(VLOOKUP(CONCATENATE(CX$7,"-",MID($E28,1,100)),DATOS!$Z:$AA,2,0)),"",VLOOKUP(CONCATENATE(CX$7,"-",MID($E28,1,100)),DATOS!$Z:$AA,2,0))</f>
        <v/>
      </c>
      <c r="CY28" s="211" t="str">
        <f>IF(ISERROR(VLOOKUP(CONCATENATE(CY$7,"-",MID($E28,1,100)),DATOS!$Z:$AA,2,0)),"",VLOOKUP(CONCATENATE(CY$7,"-",MID($E28,1,100)),DATOS!$Z:$AA,2,0))</f>
        <v/>
      </c>
      <c r="CZ28" s="213" t="str">
        <f>IF(ISERROR(VLOOKUP(CONCATENATE(CZ$7,"-",MID($E28,1,100)),DATOS!$Z:$AA,2,0)),"",VLOOKUP(CONCATENATE(CZ$7,"-",MID($E28,1,100)),DATOS!$Z:$AA,2,0))</f>
        <v/>
      </c>
      <c r="DA28" s="212" t="str">
        <f>IF(ISERROR(VLOOKUP(CONCATENATE(DA$7,"-",MID($E28,1,100)),DATOS!$Z:$AA,2,0)),"",VLOOKUP(CONCATENATE(DA$7,"-",MID($E28,1,100)),DATOS!$Z:$AA,2,0))</f>
        <v/>
      </c>
      <c r="DB28" s="210" t="str">
        <f>IF(ISERROR(VLOOKUP(CONCATENATE(DB$7,"-",MID($E28,1,100)),DATOS!$Z:$AA,2,0)),"",VLOOKUP(CONCATENATE(DB$7,"-",MID($E28,1,100)),DATOS!$Z:$AA,2,0))</f>
        <v/>
      </c>
      <c r="DC28" s="211" t="str">
        <f>IF(ISERROR(VLOOKUP(CONCATENATE(DC$7,"-",MID($E28,1,100)),DATOS!$Z:$AA,2,0)),"",VLOOKUP(CONCATENATE(DC$7,"-",MID($E28,1,100)),DATOS!$Z:$AA,2,0))</f>
        <v/>
      </c>
      <c r="DD28" s="211" t="str">
        <f>IF(ISERROR(VLOOKUP(CONCATENATE(DD$7,"-",MID($E28,1,100)),DATOS!$Z:$AA,2,0)),"",VLOOKUP(CONCATENATE(DD$7,"-",MID($E28,1,100)),DATOS!$Z:$AA,2,0))</f>
        <v/>
      </c>
      <c r="DE28" s="211" t="str">
        <f>IF(ISERROR(VLOOKUP(CONCATENATE(DE$7,"-",MID($E28,1,100)),DATOS!$Z:$AA,2,0)),"",VLOOKUP(CONCATENATE(DE$7,"-",MID($E28,1,100)),DATOS!$Z:$AA,2,0))</f>
        <v/>
      </c>
      <c r="DF28" s="211" t="str">
        <f>IF(ISERROR(VLOOKUP(CONCATENATE(DF$7,"-",MID($E28,1,100)),DATOS!$Z:$AA,2,0)),"",VLOOKUP(CONCATENATE(DF$7,"-",MID($E28,1,100)),DATOS!$Z:$AA,2,0))</f>
        <v/>
      </c>
      <c r="DG28" s="211" t="str">
        <f>IF(ISERROR(VLOOKUP(CONCATENATE(DG$7,"-",MID($E28,1,100)),DATOS!$Z:$AA,2,0)),"",VLOOKUP(CONCATENATE(DG$7,"-",MID($E28,1,100)),DATOS!$Z:$AA,2,0))</f>
        <v/>
      </c>
      <c r="DH28" s="211" t="str">
        <f>IF(ISERROR(VLOOKUP(CONCATENATE(DH$7,"-",MID($E28,1,100)),DATOS!$Z:$AA,2,0)),"",VLOOKUP(CONCATENATE(DH$7,"-",MID($E28,1,100)),DATOS!$Z:$AA,2,0))</f>
        <v/>
      </c>
      <c r="DI28" s="211" t="str">
        <f>IF(ISERROR(VLOOKUP(CONCATENATE(DI$7,"-",MID($E28,1,100)),DATOS!$Z:$AA,2,0)),"",VLOOKUP(CONCATENATE(DI$7,"-",MID($E28,1,100)),DATOS!$Z:$AA,2,0))</f>
        <v/>
      </c>
      <c r="DJ28" s="213" t="str">
        <f>IF(ISERROR(VLOOKUP(CONCATENATE(DJ$7,"-",MID($E28,1,100)),DATOS!$Z:$AA,2,0)),"",VLOOKUP(CONCATENATE(DJ$7,"-",MID($E28,1,100)),DATOS!$Z:$AA,2,0))</f>
        <v/>
      </c>
      <c r="DK28" s="212" t="str">
        <f>IF(ISERROR(VLOOKUP(CONCATENATE(DK$7,"-",MID($E28,1,100)),DATOS!$Z:$AA,2,0)),"",VLOOKUP(CONCATENATE(DK$7,"-",MID($E28,1,100)),DATOS!$Z:$AA,2,0))</f>
        <v/>
      </c>
      <c r="DL28" s="210" t="str">
        <f>IF(ISERROR(VLOOKUP(CONCATENATE(DL$7,"-",MID($E28,1,100)),DATOS!$Z:$AA,2,0)),"",VLOOKUP(CONCATENATE(DL$7,"-",MID($E28,1,100)),DATOS!$Z:$AA,2,0))</f>
        <v/>
      </c>
      <c r="DM28" s="211" t="str">
        <f>IF(ISERROR(VLOOKUP(CONCATENATE(DM$7,"-",MID($E28,1,100)),DATOS!$Z:$AA,2,0)),"",VLOOKUP(CONCATENATE(DM$7,"-",MID($E28,1,100)),DATOS!$Z:$AA,2,0))</f>
        <v/>
      </c>
      <c r="DN28" s="211" t="str">
        <f>IF(ISERROR(VLOOKUP(CONCATENATE(DN$7,"-",MID($E28,1,100)),DATOS!$Z:$AA,2,0)),"",VLOOKUP(CONCATENATE(DN$7,"-",MID($E28,1,100)),DATOS!$Z:$AA,2,0))</f>
        <v/>
      </c>
      <c r="DO28" s="211" t="str">
        <f>IF(ISERROR(VLOOKUP(CONCATENATE(DO$7,"-",MID($E28,1,100)),DATOS!$Z:$AA,2,0)),"",VLOOKUP(CONCATENATE(DO$7,"-",MID($E28,1,100)),DATOS!$Z:$AA,2,0))</f>
        <v/>
      </c>
      <c r="DP28" s="211" t="str">
        <f>IF(ISERROR(VLOOKUP(CONCATENATE(DP$7,"-",MID($E28,1,100)),DATOS!$Z:$AA,2,0)),"",VLOOKUP(CONCATENATE(DP$7,"-",MID($E28,1,100)),DATOS!$Z:$AA,2,0))</f>
        <v/>
      </c>
      <c r="DQ28" s="211" t="str">
        <f>IF(ISERROR(VLOOKUP(CONCATENATE(DQ$7,"-",MID($E28,1,100)),DATOS!$Z:$AA,2,0)),"",VLOOKUP(CONCATENATE(DQ$7,"-",MID($E28,1,100)),DATOS!$Z:$AA,2,0))</f>
        <v/>
      </c>
      <c r="DR28" s="211" t="str">
        <f>IF(ISERROR(VLOOKUP(CONCATENATE(DR$7,"-",MID($E28,1,100)),DATOS!$Z:$AA,2,0)),"",VLOOKUP(CONCATENATE(DR$7,"-",MID($E28,1,100)),DATOS!$Z:$AA,2,0))</f>
        <v/>
      </c>
      <c r="DS28" s="211" t="str">
        <f>IF(ISERROR(VLOOKUP(CONCATENATE(DS$7,"-",MID($E28,1,100)),DATOS!$Z:$AA,2,0)),"",VLOOKUP(CONCATENATE(DS$7,"-",MID($E28,1,100)),DATOS!$Z:$AA,2,0))</f>
        <v/>
      </c>
      <c r="DT28" s="213" t="str">
        <f>IF(ISERROR(VLOOKUP(CONCATENATE(DT$7,"-",MID($E28,1,100)),DATOS!$Z:$AA,2,0)),"",VLOOKUP(CONCATENATE(DT$7,"-",MID($E28,1,100)),DATOS!$Z:$AA,2,0))</f>
        <v/>
      </c>
      <c r="DU28" s="212" t="str">
        <f>IF(ISERROR(VLOOKUP(CONCATENATE(DU$7,"-",MID($E28,1,100)),DATOS!$Z:$AA,2,0)),"",VLOOKUP(CONCATENATE(DU$7,"-",MID($E28,1,100)),DATOS!$Z:$AA,2,0))</f>
        <v/>
      </c>
      <c r="DV28" s="210" t="str">
        <f>IF(ISERROR(VLOOKUP(CONCATENATE(DV$7,"-",MID($E28,1,100)),DATOS!$Z:$AA,2,0)),"",VLOOKUP(CONCATENATE(DV$7,"-",MID($E28,1,100)),DATOS!$Z:$AA,2,0))</f>
        <v/>
      </c>
      <c r="DW28" s="211" t="str">
        <f>IF(ISERROR(VLOOKUP(CONCATENATE(DW$7,"-",MID($E28,1,100)),DATOS!$Z:$AA,2,0)),"",VLOOKUP(CONCATENATE(DW$7,"-",MID($E28,1,100)),DATOS!$Z:$AA,2,0))</f>
        <v/>
      </c>
      <c r="DX28" s="211" t="str">
        <f>IF(ISERROR(VLOOKUP(CONCATENATE(DX$7,"-",MID($E28,1,100)),DATOS!$Z:$AA,2,0)),"",VLOOKUP(CONCATENATE(DX$7,"-",MID($E28,1,100)),DATOS!$Z:$AA,2,0))</f>
        <v/>
      </c>
      <c r="DY28" s="211" t="str">
        <f>IF(ISERROR(VLOOKUP(CONCATENATE(DY$7,"-",MID($E28,1,100)),DATOS!$Z:$AA,2,0)),"",VLOOKUP(CONCATENATE(DY$7,"-",MID($E28,1,100)),DATOS!$Z:$AA,2,0))</f>
        <v/>
      </c>
      <c r="DZ28" s="211" t="str">
        <f>IF(ISERROR(VLOOKUP(CONCATENATE(DZ$7,"-",MID($E28,1,100)),DATOS!$Z:$AA,2,0)),"",VLOOKUP(CONCATENATE(DZ$7,"-",MID($E28,1,100)),DATOS!$Z:$AA,2,0))</f>
        <v/>
      </c>
      <c r="EA28" s="211" t="str">
        <f>IF(ISERROR(VLOOKUP(CONCATENATE(EA$7,"-",MID($E28,1,100)),DATOS!$Z:$AA,2,0)),"",VLOOKUP(CONCATENATE(EA$7,"-",MID($E28,1,100)),DATOS!$Z:$AA,2,0))</f>
        <v/>
      </c>
      <c r="EB28" s="211" t="str">
        <f>IF(ISERROR(VLOOKUP(CONCATENATE(EB$7,"-",MID($E28,1,100)),DATOS!$Z:$AA,2,0)),"",VLOOKUP(CONCATENATE(EB$7,"-",MID($E28,1,100)),DATOS!$Z:$AA,2,0))</f>
        <v/>
      </c>
      <c r="EC28" s="211" t="str">
        <f>IF(ISERROR(VLOOKUP(CONCATENATE(EC$7,"-",MID($E28,1,100)),DATOS!$Z:$AA,2,0)),"",VLOOKUP(CONCATENATE(EC$7,"-",MID($E28,1,100)),DATOS!$Z:$AA,2,0))</f>
        <v/>
      </c>
      <c r="ED28" s="213" t="str">
        <f>IF(ISERROR(VLOOKUP(CONCATENATE(ED$7,"-",MID($E28,1,100)),DATOS!$Z:$AA,2,0)),"",VLOOKUP(CONCATENATE(ED$7,"-",MID($E28,1,100)),DATOS!$Z:$AA,2,0))</f>
        <v/>
      </c>
      <c r="EE28" s="212" t="str">
        <f>IF(ISERROR(VLOOKUP(CONCATENATE(EE$7,"-",MID($E28,1,100)),DATOS!$Z:$AA,2,0)),"",VLOOKUP(CONCATENATE(EE$7,"-",MID($E28,1,100)),DATOS!$Z:$AA,2,0))</f>
        <v/>
      </c>
      <c r="EF28" s="210" t="str">
        <f>IF(ISERROR(VLOOKUP(CONCATENATE($EF$7,"-",MID(E28,1,100)),DATOS!Z:AA,2,0)),"",VLOOKUP(CONCATENATE($EF$7,"-",MID(E28,1,100)),DATOS!Z:AA,2,0))</f>
        <v/>
      </c>
      <c r="EG28" s="211" t="str">
        <f>IF(ISERROR(VLOOKUP(CONCATENATE($EG$7,"-",MID(E28,1,100)),DATOS!Z:AA,2,0)),"",VLOOKUP(CONCATENATE($EG$7,"-",MID(E28,1,100)),DATOS!Z:AA,2,0))</f>
        <v/>
      </c>
      <c r="EH28" s="211" t="str">
        <f>IF(ISERROR(VLOOKUP(CONCATENATE($EH$7,"-",MID(E28,1,100)),DATOS!Z:AA,2,0)),"",VLOOKUP(CONCATENATE($EH$7,"-",MID(E28,1,100)),DATOS!Z:AA,2,0))</f>
        <v/>
      </c>
      <c r="EI28" s="211" t="str">
        <f>IF(ISERROR(VLOOKUP(CONCATENATE($EI$7,"-",MID(E28,1,100)),DATOS!Z:AA,2,0)),"",VLOOKUP(CONCATENATE($EI$7,"-",MID(E28,1,100)),DATOS!Z:AA,2,0))</f>
        <v/>
      </c>
      <c r="EJ28" s="211" t="str">
        <f>IF(ISERROR(VLOOKUP(CONCATENATE($EJ$7,"-",MID(E28,1,100)),DATOS!Z:AA,2,0)),"",VLOOKUP(CONCATENATE($EJ$7,"-",MID(E28,1,100)),DATOS!Z:AA,2,0))</f>
        <v/>
      </c>
      <c r="EK28" s="211" t="str">
        <f>IF(ISERROR(VLOOKUP(CONCATENATE($EK$7,"-",MID(E28,1,100)),DATOS!Z:AA,2,0)),"",VLOOKUP(CONCATENATE($EK$7,"-",MID(E28,1,100)),DATOS!Z:AA,2,0))</f>
        <v/>
      </c>
      <c r="EL28" s="211" t="str">
        <f>IF(ISERROR(VLOOKUP(CONCATENATE($EL$7,"-",MID(E28,1,100)),DATOS!Z:AA,2,0)),"",VLOOKUP(CONCATENATE($EL$7,"-",MID(E28,1,100)),DATOS!Z:AA,2,0))</f>
        <v/>
      </c>
      <c r="EM28" s="211" t="str">
        <f>IF(ISERROR(VLOOKUP(CONCATENATE($EM$7,"-",MID(E28,1,100)),DATOS!Z:AA,2,0)),"",VLOOKUP(CONCATENATE($EM$7,"-",MID(E28,1,100)),DATOS!Z:AA,2,0))</f>
        <v/>
      </c>
      <c r="EN28" s="211" t="str">
        <f>IF(ISERROR(VLOOKUP(CONCATENATE($EN$7,"-",MID(E28,1,100)),DATOS!Z:AA,2,0)),"",VLOOKUP(CONCATENATE($EN$7,"-",MID(E28,1,100)),DATOS!Z:AA,2,0))</f>
        <v/>
      </c>
      <c r="EO28" s="212" t="str">
        <f>IF(ISERROR(VLOOKUP(CONCATENATE($EO$7,"-",MID(E28,1,100)),DATOS!Z:AA,2,0)),"",VLOOKUP(CONCATENATE($EO$7,"-",MID(E28,1,100)),DATOS!Z:AA,2,0))</f>
        <v/>
      </c>
      <c r="EP28" s="175">
        <f t="shared" si="0"/>
        <v>2</v>
      </c>
      <c r="EQ28" s="159" t="str">
        <f t="shared" si="1"/>
        <v>CP1: Orientación educativa-N3</v>
      </c>
    </row>
    <row r="29" spans="1:147" ht="17.25" customHeight="1">
      <c r="A29" s="148"/>
      <c r="B29" s="151" t="str">
        <f>IF('1.Fundamentos'!B59="","",'1.Fundamentos'!B59)</f>
        <v>CP2: Desarrollo de gestión educativa</v>
      </c>
      <c r="C29" s="152" t="s">
        <v>78</v>
      </c>
      <c r="D29" s="153" t="str">
        <f>IF('1.Fundamentos'!F59="","",'1.Fundamentos'!F59)</f>
        <v>Desarrolla algunos principios básicos de la gestión educativa para brindar un adecuado servicio educativo.</v>
      </c>
      <c r="E29" s="154" t="str">
        <f t="shared" si="2"/>
        <v>CP2: Desarrollo de gestión educativa:N1 Desarrolla algunos principios básicos de la gestión educativa para brindar un adecuado servicio educativo.</v>
      </c>
      <c r="F29" s="204" t="str">
        <f>IF(ISERROR(VLOOKUP(CONCATENATE($F$7,"-",MID(E29,1,100)),DATOS!Z:AA,2,0)),"",VLOOKUP(CONCATENATE($F$7,"-",MID(E29,1,100)),DATOS!Z:AA,2,0))</f>
        <v/>
      </c>
      <c r="G29" s="205" t="str">
        <f>IF(ISERROR(VLOOKUP(CONCATENATE($G$7,"-",MID(E29,1,100)),DATOS!Z:AA,2,0)),"",VLOOKUP(CONCATENATE($G$7,"-",MID(E29,1,100)),DATOS!Z:AA,2,0))</f>
        <v/>
      </c>
      <c r="H29" s="205" t="str">
        <f>IF(ISERROR(VLOOKUP(CONCATENATE($H$7,"-",MID(E29,1,100)),DATOS!Z:AA,2,0)),"",VLOOKUP(CONCATENATE($H$7,"-",MID(E29,1,100)),DATOS!Z:AA,2,0))</f>
        <v/>
      </c>
      <c r="I29" s="205" t="str">
        <f>IF(ISERROR(VLOOKUP(CONCATENATE($I$7,"-",MID(E29,1,100)),DATOS!Z:AA,2,0)),"",VLOOKUP(CONCATENATE($I$7,"-",MID(E29,1,100)),DATOS!Z:AA,2,0))</f>
        <v/>
      </c>
      <c r="J29" s="205" t="str">
        <f>IF(ISERROR(VLOOKUP(CONCATENATE($J$7,"-",MID(E29,1,100)),DATOS!Z:AA,2,0)),"",VLOOKUP(CONCATENATE($J$7,"-",MID(E29,1,100)),DATOS!Z:AA,2,0))</f>
        <v/>
      </c>
      <c r="K29" s="205" t="str">
        <f>IF(ISERROR(VLOOKUP(CONCATENATE($K$7,"-",MID(E29,1,100)),DATOS!Z:AA,2,0)),"",VLOOKUP(CONCATENATE($K$7,"-",MID(E29,1,100)),DATOS!Z:AA,2,0))</f>
        <v/>
      </c>
      <c r="L29" s="205" t="str">
        <f>IF(ISERROR(VLOOKUP(CONCATENATE($L$7,"-",MID(E29,1,100)),DATOS!Z:AA,2,0)),"",VLOOKUP(CONCATENATE($L$7,"-",MID(E29,1,100)),DATOS!Z:AA,2,0))</f>
        <v/>
      </c>
      <c r="M29" s="205" t="str">
        <f>IF(ISERROR(VLOOKUP(CONCATENATE($M$7,"-",MID(E29,1,100)),DATOS!Z:AA,2,0)),"",VLOOKUP(CONCATENATE($M$7,"-",MID(E29,1,100)),DATOS!Z:AA,2,0))</f>
        <v/>
      </c>
      <c r="N29" s="205" t="str">
        <f>IF(ISERROR(VLOOKUP(CONCATENATE($N$7,"-",MID(E29,1,100)),DATOS!Z:AA,2,0)),"",VLOOKUP(CONCATENATE($N$7,"-",MID(E29,1,100)),DATOS!Z:AA,2,0))</f>
        <v/>
      </c>
      <c r="O29" s="206" t="str">
        <f>IF(ISERROR(VLOOKUP(CONCATENATE($O$7,"-",MID(E29,1,100)),DATOS!Z:AA,2,0)),"",VLOOKUP(CONCATENATE($O$7,"-",MID(E29,1,100)),DATOS!Z:AA,2,0))</f>
        <v/>
      </c>
      <c r="P29" s="204" t="str">
        <f>IF(ISERROR(VLOOKUP(CONCATENATE($P$7,"-",MID(E29,1,100)),DATOS!Z:AA,2,0)),"",VLOOKUP(CONCATENATE($P$7,"-",MID(E29,1,100)),DATOS!Z:AA,2,0))</f>
        <v/>
      </c>
      <c r="Q29" s="205" t="str">
        <f>IF(ISERROR(VLOOKUP(CONCATENATE($Q$7,"-",MID(E29,1,100)),DATOS!Z:AA,2,0)),"",VLOOKUP(CONCATENATE($Q$7,"-",MID(E29,1,100)),DATOS!Z:AA,2,0))</f>
        <v/>
      </c>
      <c r="R29" s="205" t="str">
        <f>IF(ISERROR(VLOOKUP(CONCATENATE($R$7,"-",MID(E29,1,100)),DATOS!Z:AA,2,0)),"",VLOOKUP(CONCATENATE($R$7,"-",MID(E29,1,100)),DATOS!Z:AA,2,0))</f>
        <v/>
      </c>
      <c r="S29" s="205" t="str">
        <f>IF(ISERROR(VLOOKUP(CONCATENATE($S$7,"-",MID(E29,1,100)),DATOS!Z:AA,2,0)),"",VLOOKUP(CONCATENATE($S$7,"-",MID(E29,1,100)),DATOS!Z:AA,2,0))</f>
        <v/>
      </c>
      <c r="T29" s="205" t="str">
        <f>IF(ISERROR(VLOOKUP(CONCATENATE($T$7,"-",MID(E29,1,100)),DATOS!Z:AA,2,0)),"",VLOOKUP(CONCATENATE($T$7,"-",MID(E29,1,100)),DATOS!Z:AA,2,0))</f>
        <v/>
      </c>
      <c r="U29" s="205" t="str">
        <f>IF(ISERROR(VLOOKUP(CONCATENATE($U$7,"-",MID(E29,1,100)),DATOS!Z:AA,2,0)),"",VLOOKUP(CONCATENATE($U$7,"-",MID(E29,1,100)),DATOS!Z:AA,2,0))</f>
        <v/>
      </c>
      <c r="V29" s="205" t="str">
        <f>IF(ISERROR(VLOOKUP(CONCATENATE($V$7,"-",MID(E29,1,100)),DATOS!Z:AA,2,0)),"",VLOOKUP(CONCATENATE($V$7,"-",MID(E29,1,100)),DATOS!Z:AA,2,0))</f>
        <v/>
      </c>
      <c r="W29" s="205" t="str">
        <f>IF(ISERROR(VLOOKUP(CONCATENATE($W$7,"-",MID(E29,1,100)),DATOS!Z:AA,2,0)),"",VLOOKUP(CONCATENATE($W$7,"-",MID(E29,1,100)),DATOS!Z:AA,2,0))</f>
        <v/>
      </c>
      <c r="X29" s="205" t="str">
        <f>IF(ISERROR(VLOOKUP(CONCATENATE($X$7,"-",MID(E29,1,100)),DATOS!Z:AA,2,0)),"",VLOOKUP(CONCATENATE($X$7,"-",MID(E29,1,100)),DATOS!Z:AA,2,0))</f>
        <v/>
      </c>
      <c r="Y29" s="206" t="str">
        <f>IF(ISERROR(VLOOKUP(CONCATENATE($Y$7,"-",MID(E29,1,100)),DATOS!Z:AA,2,0)),"",VLOOKUP(CONCATENATE($Y$7,"-",MID(E29,1,100)),DATOS!Z:AA,2,0))</f>
        <v/>
      </c>
      <c r="Z29" s="204" t="str">
        <f>IF(ISERROR(VLOOKUP(CONCATENATE($Z$7,"-",MID(E29,1,100)),DATOS!Z:AA,2,0)),"",VLOOKUP(CONCATENATE($Z$7,"-",MID(E29,1,100)),DATOS!Z:AA,2,0))</f>
        <v/>
      </c>
      <c r="AA29" s="205" t="str">
        <f>IF(ISERROR(VLOOKUP(CONCATENATE($AA$7,"-",MID(E29,1,100)),DATOS!Z:AA,2,0)),"",VLOOKUP(CONCATENATE($AA$7,"-",MID(E29,1,100)),DATOS!Z:AA,2,0))</f>
        <v/>
      </c>
      <c r="AB29" s="205" t="str">
        <f>IF(ISERROR(VLOOKUP(CONCATENATE($AB$7,"-",MID(E29,1,100)),DATOS!Z:AA,2,0)),"",VLOOKUP(CONCATENATE($AB$7,"-",MID(E29,1,100)),DATOS!Z:AA,2,0))</f>
        <v>a</v>
      </c>
      <c r="AC29" s="205" t="str">
        <f>IF(ISERROR(VLOOKUP(CONCATENATE($AC$7,"-",MID(E29,1,100)),DATOS!Z:AA,2,0)),"",VLOOKUP(CONCATENATE($AC$7,"-",MID(E29,1,100)),DATOS!Z:AA,2,0))</f>
        <v/>
      </c>
      <c r="AD29" s="205" t="str">
        <f>IF(ISERROR(VLOOKUP(CONCATENATE($AD$7,"-",MID(E29,1,100)),DATOS!Z:AA,2,0)),"",VLOOKUP(CONCATENATE($AD$7,"-",MID(E29,1,100)),DATOS!Z:AA,2,0))</f>
        <v/>
      </c>
      <c r="AE29" s="205" t="str">
        <f>IF(ISERROR(VLOOKUP(CONCATENATE($AE$7,"-",MID(E29,1,100)),DATOS!Z:AA,2,0)),"",VLOOKUP(CONCATENATE($AE$7,"-",MID(E29,1,100)),DATOS!Z:AA,2,0))</f>
        <v/>
      </c>
      <c r="AF29" s="205" t="str">
        <f>IF(ISERROR(VLOOKUP(CONCATENATE($AF$7,"-",MID(E29,1,100)),DATOS!Z:AA,2,0)),"",VLOOKUP(CONCATENATE($AF$7,"-",MID(E29,1,100)),DATOS!Z:AA,2,0))</f>
        <v/>
      </c>
      <c r="AG29" s="205" t="str">
        <f>IF(ISERROR(VLOOKUP(CONCATENATE($AG$7,"-",MID(E29,1,100)),DATOS!Z:AA,2,0)),"",VLOOKUP(CONCATENATE($AG$7,"-",MID(E29,1,100)),DATOS!Z:AA,2,0))</f>
        <v/>
      </c>
      <c r="AH29" s="205" t="str">
        <f>IF(ISERROR(VLOOKUP(CONCATENATE($AH$7,"-",MID(E29,1,100)),DATOS!Z:AA,2,0)),"",VLOOKUP(CONCATENATE($AH$7,"-",MID(E29,1,100)),DATOS!Z:AA,2,0))</f>
        <v/>
      </c>
      <c r="AI29" s="206" t="str">
        <f>IF(ISERROR(VLOOKUP(CONCATENATE($AI$7,"-",MID(E29,1,100)),DATOS!Z:AA,2,0)),"",VLOOKUP(CONCATENATE($AI$7,"-",MID(E29,1,100)),DATOS!Z:AA,2,0))</f>
        <v/>
      </c>
      <c r="AJ29" s="204" t="str">
        <f>IF(ISERROR(VLOOKUP(CONCATENATE($AJ$7,"-",MID(E29,1,100)),DATOS!Z:AA,2,0)),"",VLOOKUP(CONCATENATE($AJ$7,"-",MID(E29,1,100)),DATOS!Z:AA,2,0))</f>
        <v>a</v>
      </c>
      <c r="AK29" s="205" t="str">
        <f>IF(ISERROR(VLOOKUP(CONCATENATE($AK$7,"-",MID(E29,1,100)),DATOS!Z:AA,2,0)),"",VLOOKUP(CONCATENATE($AK$7,"-",MID(E29,1,100)),DATOS!Z:AA,2,0))</f>
        <v/>
      </c>
      <c r="AL29" s="205" t="str">
        <f>IF(ISERROR(VLOOKUP(CONCATENATE($AL$7,"-",MID(E29,1,100)),DATOS!Z:AA,2,0)),"",VLOOKUP(CONCATENATE($AL$7,"-",MID(E29,1,100)),DATOS!Z:AA,2,0))</f>
        <v/>
      </c>
      <c r="AM29" s="205" t="str">
        <f>IF(ISERROR(VLOOKUP(CONCATENATE($AM$7,"-",MID(E29,1,100)),DATOS!Z:AA,2,0)),"",VLOOKUP(CONCATENATE($AM$7,"-",MID(E29,1,100)),DATOS!Z:AA,2,0))</f>
        <v/>
      </c>
      <c r="AN29" s="205" t="str">
        <f>IF(ISERROR(VLOOKUP(CONCATENATE($AN$7,"-",MID(E29,1,100)),DATOS!Z:AA,2,0)),"",VLOOKUP(CONCATENATE($AN$7,"-",MID(E29,1,100)),DATOS!Z:AA,2,0))</f>
        <v/>
      </c>
      <c r="AO29" s="205" t="str">
        <f>IF(ISERROR(VLOOKUP(CONCATENATE($AO$7,"-",MID(E29,1,100)),DATOS!Z:AA,2,0)),"",VLOOKUP(CONCATENATE($AO$7,"-",MID(E29,1,100)),DATOS!Z:AA,2,0))</f>
        <v/>
      </c>
      <c r="AP29" s="205" t="str">
        <f>IF(ISERROR(VLOOKUP(CONCATENATE($AP$7,"-",MID(E29,1,100)),DATOS!Z:AA,2,0)),"",VLOOKUP(CONCATENATE($AP$7,"-",MID(E29,1,100)),DATOS!Z:AA,2,0))</f>
        <v/>
      </c>
      <c r="AQ29" s="205" t="str">
        <f>IF(ISERROR(VLOOKUP(CONCATENATE($AQ$7,"-",MID(E29,1,100)),DATOS!Z:AA,2,0)),"",VLOOKUP(CONCATENATE($AQ$7,"-",MID(E29,1,100)),DATOS!Z:AA,2,0))</f>
        <v/>
      </c>
      <c r="AR29" s="205" t="str">
        <f>IF(ISERROR(VLOOKUP(CONCATENATE($AR$7,"-",MID(E29,1,100)),DATOS!Z:AA,2,0)),"",VLOOKUP(CONCATENATE($AR$7,"-",MID(E29,1,100)),DATOS!Z:AA,2,0))</f>
        <v/>
      </c>
      <c r="AS29" s="206" t="str">
        <f>IF(ISERROR(VLOOKUP(CONCATENATE($AS$7,"-",MID(E29,1,100)),DATOS!Z:AA,2,0)),"",VLOOKUP(CONCATENATE($AS$7,"-",MID(E29,1,100)),DATOS!Z:AA,2,0))</f>
        <v/>
      </c>
      <c r="AT29" s="155" t="str">
        <f>IF(ISERROR(VLOOKUP(CONCATENATE($AT$7,"-",MID(E29,1,100)),DATOS!Z:AA,2,0)),"",VLOOKUP(CONCATENATE($AT$7,"-",MID(E29,1,100)),DATOS!Z:AA,2,0))</f>
        <v/>
      </c>
      <c r="AU29" s="156" t="str">
        <f>IF(ISERROR(VLOOKUP(CONCATENATE($AU$7,"-",MID(E29,1,100)),DATOS!Z:AA,2,0)),"",VLOOKUP(CONCATENATE($AU$7,"-",MID(E29,1,100)),DATOS!Z:AA,2,0))</f>
        <v/>
      </c>
      <c r="AV29" s="156" t="str">
        <f>IF(ISERROR(VLOOKUP(CONCATENATE($AV$7,"-",MID(E29,1,100)),DATOS!Z:AA,2,0)),"",VLOOKUP(CONCATENATE($AV$7,"-",MID(E29,1,100)),DATOS!Z:AA,2,0))</f>
        <v/>
      </c>
      <c r="AW29" s="156" t="str">
        <f>IF(ISERROR(VLOOKUP(CONCATENATE($AW$7,"-",MID(E29,1,100)),DATOS!Z:AA,2,0)),"",VLOOKUP(CONCATENATE($AW$7,"-",MID(E29,1,100)),DATOS!Z:AA,2,0))</f>
        <v/>
      </c>
      <c r="AX29" s="156" t="str">
        <f>IF(ISERROR(VLOOKUP(CONCATENATE($AX$7,"-",MID(E29,1,100)),DATOS!Z:AA,2,0)),"",VLOOKUP(CONCATENATE($AX$7,"-",MID(E29,1,100)),DATOS!Z:AA,2,0))</f>
        <v/>
      </c>
      <c r="AY29" s="156" t="str">
        <f>IF(ISERROR(VLOOKUP(CONCATENATE($AY$7,"-",MID(E29,1,100)),DATOS!Z:AA,2,0)),"",VLOOKUP(CONCATENATE($AY$7,"-",MID(E29,1,100)),DATOS!Z:AA,2,0))</f>
        <v/>
      </c>
      <c r="AZ29" s="156" t="str">
        <f>IF(ISERROR(VLOOKUP(CONCATENATE($AZ$7,"-",MID(E29,1,100)),DATOS!Z:AA,2,0)),"",VLOOKUP(CONCATENATE($AZ$7,"-",MID(E29,1,100)),DATOS!Z:AA,2,0))</f>
        <v/>
      </c>
      <c r="BA29" s="156" t="str">
        <f>IF(ISERROR(VLOOKUP(CONCATENATE($BA$7,"-",MID(E29,1,100)),DATOS!Z:AA,2,0)),"",VLOOKUP(CONCATENATE($BA$7,"-",MID(E29,1,100)),DATOS!Z:AA,2,0))</f>
        <v/>
      </c>
      <c r="BB29" s="156" t="str">
        <f>IF(ISERROR(VLOOKUP(CONCATENATE($BB$7,"-",MID(E29,1,100)),DATOS!Z:AA,2,0)),"",VLOOKUP(CONCATENATE($BB$7,"-",MID(E29,1,100)),DATOS!Z:AA,2,0))</f>
        <v/>
      </c>
      <c r="BC29" s="157" t="str">
        <f>IF(ISERROR(VLOOKUP(CONCATENATE($BC$7,"-",MID(E29,1,100)),DATOS!Z:AA,2,0)),"",VLOOKUP(CONCATENATE($BC$7,"-",MID(E29,1,100)),DATOS!Z:AA,2,0))</f>
        <v/>
      </c>
      <c r="BD29" s="155" t="str">
        <f>IF(ISERROR(VLOOKUP(CONCATENATE($BD$7,"-",MID(E29,1,100)),DATOS!Z:AA,2,0)),"",VLOOKUP(CONCATENATE($BD$7,"-",MID(E29,1,100)),DATOS!Z:AA,2,0))</f>
        <v/>
      </c>
      <c r="BE29" s="156" t="str">
        <f>IF(ISERROR(VLOOKUP(CONCATENATE($BE$7,"-",MID(E29,1,100)),DATOS!Z:AA,2,0)),"",VLOOKUP(CONCATENATE($BE$7,"-",MID(E29,1,100)),DATOS!Z:AA,2,0))</f>
        <v/>
      </c>
      <c r="BF29" s="156" t="str">
        <f>IF(ISERROR(VLOOKUP(CONCATENATE($BF$7,"-",MID(E29,1,100)),DATOS!Z:AA,2,0)),"",VLOOKUP(CONCATENATE($BF$7,"-",MID(E29,1,100)),DATOS!Z:AA,2,0))</f>
        <v/>
      </c>
      <c r="BG29" s="156" t="str">
        <f>IF(ISERROR(VLOOKUP(CONCATENATE($BG$7,"-",MID(E29,1,100)),DATOS!Z:AA,2,0)),"",VLOOKUP(CONCATENATE($BG$7,"-",MID(E29,1,100)),DATOS!Z:AA,2,0))</f>
        <v/>
      </c>
      <c r="BH29" s="156" t="str">
        <f>IF(ISERROR(VLOOKUP(CONCATENATE($BH$7,"-",MID(E29,1,100)),DATOS!Z:AA,2,0)),"",VLOOKUP(CONCATENATE($BH$7,"-",MID(E29,1,100)),DATOS!Z:AA,2,0))</f>
        <v/>
      </c>
      <c r="BI29" s="156" t="str">
        <f>IF(ISERROR(VLOOKUP(CONCATENATE($BI$7,"-",MID(E29,1,100)),DATOS!Z:AA,2,0)),"",VLOOKUP(CONCATENATE($BI$7,"-",MID(E29,1,100)),DATOS!Z:AA,2,0))</f>
        <v/>
      </c>
      <c r="BJ29" s="156" t="str">
        <f>IF(ISERROR(VLOOKUP(CONCATENATE($BJ$7,"-",MID(E29,1,100)),DATOS!Z:AA,2,0)),"",VLOOKUP(CONCATENATE($BJ$7,"-",MID(E29,1,100)),DATOS!Z:AA,2,0))</f>
        <v/>
      </c>
      <c r="BK29" s="156" t="str">
        <f>IF(ISERROR(VLOOKUP(CONCATENATE($BK$7,"-",MID(E29,1,100)),DATOS!Z:AA,2,0)),"",VLOOKUP(CONCATENATE($BK$7,"-",MID(E29,1,100)),DATOS!Z:AA,2,0))</f>
        <v/>
      </c>
      <c r="BL29" s="156" t="str">
        <f>IF(ISERROR(VLOOKUP(CONCATENATE($BL$7,"-",MID(E29,1,100)),DATOS!Z:AA,2,0)),"",VLOOKUP(CONCATENATE($BL$7,"-",MID(E29,1,100)),DATOS!Z:AA,2,0))</f>
        <v/>
      </c>
      <c r="BM29" s="157" t="str">
        <f>IF(ISERROR(VLOOKUP(CONCATENATE($BM$7,"-",MID(E29,1,100)),DATOS!Z:AA,2,0)),"",VLOOKUP(CONCATENATE($BM$7,"-",MID(E29,1,100)),DATOS!Z:AA,2,0))</f>
        <v/>
      </c>
      <c r="BN29" s="155" t="str">
        <f>IF(ISERROR(VLOOKUP(CONCATENATE($BN$7,"-",MID(E29,1,100)),DATOS!Z:AA,2,0)),"",VLOOKUP(CONCATENATE($BN$7,"-",MID(E29,1,100)),DATOS!Z:AA,2,0))</f>
        <v/>
      </c>
      <c r="BO29" s="156" t="str">
        <f>IF(ISERROR(VLOOKUP(CONCATENATE($BO$7,"-",MID(E29,1,100)),DATOS!Z:AA,2,0)),"",VLOOKUP(CONCATENATE($BO$7,"-",MID(E29,1,100)),DATOS!Z:AA,2,0))</f>
        <v/>
      </c>
      <c r="BP29" s="156" t="str">
        <f>IF(ISERROR(VLOOKUP(CONCATENATE($BP$7,"-",MID(E29,1,100)),DATOS!Z:AA,2,0)),"",VLOOKUP(CONCATENATE($BP$7,"-",MID(E29,1,100)),DATOS!Z:AA,2,0))</f>
        <v/>
      </c>
      <c r="BQ29" s="156" t="str">
        <f>IF(ISERROR(VLOOKUP(CONCATENATE($BQ$7,"-",MID(E29,1,100)),DATOS!Z:AA,2,0)),"",VLOOKUP(CONCATENATE($BQ$7,"-",MID(E29,1,100)),DATOS!Z:AA,2,0))</f>
        <v/>
      </c>
      <c r="BR29" s="156" t="str">
        <f>IF(ISERROR(VLOOKUP(CONCATENATE($BR$7,"-",MID(E29,1,100)),DATOS!Z:AA,2,0)),"",VLOOKUP(CONCATENATE($BR$7,"-",MID(E29,1,100)),DATOS!Z:AA,2,0))</f>
        <v/>
      </c>
      <c r="BS29" s="156" t="str">
        <f>IF(ISERROR(VLOOKUP(CONCATENATE($BS$7,"-",MID(E29,1,100)),DATOS!Z:AA,2,0)),"",VLOOKUP(CONCATENATE($BS$7,"-",MID(E29,1,100)),DATOS!Z:AA,2,0))</f>
        <v/>
      </c>
      <c r="BT29" s="156" t="str">
        <f>IF(ISERROR(VLOOKUP(CONCATENATE($BT$7,"-",MID(E29,1,100)),DATOS!Z:AA,2,0)),"",VLOOKUP(CONCATENATE($BT$7,"-",MID(E29,1,100)),DATOS!Z:AA,2,0))</f>
        <v/>
      </c>
      <c r="BU29" s="156" t="str">
        <f>IF(ISERROR(VLOOKUP(CONCATENATE($BU$7,"-",MID(E29,1,100)),DATOS!Z:AA,2,0)),"",VLOOKUP(CONCATENATE($BU$7,"-",MID(E29,1,100)),DATOS!Z:AA,2,0))</f>
        <v/>
      </c>
      <c r="BV29" s="156" t="str">
        <f>IF(ISERROR(VLOOKUP(CONCATENATE($BV$7,"-",MID(E29,1,100)),DATOS!Z:AA,2,0)),"",VLOOKUP(CONCATENATE($BV$7,"-",MID(E29,1,100)),DATOS!Z:AA,2,0))</f>
        <v/>
      </c>
      <c r="BW29" s="157" t="str">
        <f>IF(ISERROR(VLOOKUP(CONCATENATE($BW$7,"-",MID(E29,1,100)),DATOS!Z:AA,2,0)),"",VLOOKUP(CONCATENATE($BW$7,"-",MID(E29,1,100)),DATOS!Z:AA,2,0))</f>
        <v/>
      </c>
      <c r="BX29" s="155" t="str">
        <f>IF(ISERROR(VLOOKUP(CONCATENATE($BX$7,"-",MID(E29,1,100)),DATOS!Z:AA,2,0)),"",VLOOKUP(CONCATENATE($BX$7,"-",MID(E29,1,100)),DATOS!Z:AA,2,0))</f>
        <v/>
      </c>
      <c r="BY29" s="156" t="str">
        <f>IF(ISERROR(VLOOKUP(CONCATENATE($BY$7,"-",MID(E29,1,100)),DATOS!Z:AA,2,0)),"",VLOOKUP(CONCATENATE($BY$7,"-",MID(E29,1,100)),DATOS!Z:AA,2,0))</f>
        <v/>
      </c>
      <c r="BZ29" s="156" t="str">
        <f>IF(ISERROR(VLOOKUP(CONCATENATE($BZ$7,"-",MID(E29,1,100)),DATOS!Z:AA,2,0)),"",VLOOKUP(CONCATENATE($BZ$7,"-",MID(E29,1,100)),DATOS!Z:AA,2,0))</f>
        <v/>
      </c>
      <c r="CA29" s="156" t="str">
        <f>IF(ISERROR(VLOOKUP(CONCATENATE($CA$7,"-",MID(E29,1,100)),DATOS!Z:AA,2,0)),"",VLOOKUP(CONCATENATE($CA$7,"-",MID(E29,1,100)),DATOS!Z:AA,2,0))</f>
        <v/>
      </c>
      <c r="CB29" s="156" t="str">
        <f>IF(ISERROR(VLOOKUP(CONCATENATE($CB$7,"-",MID(E29,1,100)),DATOS!Z:AA,2,0)),"",VLOOKUP(CONCATENATE($CB$7,"-",MID(E29,1,100)),DATOS!Z:AA,2,0))</f>
        <v/>
      </c>
      <c r="CC29" s="156" t="str">
        <f>IF(ISERROR(VLOOKUP(CONCATENATE($CC$7,"-",MID(E29,1,100)),DATOS!Z:AA,2,0)),"",VLOOKUP(CONCATENATE($CC$7,"-",MID(E29,1,100)),DATOS!Z:AA,2,0))</f>
        <v/>
      </c>
      <c r="CD29" s="156" t="str">
        <f>IF(ISERROR(VLOOKUP(CONCATENATE($CD$7,"-",MID(E29,1,100)),DATOS!Z:AA,2,0)),"",VLOOKUP(CONCATENATE($CD$7,"-",MID(E29,1,100)),DATOS!Z:AA,2,0))</f>
        <v/>
      </c>
      <c r="CE29" s="156" t="str">
        <f>IF(ISERROR(VLOOKUP(CONCATENATE($CE$7,"-",MID(E29,1,100)),DATOS!Z:AA,2,0)),"",VLOOKUP(CONCATENATE($CE$7,"-",MID(E29,1,100)),DATOS!Z:AA,2,0))</f>
        <v/>
      </c>
      <c r="CF29" s="156" t="str">
        <f>IF(ISERROR(VLOOKUP(CONCATENATE($CF$7,"-",MID(E29,1,100)),DATOS!Z:AA,2,0)),"",VLOOKUP(CONCATENATE($CF$7,"-",MID(E29,1,100)),DATOS!Z:AA,2,0))</f>
        <v/>
      </c>
      <c r="CG29" s="157" t="str">
        <f>IF(ISERROR(VLOOKUP(CONCATENATE($CG$7,"-",MID(E29,1,100)),DATOS!Z:AA,2,0)),"",VLOOKUP(CONCATENATE($CG$7,"-",MID(E29,1,100)),DATOS!Z:AA,2,0))</f>
        <v/>
      </c>
      <c r="CH29" s="155" t="str">
        <f>IF(ISERROR(VLOOKUP(CONCATENATE($CH$7,"-",MID(E29,1,100)),DATOS!Z:AA,2,0)),"",VLOOKUP(CONCATENATE($CH$7,"-",MID(E29,1,100)),DATOS!Z:AA,2,0))</f>
        <v/>
      </c>
      <c r="CI29" s="156" t="str">
        <f>IF(ISERROR(VLOOKUP(CONCATENATE($CI$7,"-",MID(E29,1,100)),DATOS!Z:AA,2,0)),"",VLOOKUP(CONCATENATE($CI$7,"-",MID(E29,1,100)),DATOS!Z:AA,2,0))</f>
        <v/>
      </c>
      <c r="CJ29" s="156" t="str">
        <f>IF(ISERROR(VLOOKUP(CONCATENATE($CJ$7,"-",MID(E29,1,100)),DATOS!Z:AA,2,0)),"",VLOOKUP(CONCATENATE($CJ$7,"-",MID(E29,1,100)),DATOS!Z:AA,2,0))</f>
        <v/>
      </c>
      <c r="CK29" s="156" t="str">
        <f>IF(ISERROR(VLOOKUP(CONCATENATE($CK$7,"-",MID(E29,1,100)),DATOS!Z:AA,2,0)),"",VLOOKUP(CONCATENATE($CK$7,"-",MID(E29,1,100)),DATOS!Z:AA,2,0))</f>
        <v/>
      </c>
      <c r="CL29" s="156" t="str">
        <f>IF(ISERROR(VLOOKUP(CONCATENATE($CL$7,"-",MID(E29,1,100)),DATOS!Z:AA,2,0)),"",VLOOKUP(CONCATENATE($CL$7,"-",MID(E29,1,100)),DATOS!Z:AA,2,0))</f>
        <v/>
      </c>
      <c r="CM29" s="156" t="str">
        <f>IF(ISERROR(VLOOKUP(CONCATENATE($CM$7,"-",MID(E29,1,100)),DATOS!Z:AA,2,0)),"",VLOOKUP(CONCATENATE($CM$7,"-",MID(E29,1,100)),DATOS!Z:AA,2,0))</f>
        <v/>
      </c>
      <c r="CN29" s="156" t="str">
        <f>IF(ISERROR(VLOOKUP(CONCATENATE($CN$7,"-",MID(E29,1,100)),DATOS!Z:AA,2,0)),"",VLOOKUP(CONCATENATE($CN$7,"-",MID(E29,1,100)),DATOS!Z:AA,2,0))</f>
        <v/>
      </c>
      <c r="CO29" s="156" t="str">
        <f>IF(ISERROR(VLOOKUP(CONCATENATE($CO$7,"-",MID(E29,1,100)),DATOS!Z:AA,2,0)),"",VLOOKUP(CONCATENATE($CO$7,"-",MID(E29,1,100)),DATOS!Z:AA,2,0))</f>
        <v/>
      </c>
      <c r="CP29" s="194" t="str">
        <f>IF(ISERROR(VLOOKUP(CONCATENATE($CP$7,"-",MID(E29,1,100)),DATOS!Z:AA,2,0)),"",VLOOKUP(CONCATENATE($CP$7,"-",MID(E29,1,100)),DATOS!Z:AA,2,0))</f>
        <v/>
      </c>
      <c r="CQ29" s="157" t="str">
        <f>IF(ISERROR(VLOOKUP(CONCATENATE($CQ$7,"-",MID(E29,1,100)),DATOS!Z:AA,2,0)),"",VLOOKUP(CONCATENATE($CQ$7,"-",MID(E29,1,100)),DATOS!Z:AA,2,0))</f>
        <v/>
      </c>
      <c r="CR29" s="155" t="str">
        <f>IF(ISERROR(VLOOKUP(CONCATENATE(CR$7,"-",MID($E29,1,100)),DATOS!$Z:$AA,2,0)),"",VLOOKUP(CONCATENATE(CR$7,"-",MID($E29,1,100)),DATOS!$Z:$AA,2,0))</f>
        <v/>
      </c>
      <c r="CS29" s="156" t="str">
        <f>IF(ISERROR(VLOOKUP(CONCATENATE(CS$7,"-",MID($E29,1,100)),DATOS!$Z:$AA,2,0)),"",VLOOKUP(CONCATENATE(CS$7,"-",MID($E29,1,100)),DATOS!$Z:$AA,2,0))</f>
        <v/>
      </c>
      <c r="CT29" s="156" t="str">
        <f>IF(ISERROR(VLOOKUP(CONCATENATE(CT$7,"-",MID($E29,1,100)),DATOS!$Z:$AA,2,0)),"",VLOOKUP(CONCATENATE(CT$7,"-",MID($E29,1,100)),DATOS!$Z:$AA,2,0))</f>
        <v/>
      </c>
      <c r="CU29" s="156" t="str">
        <f>IF(ISERROR(VLOOKUP(CONCATENATE(CU$7,"-",MID($E29,1,100)),DATOS!$Z:$AA,2,0)),"",VLOOKUP(CONCATENATE(CU$7,"-",MID($E29,1,100)),DATOS!$Z:$AA,2,0))</f>
        <v/>
      </c>
      <c r="CV29" s="156" t="str">
        <f>IF(ISERROR(VLOOKUP(CONCATENATE(CV$7,"-",MID($E29,1,100)),DATOS!$Z:$AA,2,0)),"",VLOOKUP(CONCATENATE(CV$7,"-",MID($E29,1,100)),DATOS!$Z:$AA,2,0))</f>
        <v/>
      </c>
      <c r="CW29" s="156" t="str">
        <f>IF(ISERROR(VLOOKUP(CONCATENATE(CW$7,"-",MID($E29,1,100)),DATOS!$Z:$AA,2,0)),"",VLOOKUP(CONCATENATE(CW$7,"-",MID($E29,1,100)),DATOS!$Z:$AA,2,0))</f>
        <v/>
      </c>
      <c r="CX29" s="156" t="str">
        <f>IF(ISERROR(VLOOKUP(CONCATENATE(CX$7,"-",MID($E29,1,100)),DATOS!$Z:$AA,2,0)),"",VLOOKUP(CONCATENATE(CX$7,"-",MID($E29,1,100)),DATOS!$Z:$AA,2,0))</f>
        <v/>
      </c>
      <c r="CY29" s="156" t="str">
        <f>IF(ISERROR(VLOOKUP(CONCATENATE(CY$7,"-",MID($E29,1,100)),DATOS!$Z:$AA,2,0)),"",VLOOKUP(CONCATENATE(CY$7,"-",MID($E29,1,100)),DATOS!$Z:$AA,2,0))</f>
        <v/>
      </c>
      <c r="CZ29" s="194" t="str">
        <f>IF(ISERROR(VLOOKUP(CONCATENATE(CZ$7,"-",MID($E29,1,100)),DATOS!$Z:$AA,2,0)),"",VLOOKUP(CONCATENATE(CZ$7,"-",MID($E29,1,100)),DATOS!$Z:$AA,2,0))</f>
        <v/>
      </c>
      <c r="DA29" s="157" t="str">
        <f>IF(ISERROR(VLOOKUP(CONCATENATE(DA$7,"-",MID($E29,1,100)),DATOS!$Z:$AA,2,0)),"",VLOOKUP(CONCATENATE(DA$7,"-",MID($E29,1,100)),DATOS!$Z:$AA,2,0))</f>
        <v/>
      </c>
      <c r="DB29" s="155" t="str">
        <f>IF(ISERROR(VLOOKUP(CONCATENATE(DB$7,"-",MID($E29,1,100)),DATOS!$Z:$AA,2,0)),"",VLOOKUP(CONCATENATE(DB$7,"-",MID($E29,1,100)),DATOS!$Z:$AA,2,0))</f>
        <v/>
      </c>
      <c r="DC29" s="156" t="str">
        <f>IF(ISERROR(VLOOKUP(CONCATENATE(DC$7,"-",MID($E29,1,100)),DATOS!$Z:$AA,2,0)),"",VLOOKUP(CONCATENATE(DC$7,"-",MID($E29,1,100)),DATOS!$Z:$AA,2,0))</f>
        <v/>
      </c>
      <c r="DD29" s="156" t="str">
        <f>IF(ISERROR(VLOOKUP(CONCATENATE(DD$7,"-",MID($E29,1,100)),DATOS!$Z:$AA,2,0)),"",VLOOKUP(CONCATENATE(DD$7,"-",MID($E29,1,100)),DATOS!$Z:$AA,2,0))</f>
        <v/>
      </c>
      <c r="DE29" s="156" t="str">
        <f>IF(ISERROR(VLOOKUP(CONCATENATE(DE$7,"-",MID($E29,1,100)),DATOS!$Z:$AA,2,0)),"",VLOOKUP(CONCATENATE(DE$7,"-",MID($E29,1,100)),DATOS!$Z:$AA,2,0))</f>
        <v/>
      </c>
      <c r="DF29" s="156" t="str">
        <f>IF(ISERROR(VLOOKUP(CONCATENATE(DF$7,"-",MID($E29,1,100)),DATOS!$Z:$AA,2,0)),"",VLOOKUP(CONCATENATE(DF$7,"-",MID($E29,1,100)),DATOS!$Z:$AA,2,0))</f>
        <v/>
      </c>
      <c r="DG29" s="156" t="str">
        <f>IF(ISERROR(VLOOKUP(CONCATENATE(DG$7,"-",MID($E29,1,100)),DATOS!$Z:$AA,2,0)),"",VLOOKUP(CONCATENATE(DG$7,"-",MID($E29,1,100)),DATOS!$Z:$AA,2,0))</f>
        <v/>
      </c>
      <c r="DH29" s="156" t="str">
        <f>IF(ISERROR(VLOOKUP(CONCATENATE(DH$7,"-",MID($E29,1,100)),DATOS!$Z:$AA,2,0)),"",VLOOKUP(CONCATENATE(DH$7,"-",MID($E29,1,100)),DATOS!$Z:$AA,2,0))</f>
        <v/>
      </c>
      <c r="DI29" s="156" t="str">
        <f>IF(ISERROR(VLOOKUP(CONCATENATE(DI$7,"-",MID($E29,1,100)),DATOS!$Z:$AA,2,0)),"",VLOOKUP(CONCATENATE(DI$7,"-",MID($E29,1,100)),DATOS!$Z:$AA,2,0))</f>
        <v/>
      </c>
      <c r="DJ29" s="194" t="str">
        <f>IF(ISERROR(VLOOKUP(CONCATENATE(DJ$7,"-",MID($E29,1,100)),DATOS!$Z:$AA,2,0)),"",VLOOKUP(CONCATENATE(DJ$7,"-",MID($E29,1,100)),DATOS!$Z:$AA,2,0))</f>
        <v/>
      </c>
      <c r="DK29" s="157" t="str">
        <f>IF(ISERROR(VLOOKUP(CONCATENATE(DK$7,"-",MID($E29,1,100)),DATOS!$Z:$AA,2,0)),"",VLOOKUP(CONCATENATE(DK$7,"-",MID($E29,1,100)),DATOS!$Z:$AA,2,0))</f>
        <v/>
      </c>
      <c r="DL29" s="155" t="str">
        <f>IF(ISERROR(VLOOKUP(CONCATENATE(DL$7,"-",MID($E29,1,100)),DATOS!$Z:$AA,2,0)),"",VLOOKUP(CONCATENATE(DL$7,"-",MID($E29,1,100)),DATOS!$Z:$AA,2,0))</f>
        <v/>
      </c>
      <c r="DM29" s="156" t="str">
        <f>IF(ISERROR(VLOOKUP(CONCATENATE(DM$7,"-",MID($E29,1,100)),DATOS!$Z:$AA,2,0)),"",VLOOKUP(CONCATENATE(DM$7,"-",MID($E29,1,100)),DATOS!$Z:$AA,2,0))</f>
        <v/>
      </c>
      <c r="DN29" s="156" t="str">
        <f>IF(ISERROR(VLOOKUP(CONCATENATE(DN$7,"-",MID($E29,1,100)),DATOS!$Z:$AA,2,0)),"",VLOOKUP(CONCATENATE(DN$7,"-",MID($E29,1,100)),DATOS!$Z:$AA,2,0))</f>
        <v/>
      </c>
      <c r="DO29" s="156" t="str">
        <f>IF(ISERROR(VLOOKUP(CONCATENATE(DO$7,"-",MID($E29,1,100)),DATOS!$Z:$AA,2,0)),"",VLOOKUP(CONCATENATE(DO$7,"-",MID($E29,1,100)),DATOS!$Z:$AA,2,0))</f>
        <v/>
      </c>
      <c r="DP29" s="156" t="str">
        <f>IF(ISERROR(VLOOKUP(CONCATENATE(DP$7,"-",MID($E29,1,100)),DATOS!$Z:$AA,2,0)),"",VLOOKUP(CONCATENATE(DP$7,"-",MID($E29,1,100)),DATOS!$Z:$AA,2,0))</f>
        <v/>
      </c>
      <c r="DQ29" s="156" t="str">
        <f>IF(ISERROR(VLOOKUP(CONCATENATE(DQ$7,"-",MID($E29,1,100)),DATOS!$Z:$AA,2,0)),"",VLOOKUP(CONCATENATE(DQ$7,"-",MID($E29,1,100)),DATOS!$Z:$AA,2,0))</f>
        <v/>
      </c>
      <c r="DR29" s="156" t="str">
        <f>IF(ISERROR(VLOOKUP(CONCATENATE(DR$7,"-",MID($E29,1,100)),DATOS!$Z:$AA,2,0)),"",VLOOKUP(CONCATENATE(DR$7,"-",MID($E29,1,100)),DATOS!$Z:$AA,2,0))</f>
        <v/>
      </c>
      <c r="DS29" s="156" t="str">
        <f>IF(ISERROR(VLOOKUP(CONCATENATE(DS$7,"-",MID($E29,1,100)),DATOS!$Z:$AA,2,0)),"",VLOOKUP(CONCATENATE(DS$7,"-",MID($E29,1,100)),DATOS!$Z:$AA,2,0))</f>
        <v/>
      </c>
      <c r="DT29" s="194" t="str">
        <f>IF(ISERROR(VLOOKUP(CONCATENATE(DT$7,"-",MID($E29,1,100)),DATOS!$Z:$AA,2,0)),"",VLOOKUP(CONCATENATE(DT$7,"-",MID($E29,1,100)),DATOS!$Z:$AA,2,0))</f>
        <v/>
      </c>
      <c r="DU29" s="157" t="str">
        <f>IF(ISERROR(VLOOKUP(CONCATENATE(DU$7,"-",MID($E29,1,100)),DATOS!$Z:$AA,2,0)),"",VLOOKUP(CONCATENATE(DU$7,"-",MID($E29,1,100)),DATOS!$Z:$AA,2,0))</f>
        <v/>
      </c>
      <c r="DV29" s="155" t="str">
        <f>IF(ISERROR(VLOOKUP(CONCATENATE(DV$7,"-",MID($E29,1,100)),DATOS!$Z:$AA,2,0)),"",VLOOKUP(CONCATENATE(DV$7,"-",MID($E29,1,100)),DATOS!$Z:$AA,2,0))</f>
        <v/>
      </c>
      <c r="DW29" s="156" t="str">
        <f>IF(ISERROR(VLOOKUP(CONCATENATE(DW$7,"-",MID($E29,1,100)),DATOS!$Z:$AA,2,0)),"",VLOOKUP(CONCATENATE(DW$7,"-",MID($E29,1,100)),DATOS!$Z:$AA,2,0))</f>
        <v/>
      </c>
      <c r="DX29" s="156" t="str">
        <f>IF(ISERROR(VLOOKUP(CONCATENATE(DX$7,"-",MID($E29,1,100)),DATOS!$Z:$AA,2,0)),"",VLOOKUP(CONCATENATE(DX$7,"-",MID($E29,1,100)),DATOS!$Z:$AA,2,0))</f>
        <v/>
      </c>
      <c r="DY29" s="156" t="str">
        <f>IF(ISERROR(VLOOKUP(CONCATENATE(DY$7,"-",MID($E29,1,100)),DATOS!$Z:$AA,2,0)),"",VLOOKUP(CONCATENATE(DY$7,"-",MID($E29,1,100)),DATOS!$Z:$AA,2,0))</f>
        <v/>
      </c>
      <c r="DZ29" s="156" t="str">
        <f>IF(ISERROR(VLOOKUP(CONCATENATE(DZ$7,"-",MID($E29,1,100)),DATOS!$Z:$AA,2,0)),"",VLOOKUP(CONCATENATE(DZ$7,"-",MID($E29,1,100)),DATOS!$Z:$AA,2,0))</f>
        <v/>
      </c>
      <c r="EA29" s="156" t="str">
        <f>IF(ISERROR(VLOOKUP(CONCATENATE(EA$7,"-",MID($E29,1,100)),DATOS!$Z:$AA,2,0)),"",VLOOKUP(CONCATENATE(EA$7,"-",MID($E29,1,100)),DATOS!$Z:$AA,2,0))</f>
        <v/>
      </c>
      <c r="EB29" s="156" t="str">
        <f>IF(ISERROR(VLOOKUP(CONCATENATE(EB$7,"-",MID($E29,1,100)),DATOS!$Z:$AA,2,0)),"",VLOOKUP(CONCATENATE(EB$7,"-",MID($E29,1,100)),DATOS!$Z:$AA,2,0))</f>
        <v/>
      </c>
      <c r="EC29" s="156" t="str">
        <f>IF(ISERROR(VLOOKUP(CONCATENATE(EC$7,"-",MID($E29,1,100)),DATOS!$Z:$AA,2,0)),"",VLOOKUP(CONCATENATE(EC$7,"-",MID($E29,1,100)),DATOS!$Z:$AA,2,0))</f>
        <v/>
      </c>
      <c r="ED29" s="194" t="str">
        <f>IF(ISERROR(VLOOKUP(CONCATENATE(ED$7,"-",MID($E29,1,100)),DATOS!$Z:$AA,2,0)),"",VLOOKUP(CONCATENATE(ED$7,"-",MID($E29,1,100)),DATOS!$Z:$AA,2,0))</f>
        <v/>
      </c>
      <c r="EE29" s="157" t="str">
        <f>IF(ISERROR(VLOOKUP(CONCATENATE(EE$7,"-",MID($E29,1,100)),DATOS!$Z:$AA,2,0)),"",VLOOKUP(CONCATENATE(EE$7,"-",MID($E29,1,100)),DATOS!$Z:$AA,2,0))</f>
        <v/>
      </c>
      <c r="EF29" s="155" t="str">
        <f>IF(ISERROR(VLOOKUP(CONCATENATE($EF$7,"-",MID(E29,1,100)),DATOS!Z:AA,2,0)),"",VLOOKUP(CONCATENATE($EF$7,"-",MID(E29,1,100)),DATOS!Z:AA,2,0))</f>
        <v/>
      </c>
      <c r="EG29" s="156" t="str">
        <f>IF(ISERROR(VLOOKUP(CONCATENATE($EG$7,"-",MID(E29,1,100)),DATOS!Z:AA,2,0)),"",VLOOKUP(CONCATENATE($EG$7,"-",MID(E29,1,100)),DATOS!Z:AA,2,0))</f>
        <v/>
      </c>
      <c r="EH29" s="156" t="str">
        <f>IF(ISERROR(VLOOKUP(CONCATENATE($EH$7,"-",MID(E29,1,100)),DATOS!Z:AA,2,0)),"",VLOOKUP(CONCATENATE($EH$7,"-",MID(E29,1,100)),DATOS!Z:AA,2,0))</f>
        <v/>
      </c>
      <c r="EI29" s="156" t="str">
        <f>IF(ISERROR(VLOOKUP(CONCATENATE($EI$7,"-",MID(E29,1,100)),DATOS!Z:AA,2,0)),"",VLOOKUP(CONCATENATE($EI$7,"-",MID(E29,1,100)),DATOS!Z:AA,2,0))</f>
        <v/>
      </c>
      <c r="EJ29" s="156" t="str">
        <f>IF(ISERROR(VLOOKUP(CONCATENATE($EJ$7,"-",MID(E29,1,100)),DATOS!Z:AA,2,0)),"",VLOOKUP(CONCATENATE($EJ$7,"-",MID(E29,1,100)),DATOS!Z:AA,2,0))</f>
        <v/>
      </c>
      <c r="EK29" s="156" t="str">
        <f>IF(ISERROR(VLOOKUP(CONCATENATE($EK$7,"-",MID(E29,1,100)),DATOS!Z:AA,2,0)),"",VLOOKUP(CONCATENATE($EK$7,"-",MID(E29,1,100)),DATOS!Z:AA,2,0))</f>
        <v/>
      </c>
      <c r="EL29" s="156" t="str">
        <f>IF(ISERROR(VLOOKUP(CONCATENATE($EL$7,"-",MID(E29,1,100)),DATOS!Z:AA,2,0)),"",VLOOKUP(CONCATENATE($EL$7,"-",MID(E29,1,100)),DATOS!Z:AA,2,0))</f>
        <v/>
      </c>
      <c r="EM29" s="156" t="str">
        <f>IF(ISERROR(VLOOKUP(CONCATENATE($EM$7,"-",MID(E29,1,100)),DATOS!Z:AA,2,0)),"",VLOOKUP(CONCATENATE($EM$7,"-",MID(E29,1,100)),DATOS!Z:AA,2,0))</f>
        <v/>
      </c>
      <c r="EN29" s="156" t="str">
        <f>IF(ISERROR(VLOOKUP(CONCATENATE($EN$7,"-",MID(E29,1,100)),DATOS!Z:AA,2,0)),"",VLOOKUP(CONCATENATE($EN$7,"-",MID(E29,1,100)),DATOS!Z:AA,2,0))</f>
        <v/>
      </c>
      <c r="EO29" s="157" t="str">
        <f>IF(ISERROR(VLOOKUP(CONCATENATE($EO$7,"-",MID(E29,1,100)),DATOS!Z:AA,2,0)),"",VLOOKUP(CONCATENATE($EO$7,"-",MID(E29,1,100)),DATOS!Z:AA,2,0))</f>
        <v/>
      </c>
      <c r="EP29" s="158">
        <f t="shared" si="0"/>
        <v>2</v>
      </c>
      <c r="EQ29" s="159" t="str">
        <f t="shared" si="1"/>
        <v>CP2: Desarrollo de gestión educativa-N1</v>
      </c>
    </row>
    <row r="30" spans="1:147" ht="17.25" customHeight="1">
      <c r="A30" s="148"/>
      <c r="B30" s="160" t="str">
        <f>IF('1.Fundamentos'!B59="","",'1.Fundamentos'!B59)</f>
        <v>CP2: Desarrollo de gestión educativa</v>
      </c>
      <c r="C30" s="161" t="s">
        <v>82</v>
      </c>
      <c r="D30" s="162" t="str">
        <f>IF('1.Fundamentos'!E59="","",'1.Fundamentos'!E59)</f>
        <v xml:space="preserve">Promueve la conformación de un conjunto de procesos organizados que permitan que las áreas de gestión educativa logren sus objetivos y metas. </v>
      </c>
      <c r="E30" s="163" t="str">
        <f t="shared" si="2"/>
        <v xml:space="preserve">CP2: Desarrollo de gestión educativa:N2 Promueve la conformación de un conjunto de procesos organizados que permitan que las áreas de gestión educativa logren sus objetivos y metas. </v>
      </c>
      <c r="F30" s="164" t="str">
        <f>IF(ISERROR(VLOOKUP(CONCATENATE($F$7,"-",MID(E30,1,100)),DATOS!Z:AA,2,0)),"",VLOOKUP(CONCATENATE($F$7,"-",MID(E30,1,100)),DATOS!Z:AA,2,0))</f>
        <v/>
      </c>
      <c r="G30" s="165" t="str">
        <f>IF(ISERROR(VLOOKUP(CONCATENATE($G$7,"-",MID(E30,1,100)),DATOS!Z:AA,2,0)),"",VLOOKUP(CONCATENATE($G$7,"-",MID(E30,1,100)),DATOS!Z:AA,2,0))</f>
        <v/>
      </c>
      <c r="H30" s="165" t="str">
        <f>IF(ISERROR(VLOOKUP(CONCATENATE($H$7,"-",MID(E30,1,100)),DATOS!Z:AA,2,0)),"",VLOOKUP(CONCATENATE($H$7,"-",MID(E30,1,100)),DATOS!Z:AA,2,0))</f>
        <v/>
      </c>
      <c r="I30" s="165" t="str">
        <f>IF(ISERROR(VLOOKUP(CONCATENATE($I$7,"-",MID(E30,1,100)),DATOS!Z:AA,2,0)),"",VLOOKUP(CONCATENATE($I$7,"-",MID(E30,1,100)),DATOS!Z:AA,2,0))</f>
        <v/>
      </c>
      <c r="J30" s="165" t="str">
        <f>IF(ISERROR(VLOOKUP(CONCATENATE($J$7,"-",MID(E30,1,100)),DATOS!Z:AA,2,0)),"",VLOOKUP(CONCATENATE($J$7,"-",MID(E30,1,100)),DATOS!Z:AA,2,0))</f>
        <v/>
      </c>
      <c r="K30" s="165" t="str">
        <f>IF(ISERROR(VLOOKUP(CONCATENATE($K$7,"-",MID(E30,1,100)),DATOS!Z:AA,2,0)),"",VLOOKUP(CONCATENATE($K$7,"-",MID(E30,1,100)),DATOS!Z:AA,2,0))</f>
        <v/>
      </c>
      <c r="L30" s="165" t="str">
        <f>IF(ISERROR(VLOOKUP(CONCATENATE($L$7,"-",MID(E30,1,100)),DATOS!Z:AA,2,0)),"",VLOOKUP(CONCATENATE($L$7,"-",MID(E30,1,100)),DATOS!Z:AA,2,0))</f>
        <v/>
      </c>
      <c r="M30" s="165" t="str">
        <f>IF(ISERROR(VLOOKUP(CONCATENATE($M$7,"-",MID(E30,1,100)),DATOS!Z:AA,2,0)),"",VLOOKUP(CONCATENATE($M$7,"-",MID(E30,1,100)),DATOS!Z:AA,2,0))</f>
        <v/>
      </c>
      <c r="N30" s="165" t="str">
        <f>IF(ISERROR(VLOOKUP(CONCATENATE($N$7,"-",MID(E30,1,100)),DATOS!Z:AA,2,0)),"",VLOOKUP(CONCATENATE($N$7,"-",MID(E30,1,100)),DATOS!Z:AA,2,0))</f>
        <v/>
      </c>
      <c r="O30" s="166" t="str">
        <f>IF(ISERROR(VLOOKUP(CONCATENATE($O$7,"-",MID(E30,1,100)),DATOS!Z:AA,2,0)),"",VLOOKUP(CONCATENATE($O$7,"-",MID(E30,1,100)),DATOS!Z:AA,2,0))</f>
        <v/>
      </c>
      <c r="P30" s="164" t="str">
        <f>IF(ISERROR(VLOOKUP(CONCATENATE($P$7,"-",MID(E30,1,100)),DATOS!Z:AA,2,0)),"",VLOOKUP(CONCATENATE($P$7,"-",MID(E30,1,100)),DATOS!Z:AA,2,0))</f>
        <v/>
      </c>
      <c r="Q30" s="165" t="str">
        <f>IF(ISERROR(VLOOKUP(CONCATENATE($Q$7,"-",MID(E30,1,100)),DATOS!Z:AA,2,0)),"",VLOOKUP(CONCATENATE($Q$7,"-",MID(E30,1,100)),DATOS!Z:AA,2,0))</f>
        <v/>
      </c>
      <c r="R30" s="165" t="str">
        <f>IF(ISERROR(VLOOKUP(CONCATENATE($R$7,"-",MID(E30,1,100)),DATOS!Z:AA,2,0)),"",VLOOKUP(CONCATENATE($R$7,"-",MID(E30,1,100)),DATOS!Z:AA,2,0))</f>
        <v/>
      </c>
      <c r="S30" s="165" t="str">
        <f>IF(ISERROR(VLOOKUP(CONCATENATE($S$7,"-",MID(E30,1,100)),DATOS!Z:AA,2,0)),"",VLOOKUP(CONCATENATE($S$7,"-",MID(E30,1,100)),DATOS!Z:AA,2,0))</f>
        <v/>
      </c>
      <c r="T30" s="165" t="str">
        <f>IF(ISERROR(VLOOKUP(CONCATENATE($T$7,"-",MID(E30,1,100)),DATOS!Z:AA,2,0)),"",VLOOKUP(CONCATENATE($T$7,"-",MID(E30,1,100)),DATOS!Z:AA,2,0))</f>
        <v/>
      </c>
      <c r="U30" s="165" t="str">
        <f>IF(ISERROR(VLOOKUP(CONCATENATE($U$7,"-",MID(E30,1,100)),DATOS!Z:AA,2,0)),"",VLOOKUP(CONCATENATE($U$7,"-",MID(E30,1,100)),DATOS!Z:AA,2,0))</f>
        <v/>
      </c>
      <c r="V30" s="165" t="str">
        <f>IF(ISERROR(VLOOKUP(CONCATENATE($V$7,"-",MID(E30,1,100)),DATOS!Z:AA,2,0)),"",VLOOKUP(CONCATENATE($V$7,"-",MID(E30,1,100)),DATOS!Z:AA,2,0))</f>
        <v/>
      </c>
      <c r="W30" s="165" t="str">
        <f>IF(ISERROR(VLOOKUP(CONCATENATE($W$7,"-",MID(E30,1,100)),DATOS!Z:AA,2,0)),"",VLOOKUP(CONCATENATE($W$7,"-",MID(E30,1,100)),DATOS!Z:AA,2,0))</f>
        <v/>
      </c>
      <c r="X30" s="165" t="str">
        <f>IF(ISERROR(VLOOKUP(CONCATENATE($X$7,"-",MID(E30,1,100)),DATOS!Z:AA,2,0)),"",VLOOKUP(CONCATENATE($X$7,"-",MID(E30,1,100)),DATOS!Z:AA,2,0))</f>
        <v/>
      </c>
      <c r="Y30" s="166" t="str">
        <f>IF(ISERROR(VLOOKUP(CONCATENATE($Y$7,"-",MID(E30,1,100)),DATOS!Z:AA,2,0)),"",VLOOKUP(CONCATENATE($Y$7,"-",MID(E30,1,100)),DATOS!Z:AA,2,0))</f>
        <v/>
      </c>
      <c r="Z30" s="164" t="str">
        <f>IF(ISERROR(VLOOKUP(CONCATENATE($Z$7,"-",MID(E30,1,100)),DATOS!Z:AA,2,0)),"",VLOOKUP(CONCATENATE($Z$7,"-",MID(E30,1,100)),DATOS!Z:AA,2,0))</f>
        <v/>
      </c>
      <c r="AA30" s="165" t="str">
        <f>IF(ISERROR(VLOOKUP(CONCATENATE($AA$7,"-",MID(E30,1,100)),DATOS!Z:AA,2,0)),"",VLOOKUP(CONCATENATE($AA$7,"-",MID(E30,1,100)),DATOS!Z:AA,2,0))</f>
        <v/>
      </c>
      <c r="AB30" s="165" t="str">
        <f>IF(ISERROR(VLOOKUP(CONCATENATE($AB$7,"-",MID(E30,1,100)),DATOS!Z:AA,2,0)),"",VLOOKUP(CONCATENATE($AB$7,"-",MID(E30,1,100)),DATOS!Z:AA,2,0))</f>
        <v/>
      </c>
      <c r="AC30" s="165" t="str">
        <f>IF(ISERROR(VLOOKUP(CONCATENATE($AC$7,"-",MID(E30,1,100)),DATOS!Z:AA,2,0)),"",VLOOKUP(CONCATENATE($AC$7,"-",MID(E30,1,100)),DATOS!Z:AA,2,0))</f>
        <v/>
      </c>
      <c r="AD30" s="165" t="str">
        <f>IF(ISERROR(VLOOKUP(CONCATENATE($AD$7,"-",MID(E30,1,100)),DATOS!Z:AA,2,0)),"",VLOOKUP(CONCATENATE($AD$7,"-",MID(E30,1,100)),DATOS!Z:AA,2,0))</f>
        <v/>
      </c>
      <c r="AE30" s="165" t="str">
        <f>IF(ISERROR(VLOOKUP(CONCATENATE($AE$7,"-",MID(E30,1,100)),DATOS!Z:AA,2,0)),"",VLOOKUP(CONCATENATE($AE$7,"-",MID(E30,1,100)),DATOS!Z:AA,2,0))</f>
        <v/>
      </c>
      <c r="AF30" s="165" t="str">
        <f>IF(ISERROR(VLOOKUP(CONCATENATE($AF$7,"-",MID(E30,1,100)),DATOS!Z:AA,2,0)),"",VLOOKUP(CONCATENATE($AF$7,"-",MID(E30,1,100)),DATOS!Z:AA,2,0))</f>
        <v/>
      </c>
      <c r="AG30" s="165" t="str">
        <f>IF(ISERROR(VLOOKUP(CONCATENATE($AG$7,"-",MID(E30,1,100)),DATOS!Z:AA,2,0)),"",VLOOKUP(CONCATENATE($AG$7,"-",MID(E30,1,100)),DATOS!Z:AA,2,0))</f>
        <v/>
      </c>
      <c r="AH30" s="165" t="str">
        <f>IF(ISERROR(VLOOKUP(CONCATENATE($AH$7,"-",MID(E30,1,100)),DATOS!Z:AA,2,0)),"",VLOOKUP(CONCATENATE($AH$7,"-",MID(E30,1,100)),DATOS!Z:AA,2,0))</f>
        <v/>
      </c>
      <c r="AI30" s="166" t="str">
        <f>IF(ISERROR(VLOOKUP(CONCATENATE($AI$7,"-",MID(E30,1,100)),DATOS!Z:AA,2,0)),"",VLOOKUP(CONCATENATE($AI$7,"-",MID(E30,1,100)),DATOS!Z:AA,2,0))</f>
        <v/>
      </c>
      <c r="AJ30" s="164" t="str">
        <f>IF(ISERROR(VLOOKUP(CONCATENATE($AJ$7,"-",MID(E30,1,100)),DATOS!Z:AA,2,0)),"",VLOOKUP(CONCATENATE($AJ$7,"-",MID(E30,1,100)),DATOS!Z:AA,2,0))</f>
        <v/>
      </c>
      <c r="AK30" s="165" t="str">
        <f>IF(ISERROR(VLOOKUP(CONCATENATE($AK$7,"-",MID(E30,1,100)),DATOS!Z:AA,2,0)),"",VLOOKUP(CONCATENATE($AK$7,"-",MID(E30,1,100)),DATOS!Z:AA,2,0))</f>
        <v/>
      </c>
      <c r="AL30" s="165" t="str">
        <f>IF(ISERROR(VLOOKUP(CONCATENATE($AL$7,"-",MID(E30,1,100)),DATOS!Z:AA,2,0)),"",VLOOKUP(CONCATENATE($AL$7,"-",MID(E30,1,100)),DATOS!Z:AA,2,0))</f>
        <v/>
      </c>
      <c r="AM30" s="165" t="str">
        <f>IF(ISERROR(VLOOKUP(CONCATENATE($AM$7,"-",MID(E30,1,100)),DATOS!Z:AA,2,0)),"",VLOOKUP(CONCATENATE($AM$7,"-",MID(E30,1,100)),DATOS!Z:AA,2,0))</f>
        <v/>
      </c>
      <c r="AN30" s="165" t="str">
        <f>IF(ISERROR(VLOOKUP(CONCATENATE($AN$7,"-",MID(E30,1,100)),DATOS!Z:AA,2,0)),"",VLOOKUP(CONCATENATE($AN$7,"-",MID(E30,1,100)),DATOS!Z:AA,2,0))</f>
        <v/>
      </c>
      <c r="AO30" s="165" t="str">
        <f>IF(ISERROR(VLOOKUP(CONCATENATE($AO$7,"-",MID(E30,1,100)),DATOS!Z:AA,2,0)),"",VLOOKUP(CONCATENATE($AO$7,"-",MID(E30,1,100)),DATOS!Z:AA,2,0))</f>
        <v/>
      </c>
      <c r="AP30" s="165" t="str">
        <f>IF(ISERROR(VLOOKUP(CONCATENATE($AP$7,"-",MID(E30,1,100)),DATOS!Z:AA,2,0)),"",VLOOKUP(CONCATENATE($AP$7,"-",MID(E30,1,100)),DATOS!Z:AA,2,0))</f>
        <v/>
      </c>
      <c r="AQ30" s="165" t="str">
        <f>IF(ISERROR(VLOOKUP(CONCATENATE($AQ$7,"-",MID(E30,1,100)),DATOS!Z:AA,2,0)),"",VLOOKUP(CONCATENATE($AQ$7,"-",MID(E30,1,100)),DATOS!Z:AA,2,0))</f>
        <v/>
      </c>
      <c r="AR30" s="165" t="str">
        <f>IF(ISERROR(VLOOKUP(CONCATENATE($AR$7,"-",MID(E30,1,100)),DATOS!Z:AA,2,0)),"",VLOOKUP(CONCATENATE($AR$7,"-",MID(E30,1,100)),DATOS!Z:AA,2,0))</f>
        <v/>
      </c>
      <c r="AS30" s="166" t="str">
        <f>IF(ISERROR(VLOOKUP(CONCATENATE($AS$7,"-",MID(E30,1,100)),DATOS!Z:AA,2,0)),"",VLOOKUP(CONCATENATE($AS$7,"-",MID(E30,1,100)),DATOS!Z:AA,2,0))</f>
        <v/>
      </c>
      <c r="AT30" s="207" t="str">
        <f>IF(ISERROR(VLOOKUP(CONCATENATE($AT$7,"-",MID(E30,1,100)),DATOS!Z:AA,2,0)),"",VLOOKUP(CONCATENATE($AT$7,"-",MID(E30,1,100)),DATOS!Z:AA,2,0))</f>
        <v/>
      </c>
      <c r="AU30" s="208" t="str">
        <f>IF(ISERROR(VLOOKUP(CONCATENATE($AU$7,"-",MID(E30,1,100)),DATOS!Z:AA,2,0)),"",VLOOKUP(CONCATENATE($AU$7,"-",MID(E30,1,100)),DATOS!Z:AA,2,0))</f>
        <v/>
      </c>
      <c r="AV30" s="208" t="str">
        <f>IF(ISERROR(VLOOKUP(CONCATENATE($AV$7,"-",MID(E30,1,100)),DATOS!Z:AA,2,0)),"",VLOOKUP(CONCATENATE($AV$7,"-",MID(E30,1,100)),DATOS!Z:AA,2,0))</f>
        <v/>
      </c>
      <c r="AW30" s="208" t="str">
        <f>IF(ISERROR(VLOOKUP(CONCATENATE($AW$7,"-",MID(E30,1,100)),DATOS!Z:AA,2,0)),"",VLOOKUP(CONCATENATE($AW$7,"-",MID(E30,1,100)),DATOS!Z:AA,2,0))</f>
        <v/>
      </c>
      <c r="AX30" s="208" t="str">
        <f>IF(ISERROR(VLOOKUP(CONCATENATE($AX$7,"-",MID(E30,1,100)),DATOS!Z:AA,2,0)),"",VLOOKUP(CONCATENATE($AX$7,"-",MID(E30,1,100)),DATOS!Z:AA,2,0))</f>
        <v/>
      </c>
      <c r="AY30" s="208" t="str">
        <f>IF(ISERROR(VLOOKUP(CONCATENATE($AY$7,"-",MID(E30,1,100)),DATOS!Z:AA,2,0)),"",VLOOKUP(CONCATENATE($AY$7,"-",MID(E30,1,100)),DATOS!Z:AA,2,0))</f>
        <v/>
      </c>
      <c r="AZ30" s="208" t="str">
        <f>IF(ISERROR(VLOOKUP(CONCATENATE($AZ$7,"-",MID(E30,1,100)),DATOS!Z:AA,2,0)),"",VLOOKUP(CONCATENATE($AZ$7,"-",MID(E30,1,100)),DATOS!Z:AA,2,0))</f>
        <v/>
      </c>
      <c r="BA30" s="208" t="str">
        <f>IF(ISERROR(VLOOKUP(CONCATENATE($BA$7,"-",MID(E30,1,100)),DATOS!Z:AA,2,0)),"",VLOOKUP(CONCATENATE($BA$7,"-",MID(E30,1,100)),DATOS!Z:AA,2,0))</f>
        <v/>
      </c>
      <c r="BB30" s="208" t="str">
        <f>IF(ISERROR(VLOOKUP(CONCATENATE($BB$7,"-",MID(E30,1,100)),DATOS!Z:AA,2,0)),"",VLOOKUP(CONCATENATE($BB$7,"-",MID(E30,1,100)),DATOS!Z:AA,2,0))</f>
        <v/>
      </c>
      <c r="BC30" s="209" t="str">
        <f>IF(ISERROR(VLOOKUP(CONCATENATE($BC$7,"-",MID(E30,1,100)),DATOS!Z:AA,2,0)),"",VLOOKUP(CONCATENATE($BC$7,"-",MID(E30,1,100)),DATOS!Z:AA,2,0))</f>
        <v/>
      </c>
      <c r="BD30" s="207" t="str">
        <f>IF(ISERROR(VLOOKUP(CONCATENATE($BD$7,"-",MID(E30,1,100)),DATOS!Z:AA,2,0)),"",VLOOKUP(CONCATENATE($BD$7,"-",MID(E30,1,100)),DATOS!Z:AA,2,0))</f>
        <v/>
      </c>
      <c r="BE30" s="208" t="str">
        <f>IF(ISERROR(VLOOKUP(CONCATENATE($BE$7,"-",MID(E30,1,100)),DATOS!Z:AA,2,0)),"",VLOOKUP(CONCATENATE($BE$7,"-",MID(E30,1,100)),DATOS!Z:AA,2,0))</f>
        <v/>
      </c>
      <c r="BF30" s="208" t="str">
        <f>IF(ISERROR(VLOOKUP(CONCATENATE($BF$7,"-",MID(E30,1,100)),DATOS!Z:AA,2,0)),"",VLOOKUP(CONCATENATE($BF$7,"-",MID(E30,1,100)),DATOS!Z:AA,2,0))</f>
        <v>a</v>
      </c>
      <c r="BG30" s="208" t="str">
        <f>IF(ISERROR(VLOOKUP(CONCATENATE($BG$7,"-",MID(E30,1,100)),DATOS!Z:AA,2,0)),"",VLOOKUP(CONCATENATE($BG$7,"-",MID(E30,1,100)),DATOS!Z:AA,2,0))</f>
        <v/>
      </c>
      <c r="BH30" s="208" t="str">
        <f>IF(ISERROR(VLOOKUP(CONCATENATE($BH$7,"-",MID(E30,1,100)),DATOS!Z:AA,2,0)),"",VLOOKUP(CONCATENATE($BH$7,"-",MID(E30,1,100)),DATOS!Z:AA,2,0))</f>
        <v>a</v>
      </c>
      <c r="BI30" s="208" t="str">
        <f>IF(ISERROR(VLOOKUP(CONCATENATE($BI$7,"-",MID(E30,1,100)),DATOS!Z:AA,2,0)),"",VLOOKUP(CONCATENATE($BI$7,"-",MID(E30,1,100)),DATOS!Z:AA,2,0))</f>
        <v/>
      </c>
      <c r="BJ30" s="208" t="str">
        <f>IF(ISERROR(VLOOKUP(CONCATENATE($BJ$7,"-",MID(E30,1,100)),DATOS!Z:AA,2,0)),"",VLOOKUP(CONCATENATE($BJ$7,"-",MID(E30,1,100)),DATOS!Z:AA,2,0))</f>
        <v/>
      </c>
      <c r="BK30" s="208" t="str">
        <f>IF(ISERROR(VLOOKUP(CONCATENATE($BK$7,"-",MID(E30,1,100)),DATOS!Z:AA,2,0)),"",VLOOKUP(CONCATENATE($BK$7,"-",MID(E30,1,100)),DATOS!Z:AA,2,0))</f>
        <v/>
      </c>
      <c r="BL30" s="208" t="str">
        <f>IF(ISERROR(VLOOKUP(CONCATENATE($BL$7,"-",MID(E30,1,100)),DATOS!Z:AA,2,0)),"",VLOOKUP(CONCATENATE($BL$7,"-",MID(E30,1,100)),DATOS!Z:AA,2,0))</f>
        <v/>
      </c>
      <c r="BM30" s="209" t="str">
        <f>IF(ISERROR(VLOOKUP(CONCATENATE($BM$7,"-",MID(E30,1,100)),DATOS!Z:AA,2,0)),"",VLOOKUP(CONCATENATE($BM$7,"-",MID(E30,1,100)),DATOS!Z:AA,2,0))</f>
        <v/>
      </c>
      <c r="BN30" s="207" t="str">
        <f>IF(ISERROR(VLOOKUP(CONCATENATE($BN$7,"-",MID(E30,1,100)),DATOS!Z:AA,2,0)),"",VLOOKUP(CONCATENATE($BN$7,"-",MID(E30,1,100)),DATOS!Z:AA,2,0))</f>
        <v/>
      </c>
      <c r="BO30" s="208" t="str">
        <f>IF(ISERROR(VLOOKUP(CONCATENATE($BO$7,"-",MID(E30,1,100)),DATOS!Z:AA,2,0)),"",VLOOKUP(CONCATENATE($BO$7,"-",MID(E30,1,100)),DATOS!Z:AA,2,0))</f>
        <v/>
      </c>
      <c r="BP30" s="208" t="str">
        <f>IF(ISERROR(VLOOKUP(CONCATENATE($BP$7,"-",MID(E30,1,100)),DATOS!Z:AA,2,0)),"",VLOOKUP(CONCATENATE($BP$7,"-",MID(E30,1,100)),DATOS!Z:AA,2,0))</f>
        <v/>
      </c>
      <c r="BQ30" s="208" t="str">
        <f>IF(ISERROR(VLOOKUP(CONCATENATE($BQ$7,"-",MID(E30,1,100)),DATOS!Z:AA,2,0)),"",VLOOKUP(CONCATENATE($BQ$7,"-",MID(E30,1,100)),DATOS!Z:AA,2,0))</f>
        <v/>
      </c>
      <c r="BR30" s="208" t="str">
        <f>IF(ISERROR(VLOOKUP(CONCATENATE($BR$7,"-",MID(E30,1,100)),DATOS!Z:AA,2,0)),"",VLOOKUP(CONCATENATE($BR$7,"-",MID(E30,1,100)),DATOS!Z:AA,2,0))</f>
        <v/>
      </c>
      <c r="BS30" s="208" t="str">
        <f>IF(ISERROR(VLOOKUP(CONCATENATE($BS$7,"-",MID(E30,1,100)),DATOS!Z:AA,2,0)),"",VLOOKUP(CONCATENATE($BS$7,"-",MID(E30,1,100)),DATOS!Z:AA,2,0))</f>
        <v/>
      </c>
      <c r="BT30" s="208" t="str">
        <f>IF(ISERROR(VLOOKUP(CONCATENATE($BT$7,"-",MID(E30,1,100)),DATOS!Z:AA,2,0)),"",VLOOKUP(CONCATENATE($BT$7,"-",MID(E30,1,100)),DATOS!Z:AA,2,0))</f>
        <v/>
      </c>
      <c r="BU30" s="208" t="str">
        <f>IF(ISERROR(VLOOKUP(CONCATENATE($BU$7,"-",MID(E30,1,100)),DATOS!Z:AA,2,0)),"",VLOOKUP(CONCATENATE($BU$7,"-",MID(E30,1,100)),DATOS!Z:AA,2,0))</f>
        <v/>
      </c>
      <c r="BV30" s="208" t="str">
        <f>IF(ISERROR(VLOOKUP(CONCATENATE($BV$7,"-",MID(E30,1,100)),DATOS!Z:AA,2,0)),"",VLOOKUP(CONCATENATE($BV$7,"-",MID(E30,1,100)),DATOS!Z:AA,2,0))</f>
        <v/>
      </c>
      <c r="BW30" s="209" t="str">
        <f>IF(ISERROR(VLOOKUP(CONCATENATE($BW$7,"-",MID(E30,1,100)),DATOS!Z:AA,2,0)),"",VLOOKUP(CONCATENATE($BW$7,"-",MID(E30,1,100)),DATOS!Z:AA,2,0))</f>
        <v/>
      </c>
      <c r="BX30" s="164" t="str">
        <f>IF(ISERROR(VLOOKUP(CONCATENATE($BX$7,"-",MID(E30,1,100)),DATOS!Z:AA,2,0)),"",VLOOKUP(CONCATENATE($BX$7,"-",MID(E30,1,100)),DATOS!Z:AA,2,0))</f>
        <v/>
      </c>
      <c r="BY30" s="165" t="str">
        <f>IF(ISERROR(VLOOKUP(CONCATENATE($BY$7,"-",MID(E30,1,100)),DATOS!Z:AA,2,0)),"",VLOOKUP(CONCATENATE($BY$7,"-",MID(E30,1,100)),DATOS!Z:AA,2,0))</f>
        <v/>
      </c>
      <c r="BZ30" s="165" t="str">
        <f>IF(ISERROR(VLOOKUP(CONCATENATE($BZ$7,"-",MID(E30,1,100)),DATOS!Z:AA,2,0)),"",VLOOKUP(CONCATENATE($BZ$7,"-",MID(E30,1,100)),DATOS!Z:AA,2,0))</f>
        <v/>
      </c>
      <c r="CA30" s="165" t="str">
        <f>IF(ISERROR(VLOOKUP(CONCATENATE($CA$7,"-",MID(E30,1,100)),DATOS!Z:AA,2,0)),"",VLOOKUP(CONCATENATE($CA$7,"-",MID(E30,1,100)),DATOS!Z:AA,2,0))</f>
        <v/>
      </c>
      <c r="CB30" s="165" t="str">
        <f>IF(ISERROR(VLOOKUP(CONCATENATE($CB$7,"-",MID(E30,1,100)),DATOS!Z:AA,2,0)),"",VLOOKUP(CONCATENATE($CB$7,"-",MID(E30,1,100)),DATOS!Z:AA,2,0))</f>
        <v/>
      </c>
      <c r="CC30" s="165" t="str">
        <f>IF(ISERROR(VLOOKUP(CONCATENATE($CC$7,"-",MID(E30,1,100)),DATOS!Z:AA,2,0)),"",VLOOKUP(CONCATENATE($CC$7,"-",MID(E30,1,100)),DATOS!Z:AA,2,0))</f>
        <v/>
      </c>
      <c r="CD30" s="165" t="str">
        <f>IF(ISERROR(VLOOKUP(CONCATENATE($CD$7,"-",MID(E30,1,100)),DATOS!Z:AA,2,0)),"",VLOOKUP(CONCATENATE($CD$7,"-",MID(E30,1,100)),DATOS!Z:AA,2,0))</f>
        <v/>
      </c>
      <c r="CE30" s="165" t="str">
        <f>IF(ISERROR(VLOOKUP(CONCATENATE($CE$7,"-",MID(E30,1,100)),DATOS!Z:AA,2,0)),"",VLOOKUP(CONCATENATE($CE$7,"-",MID(E30,1,100)),DATOS!Z:AA,2,0))</f>
        <v/>
      </c>
      <c r="CF30" s="165" t="str">
        <f>IF(ISERROR(VLOOKUP(CONCATENATE($CF$7,"-",MID(E30,1,100)),DATOS!Z:AA,2,0)),"",VLOOKUP(CONCATENATE($CF$7,"-",MID(E30,1,100)),DATOS!Z:AA,2,0))</f>
        <v/>
      </c>
      <c r="CG30" s="166" t="str">
        <f>IF(ISERROR(VLOOKUP(CONCATENATE($CG$7,"-",MID(E30,1,100)),DATOS!Z:AA,2,0)),"",VLOOKUP(CONCATENATE($CG$7,"-",MID(E30,1,100)),DATOS!Z:AA,2,0))</f>
        <v/>
      </c>
      <c r="CH30" s="164" t="str">
        <f>IF(ISERROR(VLOOKUP(CONCATENATE($CH$7,"-",MID(E30,1,100)),DATOS!Z:AA,2,0)),"",VLOOKUP(CONCATENATE($CH$7,"-",MID(E30,1,100)),DATOS!Z:AA,2,0))</f>
        <v/>
      </c>
      <c r="CI30" s="165" t="str">
        <f>IF(ISERROR(VLOOKUP(CONCATENATE($CI$7,"-",MID(E30,1,100)),DATOS!Z:AA,2,0)),"",VLOOKUP(CONCATENATE($CI$7,"-",MID(E30,1,100)),DATOS!Z:AA,2,0))</f>
        <v/>
      </c>
      <c r="CJ30" s="165" t="str">
        <f>IF(ISERROR(VLOOKUP(CONCATENATE($CJ$7,"-",MID(E30,1,100)),DATOS!Z:AA,2,0)),"",VLOOKUP(CONCATENATE($CJ$7,"-",MID(E30,1,100)),DATOS!Z:AA,2,0))</f>
        <v/>
      </c>
      <c r="CK30" s="165" t="str">
        <f>IF(ISERROR(VLOOKUP(CONCATENATE($CK$7,"-",MID(E30,1,100)),DATOS!Z:AA,2,0)),"",VLOOKUP(CONCATENATE($CK$7,"-",MID(E30,1,100)),DATOS!Z:AA,2,0))</f>
        <v/>
      </c>
      <c r="CL30" s="165" t="str">
        <f>IF(ISERROR(VLOOKUP(CONCATENATE($CL$7,"-",MID(E30,1,100)),DATOS!Z:AA,2,0)),"",VLOOKUP(CONCATENATE($CL$7,"-",MID(E30,1,100)),DATOS!Z:AA,2,0))</f>
        <v/>
      </c>
      <c r="CM30" s="165" t="str">
        <f>IF(ISERROR(VLOOKUP(CONCATENATE($CM$7,"-",MID(E30,1,100)),DATOS!Z:AA,2,0)),"",VLOOKUP(CONCATENATE($CM$7,"-",MID(E30,1,100)),DATOS!Z:AA,2,0))</f>
        <v/>
      </c>
      <c r="CN30" s="165" t="str">
        <f>IF(ISERROR(VLOOKUP(CONCATENATE($CN$7,"-",MID(E30,1,100)),DATOS!Z:AA,2,0)),"",VLOOKUP(CONCATENATE($CN$7,"-",MID(E30,1,100)),DATOS!Z:AA,2,0))</f>
        <v/>
      </c>
      <c r="CO30" s="165" t="str">
        <f>IF(ISERROR(VLOOKUP(CONCATENATE($CO$7,"-",MID(E30,1,100)),DATOS!Z:AA,2,0)),"",VLOOKUP(CONCATENATE($CO$7,"-",MID(E30,1,100)),DATOS!Z:AA,2,0))</f>
        <v/>
      </c>
      <c r="CP30" s="195" t="str">
        <f>IF(ISERROR(VLOOKUP(CONCATENATE($CP$7,"-",MID(E30,1,100)),DATOS!Z:AA,2,0)),"",VLOOKUP(CONCATENATE($CP$7,"-",MID(E30,1,100)),DATOS!Z:AA,2,0))</f>
        <v/>
      </c>
      <c r="CQ30" s="166" t="str">
        <f>IF(ISERROR(VLOOKUP(CONCATENATE($CQ$7,"-",MID(E30,1,100)),DATOS!Z:AA,2,0)),"",VLOOKUP(CONCATENATE($CQ$7,"-",MID(E30,1,100)),DATOS!Z:AA,2,0))</f>
        <v/>
      </c>
      <c r="CR30" s="164" t="str">
        <f>IF(ISERROR(VLOOKUP(CONCATENATE(CR$7,"-",MID($E30,1,100)),DATOS!$Z:$AA,2,0)),"",VLOOKUP(CONCATENATE(CR$7,"-",MID($E30,1,100)),DATOS!$Z:$AA,2,0))</f>
        <v/>
      </c>
      <c r="CS30" s="165" t="str">
        <f>IF(ISERROR(VLOOKUP(CONCATENATE(CS$7,"-",MID($E30,1,100)),DATOS!$Z:$AA,2,0)),"",VLOOKUP(CONCATENATE(CS$7,"-",MID($E30,1,100)),DATOS!$Z:$AA,2,0))</f>
        <v/>
      </c>
      <c r="CT30" s="165" t="str">
        <f>IF(ISERROR(VLOOKUP(CONCATENATE(CT$7,"-",MID($E30,1,100)),DATOS!$Z:$AA,2,0)),"",VLOOKUP(CONCATENATE(CT$7,"-",MID($E30,1,100)),DATOS!$Z:$AA,2,0))</f>
        <v/>
      </c>
      <c r="CU30" s="165" t="str">
        <f>IF(ISERROR(VLOOKUP(CONCATENATE(CU$7,"-",MID($E30,1,100)),DATOS!$Z:$AA,2,0)),"",VLOOKUP(CONCATENATE(CU$7,"-",MID($E30,1,100)),DATOS!$Z:$AA,2,0))</f>
        <v/>
      </c>
      <c r="CV30" s="165" t="str">
        <f>IF(ISERROR(VLOOKUP(CONCATENATE(CV$7,"-",MID($E30,1,100)),DATOS!$Z:$AA,2,0)),"",VLOOKUP(CONCATENATE(CV$7,"-",MID($E30,1,100)),DATOS!$Z:$AA,2,0))</f>
        <v/>
      </c>
      <c r="CW30" s="165" t="str">
        <f>IF(ISERROR(VLOOKUP(CONCATENATE(CW$7,"-",MID($E30,1,100)),DATOS!$Z:$AA,2,0)),"",VLOOKUP(CONCATENATE(CW$7,"-",MID($E30,1,100)),DATOS!$Z:$AA,2,0))</f>
        <v/>
      </c>
      <c r="CX30" s="165" t="str">
        <f>IF(ISERROR(VLOOKUP(CONCATENATE(CX$7,"-",MID($E30,1,100)),DATOS!$Z:$AA,2,0)),"",VLOOKUP(CONCATENATE(CX$7,"-",MID($E30,1,100)),DATOS!$Z:$AA,2,0))</f>
        <v/>
      </c>
      <c r="CY30" s="165" t="str">
        <f>IF(ISERROR(VLOOKUP(CONCATENATE(CY$7,"-",MID($E30,1,100)),DATOS!$Z:$AA,2,0)),"",VLOOKUP(CONCATENATE(CY$7,"-",MID($E30,1,100)),DATOS!$Z:$AA,2,0))</f>
        <v/>
      </c>
      <c r="CZ30" s="195" t="str">
        <f>IF(ISERROR(VLOOKUP(CONCATENATE(CZ$7,"-",MID($E30,1,100)),DATOS!$Z:$AA,2,0)),"",VLOOKUP(CONCATENATE(CZ$7,"-",MID($E30,1,100)),DATOS!$Z:$AA,2,0))</f>
        <v/>
      </c>
      <c r="DA30" s="166" t="str">
        <f>IF(ISERROR(VLOOKUP(CONCATENATE(DA$7,"-",MID($E30,1,100)),DATOS!$Z:$AA,2,0)),"",VLOOKUP(CONCATENATE(DA$7,"-",MID($E30,1,100)),DATOS!$Z:$AA,2,0))</f>
        <v/>
      </c>
      <c r="DB30" s="164" t="str">
        <f>IF(ISERROR(VLOOKUP(CONCATENATE(DB$7,"-",MID($E30,1,100)),DATOS!$Z:$AA,2,0)),"",VLOOKUP(CONCATENATE(DB$7,"-",MID($E30,1,100)),DATOS!$Z:$AA,2,0))</f>
        <v/>
      </c>
      <c r="DC30" s="165" t="str">
        <f>IF(ISERROR(VLOOKUP(CONCATENATE(DC$7,"-",MID($E30,1,100)),DATOS!$Z:$AA,2,0)),"",VLOOKUP(CONCATENATE(DC$7,"-",MID($E30,1,100)),DATOS!$Z:$AA,2,0))</f>
        <v/>
      </c>
      <c r="DD30" s="165" t="str">
        <f>IF(ISERROR(VLOOKUP(CONCATENATE(DD$7,"-",MID($E30,1,100)),DATOS!$Z:$AA,2,0)),"",VLOOKUP(CONCATENATE(DD$7,"-",MID($E30,1,100)),DATOS!$Z:$AA,2,0))</f>
        <v/>
      </c>
      <c r="DE30" s="165" t="str">
        <f>IF(ISERROR(VLOOKUP(CONCATENATE(DE$7,"-",MID($E30,1,100)),DATOS!$Z:$AA,2,0)),"",VLOOKUP(CONCATENATE(DE$7,"-",MID($E30,1,100)),DATOS!$Z:$AA,2,0))</f>
        <v/>
      </c>
      <c r="DF30" s="165" t="str">
        <f>IF(ISERROR(VLOOKUP(CONCATENATE(DF$7,"-",MID($E30,1,100)),DATOS!$Z:$AA,2,0)),"",VLOOKUP(CONCATENATE(DF$7,"-",MID($E30,1,100)),DATOS!$Z:$AA,2,0))</f>
        <v/>
      </c>
      <c r="DG30" s="165" t="str">
        <f>IF(ISERROR(VLOOKUP(CONCATENATE(DG$7,"-",MID($E30,1,100)),DATOS!$Z:$AA,2,0)),"",VLOOKUP(CONCATENATE(DG$7,"-",MID($E30,1,100)),DATOS!$Z:$AA,2,0))</f>
        <v/>
      </c>
      <c r="DH30" s="165" t="str">
        <f>IF(ISERROR(VLOOKUP(CONCATENATE(DH$7,"-",MID($E30,1,100)),DATOS!$Z:$AA,2,0)),"",VLOOKUP(CONCATENATE(DH$7,"-",MID($E30,1,100)),DATOS!$Z:$AA,2,0))</f>
        <v/>
      </c>
      <c r="DI30" s="165" t="str">
        <f>IF(ISERROR(VLOOKUP(CONCATENATE(DI$7,"-",MID($E30,1,100)),DATOS!$Z:$AA,2,0)),"",VLOOKUP(CONCATENATE(DI$7,"-",MID($E30,1,100)),DATOS!$Z:$AA,2,0))</f>
        <v/>
      </c>
      <c r="DJ30" s="195" t="str">
        <f>IF(ISERROR(VLOOKUP(CONCATENATE(DJ$7,"-",MID($E30,1,100)),DATOS!$Z:$AA,2,0)),"",VLOOKUP(CONCATENATE(DJ$7,"-",MID($E30,1,100)),DATOS!$Z:$AA,2,0))</f>
        <v/>
      </c>
      <c r="DK30" s="166" t="str">
        <f>IF(ISERROR(VLOOKUP(CONCATENATE(DK$7,"-",MID($E30,1,100)),DATOS!$Z:$AA,2,0)),"",VLOOKUP(CONCATENATE(DK$7,"-",MID($E30,1,100)),DATOS!$Z:$AA,2,0))</f>
        <v/>
      </c>
      <c r="DL30" s="164" t="str">
        <f>IF(ISERROR(VLOOKUP(CONCATENATE(DL$7,"-",MID($E30,1,100)),DATOS!$Z:$AA,2,0)),"",VLOOKUP(CONCATENATE(DL$7,"-",MID($E30,1,100)),DATOS!$Z:$AA,2,0))</f>
        <v/>
      </c>
      <c r="DM30" s="165" t="str">
        <f>IF(ISERROR(VLOOKUP(CONCATENATE(DM$7,"-",MID($E30,1,100)),DATOS!$Z:$AA,2,0)),"",VLOOKUP(CONCATENATE(DM$7,"-",MID($E30,1,100)),DATOS!$Z:$AA,2,0))</f>
        <v/>
      </c>
      <c r="DN30" s="165" t="str">
        <f>IF(ISERROR(VLOOKUP(CONCATENATE(DN$7,"-",MID($E30,1,100)),DATOS!$Z:$AA,2,0)),"",VLOOKUP(CONCATENATE(DN$7,"-",MID($E30,1,100)),DATOS!$Z:$AA,2,0))</f>
        <v/>
      </c>
      <c r="DO30" s="165" t="str">
        <f>IF(ISERROR(VLOOKUP(CONCATENATE(DO$7,"-",MID($E30,1,100)),DATOS!$Z:$AA,2,0)),"",VLOOKUP(CONCATENATE(DO$7,"-",MID($E30,1,100)),DATOS!$Z:$AA,2,0))</f>
        <v/>
      </c>
      <c r="DP30" s="165" t="str">
        <f>IF(ISERROR(VLOOKUP(CONCATENATE(DP$7,"-",MID($E30,1,100)),DATOS!$Z:$AA,2,0)),"",VLOOKUP(CONCATENATE(DP$7,"-",MID($E30,1,100)),DATOS!$Z:$AA,2,0))</f>
        <v/>
      </c>
      <c r="DQ30" s="165" t="str">
        <f>IF(ISERROR(VLOOKUP(CONCATENATE(DQ$7,"-",MID($E30,1,100)),DATOS!$Z:$AA,2,0)),"",VLOOKUP(CONCATENATE(DQ$7,"-",MID($E30,1,100)),DATOS!$Z:$AA,2,0))</f>
        <v/>
      </c>
      <c r="DR30" s="165" t="str">
        <f>IF(ISERROR(VLOOKUP(CONCATENATE(DR$7,"-",MID($E30,1,100)),DATOS!$Z:$AA,2,0)),"",VLOOKUP(CONCATENATE(DR$7,"-",MID($E30,1,100)),DATOS!$Z:$AA,2,0))</f>
        <v/>
      </c>
      <c r="DS30" s="165" t="str">
        <f>IF(ISERROR(VLOOKUP(CONCATENATE(DS$7,"-",MID($E30,1,100)),DATOS!$Z:$AA,2,0)),"",VLOOKUP(CONCATENATE(DS$7,"-",MID($E30,1,100)),DATOS!$Z:$AA,2,0))</f>
        <v/>
      </c>
      <c r="DT30" s="195" t="str">
        <f>IF(ISERROR(VLOOKUP(CONCATENATE(DT$7,"-",MID($E30,1,100)),DATOS!$Z:$AA,2,0)),"",VLOOKUP(CONCATENATE(DT$7,"-",MID($E30,1,100)),DATOS!$Z:$AA,2,0))</f>
        <v/>
      </c>
      <c r="DU30" s="166" t="str">
        <f>IF(ISERROR(VLOOKUP(CONCATENATE(DU$7,"-",MID($E30,1,100)),DATOS!$Z:$AA,2,0)),"",VLOOKUP(CONCATENATE(DU$7,"-",MID($E30,1,100)),DATOS!$Z:$AA,2,0))</f>
        <v/>
      </c>
      <c r="DV30" s="164" t="str">
        <f>IF(ISERROR(VLOOKUP(CONCATENATE(DV$7,"-",MID($E30,1,100)),DATOS!$Z:$AA,2,0)),"",VLOOKUP(CONCATENATE(DV$7,"-",MID($E30,1,100)),DATOS!$Z:$AA,2,0))</f>
        <v/>
      </c>
      <c r="DW30" s="165" t="str">
        <f>IF(ISERROR(VLOOKUP(CONCATENATE(DW$7,"-",MID($E30,1,100)),DATOS!$Z:$AA,2,0)),"",VLOOKUP(CONCATENATE(DW$7,"-",MID($E30,1,100)),DATOS!$Z:$AA,2,0))</f>
        <v/>
      </c>
      <c r="DX30" s="165" t="str">
        <f>IF(ISERROR(VLOOKUP(CONCATENATE(DX$7,"-",MID($E30,1,100)),DATOS!$Z:$AA,2,0)),"",VLOOKUP(CONCATENATE(DX$7,"-",MID($E30,1,100)),DATOS!$Z:$AA,2,0))</f>
        <v/>
      </c>
      <c r="DY30" s="165" t="str">
        <f>IF(ISERROR(VLOOKUP(CONCATENATE(DY$7,"-",MID($E30,1,100)),DATOS!$Z:$AA,2,0)),"",VLOOKUP(CONCATENATE(DY$7,"-",MID($E30,1,100)),DATOS!$Z:$AA,2,0))</f>
        <v/>
      </c>
      <c r="DZ30" s="165" t="str">
        <f>IF(ISERROR(VLOOKUP(CONCATENATE(DZ$7,"-",MID($E30,1,100)),DATOS!$Z:$AA,2,0)),"",VLOOKUP(CONCATENATE(DZ$7,"-",MID($E30,1,100)),DATOS!$Z:$AA,2,0))</f>
        <v/>
      </c>
      <c r="EA30" s="165" t="str">
        <f>IF(ISERROR(VLOOKUP(CONCATENATE(EA$7,"-",MID($E30,1,100)),DATOS!$Z:$AA,2,0)),"",VLOOKUP(CONCATENATE(EA$7,"-",MID($E30,1,100)),DATOS!$Z:$AA,2,0))</f>
        <v/>
      </c>
      <c r="EB30" s="165" t="str">
        <f>IF(ISERROR(VLOOKUP(CONCATENATE(EB$7,"-",MID($E30,1,100)),DATOS!$Z:$AA,2,0)),"",VLOOKUP(CONCATENATE(EB$7,"-",MID($E30,1,100)),DATOS!$Z:$AA,2,0))</f>
        <v/>
      </c>
      <c r="EC30" s="165" t="str">
        <f>IF(ISERROR(VLOOKUP(CONCATENATE(EC$7,"-",MID($E30,1,100)),DATOS!$Z:$AA,2,0)),"",VLOOKUP(CONCATENATE(EC$7,"-",MID($E30,1,100)),DATOS!$Z:$AA,2,0))</f>
        <v/>
      </c>
      <c r="ED30" s="195" t="str">
        <f>IF(ISERROR(VLOOKUP(CONCATENATE(ED$7,"-",MID($E30,1,100)),DATOS!$Z:$AA,2,0)),"",VLOOKUP(CONCATENATE(ED$7,"-",MID($E30,1,100)),DATOS!$Z:$AA,2,0))</f>
        <v/>
      </c>
      <c r="EE30" s="166" t="str">
        <f>IF(ISERROR(VLOOKUP(CONCATENATE(EE$7,"-",MID($E30,1,100)),DATOS!$Z:$AA,2,0)),"",VLOOKUP(CONCATENATE(EE$7,"-",MID($E30,1,100)),DATOS!$Z:$AA,2,0))</f>
        <v/>
      </c>
      <c r="EF30" s="164" t="str">
        <f>IF(ISERROR(VLOOKUP(CONCATENATE($EF$7,"-",MID(E30,1,100)),DATOS!Z:AA,2,0)),"",VLOOKUP(CONCATENATE($EF$7,"-",MID(E30,1,100)),DATOS!Z:AA,2,0))</f>
        <v/>
      </c>
      <c r="EG30" s="165" t="str">
        <f>IF(ISERROR(VLOOKUP(CONCATENATE($EG$7,"-",MID(E30,1,100)),DATOS!Z:AA,2,0)),"",VLOOKUP(CONCATENATE($EG$7,"-",MID(E30,1,100)),DATOS!Z:AA,2,0))</f>
        <v/>
      </c>
      <c r="EH30" s="165" t="str">
        <f>IF(ISERROR(VLOOKUP(CONCATENATE($EH$7,"-",MID(E30,1,100)),DATOS!Z:AA,2,0)),"",VLOOKUP(CONCATENATE($EH$7,"-",MID(E30,1,100)),DATOS!Z:AA,2,0))</f>
        <v/>
      </c>
      <c r="EI30" s="165" t="str">
        <f>IF(ISERROR(VLOOKUP(CONCATENATE($EI$7,"-",MID(E30,1,100)),DATOS!Z:AA,2,0)),"",VLOOKUP(CONCATENATE($EI$7,"-",MID(E30,1,100)),DATOS!Z:AA,2,0))</f>
        <v/>
      </c>
      <c r="EJ30" s="165" t="str">
        <f>IF(ISERROR(VLOOKUP(CONCATENATE($EJ$7,"-",MID(E30,1,100)),DATOS!Z:AA,2,0)),"",VLOOKUP(CONCATENATE($EJ$7,"-",MID(E30,1,100)),DATOS!Z:AA,2,0))</f>
        <v/>
      </c>
      <c r="EK30" s="165" t="str">
        <f>IF(ISERROR(VLOOKUP(CONCATENATE($EK$7,"-",MID(E30,1,100)),DATOS!Z:AA,2,0)),"",VLOOKUP(CONCATENATE($EK$7,"-",MID(E30,1,100)),DATOS!Z:AA,2,0))</f>
        <v/>
      </c>
      <c r="EL30" s="165" t="str">
        <f>IF(ISERROR(VLOOKUP(CONCATENATE($EL$7,"-",MID(E30,1,100)),DATOS!Z:AA,2,0)),"",VLOOKUP(CONCATENATE($EL$7,"-",MID(E30,1,100)),DATOS!Z:AA,2,0))</f>
        <v/>
      </c>
      <c r="EM30" s="165" t="str">
        <f>IF(ISERROR(VLOOKUP(CONCATENATE($EM$7,"-",MID(E30,1,100)),DATOS!Z:AA,2,0)),"",VLOOKUP(CONCATENATE($EM$7,"-",MID(E30,1,100)),DATOS!Z:AA,2,0))</f>
        <v/>
      </c>
      <c r="EN30" s="165" t="str">
        <f>IF(ISERROR(VLOOKUP(CONCATENATE($EN$7,"-",MID(E30,1,100)),DATOS!Z:AA,2,0)),"",VLOOKUP(CONCATENATE($EN$7,"-",MID(E30,1,100)),DATOS!Z:AA,2,0))</f>
        <v/>
      </c>
      <c r="EO30" s="166" t="str">
        <f>IF(ISERROR(VLOOKUP(CONCATENATE($EO$7,"-",MID(E30,1,100)),DATOS!Z:AA,2,0)),"",VLOOKUP(CONCATENATE($EO$7,"-",MID(E30,1,100)),DATOS!Z:AA,2,0))</f>
        <v/>
      </c>
      <c r="EP30" s="167">
        <f t="shared" si="0"/>
        <v>2</v>
      </c>
      <c r="EQ30" s="159" t="str">
        <f t="shared" si="1"/>
        <v>CP2: Desarrollo de gestión educativa-N2</v>
      </c>
    </row>
    <row r="31" spans="1:147" ht="17.25" customHeight="1">
      <c r="A31" s="148"/>
      <c r="B31" s="168" t="str">
        <f>IF('1.Fundamentos'!B59="","",'1.Fundamentos'!B59)</f>
        <v>CP2: Desarrollo de gestión educativa</v>
      </c>
      <c r="C31" s="169" t="s">
        <v>84</v>
      </c>
      <c r="D31" s="170" t="str">
        <f>IF('1.Fundamentos'!D59="","",'1.Fundamentos'!D59)</f>
        <v>Establece relaciones entre las concepciones de administración, economía, marketing y aspectos legales como fundamentos básicos para el desarrollo de una buena gestión educativa.</v>
      </c>
      <c r="E31" s="171" t="str">
        <f t="shared" si="2"/>
        <v>CP2: Desarrollo de gestión educativa:N3 Establece relaciones entre las concepciones de administración, economía, marketing y aspectos legales como fundamentos básicos para el desarrollo de una buena gestión educativa.</v>
      </c>
      <c r="F31" s="172" t="str">
        <f>IF(ISERROR(VLOOKUP(CONCATENATE($F$7,"-",MID(E31,1,100)),DATOS!Z:AA,2,0)),"",VLOOKUP(CONCATENATE($F$7,"-",MID(E31,1,100)),DATOS!Z:AA,2,0))</f>
        <v/>
      </c>
      <c r="G31" s="173" t="str">
        <f>IF(ISERROR(VLOOKUP(CONCATENATE($G$7,"-",MID(E31,1,100)),DATOS!Z:AA,2,0)),"",VLOOKUP(CONCATENATE($G$7,"-",MID(E31,1,100)),DATOS!Z:AA,2,0))</f>
        <v/>
      </c>
      <c r="H31" s="173" t="str">
        <f>IF(ISERROR(VLOOKUP(CONCATENATE($H$7,"-",MID(E31,1,100)),DATOS!Z:AA,2,0)),"",VLOOKUP(CONCATENATE($H$7,"-",MID(E31,1,100)),DATOS!Z:AA,2,0))</f>
        <v/>
      </c>
      <c r="I31" s="173" t="str">
        <f>IF(ISERROR(VLOOKUP(CONCATENATE($I$7,"-",MID(E31,1,100)),DATOS!Z:AA,2,0)),"",VLOOKUP(CONCATENATE($I$7,"-",MID(E31,1,100)),DATOS!Z:AA,2,0))</f>
        <v/>
      </c>
      <c r="J31" s="173" t="str">
        <f>IF(ISERROR(VLOOKUP(CONCATENATE($J$7,"-",MID(E31,1,100)),DATOS!Z:AA,2,0)),"",VLOOKUP(CONCATENATE($J$7,"-",MID(E31,1,100)),DATOS!Z:AA,2,0))</f>
        <v/>
      </c>
      <c r="K31" s="173" t="str">
        <f>IF(ISERROR(VLOOKUP(CONCATENATE($K$7,"-",MID(E31,1,100)),DATOS!Z:AA,2,0)),"",VLOOKUP(CONCATENATE($K$7,"-",MID(E31,1,100)),DATOS!Z:AA,2,0))</f>
        <v/>
      </c>
      <c r="L31" s="173" t="str">
        <f>IF(ISERROR(VLOOKUP(CONCATENATE($L$7,"-",MID(E31,1,100)),DATOS!Z:AA,2,0)),"",VLOOKUP(CONCATENATE($L$7,"-",MID(E31,1,100)),DATOS!Z:AA,2,0))</f>
        <v/>
      </c>
      <c r="M31" s="173" t="str">
        <f>IF(ISERROR(VLOOKUP(CONCATENATE($M$7,"-",MID(E31,1,100)),DATOS!Z:AA,2,0)),"",VLOOKUP(CONCATENATE($M$7,"-",MID(E31,1,100)),DATOS!Z:AA,2,0))</f>
        <v/>
      </c>
      <c r="N31" s="173" t="str">
        <f>IF(ISERROR(VLOOKUP(CONCATENATE($N$7,"-",MID(E31,1,100)),DATOS!Z:AA,2,0)),"",VLOOKUP(CONCATENATE($N$7,"-",MID(E31,1,100)),DATOS!Z:AA,2,0))</f>
        <v/>
      </c>
      <c r="O31" s="174" t="str">
        <f>IF(ISERROR(VLOOKUP(CONCATENATE($O$7,"-",MID(E31,1,100)),DATOS!Z:AA,2,0)),"",VLOOKUP(CONCATENATE($O$7,"-",MID(E31,1,100)),DATOS!Z:AA,2,0))</f>
        <v/>
      </c>
      <c r="P31" s="172" t="str">
        <f>IF(ISERROR(VLOOKUP(CONCATENATE($P$7,"-",MID(E31,1,100)),DATOS!Z:AA,2,0)),"",VLOOKUP(CONCATENATE($P$7,"-",MID(E31,1,100)),DATOS!Z:AA,2,0))</f>
        <v/>
      </c>
      <c r="Q31" s="173" t="str">
        <f>IF(ISERROR(VLOOKUP(CONCATENATE($Q$7,"-",MID(E31,1,100)),DATOS!Z:AA,2,0)),"",VLOOKUP(CONCATENATE($Q$7,"-",MID(E31,1,100)),DATOS!Z:AA,2,0))</f>
        <v/>
      </c>
      <c r="R31" s="173" t="str">
        <f>IF(ISERROR(VLOOKUP(CONCATENATE($R$7,"-",MID(E31,1,100)),DATOS!Z:AA,2,0)),"",VLOOKUP(CONCATENATE($R$7,"-",MID(E31,1,100)),DATOS!Z:AA,2,0))</f>
        <v/>
      </c>
      <c r="S31" s="173" t="str">
        <f>IF(ISERROR(VLOOKUP(CONCATENATE($S$7,"-",MID(E31,1,100)),DATOS!Z:AA,2,0)),"",VLOOKUP(CONCATENATE($S$7,"-",MID(E31,1,100)),DATOS!Z:AA,2,0))</f>
        <v/>
      </c>
      <c r="T31" s="173" t="str">
        <f>IF(ISERROR(VLOOKUP(CONCATENATE($T$7,"-",MID(E31,1,100)),DATOS!Z:AA,2,0)),"",VLOOKUP(CONCATENATE($T$7,"-",MID(E31,1,100)),DATOS!Z:AA,2,0))</f>
        <v/>
      </c>
      <c r="U31" s="173" t="str">
        <f>IF(ISERROR(VLOOKUP(CONCATENATE($U$7,"-",MID(E31,1,100)),DATOS!Z:AA,2,0)),"",VLOOKUP(CONCATENATE($U$7,"-",MID(E31,1,100)),DATOS!Z:AA,2,0))</f>
        <v/>
      </c>
      <c r="V31" s="173" t="str">
        <f>IF(ISERROR(VLOOKUP(CONCATENATE($V$7,"-",MID(E31,1,100)),DATOS!Z:AA,2,0)),"",VLOOKUP(CONCATENATE($V$7,"-",MID(E31,1,100)),DATOS!Z:AA,2,0))</f>
        <v/>
      </c>
      <c r="W31" s="173" t="str">
        <f>IF(ISERROR(VLOOKUP(CONCATENATE($W$7,"-",MID(E31,1,100)),DATOS!Z:AA,2,0)),"",VLOOKUP(CONCATENATE($W$7,"-",MID(E31,1,100)),DATOS!Z:AA,2,0))</f>
        <v/>
      </c>
      <c r="X31" s="173" t="str">
        <f>IF(ISERROR(VLOOKUP(CONCATENATE($X$7,"-",MID(E31,1,100)),DATOS!Z:AA,2,0)),"",VLOOKUP(CONCATENATE($X$7,"-",MID(E31,1,100)),DATOS!Z:AA,2,0))</f>
        <v/>
      </c>
      <c r="Y31" s="174" t="str">
        <f>IF(ISERROR(VLOOKUP(CONCATENATE($Y$7,"-",MID(E31,1,100)),DATOS!Z:AA,2,0)),"",VLOOKUP(CONCATENATE($Y$7,"-",MID(E31,1,100)),DATOS!Z:AA,2,0))</f>
        <v/>
      </c>
      <c r="Z31" s="172" t="str">
        <f>IF(ISERROR(VLOOKUP(CONCATENATE($Z$7,"-",MID(E31,1,100)),DATOS!Z:AA,2,0)),"",VLOOKUP(CONCATENATE($Z$7,"-",MID(E31,1,100)),DATOS!Z:AA,2,0))</f>
        <v/>
      </c>
      <c r="AA31" s="173" t="str">
        <f>IF(ISERROR(VLOOKUP(CONCATENATE($AA$7,"-",MID(E31,1,100)),DATOS!Z:AA,2,0)),"",VLOOKUP(CONCATENATE($AA$7,"-",MID(E31,1,100)),DATOS!Z:AA,2,0))</f>
        <v/>
      </c>
      <c r="AB31" s="173" t="str">
        <f>IF(ISERROR(VLOOKUP(CONCATENATE($AB$7,"-",MID(E31,1,100)),DATOS!Z:AA,2,0)),"",VLOOKUP(CONCATENATE($AB$7,"-",MID(E31,1,100)),DATOS!Z:AA,2,0))</f>
        <v/>
      </c>
      <c r="AC31" s="173" t="str">
        <f>IF(ISERROR(VLOOKUP(CONCATENATE($AC$7,"-",MID(E31,1,100)),DATOS!Z:AA,2,0)),"",VLOOKUP(CONCATENATE($AC$7,"-",MID(E31,1,100)),DATOS!Z:AA,2,0))</f>
        <v/>
      </c>
      <c r="AD31" s="173" t="str">
        <f>IF(ISERROR(VLOOKUP(CONCATENATE($AD$7,"-",MID(E31,1,100)),DATOS!Z:AA,2,0)),"",VLOOKUP(CONCATENATE($AD$7,"-",MID(E31,1,100)),DATOS!Z:AA,2,0))</f>
        <v/>
      </c>
      <c r="AE31" s="173" t="str">
        <f>IF(ISERROR(VLOOKUP(CONCATENATE($AE$7,"-",MID(E31,1,100)),DATOS!Z:AA,2,0)),"",VLOOKUP(CONCATENATE($AE$7,"-",MID(E31,1,100)),DATOS!Z:AA,2,0))</f>
        <v/>
      </c>
      <c r="AF31" s="173" t="str">
        <f>IF(ISERROR(VLOOKUP(CONCATENATE($AF$7,"-",MID(E31,1,100)),DATOS!Z:AA,2,0)),"",VLOOKUP(CONCATENATE($AF$7,"-",MID(E31,1,100)),DATOS!Z:AA,2,0))</f>
        <v/>
      </c>
      <c r="AG31" s="173" t="str">
        <f>IF(ISERROR(VLOOKUP(CONCATENATE($AG$7,"-",MID(E31,1,100)),DATOS!Z:AA,2,0)),"",VLOOKUP(CONCATENATE($AG$7,"-",MID(E31,1,100)),DATOS!Z:AA,2,0))</f>
        <v/>
      </c>
      <c r="AH31" s="173" t="str">
        <f>IF(ISERROR(VLOOKUP(CONCATENATE($AH$7,"-",MID(E31,1,100)),DATOS!Z:AA,2,0)),"",VLOOKUP(CONCATENATE($AH$7,"-",MID(E31,1,100)),DATOS!Z:AA,2,0))</f>
        <v/>
      </c>
      <c r="AI31" s="174" t="str">
        <f>IF(ISERROR(VLOOKUP(CONCATENATE($AI$7,"-",MID(E31,1,100)),DATOS!Z:AA,2,0)),"",VLOOKUP(CONCATENATE($AI$7,"-",MID(E31,1,100)),DATOS!Z:AA,2,0))</f>
        <v/>
      </c>
      <c r="AJ31" s="172" t="str">
        <f>IF(ISERROR(VLOOKUP(CONCATENATE($AJ$7,"-",MID(E31,1,100)),DATOS!Z:AA,2,0)),"",VLOOKUP(CONCATENATE($AJ$7,"-",MID(E31,1,100)),DATOS!Z:AA,2,0))</f>
        <v/>
      </c>
      <c r="AK31" s="173" t="str">
        <f>IF(ISERROR(VLOOKUP(CONCATENATE($AK$7,"-",MID(E31,1,100)),DATOS!Z:AA,2,0)),"",VLOOKUP(CONCATENATE($AK$7,"-",MID(E31,1,100)),DATOS!Z:AA,2,0))</f>
        <v/>
      </c>
      <c r="AL31" s="173" t="str">
        <f>IF(ISERROR(VLOOKUP(CONCATENATE($AL$7,"-",MID(E31,1,100)),DATOS!Z:AA,2,0)),"",VLOOKUP(CONCATENATE($AL$7,"-",MID(E31,1,100)),DATOS!Z:AA,2,0))</f>
        <v/>
      </c>
      <c r="AM31" s="173" t="str">
        <f>IF(ISERROR(VLOOKUP(CONCATENATE($AM$7,"-",MID(E31,1,100)),DATOS!Z:AA,2,0)),"",VLOOKUP(CONCATENATE($AM$7,"-",MID(E31,1,100)),DATOS!Z:AA,2,0))</f>
        <v/>
      </c>
      <c r="AN31" s="173" t="str">
        <f>IF(ISERROR(VLOOKUP(CONCATENATE($AN$7,"-",MID(E31,1,100)),DATOS!Z:AA,2,0)),"",VLOOKUP(CONCATENATE($AN$7,"-",MID(E31,1,100)),DATOS!Z:AA,2,0))</f>
        <v/>
      </c>
      <c r="AO31" s="173" t="str">
        <f>IF(ISERROR(VLOOKUP(CONCATENATE($AO$7,"-",MID(E31,1,100)),DATOS!Z:AA,2,0)),"",VLOOKUP(CONCATENATE($AO$7,"-",MID(E31,1,100)),DATOS!Z:AA,2,0))</f>
        <v/>
      </c>
      <c r="AP31" s="173" t="str">
        <f>IF(ISERROR(VLOOKUP(CONCATENATE($AP$7,"-",MID(E31,1,100)),DATOS!Z:AA,2,0)),"",VLOOKUP(CONCATENATE($AP$7,"-",MID(E31,1,100)),DATOS!Z:AA,2,0))</f>
        <v/>
      </c>
      <c r="AQ31" s="173" t="str">
        <f>IF(ISERROR(VLOOKUP(CONCATENATE($AQ$7,"-",MID(E31,1,100)),DATOS!Z:AA,2,0)),"",VLOOKUP(CONCATENATE($AQ$7,"-",MID(E31,1,100)),DATOS!Z:AA,2,0))</f>
        <v/>
      </c>
      <c r="AR31" s="173" t="str">
        <f>IF(ISERROR(VLOOKUP(CONCATENATE($AR$7,"-",MID(E31,1,100)),DATOS!Z:AA,2,0)),"",VLOOKUP(CONCATENATE($AR$7,"-",MID(E31,1,100)),DATOS!Z:AA,2,0))</f>
        <v/>
      </c>
      <c r="AS31" s="174" t="str">
        <f>IF(ISERROR(VLOOKUP(CONCATENATE($AS$7,"-",MID(E31,1,100)),DATOS!Z:AA,2,0)),"",VLOOKUP(CONCATENATE($AS$7,"-",MID(E31,1,100)),DATOS!Z:AA,2,0))</f>
        <v/>
      </c>
      <c r="AT31" s="172" t="str">
        <f>IF(ISERROR(VLOOKUP(CONCATENATE($AT$7,"-",MID(E31,1,100)),DATOS!Z:AA,2,0)),"",VLOOKUP(CONCATENATE($AT$7,"-",MID(E31,1,100)),DATOS!Z:AA,2,0))</f>
        <v/>
      </c>
      <c r="AU31" s="173" t="str">
        <f>IF(ISERROR(VLOOKUP(CONCATENATE($AU$7,"-",MID(E31,1,100)),DATOS!Z:AA,2,0)),"",VLOOKUP(CONCATENATE($AU$7,"-",MID(E31,1,100)),DATOS!Z:AA,2,0))</f>
        <v/>
      </c>
      <c r="AV31" s="173" t="str">
        <f>IF(ISERROR(VLOOKUP(CONCATENATE($AV$7,"-",MID(E31,1,100)),DATOS!Z:AA,2,0)),"",VLOOKUP(CONCATENATE($AV$7,"-",MID(E31,1,100)),DATOS!Z:AA,2,0))</f>
        <v/>
      </c>
      <c r="AW31" s="173" t="str">
        <f>IF(ISERROR(VLOOKUP(CONCATENATE($AW$7,"-",MID(E31,1,100)),DATOS!Z:AA,2,0)),"",VLOOKUP(CONCATENATE($AW$7,"-",MID(E31,1,100)),DATOS!Z:AA,2,0))</f>
        <v/>
      </c>
      <c r="AX31" s="173" t="str">
        <f>IF(ISERROR(VLOOKUP(CONCATENATE($AX$7,"-",MID(E31,1,100)),DATOS!Z:AA,2,0)),"",VLOOKUP(CONCATENATE($AX$7,"-",MID(E31,1,100)),DATOS!Z:AA,2,0))</f>
        <v/>
      </c>
      <c r="AY31" s="173" t="str">
        <f>IF(ISERROR(VLOOKUP(CONCATENATE($AY$7,"-",MID(E31,1,100)),DATOS!Z:AA,2,0)),"",VLOOKUP(CONCATENATE($AY$7,"-",MID(E31,1,100)),DATOS!Z:AA,2,0))</f>
        <v/>
      </c>
      <c r="AZ31" s="173" t="str">
        <f>IF(ISERROR(VLOOKUP(CONCATENATE($AZ$7,"-",MID(E31,1,100)),DATOS!Z:AA,2,0)),"",VLOOKUP(CONCATENATE($AZ$7,"-",MID(E31,1,100)),DATOS!Z:AA,2,0))</f>
        <v/>
      </c>
      <c r="BA31" s="173" t="str">
        <f>IF(ISERROR(VLOOKUP(CONCATENATE($BA$7,"-",MID(E31,1,100)),DATOS!Z:AA,2,0)),"",VLOOKUP(CONCATENATE($BA$7,"-",MID(E31,1,100)),DATOS!Z:AA,2,0))</f>
        <v/>
      </c>
      <c r="BB31" s="173" t="str">
        <f>IF(ISERROR(VLOOKUP(CONCATENATE($BB$7,"-",MID(E31,1,100)),DATOS!Z:AA,2,0)),"",VLOOKUP(CONCATENATE($BB$7,"-",MID(E31,1,100)),DATOS!Z:AA,2,0))</f>
        <v/>
      </c>
      <c r="BC31" s="174" t="str">
        <f>IF(ISERROR(VLOOKUP(CONCATENATE($BC$7,"-",MID(E31,1,100)),DATOS!Z:AA,2,0)),"",VLOOKUP(CONCATENATE($BC$7,"-",MID(E31,1,100)),DATOS!Z:AA,2,0))</f>
        <v/>
      </c>
      <c r="BD31" s="172" t="str">
        <f>IF(ISERROR(VLOOKUP(CONCATENATE($BD$7,"-",MID(E31,1,100)),DATOS!Z:AA,2,0)),"",VLOOKUP(CONCATENATE($BD$7,"-",MID(E31,1,100)),DATOS!Z:AA,2,0))</f>
        <v/>
      </c>
      <c r="BE31" s="173" t="str">
        <f>IF(ISERROR(VLOOKUP(CONCATENATE($BE$7,"-",MID(E31,1,100)),DATOS!Z:AA,2,0)),"",VLOOKUP(CONCATENATE($BE$7,"-",MID(E31,1,100)),DATOS!Z:AA,2,0))</f>
        <v/>
      </c>
      <c r="BF31" s="173" t="str">
        <f>IF(ISERROR(VLOOKUP(CONCATENATE($BF$7,"-",MID(E31,1,100)),DATOS!Z:AA,2,0)),"",VLOOKUP(CONCATENATE($BF$7,"-",MID(E31,1,100)),DATOS!Z:AA,2,0))</f>
        <v/>
      </c>
      <c r="BG31" s="173" t="str">
        <f>IF(ISERROR(VLOOKUP(CONCATENATE($BG$7,"-",MID(E31,1,100)),DATOS!Z:AA,2,0)),"",VLOOKUP(CONCATENATE($BG$7,"-",MID(E31,1,100)),DATOS!Z:AA,2,0))</f>
        <v/>
      </c>
      <c r="BH31" s="173" t="str">
        <f>IF(ISERROR(VLOOKUP(CONCATENATE($BH$7,"-",MID(E31,1,100)),DATOS!Z:AA,2,0)),"",VLOOKUP(CONCATENATE($BH$7,"-",MID(E31,1,100)),DATOS!Z:AA,2,0))</f>
        <v/>
      </c>
      <c r="BI31" s="173" t="str">
        <f>IF(ISERROR(VLOOKUP(CONCATENATE($BI$7,"-",MID(E31,1,100)),DATOS!Z:AA,2,0)),"",VLOOKUP(CONCATENATE($BI$7,"-",MID(E31,1,100)),DATOS!Z:AA,2,0))</f>
        <v/>
      </c>
      <c r="BJ31" s="173" t="str">
        <f>IF(ISERROR(VLOOKUP(CONCATENATE($BJ$7,"-",MID(E31,1,100)),DATOS!Z:AA,2,0)),"",VLOOKUP(CONCATENATE($BJ$7,"-",MID(E31,1,100)),DATOS!Z:AA,2,0))</f>
        <v/>
      </c>
      <c r="BK31" s="173" t="str">
        <f>IF(ISERROR(VLOOKUP(CONCATENATE($BK$7,"-",MID(E31,1,100)),DATOS!Z:AA,2,0)),"",VLOOKUP(CONCATENATE($BK$7,"-",MID(E31,1,100)),DATOS!Z:AA,2,0))</f>
        <v/>
      </c>
      <c r="BL31" s="173" t="str">
        <f>IF(ISERROR(VLOOKUP(CONCATENATE($BL$7,"-",MID(E31,1,100)),DATOS!Z:AA,2,0)),"",VLOOKUP(CONCATENATE($BL$7,"-",MID(E31,1,100)),DATOS!Z:AA,2,0))</f>
        <v/>
      </c>
      <c r="BM31" s="174" t="str">
        <f>IF(ISERROR(VLOOKUP(CONCATENATE($BM$7,"-",MID(E31,1,100)),DATOS!Z:AA,2,0)),"",VLOOKUP(CONCATENATE($BM$7,"-",MID(E31,1,100)),DATOS!Z:AA,2,0))</f>
        <v/>
      </c>
      <c r="BN31" s="172" t="str">
        <f>IF(ISERROR(VLOOKUP(CONCATENATE($BN$7,"-",MID(E31,1,100)),DATOS!Z:AA,2,0)),"",VLOOKUP(CONCATENATE($BN$7,"-",MID(E31,1,100)),DATOS!Z:AA,2,0))</f>
        <v/>
      </c>
      <c r="BO31" s="173" t="str">
        <f>IF(ISERROR(VLOOKUP(CONCATENATE($BO$7,"-",MID(E31,1,100)),DATOS!Z:AA,2,0)),"",VLOOKUP(CONCATENATE($BO$7,"-",MID(E31,1,100)),DATOS!Z:AA,2,0))</f>
        <v/>
      </c>
      <c r="BP31" s="173" t="str">
        <f>IF(ISERROR(VLOOKUP(CONCATENATE($BP$7,"-",MID(E31,1,100)),DATOS!Z:AA,2,0)),"",VLOOKUP(CONCATENATE($BP$7,"-",MID(E31,1,100)),DATOS!Z:AA,2,0))</f>
        <v/>
      </c>
      <c r="BQ31" s="173" t="str">
        <f>IF(ISERROR(VLOOKUP(CONCATENATE($BQ$7,"-",MID(E31,1,100)),DATOS!Z:AA,2,0)),"",VLOOKUP(CONCATENATE($BQ$7,"-",MID(E31,1,100)),DATOS!Z:AA,2,0))</f>
        <v/>
      </c>
      <c r="BR31" s="173" t="str">
        <f>IF(ISERROR(VLOOKUP(CONCATENATE($BR$7,"-",MID(E31,1,100)),DATOS!Z:AA,2,0)),"",VLOOKUP(CONCATENATE($BR$7,"-",MID(E31,1,100)),DATOS!Z:AA,2,0))</f>
        <v/>
      </c>
      <c r="BS31" s="173" t="str">
        <f>IF(ISERROR(VLOOKUP(CONCATENATE($BS$7,"-",MID(E31,1,100)),DATOS!Z:AA,2,0)),"",VLOOKUP(CONCATENATE($BS$7,"-",MID(E31,1,100)),DATOS!Z:AA,2,0))</f>
        <v/>
      </c>
      <c r="BT31" s="173" t="str">
        <f>IF(ISERROR(VLOOKUP(CONCATENATE($BT$7,"-",MID(E31,1,100)),DATOS!Z:AA,2,0)),"",VLOOKUP(CONCATENATE($BT$7,"-",MID(E31,1,100)),DATOS!Z:AA,2,0))</f>
        <v/>
      </c>
      <c r="BU31" s="173" t="str">
        <f>IF(ISERROR(VLOOKUP(CONCATENATE($BU$7,"-",MID(E31,1,100)),DATOS!Z:AA,2,0)),"",VLOOKUP(CONCATENATE($BU$7,"-",MID(E31,1,100)),DATOS!Z:AA,2,0))</f>
        <v/>
      </c>
      <c r="BV31" s="173" t="str">
        <f>IF(ISERROR(VLOOKUP(CONCATENATE($BV$7,"-",MID(E31,1,100)),DATOS!Z:AA,2,0)),"",VLOOKUP(CONCATENATE($BV$7,"-",MID(E31,1,100)),DATOS!Z:AA,2,0))</f>
        <v/>
      </c>
      <c r="BW31" s="174" t="str">
        <f>IF(ISERROR(VLOOKUP(CONCATENATE($BW$7,"-",MID(E31,1,100)),DATOS!Z:AA,2,0)),"",VLOOKUP(CONCATENATE($BW$7,"-",MID(E31,1,100)),DATOS!Z:AA,2,0))</f>
        <v/>
      </c>
      <c r="BX31" s="210" t="str">
        <f>IF(ISERROR(VLOOKUP(CONCATENATE($BX$7,"-",MID(E31,1,100)),DATOS!Z:AA,2,0)),"",VLOOKUP(CONCATENATE($BX$7,"-",MID(E31,1,100)),DATOS!Z:AA,2,0))</f>
        <v/>
      </c>
      <c r="BY31" s="211" t="str">
        <f>IF(ISERROR(VLOOKUP(CONCATENATE($BY$7,"-",MID(E31,1,100)),DATOS!Z:AA,2,0)),"",VLOOKUP(CONCATENATE($BY$7,"-",MID(E31,1,100)),DATOS!Z:AA,2,0))</f>
        <v/>
      </c>
      <c r="BZ31" s="211" t="str">
        <f>IF(ISERROR(VLOOKUP(CONCATENATE($BZ$7,"-",MID(E31,1,100)),DATOS!Z:AA,2,0)),"",VLOOKUP(CONCATENATE($BZ$7,"-",MID(E31,1,100)),DATOS!Z:AA,2,0))</f>
        <v/>
      </c>
      <c r="CA31" s="211" t="str">
        <f>IF(ISERROR(VLOOKUP(CONCATENATE($CA$7,"-",MID(E31,1,100)),DATOS!Z:AA,2,0)),"",VLOOKUP(CONCATENATE($CA$7,"-",MID(E31,1,100)),DATOS!Z:AA,2,0))</f>
        <v/>
      </c>
      <c r="CB31" s="211" t="str">
        <f>IF(ISERROR(VLOOKUP(CONCATENATE($CB$7,"-",MID(E31,1,100)),DATOS!Z:AA,2,0)),"",VLOOKUP(CONCATENATE($CB$7,"-",MID(E31,1,100)),DATOS!Z:AA,2,0))</f>
        <v/>
      </c>
      <c r="CC31" s="211" t="str">
        <f>IF(ISERROR(VLOOKUP(CONCATENATE($CC$7,"-",MID(E31,1,100)),DATOS!Z:AA,2,0)),"",VLOOKUP(CONCATENATE($CC$7,"-",MID(E31,1,100)),DATOS!Z:AA,2,0))</f>
        <v/>
      </c>
      <c r="CD31" s="211" t="str">
        <f>IF(ISERROR(VLOOKUP(CONCATENATE($CD$7,"-",MID(E31,1,100)),DATOS!Z:AA,2,0)),"",VLOOKUP(CONCATENATE($CD$7,"-",MID(E31,1,100)),DATOS!Z:AA,2,0))</f>
        <v/>
      </c>
      <c r="CE31" s="211" t="str">
        <f>IF(ISERROR(VLOOKUP(CONCATENATE($CE$7,"-",MID(E31,1,100)),DATOS!Z:AA,2,0)),"",VLOOKUP(CONCATENATE($CE$7,"-",MID(E31,1,100)),DATOS!Z:AA,2,0))</f>
        <v/>
      </c>
      <c r="CF31" s="211" t="str">
        <f>IF(ISERROR(VLOOKUP(CONCATENATE($CF$7,"-",MID(E31,1,100)),DATOS!Z:AA,2,0)),"",VLOOKUP(CONCATENATE($CF$7,"-",MID(E31,1,100)),DATOS!Z:AA,2,0))</f>
        <v/>
      </c>
      <c r="CG31" s="212" t="str">
        <f>IF(ISERROR(VLOOKUP(CONCATENATE($CG$7,"-",MID(E31,1,100)),DATOS!Z:AA,2,0)),"",VLOOKUP(CONCATENATE($CG$7,"-",MID(E31,1,100)),DATOS!Z:AA,2,0))</f>
        <v/>
      </c>
      <c r="CH31" s="210" t="str">
        <f>IF(ISERROR(VLOOKUP(CONCATENATE($CH$7,"-",MID(E31,1,100)),DATOS!Z:AA,2,0)),"",VLOOKUP(CONCATENATE($CH$7,"-",MID(E31,1,100)),DATOS!Z:AA,2,0))</f>
        <v/>
      </c>
      <c r="CI31" s="211" t="str">
        <f>IF(ISERROR(VLOOKUP(CONCATENATE($CI$7,"-",MID(E31,1,100)),DATOS!Z:AA,2,0)),"",VLOOKUP(CONCATENATE($CI$7,"-",MID(E31,1,100)),DATOS!Z:AA,2,0))</f>
        <v>a</v>
      </c>
      <c r="CJ31" s="211" t="str">
        <f>IF(ISERROR(VLOOKUP(CONCATENATE($CJ$7,"-",MID(E31,1,100)),DATOS!Z:AA,2,0)),"",VLOOKUP(CONCATENATE($CJ$7,"-",MID(E31,1,100)),DATOS!Z:AA,2,0))</f>
        <v/>
      </c>
      <c r="CK31" s="211" t="str">
        <f>IF(ISERROR(VLOOKUP(CONCATENATE($CK$7,"-",MID(E31,1,100)),DATOS!Z:AA,2,0)),"",VLOOKUP(CONCATENATE($CK$7,"-",MID(E31,1,100)),DATOS!Z:AA,2,0))</f>
        <v/>
      </c>
      <c r="CL31" s="211" t="str">
        <f>IF(ISERROR(VLOOKUP(CONCATENATE($CL$7,"-",MID(E31,1,100)),DATOS!Z:AA,2,0)),"",VLOOKUP(CONCATENATE($CL$7,"-",MID(E31,1,100)),DATOS!Z:AA,2,0))</f>
        <v/>
      </c>
      <c r="CM31" s="211" t="str">
        <f>IF(ISERROR(VLOOKUP(CONCATENATE($CM$7,"-",MID(E31,1,100)),DATOS!Z:AA,2,0)),"",VLOOKUP(CONCATENATE($CM$7,"-",MID(E31,1,100)),DATOS!Z:AA,2,0))</f>
        <v/>
      </c>
      <c r="CN31" s="211" t="str">
        <f>IF(ISERROR(VLOOKUP(CONCATENATE($CN$7,"-",MID(E31,1,100)),DATOS!Z:AA,2,0)),"",VLOOKUP(CONCATENATE($CN$7,"-",MID(E31,1,100)),DATOS!Z:AA,2,0))</f>
        <v/>
      </c>
      <c r="CO31" s="211" t="str">
        <f>IF(ISERROR(VLOOKUP(CONCATENATE($CO$7,"-",MID(E31,1,100)),DATOS!Z:AA,2,0)),"",VLOOKUP(CONCATENATE($CO$7,"-",MID(E31,1,100)),DATOS!Z:AA,2,0))</f>
        <v/>
      </c>
      <c r="CP31" s="213" t="str">
        <f>IF(ISERROR(VLOOKUP(CONCATENATE($CP$7,"-",MID(E31,1,100)),DATOS!Z:AA,2,0)),"",VLOOKUP(CONCATENATE($CP$7,"-",MID(E31,1,100)),DATOS!Z:AA,2,0))</f>
        <v/>
      </c>
      <c r="CQ31" s="212" t="str">
        <f>IF(ISERROR(VLOOKUP(CONCATENATE($CQ$7,"-",MID(E31,1,100)),DATOS!Z:AA,2,0)),"",VLOOKUP(CONCATENATE($CQ$7,"-",MID(E31,1,100)),DATOS!Z:AA,2,0))</f>
        <v/>
      </c>
      <c r="CR31" s="210" t="str">
        <f>IF(ISERROR(VLOOKUP(CONCATENATE(CR$7,"-",MID($E31,1,100)),DATOS!$Z:$AA,2,0)),"",VLOOKUP(CONCATENATE(CR$7,"-",MID($E31,1,100)),DATOS!$Z:$AA,2,0))</f>
        <v/>
      </c>
      <c r="CS31" s="211" t="str">
        <f>IF(ISERROR(VLOOKUP(CONCATENATE(CS$7,"-",MID($E31,1,100)),DATOS!$Z:$AA,2,0)),"",VLOOKUP(CONCATENATE(CS$7,"-",MID($E31,1,100)),DATOS!$Z:$AA,2,0))</f>
        <v/>
      </c>
      <c r="CT31" s="211" t="str">
        <f>IF(ISERROR(VLOOKUP(CONCATENATE(CT$7,"-",MID($E31,1,100)),DATOS!$Z:$AA,2,0)),"",VLOOKUP(CONCATENATE(CT$7,"-",MID($E31,1,100)),DATOS!$Z:$AA,2,0))</f>
        <v/>
      </c>
      <c r="CU31" s="211" t="str">
        <f>IF(ISERROR(VLOOKUP(CONCATENATE(CU$7,"-",MID($E31,1,100)),DATOS!$Z:$AA,2,0)),"",VLOOKUP(CONCATENATE(CU$7,"-",MID($E31,1,100)),DATOS!$Z:$AA,2,0))</f>
        <v>a</v>
      </c>
      <c r="CV31" s="211" t="str">
        <f>IF(ISERROR(VLOOKUP(CONCATENATE(CV$7,"-",MID($E31,1,100)),DATOS!$Z:$AA,2,0)),"",VLOOKUP(CONCATENATE(CV$7,"-",MID($E31,1,100)),DATOS!$Z:$AA,2,0))</f>
        <v/>
      </c>
      <c r="CW31" s="211" t="str">
        <f>IF(ISERROR(VLOOKUP(CONCATENATE(CW$7,"-",MID($E31,1,100)),DATOS!$Z:$AA,2,0)),"",VLOOKUP(CONCATENATE(CW$7,"-",MID($E31,1,100)),DATOS!$Z:$AA,2,0))</f>
        <v/>
      </c>
      <c r="CX31" s="211" t="str">
        <f>IF(ISERROR(VLOOKUP(CONCATENATE(CX$7,"-",MID($E31,1,100)),DATOS!$Z:$AA,2,0)),"",VLOOKUP(CONCATENATE(CX$7,"-",MID($E31,1,100)),DATOS!$Z:$AA,2,0))</f>
        <v/>
      </c>
      <c r="CY31" s="211" t="str">
        <f>IF(ISERROR(VLOOKUP(CONCATENATE(CY$7,"-",MID($E31,1,100)),DATOS!$Z:$AA,2,0)),"",VLOOKUP(CONCATENATE(CY$7,"-",MID($E31,1,100)),DATOS!$Z:$AA,2,0))</f>
        <v/>
      </c>
      <c r="CZ31" s="213" t="str">
        <f>IF(ISERROR(VLOOKUP(CONCATENATE(CZ$7,"-",MID($E31,1,100)),DATOS!$Z:$AA,2,0)),"",VLOOKUP(CONCATENATE(CZ$7,"-",MID($E31,1,100)),DATOS!$Z:$AA,2,0))</f>
        <v/>
      </c>
      <c r="DA31" s="212" t="str">
        <f>IF(ISERROR(VLOOKUP(CONCATENATE(DA$7,"-",MID($E31,1,100)),DATOS!$Z:$AA,2,0)),"",VLOOKUP(CONCATENATE(DA$7,"-",MID($E31,1,100)),DATOS!$Z:$AA,2,0))</f>
        <v/>
      </c>
      <c r="DB31" s="210" t="str">
        <f>IF(ISERROR(VLOOKUP(CONCATENATE(DB$7,"-",MID($E31,1,100)),DATOS!$Z:$AA,2,0)),"",VLOOKUP(CONCATENATE(DB$7,"-",MID($E31,1,100)),DATOS!$Z:$AA,2,0))</f>
        <v/>
      </c>
      <c r="DC31" s="211" t="str">
        <f>IF(ISERROR(VLOOKUP(CONCATENATE(DC$7,"-",MID($E31,1,100)),DATOS!$Z:$AA,2,0)),"",VLOOKUP(CONCATENATE(DC$7,"-",MID($E31,1,100)),DATOS!$Z:$AA,2,0))</f>
        <v/>
      </c>
      <c r="DD31" s="211" t="str">
        <f>IF(ISERROR(VLOOKUP(CONCATENATE(DD$7,"-",MID($E31,1,100)),DATOS!$Z:$AA,2,0)),"",VLOOKUP(CONCATENATE(DD$7,"-",MID($E31,1,100)),DATOS!$Z:$AA,2,0))</f>
        <v/>
      </c>
      <c r="DE31" s="211" t="str">
        <f>IF(ISERROR(VLOOKUP(CONCATENATE(DE$7,"-",MID($E31,1,100)),DATOS!$Z:$AA,2,0)),"",VLOOKUP(CONCATENATE(DE$7,"-",MID($E31,1,100)),DATOS!$Z:$AA,2,0))</f>
        <v/>
      </c>
      <c r="DF31" s="211" t="str">
        <f>IF(ISERROR(VLOOKUP(CONCATENATE(DF$7,"-",MID($E31,1,100)),DATOS!$Z:$AA,2,0)),"",VLOOKUP(CONCATENATE(DF$7,"-",MID($E31,1,100)),DATOS!$Z:$AA,2,0))</f>
        <v/>
      </c>
      <c r="DG31" s="211" t="str">
        <f>IF(ISERROR(VLOOKUP(CONCATENATE(DG$7,"-",MID($E31,1,100)),DATOS!$Z:$AA,2,0)),"",VLOOKUP(CONCATENATE(DG$7,"-",MID($E31,1,100)),DATOS!$Z:$AA,2,0))</f>
        <v/>
      </c>
      <c r="DH31" s="211" t="str">
        <f>IF(ISERROR(VLOOKUP(CONCATENATE(DH$7,"-",MID($E31,1,100)),DATOS!$Z:$AA,2,0)),"",VLOOKUP(CONCATENATE(DH$7,"-",MID($E31,1,100)),DATOS!$Z:$AA,2,0))</f>
        <v/>
      </c>
      <c r="DI31" s="211" t="str">
        <f>IF(ISERROR(VLOOKUP(CONCATENATE(DI$7,"-",MID($E31,1,100)),DATOS!$Z:$AA,2,0)),"",VLOOKUP(CONCATENATE(DI$7,"-",MID($E31,1,100)),DATOS!$Z:$AA,2,0))</f>
        <v/>
      </c>
      <c r="DJ31" s="213" t="str">
        <f>IF(ISERROR(VLOOKUP(CONCATENATE(DJ$7,"-",MID($E31,1,100)),DATOS!$Z:$AA,2,0)),"",VLOOKUP(CONCATENATE(DJ$7,"-",MID($E31,1,100)),DATOS!$Z:$AA,2,0))</f>
        <v/>
      </c>
      <c r="DK31" s="212" t="str">
        <f>IF(ISERROR(VLOOKUP(CONCATENATE(DK$7,"-",MID($E31,1,100)),DATOS!$Z:$AA,2,0)),"",VLOOKUP(CONCATENATE(DK$7,"-",MID($E31,1,100)),DATOS!$Z:$AA,2,0))</f>
        <v/>
      </c>
      <c r="DL31" s="210" t="str">
        <f>IF(ISERROR(VLOOKUP(CONCATENATE(DL$7,"-",MID($E31,1,100)),DATOS!$Z:$AA,2,0)),"",VLOOKUP(CONCATENATE(DL$7,"-",MID($E31,1,100)),DATOS!$Z:$AA,2,0))</f>
        <v/>
      </c>
      <c r="DM31" s="211" t="str">
        <f>IF(ISERROR(VLOOKUP(CONCATENATE(DM$7,"-",MID($E31,1,100)),DATOS!$Z:$AA,2,0)),"",VLOOKUP(CONCATENATE(DM$7,"-",MID($E31,1,100)),DATOS!$Z:$AA,2,0))</f>
        <v/>
      </c>
      <c r="DN31" s="211" t="str">
        <f>IF(ISERROR(VLOOKUP(CONCATENATE(DN$7,"-",MID($E31,1,100)),DATOS!$Z:$AA,2,0)),"",VLOOKUP(CONCATENATE(DN$7,"-",MID($E31,1,100)),DATOS!$Z:$AA,2,0))</f>
        <v/>
      </c>
      <c r="DO31" s="211" t="str">
        <f>IF(ISERROR(VLOOKUP(CONCATENATE(DO$7,"-",MID($E31,1,100)),DATOS!$Z:$AA,2,0)),"",VLOOKUP(CONCATENATE(DO$7,"-",MID($E31,1,100)),DATOS!$Z:$AA,2,0))</f>
        <v/>
      </c>
      <c r="DP31" s="211" t="str">
        <f>IF(ISERROR(VLOOKUP(CONCATENATE(DP$7,"-",MID($E31,1,100)),DATOS!$Z:$AA,2,0)),"",VLOOKUP(CONCATENATE(DP$7,"-",MID($E31,1,100)),DATOS!$Z:$AA,2,0))</f>
        <v/>
      </c>
      <c r="DQ31" s="211" t="str">
        <f>IF(ISERROR(VLOOKUP(CONCATENATE(DQ$7,"-",MID($E31,1,100)),DATOS!$Z:$AA,2,0)),"",VLOOKUP(CONCATENATE(DQ$7,"-",MID($E31,1,100)),DATOS!$Z:$AA,2,0))</f>
        <v/>
      </c>
      <c r="DR31" s="211" t="str">
        <f>IF(ISERROR(VLOOKUP(CONCATENATE(DR$7,"-",MID($E31,1,100)),DATOS!$Z:$AA,2,0)),"",VLOOKUP(CONCATENATE(DR$7,"-",MID($E31,1,100)),DATOS!$Z:$AA,2,0))</f>
        <v/>
      </c>
      <c r="DS31" s="211" t="str">
        <f>IF(ISERROR(VLOOKUP(CONCATENATE(DS$7,"-",MID($E31,1,100)),DATOS!$Z:$AA,2,0)),"",VLOOKUP(CONCATENATE(DS$7,"-",MID($E31,1,100)),DATOS!$Z:$AA,2,0))</f>
        <v/>
      </c>
      <c r="DT31" s="213" t="str">
        <f>IF(ISERROR(VLOOKUP(CONCATENATE(DT$7,"-",MID($E31,1,100)),DATOS!$Z:$AA,2,0)),"",VLOOKUP(CONCATENATE(DT$7,"-",MID($E31,1,100)),DATOS!$Z:$AA,2,0))</f>
        <v/>
      </c>
      <c r="DU31" s="212" t="str">
        <f>IF(ISERROR(VLOOKUP(CONCATENATE(DU$7,"-",MID($E31,1,100)),DATOS!$Z:$AA,2,0)),"",VLOOKUP(CONCATENATE(DU$7,"-",MID($E31,1,100)),DATOS!$Z:$AA,2,0))</f>
        <v/>
      </c>
      <c r="DV31" s="210" t="str">
        <f>IF(ISERROR(VLOOKUP(CONCATENATE(DV$7,"-",MID($E31,1,100)),DATOS!$Z:$AA,2,0)),"",VLOOKUP(CONCATENATE(DV$7,"-",MID($E31,1,100)),DATOS!$Z:$AA,2,0))</f>
        <v/>
      </c>
      <c r="DW31" s="211" t="str">
        <f>IF(ISERROR(VLOOKUP(CONCATENATE(DW$7,"-",MID($E31,1,100)),DATOS!$Z:$AA,2,0)),"",VLOOKUP(CONCATENATE(DW$7,"-",MID($E31,1,100)),DATOS!$Z:$AA,2,0))</f>
        <v/>
      </c>
      <c r="DX31" s="211" t="str">
        <f>IF(ISERROR(VLOOKUP(CONCATENATE(DX$7,"-",MID($E31,1,100)),DATOS!$Z:$AA,2,0)),"",VLOOKUP(CONCATENATE(DX$7,"-",MID($E31,1,100)),DATOS!$Z:$AA,2,0))</f>
        <v/>
      </c>
      <c r="DY31" s="211" t="str">
        <f>IF(ISERROR(VLOOKUP(CONCATENATE(DY$7,"-",MID($E31,1,100)),DATOS!$Z:$AA,2,0)),"",VLOOKUP(CONCATENATE(DY$7,"-",MID($E31,1,100)),DATOS!$Z:$AA,2,0))</f>
        <v/>
      </c>
      <c r="DZ31" s="211" t="str">
        <f>IF(ISERROR(VLOOKUP(CONCATENATE(DZ$7,"-",MID($E31,1,100)),DATOS!$Z:$AA,2,0)),"",VLOOKUP(CONCATENATE(DZ$7,"-",MID($E31,1,100)),DATOS!$Z:$AA,2,0))</f>
        <v/>
      </c>
      <c r="EA31" s="211" t="str">
        <f>IF(ISERROR(VLOOKUP(CONCATENATE(EA$7,"-",MID($E31,1,100)),DATOS!$Z:$AA,2,0)),"",VLOOKUP(CONCATENATE(EA$7,"-",MID($E31,1,100)),DATOS!$Z:$AA,2,0))</f>
        <v/>
      </c>
      <c r="EB31" s="211" t="str">
        <f>IF(ISERROR(VLOOKUP(CONCATENATE(EB$7,"-",MID($E31,1,100)),DATOS!$Z:$AA,2,0)),"",VLOOKUP(CONCATENATE(EB$7,"-",MID($E31,1,100)),DATOS!$Z:$AA,2,0))</f>
        <v/>
      </c>
      <c r="EC31" s="211" t="str">
        <f>IF(ISERROR(VLOOKUP(CONCATENATE(EC$7,"-",MID($E31,1,100)),DATOS!$Z:$AA,2,0)),"",VLOOKUP(CONCATENATE(EC$7,"-",MID($E31,1,100)),DATOS!$Z:$AA,2,0))</f>
        <v/>
      </c>
      <c r="ED31" s="213" t="str">
        <f>IF(ISERROR(VLOOKUP(CONCATENATE(ED$7,"-",MID($E31,1,100)),DATOS!$Z:$AA,2,0)),"",VLOOKUP(CONCATENATE(ED$7,"-",MID($E31,1,100)),DATOS!$Z:$AA,2,0))</f>
        <v/>
      </c>
      <c r="EE31" s="212" t="str">
        <f>IF(ISERROR(VLOOKUP(CONCATENATE(EE$7,"-",MID($E31,1,100)),DATOS!$Z:$AA,2,0)),"",VLOOKUP(CONCATENATE(EE$7,"-",MID($E31,1,100)),DATOS!$Z:$AA,2,0))</f>
        <v/>
      </c>
      <c r="EF31" s="210" t="str">
        <f>IF(ISERROR(VLOOKUP(CONCATENATE($EF$7,"-",MID(E31,1,100)),DATOS!Z:AA,2,0)),"",VLOOKUP(CONCATENATE($EF$7,"-",MID(E31,1,100)),DATOS!Z:AA,2,0))</f>
        <v/>
      </c>
      <c r="EG31" s="211" t="str">
        <f>IF(ISERROR(VLOOKUP(CONCATENATE($EG$7,"-",MID(E31,1,100)),DATOS!Z:AA,2,0)),"",VLOOKUP(CONCATENATE($EG$7,"-",MID(E31,1,100)),DATOS!Z:AA,2,0))</f>
        <v/>
      </c>
      <c r="EH31" s="211" t="str">
        <f>IF(ISERROR(VLOOKUP(CONCATENATE($EH$7,"-",MID(E31,1,100)),DATOS!Z:AA,2,0)),"",VLOOKUP(CONCATENATE($EH$7,"-",MID(E31,1,100)),DATOS!Z:AA,2,0))</f>
        <v/>
      </c>
      <c r="EI31" s="211" t="str">
        <f>IF(ISERROR(VLOOKUP(CONCATENATE($EI$7,"-",MID(E31,1,100)),DATOS!Z:AA,2,0)),"",VLOOKUP(CONCATENATE($EI$7,"-",MID(E31,1,100)),DATOS!Z:AA,2,0))</f>
        <v/>
      </c>
      <c r="EJ31" s="211" t="str">
        <f>IF(ISERROR(VLOOKUP(CONCATENATE($EJ$7,"-",MID(E31,1,100)),DATOS!Z:AA,2,0)),"",VLOOKUP(CONCATENATE($EJ$7,"-",MID(E31,1,100)),DATOS!Z:AA,2,0))</f>
        <v/>
      </c>
      <c r="EK31" s="211" t="str">
        <f>IF(ISERROR(VLOOKUP(CONCATENATE($EK$7,"-",MID(E31,1,100)),DATOS!Z:AA,2,0)),"",VLOOKUP(CONCATENATE($EK$7,"-",MID(E31,1,100)),DATOS!Z:AA,2,0))</f>
        <v/>
      </c>
      <c r="EL31" s="211" t="str">
        <f>IF(ISERROR(VLOOKUP(CONCATENATE($EL$7,"-",MID(E31,1,100)),DATOS!Z:AA,2,0)),"",VLOOKUP(CONCATENATE($EL$7,"-",MID(E31,1,100)),DATOS!Z:AA,2,0))</f>
        <v/>
      </c>
      <c r="EM31" s="211" t="str">
        <f>IF(ISERROR(VLOOKUP(CONCATENATE($EM$7,"-",MID(E31,1,100)),DATOS!Z:AA,2,0)),"",VLOOKUP(CONCATENATE($EM$7,"-",MID(E31,1,100)),DATOS!Z:AA,2,0))</f>
        <v/>
      </c>
      <c r="EN31" s="211" t="str">
        <f>IF(ISERROR(VLOOKUP(CONCATENATE($EN$7,"-",MID(E31,1,100)),DATOS!Z:AA,2,0)),"",VLOOKUP(CONCATENATE($EN$7,"-",MID(E31,1,100)),DATOS!Z:AA,2,0))</f>
        <v/>
      </c>
      <c r="EO31" s="212" t="str">
        <f>IF(ISERROR(VLOOKUP(CONCATENATE($EO$7,"-",MID(E31,1,100)),DATOS!Z:AA,2,0)),"",VLOOKUP(CONCATENATE($EO$7,"-",MID(E31,1,100)),DATOS!Z:AA,2,0))</f>
        <v/>
      </c>
      <c r="EP31" s="175">
        <f t="shared" si="0"/>
        <v>2</v>
      </c>
      <c r="EQ31" s="159" t="str">
        <f t="shared" si="1"/>
        <v>CP2: Desarrollo de gestión educativa-N3</v>
      </c>
    </row>
    <row r="32" spans="1:147" ht="17.25" customHeight="1">
      <c r="A32" s="148"/>
      <c r="B32" s="151" t="str">
        <f>IF('1.Fundamentos'!B60="","",'1.Fundamentos'!B60)</f>
        <v>CP3: Desarrollo enseñanza y aprendizaje</v>
      </c>
      <c r="C32" s="152" t="s">
        <v>78</v>
      </c>
      <c r="D32" s="153" t="str">
        <f>IF('1.Fundamentos'!F60="","",'1.Fundamentos'!F60)</f>
        <v>Promueve el desarrollo de la identidad del maestro para acrecentar el aprendizaje de los alumnos.</v>
      </c>
      <c r="E32" s="154" t="str">
        <f t="shared" si="2"/>
        <v>CP3: Desarrollo enseñanza y aprendizaje:N1 Promueve el desarrollo de la identidad del maestro para acrecentar el aprendizaje de los alumnos.</v>
      </c>
      <c r="F32" s="204" t="str">
        <f>IF(ISERROR(VLOOKUP(CONCATENATE($F$7,"-",MID(E32,1,100)),DATOS!Z:AA,2,0)),"",VLOOKUP(CONCATENATE($F$7,"-",MID(E32,1,100)),DATOS!Z:AA,2,0))</f>
        <v/>
      </c>
      <c r="G32" s="205" t="str">
        <f>IF(ISERROR(VLOOKUP(CONCATENATE($G$7,"-",MID(E32,1,100)),DATOS!Z:AA,2,0)),"",VLOOKUP(CONCATENATE($G$7,"-",MID(E32,1,100)),DATOS!Z:AA,2,0))</f>
        <v/>
      </c>
      <c r="H32" s="205" t="str">
        <f>IF(ISERROR(VLOOKUP(CONCATENATE($H$7,"-",MID(E32,1,100)),DATOS!Z:AA,2,0)),"",VLOOKUP(CONCATENATE($H$7,"-",MID(E32,1,100)),DATOS!Z:AA,2,0))</f>
        <v/>
      </c>
      <c r="I32" s="205" t="str">
        <f>IF(ISERROR(VLOOKUP(CONCATENATE($I$7,"-",MID(E32,1,100)),DATOS!Z:AA,2,0)),"",VLOOKUP(CONCATENATE($I$7,"-",MID(E32,1,100)),DATOS!Z:AA,2,0))</f>
        <v/>
      </c>
      <c r="J32" s="205" t="str">
        <f>IF(ISERROR(VLOOKUP(CONCATENATE($J$7,"-",MID(E32,1,100)),DATOS!Z:AA,2,0)),"",VLOOKUP(CONCATENATE($J$7,"-",MID(E32,1,100)),DATOS!Z:AA,2,0))</f>
        <v/>
      </c>
      <c r="K32" s="205" t="str">
        <f>IF(ISERROR(VLOOKUP(CONCATENATE($K$7,"-",MID(E32,1,100)),DATOS!Z:AA,2,0)),"",VLOOKUP(CONCATENATE($K$7,"-",MID(E32,1,100)),DATOS!Z:AA,2,0))</f>
        <v/>
      </c>
      <c r="L32" s="205" t="str">
        <f>IF(ISERROR(VLOOKUP(CONCATENATE($L$7,"-",MID(E32,1,100)),DATOS!Z:AA,2,0)),"",VLOOKUP(CONCATENATE($L$7,"-",MID(E32,1,100)),DATOS!Z:AA,2,0))</f>
        <v/>
      </c>
      <c r="M32" s="205" t="str">
        <f>IF(ISERROR(VLOOKUP(CONCATENATE($M$7,"-",MID(E32,1,100)),DATOS!Z:AA,2,0)),"",VLOOKUP(CONCATENATE($M$7,"-",MID(E32,1,100)),DATOS!Z:AA,2,0))</f>
        <v/>
      </c>
      <c r="N32" s="205" t="str">
        <f>IF(ISERROR(VLOOKUP(CONCATENATE($N$7,"-",MID(E32,1,100)),DATOS!Z:AA,2,0)),"",VLOOKUP(CONCATENATE($N$7,"-",MID(E32,1,100)),DATOS!Z:AA,2,0))</f>
        <v/>
      </c>
      <c r="O32" s="206" t="str">
        <f>IF(ISERROR(VLOOKUP(CONCATENATE($O$7,"-",MID(E32,1,100)),DATOS!Z:AA,2,0)),"",VLOOKUP(CONCATENATE($O$7,"-",MID(E32,1,100)),DATOS!Z:AA,2,0))</f>
        <v/>
      </c>
      <c r="P32" s="204" t="str">
        <f>IF(ISERROR(VLOOKUP(CONCATENATE($P$7,"-",MID(E32,1,100)),DATOS!Z:AA,2,0)),"",VLOOKUP(CONCATENATE($P$7,"-",MID(E32,1,100)),DATOS!Z:AA,2,0))</f>
        <v>a</v>
      </c>
      <c r="Q32" s="205" t="str">
        <f>IF(ISERROR(VLOOKUP(CONCATENATE($Q$7,"-",MID(E32,1,100)),DATOS!Z:AA,2,0)),"",VLOOKUP(CONCATENATE($Q$7,"-",MID(E32,1,100)),DATOS!Z:AA,2,0))</f>
        <v/>
      </c>
      <c r="R32" s="205" t="str">
        <f>IF(ISERROR(VLOOKUP(CONCATENATE($R$7,"-",MID(E32,1,100)),DATOS!Z:AA,2,0)),"",VLOOKUP(CONCATENATE($R$7,"-",MID(E32,1,100)),DATOS!Z:AA,2,0))</f>
        <v/>
      </c>
      <c r="S32" s="205" t="str">
        <f>IF(ISERROR(VLOOKUP(CONCATENATE($S$7,"-",MID(E32,1,100)),DATOS!Z:AA,2,0)),"",VLOOKUP(CONCATENATE($S$7,"-",MID(E32,1,100)),DATOS!Z:AA,2,0))</f>
        <v/>
      </c>
      <c r="T32" s="205" t="str">
        <f>IF(ISERROR(VLOOKUP(CONCATENATE($T$7,"-",MID(E32,1,100)),DATOS!Z:AA,2,0)),"",VLOOKUP(CONCATENATE($T$7,"-",MID(E32,1,100)),DATOS!Z:AA,2,0))</f>
        <v/>
      </c>
      <c r="U32" s="205" t="str">
        <f>IF(ISERROR(VLOOKUP(CONCATENATE($U$7,"-",MID(E32,1,100)),DATOS!Z:AA,2,0)),"",VLOOKUP(CONCATENATE($U$7,"-",MID(E32,1,100)),DATOS!Z:AA,2,0))</f>
        <v/>
      </c>
      <c r="V32" s="205" t="str">
        <f>IF(ISERROR(VLOOKUP(CONCATENATE($V$7,"-",MID(E32,1,100)),DATOS!Z:AA,2,0)),"",VLOOKUP(CONCATENATE($V$7,"-",MID(E32,1,100)),DATOS!Z:AA,2,0))</f>
        <v/>
      </c>
      <c r="W32" s="205" t="str">
        <f>IF(ISERROR(VLOOKUP(CONCATENATE($W$7,"-",MID(E32,1,100)),DATOS!Z:AA,2,0)),"",VLOOKUP(CONCATENATE($W$7,"-",MID(E32,1,100)),DATOS!Z:AA,2,0))</f>
        <v/>
      </c>
      <c r="X32" s="205" t="str">
        <f>IF(ISERROR(VLOOKUP(CONCATENATE($X$7,"-",MID(E32,1,100)),DATOS!Z:AA,2,0)),"",VLOOKUP(CONCATENATE($X$7,"-",MID(E32,1,100)),DATOS!Z:AA,2,0))</f>
        <v/>
      </c>
      <c r="Y32" s="206" t="str">
        <f>IF(ISERROR(VLOOKUP(CONCATENATE($Y$7,"-",MID(E32,1,100)),DATOS!Z:AA,2,0)),"",VLOOKUP(CONCATENATE($Y$7,"-",MID(E32,1,100)),DATOS!Z:AA,2,0))</f>
        <v/>
      </c>
      <c r="Z32" s="204" t="str">
        <f>IF(ISERROR(VLOOKUP(CONCATENATE($Z$7,"-",MID(E32,1,100)),DATOS!Z:AA,2,0)),"",VLOOKUP(CONCATENATE($Z$7,"-",MID(E32,1,100)),DATOS!Z:AA,2,0))</f>
        <v/>
      </c>
      <c r="AA32" s="205" t="str">
        <f>IF(ISERROR(VLOOKUP(CONCATENATE($AA$7,"-",MID(E32,1,100)),DATOS!Z:AA,2,0)),"",VLOOKUP(CONCATENATE($AA$7,"-",MID(E32,1,100)),DATOS!Z:AA,2,0))</f>
        <v/>
      </c>
      <c r="AB32" s="205" t="str">
        <f>IF(ISERROR(VLOOKUP(CONCATENATE($AB$7,"-",MID(E32,1,100)),DATOS!Z:AA,2,0)),"",VLOOKUP(CONCATENATE($AB$7,"-",MID(E32,1,100)),DATOS!Z:AA,2,0))</f>
        <v/>
      </c>
      <c r="AC32" s="205" t="str">
        <f>IF(ISERROR(VLOOKUP(CONCATENATE($AC$7,"-",MID(E32,1,100)),DATOS!Z:AA,2,0)),"",VLOOKUP(CONCATENATE($AC$7,"-",MID(E32,1,100)),DATOS!Z:AA,2,0))</f>
        <v/>
      </c>
      <c r="AD32" s="205" t="str">
        <f>IF(ISERROR(VLOOKUP(CONCATENATE($AD$7,"-",MID(E32,1,100)),DATOS!Z:AA,2,0)),"",VLOOKUP(CONCATENATE($AD$7,"-",MID(E32,1,100)),DATOS!Z:AA,2,0))</f>
        <v/>
      </c>
      <c r="AE32" s="205" t="str">
        <f>IF(ISERROR(VLOOKUP(CONCATENATE($AE$7,"-",MID(E32,1,100)),DATOS!Z:AA,2,0)),"",VLOOKUP(CONCATENATE($AE$7,"-",MID(E32,1,100)),DATOS!Z:AA,2,0))</f>
        <v>a</v>
      </c>
      <c r="AF32" s="205" t="str">
        <f>IF(ISERROR(VLOOKUP(CONCATENATE($AF$7,"-",MID(E32,1,100)),DATOS!Z:AA,2,0)),"",VLOOKUP(CONCATENATE($AF$7,"-",MID(E32,1,100)),DATOS!Z:AA,2,0))</f>
        <v/>
      </c>
      <c r="AG32" s="205" t="str">
        <f>IF(ISERROR(VLOOKUP(CONCATENATE($AG$7,"-",MID(E32,1,100)),DATOS!Z:AA,2,0)),"",VLOOKUP(CONCATENATE($AG$7,"-",MID(E32,1,100)),DATOS!Z:AA,2,0))</f>
        <v/>
      </c>
      <c r="AH32" s="205" t="str">
        <f>IF(ISERROR(VLOOKUP(CONCATENATE($AH$7,"-",MID(E32,1,100)),DATOS!Z:AA,2,0)),"",VLOOKUP(CONCATENATE($AH$7,"-",MID(E32,1,100)),DATOS!Z:AA,2,0))</f>
        <v/>
      </c>
      <c r="AI32" s="206" t="str">
        <f>IF(ISERROR(VLOOKUP(CONCATENATE($AI$7,"-",MID(E32,1,100)),DATOS!Z:AA,2,0)),"",VLOOKUP(CONCATENATE($AI$7,"-",MID(E32,1,100)),DATOS!Z:AA,2,0))</f>
        <v/>
      </c>
      <c r="AJ32" s="204" t="str">
        <f>IF(ISERROR(VLOOKUP(CONCATENATE($AJ$7,"-",MID(E32,1,100)),DATOS!Z:AA,2,0)),"",VLOOKUP(CONCATENATE($AJ$7,"-",MID(E32,1,100)),DATOS!Z:AA,2,0))</f>
        <v>a</v>
      </c>
      <c r="AK32" s="205" t="str">
        <f>IF(ISERROR(VLOOKUP(CONCATENATE($AK$7,"-",MID(E32,1,100)),DATOS!Z:AA,2,0)),"",VLOOKUP(CONCATENATE($AK$7,"-",MID(E32,1,100)),DATOS!Z:AA,2,0))</f>
        <v/>
      </c>
      <c r="AL32" s="205" t="str">
        <f>IF(ISERROR(VLOOKUP(CONCATENATE($AL$7,"-",MID(E32,1,100)),DATOS!Z:AA,2,0)),"",VLOOKUP(CONCATENATE($AL$7,"-",MID(E32,1,100)),DATOS!Z:AA,2,0))</f>
        <v/>
      </c>
      <c r="AM32" s="205" t="str">
        <f>IF(ISERROR(VLOOKUP(CONCATENATE($AM$7,"-",MID(E32,1,100)),DATOS!Z:AA,2,0)),"",VLOOKUP(CONCATENATE($AM$7,"-",MID(E32,1,100)),DATOS!Z:AA,2,0))</f>
        <v/>
      </c>
      <c r="AN32" s="205" t="str">
        <f>IF(ISERROR(VLOOKUP(CONCATENATE($AN$7,"-",MID(E32,1,100)),DATOS!Z:AA,2,0)),"",VLOOKUP(CONCATENATE($AN$7,"-",MID(E32,1,100)),DATOS!Z:AA,2,0))</f>
        <v/>
      </c>
      <c r="AO32" s="205" t="str">
        <f>IF(ISERROR(VLOOKUP(CONCATENATE($AO$7,"-",MID(E32,1,100)),DATOS!Z:AA,2,0)),"",VLOOKUP(CONCATENATE($AO$7,"-",MID(E32,1,100)),DATOS!Z:AA,2,0))</f>
        <v/>
      </c>
      <c r="AP32" s="205" t="str">
        <f>IF(ISERROR(VLOOKUP(CONCATENATE($AP$7,"-",MID(E32,1,100)),DATOS!Z:AA,2,0)),"",VLOOKUP(CONCATENATE($AP$7,"-",MID(E32,1,100)),DATOS!Z:AA,2,0))</f>
        <v/>
      </c>
      <c r="AQ32" s="205" t="str">
        <f>IF(ISERROR(VLOOKUP(CONCATENATE($AQ$7,"-",MID(E32,1,100)),DATOS!Z:AA,2,0)),"",VLOOKUP(CONCATENATE($AQ$7,"-",MID(E32,1,100)),DATOS!Z:AA,2,0))</f>
        <v/>
      </c>
      <c r="AR32" s="205" t="str">
        <f>IF(ISERROR(VLOOKUP(CONCATENATE($AR$7,"-",MID(E32,1,100)),DATOS!Z:AA,2,0)),"",VLOOKUP(CONCATENATE($AR$7,"-",MID(E32,1,100)),DATOS!Z:AA,2,0))</f>
        <v/>
      </c>
      <c r="AS32" s="206" t="str">
        <f>IF(ISERROR(VLOOKUP(CONCATENATE($AS$7,"-",MID(E32,1,100)),DATOS!Z:AA,2,0)),"",VLOOKUP(CONCATENATE($AS$7,"-",MID(E32,1,100)),DATOS!Z:AA,2,0))</f>
        <v/>
      </c>
      <c r="AT32" s="155" t="str">
        <f>IF(ISERROR(VLOOKUP(CONCATENATE($AT$7,"-",MID(E32,1,100)),DATOS!Z:AA,2,0)),"",VLOOKUP(CONCATENATE($AT$7,"-",MID(E32,1,100)),DATOS!Z:AA,2,0))</f>
        <v/>
      </c>
      <c r="AU32" s="156" t="str">
        <f>IF(ISERROR(VLOOKUP(CONCATENATE($AU$7,"-",MID(E32,1,100)),DATOS!Z:AA,2,0)),"",VLOOKUP(CONCATENATE($AU$7,"-",MID(E32,1,100)),DATOS!Z:AA,2,0))</f>
        <v/>
      </c>
      <c r="AV32" s="156" t="str">
        <f>IF(ISERROR(VLOOKUP(CONCATENATE($AV$7,"-",MID(E32,1,100)),DATOS!Z:AA,2,0)),"",VLOOKUP(CONCATENATE($AV$7,"-",MID(E32,1,100)),DATOS!Z:AA,2,0))</f>
        <v/>
      </c>
      <c r="AW32" s="156" t="str">
        <f>IF(ISERROR(VLOOKUP(CONCATENATE($AW$7,"-",MID(E32,1,100)),DATOS!Z:AA,2,0)),"",VLOOKUP(CONCATENATE($AW$7,"-",MID(E32,1,100)),DATOS!Z:AA,2,0))</f>
        <v/>
      </c>
      <c r="AX32" s="156" t="str">
        <f>IF(ISERROR(VLOOKUP(CONCATENATE($AX$7,"-",MID(E32,1,100)),DATOS!Z:AA,2,0)),"",VLOOKUP(CONCATENATE($AX$7,"-",MID(E32,1,100)),DATOS!Z:AA,2,0))</f>
        <v/>
      </c>
      <c r="AY32" s="156" t="str">
        <f>IF(ISERROR(VLOOKUP(CONCATENATE($AY$7,"-",MID(E32,1,100)),DATOS!Z:AA,2,0)),"",VLOOKUP(CONCATENATE($AY$7,"-",MID(E32,1,100)),DATOS!Z:AA,2,0))</f>
        <v/>
      </c>
      <c r="AZ32" s="156" t="str">
        <f>IF(ISERROR(VLOOKUP(CONCATENATE($AZ$7,"-",MID(E32,1,100)),DATOS!Z:AA,2,0)),"",VLOOKUP(CONCATENATE($AZ$7,"-",MID(E32,1,100)),DATOS!Z:AA,2,0))</f>
        <v/>
      </c>
      <c r="BA32" s="156" t="str">
        <f>IF(ISERROR(VLOOKUP(CONCATENATE($BA$7,"-",MID(E32,1,100)),DATOS!Z:AA,2,0)),"",VLOOKUP(CONCATENATE($BA$7,"-",MID(E32,1,100)),DATOS!Z:AA,2,0))</f>
        <v/>
      </c>
      <c r="BB32" s="156" t="str">
        <f>IF(ISERROR(VLOOKUP(CONCATENATE($BB$7,"-",MID(E32,1,100)),DATOS!Z:AA,2,0)),"",VLOOKUP(CONCATENATE($BB$7,"-",MID(E32,1,100)),DATOS!Z:AA,2,0))</f>
        <v/>
      </c>
      <c r="BC32" s="157" t="str">
        <f>IF(ISERROR(VLOOKUP(CONCATENATE($BC$7,"-",MID(E32,1,100)),DATOS!Z:AA,2,0)),"",VLOOKUP(CONCATENATE($BC$7,"-",MID(E32,1,100)),DATOS!Z:AA,2,0))</f>
        <v/>
      </c>
      <c r="BD32" s="155" t="str">
        <f>IF(ISERROR(VLOOKUP(CONCATENATE($BD$7,"-",MID(E32,1,100)),DATOS!Z:AA,2,0)),"",VLOOKUP(CONCATENATE($BD$7,"-",MID(E32,1,100)),DATOS!Z:AA,2,0))</f>
        <v/>
      </c>
      <c r="BE32" s="156" t="str">
        <f>IF(ISERROR(VLOOKUP(CONCATENATE($BE$7,"-",MID(E32,1,100)),DATOS!Z:AA,2,0)),"",VLOOKUP(CONCATENATE($BE$7,"-",MID(E32,1,100)),DATOS!Z:AA,2,0))</f>
        <v/>
      </c>
      <c r="BF32" s="156" t="str">
        <f>IF(ISERROR(VLOOKUP(CONCATENATE($BF$7,"-",MID(E32,1,100)),DATOS!Z:AA,2,0)),"",VLOOKUP(CONCATENATE($BF$7,"-",MID(E32,1,100)),DATOS!Z:AA,2,0))</f>
        <v/>
      </c>
      <c r="BG32" s="156" t="str">
        <f>IF(ISERROR(VLOOKUP(CONCATENATE($BG$7,"-",MID(E32,1,100)),DATOS!Z:AA,2,0)),"",VLOOKUP(CONCATENATE($BG$7,"-",MID(E32,1,100)),DATOS!Z:AA,2,0))</f>
        <v/>
      </c>
      <c r="BH32" s="156" t="str">
        <f>IF(ISERROR(VLOOKUP(CONCATENATE($BH$7,"-",MID(E32,1,100)),DATOS!Z:AA,2,0)),"",VLOOKUP(CONCATENATE($BH$7,"-",MID(E32,1,100)),DATOS!Z:AA,2,0))</f>
        <v/>
      </c>
      <c r="BI32" s="156" t="str">
        <f>IF(ISERROR(VLOOKUP(CONCATENATE($BI$7,"-",MID(E32,1,100)),DATOS!Z:AA,2,0)),"",VLOOKUP(CONCATENATE($BI$7,"-",MID(E32,1,100)),DATOS!Z:AA,2,0))</f>
        <v/>
      </c>
      <c r="BJ32" s="156" t="str">
        <f>IF(ISERROR(VLOOKUP(CONCATENATE($BJ$7,"-",MID(E32,1,100)),DATOS!Z:AA,2,0)),"",VLOOKUP(CONCATENATE($BJ$7,"-",MID(E32,1,100)),DATOS!Z:AA,2,0))</f>
        <v/>
      </c>
      <c r="BK32" s="156" t="str">
        <f>IF(ISERROR(VLOOKUP(CONCATENATE($BK$7,"-",MID(E32,1,100)),DATOS!Z:AA,2,0)),"",VLOOKUP(CONCATENATE($BK$7,"-",MID(E32,1,100)),DATOS!Z:AA,2,0))</f>
        <v/>
      </c>
      <c r="BL32" s="156" t="str">
        <f>IF(ISERROR(VLOOKUP(CONCATENATE($BL$7,"-",MID(E32,1,100)),DATOS!Z:AA,2,0)),"",VLOOKUP(CONCATENATE($BL$7,"-",MID(E32,1,100)),DATOS!Z:AA,2,0))</f>
        <v/>
      </c>
      <c r="BM32" s="157" t="str">
        <f>IF(ISERROR(VLOOKUP(CONCATENATE($BM$7,"-",MID(E32,1,100)),DATOS!Z:AA,2,0)),"",VLOOKUP(CONCATENATE($BM$7,"-",MID(E32,1,100)),DATOS!Z:AA,2,0))</f>
        <v/>
      </c>
      <c r="BN32" s="155" t="str">
        <f>IF(ISERROR(VLOOKUP(CONCATENATE($BN$7,"-",MID(E32,1,100)),DATOS!Z:AA,2,0)),"",VLOOKUP(CONCATENATE($BN$7,"-",MID(E32,1,100)),DATOS!Z:AA,2,0))</f>
        <v/>
      </c>
      <c r="BO32" s="156" t="str">
        <f>IF(ISERROR(VLOOKUP(CONCATENATE($BO$7,"-",MID(E32,1,100)),DATOS!Z:AA,2,0)),"",VLOOKUP(CONCATENATE($BO$7,"-",MID(E32,1,100)),DATOS!Z:AA,2,0))</f>
        <v/>
      </c>
      <c r="BP32" s="156" t="str">
        <f>IF(ISERROR(VLOOKUP(CONCATENATE($BP$7,"-",MID(E32,1,100)),DATOS!Z:AA,2,0)),"",VLOOKUP(CONCATENATE($BP$7,"-",MID(E32,1,100)),DATOS!Z:AA,2,0))</f>
        <v/>
      </c>
      <c r="BQ32" s="156" t="str">
        <f>IF(ISERROR(VLOOKUP(CONCATENATE($BQ$7,"-",MID(E32,1,100)),DATOS!Z:AA,2,0)),"",VLOOKUP(CONCATENATE($BQ$7,"-",MID(E32,1,100)),DATOS!Z:AA,2,0))</f>
        <v/>
      </c>
      <c r="BR32" s="156" t="str">
        <f>IF(ISERROR(VLOOKUP(CONCATENATE($BR$7,"-",MID(E32,1,100)),DATOS!Z:AA,2,0)),"",VLOOKUP(CONCATENATE($BR$7,"-",MID(E32,1,100)),DATOS!Z:AA,2,0))</f>
        <v/>
      </c>
      <c r="BS32" s="156" t="str">
        <f>IF(ISERROR(VLOOKUP(CONCATENATE($BS$7,"-",MID(E32,1,100)),DATOS!Z:AA,2,0)),"",VLOOKUP(CONCATENATE($BS$7,"-",MID(E32,1,100)),DATOS!Z:AA,2,0))</f>
        <v/>
      </c>
      <c r="BT32" s="156" t="str">
        <f>IF(ISERROR(VLOOKUP(CONCATENATE($BT$7,"-",MID(E32,1,100)),DATOS!Z:AA,2,0)),"",VLOOKUP(CONCATENATE($BT$7,"-",MID(E32,1,100)),DATOS!Z:AA,2,0))</f>
        <v/>
      </c>
      <c r="BU32" s="156" t="str">
        <f>IF(ISERROR(VLOOKUP(CONCATENATE($BU$7,"-",MID(E32,1,100)),DATOS!Z:AA,2,0)),"",VLOOKUP(CONCATENATE($BU$7,"-",MID(E32,1,100)),DATOS!Z:AA,2,0))</f>
        <v/>
      </c>
      <c r="BV32" s="156" t="str">
        <f>IF(ISERROR(VLOOKUP(CONCATENATE($BV$7,"-",MID(E32,1,100)),DATOS!Z:AA,2,0)),"",VLOOKUP(CONCATENATE($BV$7,"-",MID(E32,1,100)),DATOS!Z:AA,2,0))</f>
        <v/>
      </c>
      <c r="BW32" s="157" t="str">
        <f>IF(ISERROR(VLOOKUP(CONCATENATE($BW$7,"-",MID(E32,1,100)),DATOS!Z:AA,2,0)),"",VLOOKUP(CONCATENATE($BW$7,"-",MID(E32,1,100)),DATOS!Z:AA,2,0))</f>
        <v/>
      </c>
      <c r="BX32" s="155" t="str">
        <f>IF(ISERROR(VLOOKUP(CONCATENATE($BX$7,"-",MID(E32,1,100)),DATOS!Z:AA,2,0)),"",VLOOKUP(CONCATENATE($BX$7,"-",MID(E32,1,100)),DATOS!Z:AA,2,0))</f>
        <v/>
      </c>
      <c r="BY32" s="156" t="str">
        <f>IF(ISERROR(VLOOKUP(CONCATENATE($BY$7,"-",MID(E32,1,100)),DATOS!Z:AA,2,0)),"",VLOOKUP(CONCATENATE($BY$7,"-",MID(E32,1,100)),DATOS!Z:AA,2,0))</f>
        <v/>
      </c>
      <c r="BZ32" s="156" t="str">
        <f>IF(ISERROR(VLOOKUP(CONCATENATE($BZ$7,"-",MID(E32,1,100)),DATOS!Z:AA,2,0)),"",VLOOKUP(CONCATENATE($BZ$7,"-",MID(E32,1,100)),DATOS!Z:AA,2,0))</f>
        <v/>
      </c>
      <c r="CA32" s="156" t="str">
        <f>IF(ISERROR(VLOOKUP(CONCATENATE($CA$7,"-",MID(E32,1,100)),DATOS!Z:AA,2,0)),"",VLOOKUP(CONCATENATE($CA$7,"-",MID(E32,1,100)),DATOS!Z:AA,2,0))</f>
        <v/>
      </c>
      <c r="CB32" s="156" t="str">
        <f>IF(ISERROR(VLOOKUP(CONCATENATE($CB$7,"-",MID(E32,1,100)),DATOS!Z:AA,2,0)),"",VLOOKUP(CONCATENATE($CB$7,"-",MID(E32,1,100)),DATOS!Z:AA,2,0))</f>
        <v/>
      </c>
      <c r="CC32" s="156" t="str">
        <f>IF(ISERROR(VLOOKUP(CONCATENATE($CC$7,"-",MID(E32,1,100)),DATOS!Z:AA,2,0)),"",VLOOKUP(CONCATENATE($CC$7,"-",MID(E32,1,100)),DATOS!Z:AA,2,0))</f>
        <v/>
      </c>
      <c r="CD32" s="156" t="str">
        <f>IF(ISERROR(VLOOKUP(CONCATENATE($CD$7,"-",MID(E32,1,100)),DATOS!Z:AA,2,0)),"",VLOOKUP(CONCATENATE($CD$7,"-",MID(E32,1,100)),DATOS!Z:AA,2,0))</f>
        <v/>
      </c>
      <c r="CE32" s="156" t="str">
        <f>IF(ISERROR(VLOOKUP(CONCATENATE($CE$7,"-",MID(E32,1,100)),DATOS!Z:AA,2,0)),"",VLOOKUP(CONCATENATE($CE$7,"-",MID(E32,1,100)),DATOS!Z:AA,2,0))</f>
        <v/>
      </c>
      <c r="CF32" s="156" t="str">
        <f>IF(ISERROR(VLOOKUP(CONCATENATE($CF$7,"-",MID(E32,1,100)),DATOS!Z:AA,2,0)),"",VLOOKUP(CONCATENATE($CF$7,"-",MID(E32,1,100)),DATOS!Z:AA,2,0))</f>
        <v/>
      </c>
      <c r="CG32" s="157" t="str">
        <f>IF(ISERROR(VLOOKUP(CONCATENATE($CG$7,"-",MID(E32,1,100)),DATOS!Z:AA,2,0)),"",VLOOKUP(CONCATENATE($CG$7,"-",MID(E32,1,100)),DATOS!Z:AA,2,0))</f>
        <v/>
      </c>
      <c r="CH32" s="155" t="str">
        <f>IF(ISERROR(VLOOKUP(CONCATENATE($CH$7,"-",MID(E32,1,100)),DATOS!Z:AA,2,0)),"",VLOOKUP(CONCATENATE($CH$7,"-",MID(E32,1,100)),DATOS!Z:AA,2,0))</f>
        <v/>
      </c>
      <c r="CI32" s="156" t="str">
        <f>IF(ISERROR(VLOOKUP(CONCATENATE($CI$7,"-",MID(E32,1,100)),DATOS!Z:AA,2,0)),"",VLOOKUP(CONCATENATE($CI$7,"-",MID(E32,1,100)),DATOS!Z:AA,2,0))</f>
        <v/>
      </c>
      <c r="CJ32" s="156" t="str">
        <f>IF(ISERROR(VLOOKUP(CONCATENATE($CJ$7,"-",MID(E32,1,100)),DATOS!Z:AA,2,0)),"",VLOOKUP(CONCATENATE($CJ$7,"-",MID(E32,1,100)),DATOS!Z:AA,2,0))</f>
        <v/>
      </c>
      <c r="CK32" s="156" t="str">
        <f>IF(ISERROR(VLOOKUP(CONCATENATE($CK$7,"-",MID(E32,1,100)),DATOS!Z:AA,2,0)),"",VLOOKUP(CONCATENATE($CK$7,"-",MID(E32,1,100)),DATOS!Z:AA,2,0))</f>
        <v/>
      </c>
      <c r="CL32" s="156" t="str">
        <f>IF(ISERROR(VLOOKUP(CONCATENATE($CL$7,"-",MID(E32,1,100)),DATOS!Z:AA,2,0)),"",VLOOKUP(CONCATENATE($CL$7,"-",MID(E32,1,100)),DATOS!Z:AA,2,0))</f>
        <v/>
      </c>
      <c r="CM32" s="156" t="str">
        <f>IF(ISERROR(VLOOKUP(CONCATENATE($CM$7,"-",MID(E32,1,100)),DATOS!Z:AA,2,0)),"",VLOOKUP(CONCATENATE($CM$7,"-",MID(E32,1,100)),DATOS!Z:AA,2,0))</f>
        <v/>
      </c>
      <c r="CN32" s="156" t="str">
        <f>IF(ISERROR(VLOOKUP(CONCATENATE($CN$7,"-",MID(E32,1,100)),DATOS!Z:AA,2,0)),"",VLOOKUP(CONCATENATE($CN$7,"-",MID(E32,1,100)),DATOS!Z:AA,2,0))</f>
        <v/>
      </c>
      <c r="CO32" s="156" t="str">
        <f>IF(ISERROR(VLOOKUP(CONCATENATE($CO$7,"-",MID(E32,1,100)),DATOS!Z:AA,2,0)),"",VLOOKUP(CONCATENATE($CO$7,"-",MID(E32,1,100)),DATOS!Z:AA,2,0))</f>
        <v/>
      </c>
      <c r="CP32" s="194" t="str">
        <f>IF(ISERROR(VLOOKUP(CONCATENATE($CP$7,"-",MID(E32,1,100)),DATOS!Z:AA,2,0)),"",VLOOKUP(CONCATENATE($CP$7,"-",MID(E32,1,100)),DATOS!Z:AA,2,0))</f>
        <v/>
      </c>
      <c r="CQ32" s="157" t="str">
        <f>IF(ISERROR(VLOOKUP(CONCATENATE($CQ$7,"-",MID(E32,1,100)),DATOS!Z:AA,2,0)),"",VLOOKUP(CONCATENATE($CQ$7,"-",MID(E32,1,100)),DATOS!Z:AA,2,0))</f>
        <v/>
      </c>
      <c r="CR32" s="155" t="str">
        <f>IF(ISERROR(VLOOKUP(CONCATENATE(CR$7,"-",MID($E32,1,100)),DATOS!$Z:$AA,2,0)),"",VLOOKUP(CONCATENATE(CR$7,"-",MID($E32,1,100)),DATOS!$Z:$AA,2,0))</f>
        <v/>
      </c>
      <c r="CS32" s="156" t="str">
        <f>IF(ISERROR(VLOOKUP(CONCATENATE(CS$7,"-",MID($E32,1,100)),DATOS!$Z:$AA,2,0)),"",VLOOKUP(CONCATENATE(CS$7,"-",MID($E32,1,100)),DATOS!$Z:$AA,2,0))</f>
        <v/>
      </c>
      <c r="CT32" s="156" t="str">
        <f>IF(ISERROR(VLOOKUP(CONCATENATE(CT$7,"-",MID($E32,1,100)),DATOS!$Z:$AA,2,0)),"",VLOOKUP(CONCATENATE(CT$7,"-",MID($E32,1,100)),DATOS!$Z:$AA,2,0))</f>
        <v/>
      </c>
      <c r="CU32" s="156" t="str">
        <f>IF(ISERROR(VLOOKUP(CONCATENATE(CU$7,"-",MID($E32,1,100)),DATOS!$Z:$AA,2,0)),"",VLOOKUP(CONCATENATE(CU$7,"-",MID($E32,1,100)),DATOS!$Z:$AA,2,0))</f>
        <v/>
      </c>
      <c r="CV32" s="156" t="str">
        <f>IF(ISERROR(VLOOKUP(CONCATENATE(CV$7,"-",MID($E32,1,100)),DATOS!$Z:$AA,2,0)),"",VLOOKUP(CONCATENATE(CV$7,"-",MID($E32,1,100)),DATOS!$Z:$AA,2,0))</f>
        <v/>
      </c>
      <c r="CW32" s="156" t="str">
        <f>IF(ISERROR(VLOOKUP(CONCATENATE(CW$7,"-",MID($E32,1,100)),DATOS!$Z:$AA,2,0)),"",VLOOKUP(CONCATENATE(CW$7,"-",MID($E32,1,100)),DATOS!$Z:$AA,2,0))</f>
        <v/>
      </c>
      <c r="CX32" s="156" t="str">
        <f>IF(ISERROR(VLOOKUP(CONCATENATE(CX$7,"-",MID($E32,1,100)),DATOS!$Z:$AA,2,0)),"",VLOOKUP(CONCATENATE(CX$7,"-",MID($E32,1,100)),DATOS!$Z:$AA,2,0))</f>
        <v/>
      </c>
      <c r="CY32" s="156" t="str">
        <f>IF(ISERROR(VLOOKUP(CONCATENATE(CY$7,"-",MID($E32,1,100)),DATOS!$Z:$AA,2,0)),"",VLOOKUP(CONCATENATE(CY$7,"-",MID($E32,1,100)),DATOS!$Z:$AA,2,0))</f>
        <v/>
      </c>
      <c r="CZ32" s="194" t="str">
        <f>IF(ISERROR(VLOOKUP(CONCATENATE(CZ$7,"-",MID($E32,1,100)),DATOS!$Z:$AA,2,0)),"",VLOOKUP(CONCATENATE(CZ$7,"-",MID($E32,1,100)),DATOS!$Z:$AA,2,0))</f>
        <v/>
      </c>
      <c r="DA32" s="157" t="str">
        <f>IF(ISERROR(VLOOKUP(CONCATENATE(DA$7,"-",MID($E32,1,100)),DATOS!$Z:$AA,2,0)),"",VLOOKUP(CONCATENATE(DA$7,"-",MID($E32,1,100)),DATOS!$Z:$AA,2,0))</f>
        <v/>
      </c>
      <c r="DB32" s="155" t="str">
        <f>IF(ISERROR(VLOOKUP(CONCATENATE(DB$7,"-",MID($E32,1,100)),DATOS!$Z:$AA,2,0)),"",VLOOKUP(CONCATENATE(DB$7,"-",MID($E32,1,100)),DATOS!$Z:$AA,2,0))</f>
        <v/>
      </c>
      <c r="DC32" s="156" t="str">
        <f>IF(ISERROR(VLOOKUP(CONCATENATE(DC$7,"-",MID($E32,1,100)),DATOS!$Z:$AA,2,0)),"",VLOOKUP(CONCATENATE(DC$7,"-",MID($E32,1,100)),DATOS!$Z:$AA,2,0))</f>
        <v/>
      </c>
      <c r="DD32" s="156" t="str">
        <f>IF(ISERROR(VLOOKUP(CONCATENATE(DD$7,"-",MID($E32,1,100)),DATOS!$Z:$AA,2,0)),"",VLOOKUP(CONCATENATE(DD$7,"-",MID($E32,1,100)),DATOS!$Z:$AA,2,0))</f>
        <v/>
      </c>
      <c r="DE32" s="156" t="str">
        <f>IF(ISERROR(VLOOKUP(CONCATENATE(DE$7,"-",MID($E32,1,100)),DATOS!$Z:$AA,2,0)),"",VLOOKUP(CONCATENATE(DE$7,"-",MID($E32,1,100)),DATOS!$Z:$AA,2,0))</f>
        <v/>
      </c>
      <c r="DF32" s="156" t="str">
        <f>IF(ISERROR(VLOOKUP(CONCATENATE(DF$7,"-",MID($E32,1,100)),DATOS!$Z:$AA,2,0)),"",VLOOKUP(CONCATENATE(DF$7,"-",MID($E32,1,100)),DATOS!$Z:$AA,2,0))</f>
        <v/>
      </c>
      <c r="DG32" s="156" t="str">
        <f>IF(ISERROR(VLOOKUP(CONCATENATE(DG$7,"-",MID($E32,1,100)),DATOS!$Z:$AA,2,0)),"",VLOOKUP(CONCATENATE(DG$7,"-",MID($E32,1,100)),DATOS!$Z:$AA,2,0))</f>
        <v/>
      </c>
      <c r="DH32" s="156" t="str">
        <f>IF(ISERROR(VLOOKUP(CONCATENATE(DH$7,"-",MID($E32,1,100)),DATOS!$Z:$AA,2,0)),"",VLOOKUP(CONCATENATE(DH$7,"-",MID($E32,1,100)),DATOS!$Z:$AA,2,0))</f>
        <v/>
      </c>
      <c r="DI32" s="156" t="str">
        <f>IF(ISERROR(VLOOKUP(CONCATENATE(DI$7,"-",MID($E32,1,100)),DATOS!$Z:$AA,2,0)),"",VLOOKUP(CONCATENATE(DI$7,"-",MID($E32,1,100)),DATOS!$Z:$AA,2,0))</f>
        <v/>
      </c>
      <c r="DJ32" s="194" t="str">
        <f>IF(ISERROR(VLOOKUP(CONCATENATE(DJ$7,"-",MID($E32,1,100)),DATOS!$Z:$AA,2,0)),"",VLOOKUP(CONCATENATE(DJ$7,"-",MID($E32,1,100)),DATOS!$Z:$AA,2,0))</f>
        <v/>
      </c>
      <c r="DK32" s="157" t="str">
        <f>IF(ISERROR(VLOOKUP(CONCATENATE(DK$7,"-",MID($E32,1,100)),DATOS!$Z:$AA,2,0)),"",VLOOKUP(CONCATENATE(DK$7,"-",MID($E32,1,100)),DATOS!$Z:$AA,2,0))</f>
        <v/>
      </c>
      <c r="DL32" s="155" t="str">
        <f>IF(ISERROR(VLOOKUP(CONCATENATE(DL$7,"-",MID($E32,1,100)),DATOS!$Z:$AA,2,0)),"",VLOOKUP(CONCATENATE(DL$7,"-",MID($E32,1,100)),DATOS!$Z:$AA,2,0))</f>
        <v/>
      </c>
      <c r="DM32" s="156" t="str">
        <f>IF(ISERROR(VLOOKUP(CONCATENATE(DM$7,"-",MID($E32,1,100)),DATOS!$Z:$AA,2,0)),"",VLOOKUP(CONCATENATE(DM$7,"-",MID($E32,1,100)),DATOS!$Z:$AA,2,0))</f>
        <v/>
      </c>
      <c r="DN32" s="156" t="str">
        <f>IF(ISERROR(VLOOKUP(CONCATENATE(DN$7,"-",MID($E32,1,100)),DATOS!$Z:$AA,2,0)),"",VLOOKUP(CONCATENATE(DN$7,"-",MID($E32,1,100)),DATOS!$Z:$AA,2,0))</f>
        <v/>
      </c>
      <c r="DO32" s="156" t="str">
        <f>IF(ISERROR(VLOOKUP(CONCATENATE(DO$7,"-",MID($E32,1,100)),DATOS!$Z:$AA,2,0)),"",VLOOKUP(CONCATENATE(DO$7,"-",MID($E32,1,100)),DATOS!$Z:$AA,2,0))</f>
        <v/>
      </c>
      <c r="DP32" s="156" t="str">
        <f>IF(ISERROR(VLOOKUP(CONCATENATE(DP$7,"-",MID($E32,1,100)),DATOS!$Z:$AA,2,0)),"",VLOOKUP(CONCATENATE(DP$7,"-",MID($E32,1,100)),DATOS!$Z:$AA,2,0))</f>
        <v/>
      </c>
      <c r="DQ32" s="156" t="str">
        <f>IF(ISERROR(VLOOKUP(CONCATENATE(DQ$7,"-",MID($E32,1,100)),DATOS!$Z:$AA,2,0)),"",VLOOKUP(CONCATENATE(DQ$7,"-",MID($E32,1,100)),DATOS!$Z:$AA,2,0))</f>
        <v/>
      </c>
      <c r="DR32" s="156" t="str">
        <f>IF(ISERROR(VLOOKUP(CONCATENATE(DR$7,"-",MID($E32,1,100)),DATOS!$Z:$AA,2,0)),"",VLOOKUP(CONCATENATE(DR$7,"-",MID($E32,1,100)),DATOS!$Z:$AA,2,0))</f>
        <v/>
      </c>
      <c r="DS32" s="156" t="str">
        <f>IF(ISERROR(VLOOKUP(CONCATENATE(DS$7,"-",MID($E32,1,100)),DATOS!$Z:$AA,2,0)),"",VLOOKUP(CONCATENATE(DS$7,"-",MID($E32,1,100)),DATOS!$Z:$AA,2,0))</f>
        <v/>
      </c>
      <c r="DT32" s="194" t="str">
        <f>IF(ISERROR(VLOOKUP(CONCATENATE(DT$7,"-",MID($E32,1,100)),DATOS!$Z:$AA,2,0)),"",VLOOKUP(CONCATENATE(DT$7,"-",MID($E32,1,100)),DATOS!$Z:$AA,2,0))</f>
        <v/>
      </c>
      <c r="DU32" s="157" t="str">
        <f>IF(ISERROR(VLOOKUP(CONCATENATE(DU$7,"-",MID($E32,1,100)),DATOS!$Z:$AA,2,0)),"",VLOOKUP(CONCATENATE(DU$7,"-",MID($E32,1,100)),DATOS!$Z:$AA,2,0))</f>
        <v/>
      </c>
      <c r="DV32" s="155" t="str">
        <f>IF(ISERROR(VLOOKUP(CONCATENATE(DV$7,"-",MID($E32,1,100)),DATOS!$Z:$AA,2,0)),"",VLOOKUP(CONCATENATE(DV$7,"-",MID($E32,1,100)),DATOS!$Z:$AA,2,0))</f>
        <v/>
      </c>
      <c r="DW32" s="156" t="str">
        <f>IF(ISERROR(VLOOKUP(CONCATENATE(DW$7,"-",MID($E32,1,100)),DATOS!$Z:$AA,2,0)),"",VLOOKUP(CONCATENATE(DW$7,"-",MID($E32,1,100)),DATOS!$Z:$AA,2,0))</f>
        <v/>
      </c>
      <c r="DX32" s="156" t="str">
        <f>IF(ISERROR(VLOOKUP(CONCATENATE(DX$7,"-",MID($E32,1,100)),DATOS!$Z:$AA,2,0)),"",VLOOKUP(CONCATENATE(DX$7,"-",MID($E32,1,100)),DATOS!$Z:$AA,2,0))</f>
        <v/>
      </c>
      <c r="DY32" s="156" t="str">
        <f>IF(ISERROR(VLOOKUP(CONCATENATE(DY$7,"-",MID($E32,1,100)),DATOS!$Z:$AA,2,0)),"",VLOOKUP(CONCATENATE(DY$7,"-",MID($E32,1,100)),DATOS!$Z:$AA,2,0))</f>
        <v/>
      </c>
      <c r="DZ32" s="156" t="str">
        <f>IF(ISERROR(VLOOKUP(CONCATENATE(DZ$7,"-",MID($E32,1,100)),DATOS!$Z:$AA,2,0)),"",VLOOKUP(CONCATENATE(DZ$7,"-",MID($E32,1,100)),DATOS!$Z:$AA,2,0))</f>
        <v/>
      </c>
      <c r="EA32" s="156" t="str">
        <f>IF(ISERROR(VLOOKUP(CONCATENATE(EA$7,"-",MID($E32,1,100)),DATOS!$Z:$AA,2,0)),"",VLOOKUP(CONCATENATE(EA$7,"-",MID($E32,1,100)),DATOS!$Z:$AA,2,0))</f>
        <v/>
      </c>
      <c r="EB32" s="156" t="str">
        <f>IF(ISERROR(VLOOKUP(CONCATENATE(EB$7,"-",MID($E32,1,100)),DATOS!$Z:$AA,2,0)),"",VLOOKUP(CONCATENATE(EB$7,"-",MID($E32,1,100)),DATOS!$Z:$AA,2,0))</f>
        <v/>
      </c>
      <c r="EC32" s="156" t="str">
        <f>IF(ISERROR(VLOOKUP(CONCATENATE(EC$7,"-",MID($E32,1,100)),DATOS!$Z:$AA,2,0)),"",VLOOKUP(CONCATENATE(EC$7,"-",MID($E32,1,100)),DATOS!$Z:$AA,2,0))</f>
        <v/>
      </c>
      <c r="ED32" s="194" t="str">
        <f>IF(ISERROR(VLOOKUP(CONCATENATE(ED$7,"-",MID($E32,1,100)),DATOS!$Z:$AA,2,0)),"",VLOOKUP(CONCATENATE(ED$7,"-",MID($E32,1,100)),DATOS!$Z:$AA,2,0))</f>
        <v/>
      </c>
      <c r="EE32" s="157" t="str">
        <f>IF(ISERROR(VLOOKUP(CONCATENATE(EE$7,"-",MID($E32,1,100)),DATOS!$Z:$AA,2,0)),"",VLOOKUP(CONCATENATE(EE$7,"-",MID($E32,1,100)),DATOS!$Z:$AA,2,0))</f>
        <v/>
      </c>
      <c r="EF32" s="155" t="str">
        <f>IF(ISERROR(VLOOKUP(CONCATENATE($EF$7,"-",MID(E32,1,100)),DATOS!Z:AA,2,0)),"",VLOOKUP(CONCATENATE($EF$7,"-",MID(E32,1,100)),DATOS!Z:AA,2,0))</f>
        <v/>
      </c>
      <c r="EG32" s="156" t="str">
        <f>IF(ISERROR(VLOOKUP(CONCATENATE($EG$7,"-",MID(E32,1,100)),DATOS!Z:AA,2,0)),"",VLOOKUP(CONCATENATE($EG$7,"-",MID(E32,1,100)),DATOS!Z:AA,2,0))</f>
        <v/>
      </c>
      <c r="EH32" s="156" t="str">
        <f>IF(ISERROR(VLOOKUP(CONCATENATE($EH$7,"-",MID(E32,1,100)),DATOS!Z:AA,2,0)),"",VLOOKUP(CONCATENATE($EH$7,"-",MID(E32,1,100)),DATOS!Z:AA,2,0))</f>
        <v/>
      </c>
      <c r="EI32" s="156" t="str">
        <f>IF(ISERROR(VLOOKUP(CONCATENATE($EI$7,"-",MID(E32,1,100)),DATOS!Z:AA,2,0)),"",VLOOKUP(CONCATENATE($EI$7,"-",MID(E32,1,100)),DATOS!Z:AA,2,0))</f>
        <v/>
      </c>
      <c r="EJ32" s="156" t="str">
        <f>IF(ISERROR(VLOOKUP(CONCATENATE($EJ$7,"-",MID(E32,1,100)),DATOS!Z:AA,2,0)),"",VLOOKUP(CONCATENATE($EJ$7,"-",MID(E32,1,100)),DATOS!Z:AA,2,0))</f>
        <v/>
      </c>
      <c r="EK32" s="156" t="str">
        <f>IF(ISERROR(VLOOKUP(CONCATENATE($EK$7,"-",MID(E32,1,100)),DATOS!Z:AA,2,0)),"",VLOOKUP(CONCATENATE($EK$7,"-",MID(E32,1,100)),DATOS!Z:AA,2,0))</f>
        <v/>
      </c>
      <c r="EL32" s="156" t="str">
        <f>IF(ISERROR(VLOOKUP(CONCATENATE($EL$7,"-",MID(E32,1,100)),DATOS!Z:AA,2,0)),"",VLOOKUP(CONCATENATE($EL$7,"-",MID(E32,1,100)),DATOS!Z:AA,2,0))</f>
        <v/>
      </c>
      <c r="EM32" s="156" t="str">
        <f>IF(ISERROR(VLOOKUP(CONCATENATE($EM$7,"-",MID(E32,1,100)),DATOS!Z:AA,2,0)),"",VLOOKUP(CONCATENATE($EM$7,"-",MID(E32,1,100)),DATOS!Z:AA,2,0))</f>
        <v/>
      </c>
      <c r="EN32" s="156" t="str">
        <f>IF(ISERROR(VLOOKUP(CONCATENATE($EN$7,"-",MID(E32,1,100)),DATOS!Z:AA,2,0)),"",VLOOKUP(CONCATENATE($EN$7,"-",MID(E32,1,100)),DATOS!Z:AA,2,0))</f>
        <v/>
      </c>
      <c r="EO32" s="157" t="str">
        <f>IF(ISERROR(VLOOKUP(CONCATENATE($EO$7,"-",MID(E32,1,100)),DATOS!Z:AA,2,0)),"",VLOOKUP(CONCATENATE($EO$7,"-",MID(E32,1,100)),DATOS!Z:AA,2,0))</f>
        <v/>
      </c>
      <c r="EP32" s="158">
        <f t="shared" si="0"/>
        <v>3</v>
      </c>
      <c r="EQ32" s="159" t="str">
        <f t="shared" si="1"/>
        <v>CP3: Desarrollo enseñanza y aprendizaje-N1</v>
      </c>
    </row>
    <row r="33" spans="1:147" ht="17.25" customHeight="1">
      <c r="A33" s="148"/>
      <c r="B33" s="160" t="str">
        <f>IF('1.Fundamentos'!B60="","",'1.Fundamentos'!B60)</f>
        <v>CP3: Desarrollo enseñanza y aprendizaje</v>
      </c>
      <c r="C33" s="161" t="s">
        <v>82</v>
      </c>
      <c r="D33" s="162" t="str">
        <f>IF('1.Fundamentos'!E60="","",'1.Fundamentos'!E60)</f>
        <v>Efectúa, de manera eficaz, el mejoramiento de la enseñanza docente para elevar la calidad educativa.</v>
      </c>
      <c r="E33" s="163" t="str">
        <f t="shared" si="2"/>
        <v>CP3: Desarrollo enseñanza y aprendizaje:N2 Efectúa, de manera eficaz, el mejoramiento de la enseñanza docente para elevar la calidad educativa.</v>
      </c>
      <c r="F33" s="164" t="str">
        <f>IF(ISERROR(VLOOKUP(CONCATENATE($F$7,"-",MID(E33,1,100)),DATOS!Z:AA,2,0)),"",VLOOKUP(CONCATENATE($F$7,"-",MID(E33,1,100)),DATOS!Z:AA,2,0))</f>
        <v/>
      </c>
      <c r="G33" s="165" t="str">
        <f>IF(ISERROR(VLOOKUP(CONCATENATE($G$7,"-",MID(E33,1,100)),DATOS!Z:AA,2,0)),"",VLOOKUP(CONCATENATE($G$7,"-",MID(E33,1,100)),DATOS!Z:AA,2,0))</f>
        <v/>
      </c>
      <c r="H33" s="165" t="str">
        <f>IF(ISERROR(VLOOKUP(CONCATENATE($H$7,"-",MID(E33,1,100)),DATOS!Z:AA,2,0)),"",VLOOKUP(CONCATENATE($H$7,"-",MID(E33,1,100)),DATOS!Z:AA,2,0))</f>
        <v/>
      </c>
      <c r="I33" s="165" t="str">
        <f>IF(ISERROR(VLOOKUP(CONCATENATE($I$7,"-",MID(E33,1,100)),DATOS!Z:AA,2,0)),"",VLOOKUP(CONCATENATE($I$7,"-",MID(E33,1,100)),DATOS!Z:AA,2,0))</f>
        <v/>
      </c>
      <c r="J33" s="165" t="str">
        <f>IF(ISERROR(VLOOKUP(CONCATENATE($J$7,"-",MID(E33,1,100)),DATOS!Z:AA,2,0)),"",VLOOKUP(CONCATENATE($J$7,"-",MID(E33,1,100)),DATOS!Z:AA,2,0))</f>
        <v/>
      </c>
      <c r="K33" s="165" t="str">
        <f>IF(ISERROR(VLOOKUP(CONCATENATE($K$7,"-",MID(E33,1,100)),DATOS!Z:AA,2,0)),"",VLOOKUP(CONCATENATE($K$7,"-",MID(E33,1,100)),DATOS!Z:AA,2,0))</f>
        <v/>
      </c>
      <c r="L33" s="165" t="str">
        <f>IF(ISERROR(VLOOKUP(CONCATENATE($L$7,"-",MID(E33,1,100)),DATOS!Z:AA,2,0)),"",VLOOKUP(CONCATENATE($L$7,"-",MID(E33,1,100)),DATOS!Z:AA,2,0))</f>
        <v/>
      </c>
      <c r="M33" s="165" t="str">
        <f>IF(ISERROR(VLOOKUP(CONCATENATE($M$7,"-",MID(E33,1,100)),DATOS!Z:AA,2,0)),"",VLOOKUP(CONCATENATE($M$7,"-",MID(E33,1,100)),DATOS!Z:AA,2,0))</f>
        <v/>
      </c>
      <c r="N33" s="165" t="str">
        <f>IF(ISERROR(VLOOKUP(CONCATENATE($N$7,"-",MID(E33,1,100)),DATOS!Z:AA,2,0)),"",VLOOKUP(CONCATENATE($N$7,"-",MID(E33,1,100)),DATOS!Z:AA,2,0))</f>
        <v/>
      </c>
      <c r="O33" s="166" t="str">
        <f>IF(ISERROR(VLOOKUP(CONCATENATE($O$7,"-",MID(E33,1,100)),DATOS!Z:AA,2,0)),"",VLOOKUP(CONCATENATE($O$7,"-",MID(E33,1,100)),DATOS!Z:AA,2,0))</f>
        <v/>
      </c>
      <c r="P33" s="164" t="str">
        <f>IF(ISERROR(VLOOKUP(CONCATENATE($P$7,"-",MID(E33,1,100)),DATOS!Z:AA,2,0)),"",VLOOKUP(CONCATENATE($P$7,"-",MID(E33,1,100)),DATOS!Z:AA,2,0))</f>
        <v/>
      </c>
      <c r="Q33" s="165" t="str">
        <f>IF(ISERROR(VLOOKUP(CONCATENATE($Q$7,"-",MID(E33,1,100)),DATOS!Z:AA,2,0)),"",VLOOKUP(CONCATENATE($Q$7,"-",MID(E33,1,100)),DATOS!Z:AA,2,0))</f>
        <v/>
      </c>
      <c r="R33" s="165" t="str">
        <f>IF(ISERROR(VLOOKUP(CONCATENATE($R$7,"-",MID(E33,1,100)),DATOS!Z:AA,2,0)),"",VLOOKUP(CONCATENATE($R$7,"-",MID(E33,1,100)),DATOS!Z:AA,2,0))</f>
        <v/>
      </c>
      <c r="S33" s="165" t="str">
        <f>IF(ISERROR(VLOOKUP(CONCATENATE($S$7,"-",MID(E33,1,100)),DATOS!Z:AA,2,0)),"",VLOOKUP(CONCATENATE($S$7,"-",MID(E33,1,100)),DATOS!Z:AA,2,0))</f>
        <v/>
      </c>
      <c r="T33" s="165" t="str">
        <f>IF(ISERROR(VLOOKUP(CONCATENATE($T$7,"-",MID(E33,1,100)),DATOS!Z:AA,2,0)),"",VLOOKUP(CONCATENATE($T$7,"-",MID(E33,1,100)),DATOS!Z:AA,2,0))</f>
        <v/>
      </c>
      <c r="U33" s="165" t="str">
        <f>IF(ISERROR(VLOOKUP(CONCATENATE($U$7,"-",MID(E33,1,100)),DATOS!Z:AA,2,0)),"",VLOOKUP(CONCATENATE($U$7,"-",MID(E33,1,100)),DATOS!Z:AA,2,0))</f>
        <v/>
      </c>
      <c r="V33" s="165" t="str">
        <f>IF(ISERROR(VLOOKUP(CONCATENATE($V$7,"-",MID(E33,1,100)),DATOS!Z:AA,2,0)),"",VLOOKUP(CONCATENATE($V$7,"-",MID(E33,1,100)),DATOS!Z:AA,2,0))</f>
        <v/>
      </c>
      <c r="W33" s="165" t="str">
        <f>IF(ISERROR(VLOOKUP(CONCATENATE($W$7,"-",MID(E33,1,100)),DATOS!Z:AA,2,0)),"",VLOOKUP(CONCATENATE($W$7,"-",MID(E33,1,100)),DATOS!Z:AA,2,0))</f>
        <v/>
      </c>
      <c r="X33" s="165" t="str">
        <f>IF(ISERROR(VLOOKUP(CONCATENATE($X$7,"-",MID(E33,1,100)),DATOS!Z:AA,2,0)),"",VLOOKUP(CONCATENATE($X$7,"-",MID(E33,1,100)),DATOS!Z:AA,2,0))</f>
        <v/>
      </c>
      <c r="Y33" s="166" t="str">
        <f>IF(ISERROR(VLOOKUP(CONCATENATE($Y$7,"-",MID(E33,1,100)),DATOS!Z:AA,2,0)),"",VLOOKUP(CONCATENATE($Y$7,"-",MID(E33,1,100)),DATOS!Z:AA,2,0))</f>
        <v/>
      </c>
      <c r="Z33" s="164" t="str">
        <f>IF(ISERROR(VLOOKUP(CONCATENATE($Z$7,"-",MID(E33,1,100)),DATOS!Z:AA,2,0)),"",VLOOKUP(CONCATENATE($Z$7,"-",MID(E33,1,100)),DATOS!Z:AA,2,0))</f>
        <v/>
      </c>
      <c r="AA33" s="165" t="str">
        <f>IF(ISERROR(VLOOKUP(CONCATENATE($AA$7,"-",MID(E33,1,100)),DATOS!Z:AA,2,0)),"",VLOOKUP(CONCATENATE($AA$7,"-",MID(E33,1,100)),DATOS!Z:AA,2,0))</f>
        <v/>
      </c>
      <c r="AB33" s="165" t="str">
        <f>IF(ISERROR(VLOOKUP(CONCATENATE($AB$7,"-",MID(E33,1,100)),DATOS!Z:AA,2,0)),"",VLOOKUP(CONCATENATE($AB$7,"-",MID(E33,1,100)),DATOS!Z:AA,2,0))</f>
        <v/>
      </c>
      <c r="AC33" s="165" t="str">
        <f>IF(ISERROR(VLOOKUP(CONCATENATE($AC$7,"-",MID(E33,1,100)),DATOS!Z:AA,2,0)),"",VLOOKUP(CONCATENATE($AC$7,"-",MID(E33,1,100)),DATOS!Z:AA,2,0))</f>
        <v/>
      </c>
      <c r="AD33" s="165" t="str">
        <f>IF(ISERROR(VLOOKUP(CONCATENATE($AD$7,"-",MID(E33,1,100)),DATOS!Z:AA,2,0)),"",VLOOKUP(CONCATENATE($AD$7,"-",MID(E33,1,100)),DATOS!Z:AA,2,0))</f>
        <v/>
      </c>
      <c r="AE33" s="165" t="str">
        <f>IF(ISERROR(VLOOKUP(CONCATENATE($AE$7,"-",MID(E33,1,100)),DATOS!Z:AA,2,0)),"",VLOOKUP(CONCATENATE($AE$7,"-",MID(E33,1,100)),DATOS!Z:AA,2,0))</f>
        <v/>
      </c>
      <c r="AF33" s="165" t="str">
        <f>IF(ISERROR(VLOOKUP(CONCATENATE($AF$7,"-",MID(E33,1,100)),DATOS!Z:AA,2,0)),"",VLOOKUP(CONCATENATE($AF$7,"-",MID(E33,1,100)),DATOS!Z:AA,2,0))</f>
        <v/>
      </c>
      <c r="AG33" s="165" t="str">
        <f>IF(ISERROR(VLOOKUP(CONCATENATE($AG$7,"-",MID(E33,1,100)),DATOS!Z:AA,2,0)),"",VLOOKUP(CONCATENATE($AG$7,"-",MID(E33,1,100)),DATOS!Z:AA,2,0))</f>
        <v/>
      </c>
      <c r="AH33" s="165" t="str">
        <f>IF(ISERROR(VLOOKUP(CONCATENATE($AH$7,"-",MID(E33,1,100)),DATOS!Z:AA,2,0)),"",VLOOKUP(CONCATENATE($AH$7,"-",MID(E33,1,100)),DATOS!Z:AA,2,0))</f>
        <v/>
      </c>
      <c r="AI33" s="166" t="str">
        <f>IF(ISERROR(VLOOKUP(CONCATENATE($AI$7,"-",MID(E33,1,100)),DATOS!Z:AA,2,0)),"",VLOOKUP(CONCATENATE($AI$7,"-",MID(E33,1,100)),DATOS!Z:AA,2,0))</f>
        <v/>
      </c>
      <c r="AJ33" s="164" t="str">
        <f>IF(ISERROR(VLOOKUP(CONCATENATE($AJ$7,"-",MID(E33,1,100)),DATOS!Z:AA,2,0)),"",VLOOKUP(CONCATENATE($AJ$7,"-",MID(E33,1,100)),DATOS!Z:AA,2,0))</f>
        <v/>
      </c>
      <c r="AK33" s="165" t="str">
        <f>IF(ISERROR(VLOOKUP(CONCATENATE($AK$7,"-",MID(E33,1,100)),DATOS!Z:AA,2,0)),"",VLOOKUP(CONCATENATE($AK$7,"-",MID(E33,1,100)),DATOS!Z:AA,2,0))</f>
        <v/>
      </c>
      <c r="AL33" s="165" t="str">
        <f>IF(ISERROR(VLOOKUP(CONCATENATE($AL$7,"-",MID(E33,1,100)),DATOS!Z:AA,2,0)),"",VLOOKUP(CONCATENATE($AL$7,"-",MID(E33,1,100)),DATOS!Z:AA,2,0))</f>
        <v/>
      </c>
      <c r="AM33" s="165" t="str">
        <f>IF(ISERROR(VLOOKUP(CONCATENATE($AM$7,"-",MID(E33,1,100)),DATOS!Z:AA,2,0)),"",VLOOKUP(CONCATENATE($AM$7,"-",MID(E33,1,100)),DATOS!Z:AA,2,0))</f>
        <v/>
      </c>
      <c r="AN33" s="165" t="str">
        <f>IF(ISERROR(VLOOKUP(CONCATENATE($AN$7,"-",MID(E33,1,100)),DATOS!Z:AA,2,0)),"",VLOOKUP(CONCATENATE($AN$7,"-",MID(E33,1,100)),DATOS!Z:AA,2,0))</f>
        <v/>
      </c>
      <c r="AO33" s="165" t="str">
        <f>IF(ISERROR(VLOOKUP(CONCATENATE($AO$7,"-",MID(E33,1,100)),DATOS!Z:AA,2,0)),"",VLOOKUP(CONCATENATE($AO$7,"-",MID(E33,1,100)),DATOS!Z:AA,2,0))</f>
        <v/>
      </c>
      <c r="AP33" s="165" t="str">
        <f>IF(ISERROR(VLOOKUP(CONCATENATE($AP$7,"-",MID(E33,1,100)),DATOS!Z:AA,2,0)),"",VLOOKUP(CONCATENATE($AP$7,"-",MID(E33,1,100)),DATOS!Z:AA,2,0))</f>
        <v/>
      </c>
      <c r="AQ33" s="165" t="str">
        <f>IF(ISERROR(VLOOKUP(CONCATENATE($AQ$7,"-",MID(E33,1,100)),DATOS!Z:AA,2,0)),"",VLOOKUP(CONCATENATE($AQ$7,"-",MID(E33,1,100)),DATOS!Z:AA,2,0))</f>
        <v/>
      </c>
      <c r="AR33" s="165" t="str">
        <f>IF(ISERROR(VLOOKUP(CONCATENATE($AR$7,"-",MID(E33,1,100)),DATOS!Z:AA,2,0)),"",VLOOKUP(CONCATENATE($AR$7,"-",MID(E33,1,100)),DATOS!Z:AA,2,0))</f>
        <v/>
      </c>
      <c r="AS33" s="166" t="str">
        <f>IF(ISERROR(VLOOKUP(CONCATENATE($AS$7,"-",MID(E33,1,100)),DATOS!Z:AA,2,0)),"",VLOOKUP(CONCATENATE($AS$7,"-",MID(E33,1,100)),DATOS!Z:AA,2,0))</f>
        <v/>
      </c>
      <c r="AT33" s="207" t="str">
        <f>IF(ISERROR(VLOOKUP(CONCATENATE($AT$7,"-",MID(E33,1,100)),DATOS!Z:AA,2,0)),"",VLOOKUP(CONCATENATE($AT$7,"-",MID(E33,1,100)),DATOS!Z:AA,2,0))</f>
        <v/>
      </c>
      <c r="AU33" s="208" t="str">
        <f>IF(ISERROR(VLOOKUP(CONCATENATE($AU$7,"-",MID(E33,1,100)),DATOS!Z:AA,2,0)),"",VLOOKUP(CONCATENATE($AU$7,"-",MID(E33,1,100)),DATOS!Z:AA,2,0))</f>
        <v>a</v>
      </c>
      <c r="AV33" s="208" t="str">
        <f>IF(ISERROR(VLOOKUP(CONCATENATE($AV$7,"-",MID(E33,1,100)),DATOS!Z:AA,2,0)),"",VLOOKUP(CONCATENATE($AV$7,"-",MID(E33,1,100)),DATOS!Z:AA,2,0))</f>
        <v/>
      </c>
      <c r="AW33" s="208" t="str">
        <f>IF(ISERROR(VLOOKUP(CONCATENATE($AW$7,"-",MID(E33,1,100)),DATOS!Z:AA,2,0)),"",VLOOKUP(CONCATENATE($AW$7,"-",MID(E33,1,100)),DATOS!Z:AA,2,0))</f>
        <v/>
      </c>
      <c r="AX33" s="208" t="str">
        <f>IF(ISERROR(VLOOKUP(CONCATENATE($AX$7,"-",MID(E33,1,100)),DATOS!Z:AA,2,0)),"",VLOOKUP(CONCATENATE($AX$7,"-",MID(E33,1,100)),DATOS!Z:AA,2,0))</f>
        <v/>
      </c>
      <c r="AY33" s="208" t="str">
        <f>IF(ISERROR(VLOOKUP(CONCATENATE($AY$7,"-",MID(E33,1,100)),DATOS!Z:AA,2,0)),"",VLOOKUP(CONCATENATE($AY$7,"-",MID(E33,1,100)),DATOS!Z:AA,2,0))</f>
        <v/>
      </c>
      <c r="AZ33" s="208" t="str">
        <f>IF(ISERROR(VLOOKUP(CONCATENATE($AZ$7,"-",MID(E33,1,100)),DATOS!Z:AA,2,0)),"",VLOOKUP(CONCATENATE($AZ$7,"-",MID(E33,1,100)),DATOS!Z:AA,2,0))</f>
        <v/>
      </c>
      <c r="BA33" s="208" t="str">
        <f>IF(ISERROR(VLOOKUP(CONCATENATE($BA$7,"-",MID(E33,1,100)),DATOS!Z:AA,2,0)),"",VLOOKUP(CONCATENATE($BA$7,"-",MID(E33,1,100)),DATOS!Z:AA,2,0))</f>
        <v/>
      </c>
      <c r="BB33" s="208" t="str">
        <f>IF(ISERROR(VLOOKUP(CONCATENATE($BB$7,"-",MID(E33,1,100)),DATOS!Z:AA,2,0)),"",VLOOKUP(CONCATENATE($BB$7,"-",MID(E33,1,100)),DATOS!Z:AA,2,0))</f>
        <v/>
      </c>
      <c r="BC33" s="209" t="str">
        <f>IF(ISERROR(VLOOKUP(CONCATENATE($BC$7,"-",MID(E33,1,100)),DATOS!Z:AA,2,0)),"",VLOOKUP(CONCATENATE($BC$7,"-",MID(E33,1,100)),DATOS!Z:AA,2,0))</f>
        <v/>
      </c>
      <c r="BD33" s="207" t="str">
        <f>IF(ISERROR(VLOOKUP(CONCATENATE($BD$7,"-",MID(E33,1,100)),DATOS!Z:AA,2,0)),"",VLOOKUP(CONCATENATE($BD$7,"-",MID(E33,1,100)),DATOS!Z:AA,2,0))</f>
        <v/>
      </c>
      <c r="BE33" s="208" t="str">
        <f>IF(ISERROR(VLOOKUP(CONCATENATE($BE$7,"-",MID(E33,1,100)),DATOS!Z:AA,2,0)),"",VLOOKUP(CONCATENATE($BE$7,"-",MID(E33,1,100)),DATOS!Z:AA,2,0))</f>
        <v/>
      </c>
      <c r="BF33" s="208" t="str">
        <f>IF(ISERROR(VLOOKUP(CONCATENATE($BF$7,"-",MID(E33,1,100)),DATOS!Z:AA,2,0)),"",VLOOKUP(CONCATENATE($BF$7,"-",MID(E33,1,100)),DATOS!Z:AA,2,0))</f>
        <v/>
      </c>
      <c r="BG33" s="208" t="str">
        <f>IF(ISERROR(VLOOKUP(CONCATENATE($BG$7,"-",MID(E33,1,100)),DATOS!Z:AA,2,0)),"",VLOOKUP(CONCATENATE($BG$7,"-",MID(E33,1,100)),DATOS!Z:AA,2,0))</f>
        <v/>
      </c>
      <c r="BH33" s="208" t="str">
        <f>IF(ISERROR(VLOOKUP(CONCATENATE($BH$7,"-",MID(E33,1,100)),DATOS!Z:AA,2,0)),"",VLOOKUP(CONCATENATE($BH$7,"-",MID(E33,1,100)),DATOS!Z:AA,2,0))</f>
        <v/>
      </c>
      <c r="BI33" s="208" t="str">
        <f>IF(ISERROR(VLOOKUP(CONCATENATE($BI$7,"-",MID(E33,1,100)),DATOS!Z:AA,2,0)),"",VLOOKUP(CONCATENATE($BI$7,"-",MID(E33,1,100)),DATOS!Z:AA,2,0))</f>
        <v/>
      </c>
      <c r="BJ33" s="208" t="str">
        <f>IF(ISERROR(VLOOKUP(CONCATENATE($BJ$7,"-",MID(E33,1,100)),DATOS!Z:AA,2,0)),"",VLOOKUP(CONCATENATE($BJ$7,"-",MID(E33,1,100)),DATOS!Z:AA,2,0))</f>
        <v/>
      </c>
      <c r="BK33" s="208" t="str">
        <f>IF(ISERROR(VLOOKUP(CONCATENATE($BK$7,"-",MID(E33,1,100)),DATOS!Z:AA,2,0)),"",VLOOKUP(CONCATENATE($BK$7,"-",MID(E33,1,100)),DATOS!Z:AA,2,0))</f>
        <v/>
      </c>
      <c r="BL33" s="208" t="str">
        <f>IF(ISERROR(VLOOKUP(CONCATENATE($BL$7,"-",MID(E33,1,100)),DATOS!Z:AA,2,0)),"",VLOOKUP(CONCATENATE($BL$7,"-",MID(E33,1,100)),DATOS!Z:AA,2,0))</f>
        <v/>
      </c>
      <c r="BM33" s="209" t="str">
        <f>IF(ISERROR(VLOOKUP(CONCATENATE($BM$7,"-",MID(E33,1,100)),DATOS!Z:AA,2,0)),"",VLOOKUP(CONCATENATE($BM$7,"-",MID(E33,1,100)),DATOS!Z:AA,2,0))</f>
        <v/>
      </c>
      <c r="BN33" s="207" t="str">
        <f>IF(ISERROR(VLOOKUP(CONCATENATE($BN$7,"-",MID(E33,1,100)),DATOS!Z:AA,2,0)),"",VLOOKUP(CONCATENATE($BN$7,"-",MID(E33,1,100)),DATOS!Z:AA,2,0))</f>
        <v/>
      </c>
      <c r="BO33" s="208" t="str">
        <f>IF(ISERROR(VLOOKUP(CONCATENATE($BO$7,"-",MID(E33,1,100)),DATOS!Z:AA,2,0)),"",VLOOKUP(CONCATENATE($BO$7,"-",MID(E33,1,100)),DATOS!Z:AA,2,0))</f>
        <v/>
      </c>
      <c r="BP33" s="208" t="str">
        <f>IF(ISERROR(VLOOKUP(CONCATENATE($BP$7,"-",MID(E33,1,100)),DATOS!Z:AA,2,0)),"",VLOOKUP(CONCATENATE($BP$7,"-",MID(E33,1,100)),DATOS!Z:AA,2,0))</f>
        <v/>
      </c>
      <c r="BQ33" s="208" t="str">
        <f>IF(ISERROR(VLOOKUP(CONCATENATE($BQ$7,"-",MID(E33,1,100)),DATOS!Z:AA,2,0)),"",VLOOKUP(CONCATENATE($BQ$7,"-",MID(E33,1,100)),DATOS!Z:AA,2,0))</f>
        <v>a</v>
      </c>
      <c r="BR33" s="208" t="str">
        <f>IF(ISERROR(VLOOKUP(CONCATENATE($BR$7,"-",MID(E33,1,100)),DATOS!Z:AA,2,0)),"",VLOOKUP(CONCATENATE($BR$7,"-",MID(E33,1,100)),DATOS!Z:AA,2,0))</f>
        <v/>
      </c>
      <c r="BS33" s="208" t="str">
        <f>IF(ISERROR(VLOOKUP(CONCATENATE($BS$7,"-",MID(E33,1,100)),DATOS!Z:AA,2,0)),"",VLOOKUP(CONCATENATE($BS$7,"-",MID(E33,1,100)),DATOS!Z:AA,2,0))</f>
        <v/>
      </c>
      <c r="BT33" s="208" t="str">
        <f>IF(ISERROR(VLOOKUP(CONCATENATE($BT$7,"-",MID(E33,1,100)),DATOS!Z:AA,2,0)),"",VLOOKUP(CONCATENATE($BT$7,"-",MID(E33,1,100)),DATOS!Z:AA,2,0))</f>
        <v/>
      </c>
      <c r="BU33" s="208" t="str">
        <f>IF(ISERROR(VLOOKUP(CONCATENATE($BU$7,"-",MID(E33,1,100)),DATOS!Z:AA,2,0)),"",VLOOKUP(CONCATENATE($BU$7,"-",MID(E33,1,100)),DATOS!Z:AA,2,0))</f>
        <v/>
      </c>
      <c r="BV33" s="208" t="str">
        <f>IF(ISERROR(VLOOKUP(CONCATENATE($BV$7,"-",MID(E33,1,100)),DATOS!Z:AA,2,0)),"",VLOOKUP(CONCATENATE($BV$7,"-",MID(E33,1,100)),DATOS!Z:AA,2,0))</f>
        <v/>
      </c>
      <c r="BW33" s="209" t="str">
        <f>IF(ISERROR(VLOOKUP(CONCATENATE($BW$7,"-",MID(E33,1,100)),DATOS!Z:AA,2,0)),"",VLOOKUP(CONCATENATE($BW$7,"-",MID(E33,1,100)),DATOS!Z:AA,2,0))</f>
        <v/>
      </c>
      <c r="BX33" s="164" t="str">
        <f>IF(ISERROR(VLOOKUP(CONCATENATE($BX$7,"-",MID(E33,1,100)),DATOS!Z:AA,2,0)),"",VLOOKUP(CONCATENATE($BX$7,"-",MID(E33,1,100)),DATOS!Z:AA,2,0))</f>
        <v/>
      </c>
      <c r="BY33" s="165" t="str">
        <f>IF(ISERROR(VLOOKUP(CONCATENATE($BY$7,"-",MID(E33,1,100)),DATOS!Z:AA,2,0)),"",VLOOKUP(CONCATENATE($BY$7,"-",MID(E33,1,100)),DATOS!Z:AA,2,0))</f>
        <v/>
      </c>
      <c r="BZ33" s="165" t="str">
        <f>IF(ISERROR(VLOOKUP(CONCATENATE($BZ$7,"-",MID(E33,1,100)),DATOS!Z:AA,2,0)),"",VLOOKUP(CONCATENATE($BZ$7,"-",MID(E33,1,100)),DATOS!Z:AA,2,0))</f>
        <v/>
      </c>
      <c r="CA33" s="165" t="str">
        <f>IF(ISERROR(VLOOKUP(CONCATENATE($CA$7,"-",MID(E33,1,100)),DATOS!Z:AA,2,0)),"",VLOOKUP(CONCATENATE($CA$7,"-",MID(E33,1,100)),DATOS!Z:AA,2,0))</f>
        <v/>
      </c>
      <c r="CB33" s="165" t="str">
        <f>IF(ISERROR(VLOOKUP(CONCATENATE($CB$7,"-",MID(E33,1,100)),DATOS!Z:AA,2,0)),"",VLOOKUP(CONCATENATE($CB$7,"-",MID(E33,1,100)),DATOS!Z:AA,2,0))</f>
        <v/>
      </c>
      <c r="CC33" s="165" t="str">
        <f>IF(ISERROR(VLOOKUP(CONCATENATE($CC$7,"-",MID(E33,1,100)),DATOS!Z:AA,2,0)),"",VLOOKUP(CONCATENATE($CC$7,"-",MID(E33,1,100)),DATOS!Z:AA,2,0))</f>
        <v/>
      </c>
      <c r="CD33" s="165" t="str">
        <f>IF(ISERROR(VLOOKUP(CONCATENATE($CD$7,"-",MID(E33,1,100)),DATOS!Z:AA,2,0)),"",VLOOKUP(CONCATENATE($CD$7,"-",MID(E33,1,100)),DATOS!Z:AA,2,0))</f>
        <v/>
      </c>
      <c r="CE33" s="165" t="str">
        <f>IF(ISERROR(VLOOKUP(CONCATENATE($CE$7,"-",MID(E33,1,100)),DATOS!Z:AA,2,0)),"",VLOOKUP(CONCATENATE($CE$7,"-",MID(E33,1,100)),DATOS!Z:AA,2,0))</f>
        <v/>
      </c>
      <c r="CF33" s="165" t="str">
        <f>IF(ISERROR(VLOOKUP(CONCATENATE($CF$7,"-",MID(E33,1,100)),DATOS!Z:AA,2,0)),"",VLOOKUP(CONCATENATE($CF$7,"-",MID(E33,1,100)),DATOS!Z:AA,2,0))</f>
        <v/>
      </c>
      <c r="CG33" s="166" t="str">
        <f>IF(ISERROR(VLOOKUP(CONCATENATE($CG$7,"-",MID(E33,1,100)),DATOS!Z:AA,2,0)),"",VLOOKUP(CONCATENATE($CG$7,"-",MID(E33,1,100)),DATOS!Z:AA,2,0))</f>
        <v/>
      </c>
      <c r="CH33" s="164" t="str">
        <f>IF(ISERROR(VLOOKUP(CONCATENATE($CH$7,"-",MID(E33,1,100)),DATOS!Z:AA,2,0)),"",VLOOKUP(CONCATENATE($CH$7,"-",MID(E33,1,100)),DATOS!Z:AA,2,0))</f>
        <v/>
      </c>
      <c r="CI33" s="165" t="str">
        <f>IF(ISERROR(VLOOKUP(CONCATENATE($CI$7,"-",MID(E33,1,100)),DATOS!Z:AA,2,0)),"",VLOOKUP(CONCATENATE($CI$7,"-",MID(E33,1,100)),DATOS!Z:AA,2,0))</f>
        <v/>
      </c>
      <c r="CJ33" s="165" t="str">
        <f>IF(ISERROR(VLOOKUP(CONCATENATE($CJ$7,"-",MID(E33,1,100)),DATOS!Z:AA,2,0)),"",VLOOKUP(CONCATENATE($CJ$7,"-",MID(E33,1,100)),DATOS!Z:AA,2,0))</f>
        <v/>
      </c>
      <c r="CK33" s="165" t="str">
        <f>IF(ISERROR(VLOOKUP(CONCATENATE($CK$7,"-",MID(E33,1,100)),DATOS!Z:AA,2,0)),"",VLOOKUP(CONCATENATE($CK$7,"-",MID(E33,1,100)),DATOS!Z:AA,2,0))</f>
        <v/>
      </c>
      <c r="CL33" s="165" t="str">
        <f>IF(ISERROR(VLOOKUP(CONCATENATE($CL$7,"-",MID(E33,1,100)),DATOS!Z:AA,2,0)),"",VLOOKUP(CONCATENATE($CL$7,"-",MID(E33,1,100)),DATOS!Z:AA,2,0))</f>
        <v/>
      </c>
      <c r="CM33" s="165" t="str">
        <f>IF(ISERROR(VLOOKUP(CONCATENATE($CM$7,"-",MID(E33,1,100)),DATOS!Z:AA,2,0)),"",VLOOKUP(CONCATENATE($CM$7,"-",MID(E33,1,100)),DATOS!Z:AA,2,0))</f>
        <v/>
      </c>
      <c r="CN33" s="165" t="str">
        <f>IF(ISERROR(VLOOKUP(CONCATENATE($CN$7,"-",MID(E33,1,100)),DATOS!Z:AA,2,0)),"",VLOOKUP(CONCATENATE($CN$7,"-",MID(E33,1,100)),DATOS!Z:AA,2,0))</f>
        <v/>
      </c>
      <c r="CO33" s="165" t="str">
        <f>IF(ISERROR(VLOOKUP(CONCATENATE($CO$7,"-",MID(E33,1,100)),DATOS!Z:AA,2,0)),"",VLOOKUP(CONCATENATE($CO$7,"-",MID(E33,1,100)),DATOS!Z:AA,2,0))</f>
        <v/>
      </c>
      <c r="CP33" s="195" t="str">
        <f>IF(ISERROR(VLOOKUP(CONCATENATE($CP$7,"-",MID(E33,1,100)),DATOS!Z:AA,2,0)),"",VLOOKUP(CONCATENATE($CP$7,"-",MID(E33,1,100)),DATOS!Z:AA,2,0))</f>
        <v/>
      </c>
      <c r="CQ33" s="166" t="str">
        <f>IF(ISERROR(VLOOKUP(CONCATENATE($CQ$7,"-",MID(E33,1,100)),DATOS!Z:AA,2,0)),"",VLOOKUP(CONCATENATE($CQ$7,"-",MID(E33,1,100)),DATOS!Z:AA,2,0))</f>
        <v/>
      </c>
      <c r="CR33" s="164" t="str">
        <f>IF(ISERROR(VLOOKUP(CONCATENATE(CR$7,"-",MID($E33,1,100)),DATOS!$Z:$AA,2,0)),"",VLOOKUP(CONCATENATE(CR$7,"-",MID($E33,1,100)),DATOS!$Z:$AA,2,0))</f>
        <v/>
      </c>
      <c r="CS33" s="165" t="str">
        <f>IF(ISERROR(VLOOKUP(CONCATENATE(CS$7,"-",MID($E33,1,100)),DATOS!$Z:$AA,2,0)),"",VLOOKUP(CONCATENATE(CS$7,"-",MID($E33,1,100)),DATOS!$Z:$AA,2,0))</f>
        <v/>
      </c>
      <c r="CT33" s="165" t="str">
        <f>IF(ISERROR(VLOOKUP(CONCATENATE(CT$7,"-",MID($E33,1,100)),DATOS!$Z:$AA,2,0)),"",VLOOKUP(CONCATENATE(CT$7,"-",MID($E33,1,100)),DATOS!$Z:$AA,2,0))</f>
        <v/>
      </c>
      <c r="CU33" s="165" t="str">
        <f>IF(ISERROR(VLOOKUP(CONCATENATE(CU$7,"-",MID($E33,1,100)),DATOS!$Z:$AA,2,0)),"",VLOOKUP(CONCATENATE(CU$7,"-",MID($E33,1,100)),DATOS!$Z:$AA,2,0))</f>
        <v/>
      </c>
      <c r="CV33" s="165" t="str">
        <f>IF(ISERROR(VLOOKUP(CONCATENATE(CV$7,"-",MID($E33,1,100)),DATOS!$Z:$AA,2,0)),"",VLOOKUP(CONCATENATE(CV$7,"-",MID($E33,1,100)),DATOS!$Z:$AA,2,0))</f>
        <v/>
      </c>
      <c r="CW33" s="165" t="str">
        <f>IF(ISERROR(VLOOKUP(CONCATENATE(CW$7,"-",MID($E33,1,100)),DATOS!$Z:$AA,2,0)),"",VLOOKUP(CONCATENATE(CW$7,"-",MID($E33,1,100)),DATOS!$Z:$AA,2,0))</f>
        <v/>
      </c>
      <c r="CX33" s="165" t="str">
        <f>IF(ISERROR(VLOOKUP(CONCATENATE(CX$7,"-",MID($E33,1,100)),DATOS!$Z:$AA,2,0)),"",VLOOKUP(CONCATENATE(CX$7,"-",MID($E33,1,100)),DATOS!$Z:$AA,2,0))</f>
        <v/>
      </c>
      <c r="CY33" s="165" t="str">
        <f>IF(ISERROR(VLOOKUP(CONCATENATE(CY$7,"-",MID($E33,1,100)),DATOS!$Z:$AA,2,0)),"",VLOOKUP(CONCATENATE(CY$7,"-",MID($E33,1,100)),DATOS!$Z:$AA,2,0))</f>
        <v/>
      </c>
      <c r="CZ33" s="195" t="str">
        <f>IF(ISERROR(VLOOKUP(CONCATENATE(CZ$7,"-",MID($E33,1,100)),DATOS!$Z:$AA,2,0)),"",VLOOKUP(CONCATENATE(CZ$7,"-",MID($E33,1,100)),DATOS!$Z:$AA,2,0))</f>
        <v/>
      </c>
      <c r="DA33" s="166" t="str">
        <f>IF(ISERROR(VLOOKUP(CONCATENATE(DA$7,"-",MID($E33,1,100)),DATOS!$Z:$AA,2,0)),"",VLOOKUP(CONCATENATE(DA$7,"-",MID($E33,1,100)),DATOS!$Z:$AA,2,0))</f>
        <v/>
      </c>
      <c r="DB33" s="164" t="str">
        <f>IF(ISERROR(VLOOKUP(CONCATENATE(DB$7,"-",MID($E33,1,100)),DATOS!$Z:$AA,2,0)),"",VLOOKUP(CONCATENATE(DB$7,"-",MID($E33,1,100)),DATOS!$Z:$AA,2,0))</f>
        <v/>
      </c>
      <c r="DC33" s="165" t="str">
        <f>IF(ISERROR(VLOOKUP(CONCATENATE(DC$7,"-",MID($E33,1,100)),DATOS!$Z:$AA,2,0)),"",VLOOKUP(CONCATENATE(DC$7,"-",MID($E33,1,100)),DATOS!$Z:$AA,2,0))</f>
        <v/>
      </c>
      <c r="DD33" s="165" t="str">
        <f>IF(ISERROR(VLOOKUP(CONCATENATE(DD$7,"-",MID($E33,1,100)),DATOS!$Z:$AA,2,0)),"",VLOOKUP(CONCATENATE(DD$7,"-",MID($E33,1,100)),DATOS!$Z:$AA,2,0))</f>
        <v/>
      </c>
      <c r="DE33" s="165" t="str">
        <f>IF(ISERROR(VLOOKUP(CONCATENATE(DE$7,"-",MID($E33,1,100)),DATOS!$Z:$AA,2,0)),"",VLOOKUP(CONCATENATE(DE$7,"-",MID($E33,1,100)),DATOS!$Z:$AA,2,0))</f>
        <v/>
      </c>
      <c r="DF33" s="165" t="str">
        <f>IF(ISERROR(VLOOKUP(CONCATENATE(DF$7,"-",MID($E33,1,100)),DATOS!$Z:$AA,2,0)),"",VLOOKUP(CONCATENATE(DF$7,"-",MID($E33,1,100)),DATOS!$Z:$AA,2,0))</f>
        <v/>
      </c>
      <c r="DG33" s="165" t="str">
        <f>IF(ISERROR(VLOOKUP(CONCATENATE(DG$7,"-",MID($E33,1,100)),DATOS!$Z:$AA,2,0)),"",VLOOKUP(CONCATENATE(DG$7,"-",MID($E33,1,100)),DATOS!$Z:$AA,2,0))</f>
        <v/>
      </c>
      <c r="DH33" s="165" t="str">
        <f>IF(ISERROR(VLOOKUP(CONCATENATE(DH$7,"-",MID($E33,1,100)),DATOS!$Z:$AA,2,0)),"",VLOOKUP(CONCATENATE(DH$7,"-",MID($E33,1,100)),DATOS!$Z:$AA,2,0))</f>
        <v/>
      </c>
      <c r="DI33" s="165" t="str">
        <f>IF(ISERROR(VLOOKUP(CONCATENATE(DI$7,"-",MID($E33,1,100)),DATOS!$Z:$AA,2,0)),"",VLOOKUP(CONCATENATE(DI$7,"-",MID($E33,1,100)),DATOS!$Z:$AA,2,0))</f>
        <v/>
      </c>
      <c r="DJ33" s="195" t="str">
        <f>IF(ISERROR(VLOOKUP(CONCATENATE(DJ$7,"-",MID($E33,1,100)),DATOS!$Z:$AA,2,0)),"",VLOOKUP(CONCATENATE(DJ$7,"-",MID($E33,1,100)),DATOS!$Z:$AA,2,0))</f>
        <v/>
      </c>
      <c r="DK33" s="166" t="str">
        <f>IF(ISERROR(VLOOKUP(CONCATENATE(DK$7,"-",MID($E33,1,100)),DATOS!$Z:$AA,2,0)),"",VLOOKUP(CONCATENATE(DK$7,"-",MID($E33,1,100)),DATOS!$Z:$AA,2,0))</f>
        <v/>
      </c>
      <c r="DL33" s="164" t="str">
        <f>IF(ISERROR(VLOOKUP(CONCATENATE(DL$7,"-",MID($E33,1,100)),DATOS!$Z:$AA,2,0)),"",VLOOKUP(CONCATENATE(DL$7,"-",MID($E33,1,100)),DATOS!$Z:$AA,2,0))</f>
        <v/>
      </c>
      <c r="DM33" s="165" t="str">
        <f>IF(ISERROR(VLOOKUP(CONCATENATE(DM$7,"-",MID($E33,1,100)),DATOS!$Z:$AA,2,0)),"",VLOOKUP(CONCATENATE(DM$7,"-",MID($E33,1,100)),DATOS!$Z:$AA,2,0))</f>
        <v/>
      </c>
      <c r="DN33" s="165" t="str">
        <f>IF(ISERROR(VLOOKUP(CONCATENATE(DN$7,"-",MID($E33,1,100)),DATOS!$Z:$AA,2,0)),"",VLOOKUP(CONCATENATE(DN$7,"-",MID($E33,1,100)),DATOS!$Z:$AA,2,0))</f>
        <v/>
      </c>
      <c r="DO33" s="165" t="str">
        <f>IF(ISERROR(VLOOKUP(CONCATENATE(DO$7,"-",MID($E33,1,100)),DATOS!$Z:$AA,2,0)),"",VLOOKUP(CONCATENATE(DO$7,"-",MID($E33,1,100)),DATOS!$Z:$AA,2,0))</f>
        <v/>
      </c>
      <c r="DP33" s="165" t="str">
        <f>IF(ISERROR(VLOOKUP(CONCATENATE(DP$7,"-",MID($E33,1,100)),DATOS!$Z:$AA,2,0)),"",VLOOKUP(CONCATENATE(DP$7,"-",MID($E33,1,100)),DATOS!$Z:$AA,2,0))</f>
        <v/>
      </c>
      <c r="DQ33" s="165" t="str">
        <f>IF(ISERROR(VLOOKUP(CONCATENATE(DQ$7,"-",MID($E33,1,100)),DATOS!$Z:$AA,2,0)),"",VLOOKUP(CONCATENATE(DQ$7,"-",MID($E33,1,100)),DATOS!$Z:$AA,2,0))</f>
        <v/>
      </c>
      <c r="DR33" s="165" t="str">
        <f>IF(ISERROR(VLOOKUP(CONCATENATE(DR$7,"-",MID($E33,1,100)),DATOS!$Z:$AA,2,0)),"",VLOOKUP(CONCATENATE(DR$7,"-",MID($E33,1,100)),DATOS!$Z:$AA,2,0))</f>
        <v/>
      </c>
      <c r="DS33" s="165" t="str">
        <f>IF(ISERROR(VLOOKUP(CONCATENATE(DS$7,"-",MID($E33,1,100)),DATOS!$Z:$AA,2,0)),"",VLOOKUP(CONCATENATE(DS$7,"-",MID($E33,1,100)),DATOS!$Z:$AA,2,0))</f>
        <v/>
      </c>
      <c r="DT33" s="195" t="str">
        <f>IF(ISERROR(VLOOKUP(CONCATENATE(DT$7,"-",MID($E33,1,100)),DATOS!$Z:$AA,2,0)),"",VLOOKUP(CONCATENATE(DT$7,"-",MID($E33,1,100)),DATOS!$Z:$AA,2,0))</f>
        <v/>
      </c>
      <c r="DU33" s="166" t="str">
        <f>IF(ISERROR(VLOOKUP(CONCATENATE(DU$7,"-",MID($E33,1,100)),DATOS!$Z:$AA,2,0)),"",VLOOKUP(CONCATENATE(DU$7,"-",MID($E33,1,100)),DATOS!$Z:$AA,2,0))</f>
        <v/>
      </c>
      <c r="DV33" s="164" t="str">
        <f>IF(ISERROR(VLOOKUP(CONCATENATE(DV$7,"-",MID($E33,1,100)),DATOS!$Z:$AA,2,0)),"",VLOOKUP(CONCATENATE(DV$7,"-",MID($E33,1,100)),DATOS!$Z:$AA,2,0))</f>
        <v/>
      </c>
      <c r="DW33" s="165" t="str">
        <f>IF(ISERROR(VLOOKUP(CONCATENATE(DW$7,"-",MID($E33,1,100)),DATOS!$Z:$AA,2,0)),"",VLOOKUP(CONCATENATE(DW$7,"-",MID($E33,1,100)),DATOS!$Z:$AA,2,0))</f>
        <v/>
      </c>
      <c r="DX33" s="165" t="str">
        <f>IF(ISERROR(VLOOKUP(CONCATENATE(DX$7,"-",MID($E33,1,100)),DATOS!$Z:$AA,2,0)),"",VLOOKUP(CONCATENATE(DX$7,"-",MID($E33,1,100)),DATOS!$Z:$AA,2,0))</f>
        <v/>
      </c>
      <c r="DY33" s="165" t="str">
        <f>IF(ISERROR(VLOOKUP(CONCATENATE(DY$7,"-",MID($E33,1,100)),DATOS!$Z:$AA,2,0)),"",VLOOKUP(CONCATENATE(DY$7,"-",MID($E33,1,100)),DATOS!$Z:$AA,2,0))</f>
        <v/>
      </c>
      <c r="DZ33" s="165" t="str">
        <f>IF(ISERROR(VLOOKUP(CONCATENATE(DZ$7,"-",MID($E33,1,100)),DATOS!$Z:$AA,2,0)),"",VLOOKUP(CONCATENATE(DZ$7,"-",MID($E33,1,100)),DATOS!$Z:$AA,2,0))</f>
        <v/>
      </c>
      <c r="EA33" s="165" t="str">
        <f>IF(ISERROR(VLOOKUP(CONCATENATE(EA$7,"-",MID($E33,1,100)),DATOS!$Z:$AA,2,0)),"",VLOOKUP(CONCATENATE(EA$7,"-",MID($E33,1,100)),DATOS!$Z:$AA,2,0))</f>
        <v/>
      </c>
      <c r="EB33" s="165" t="str">
        <f>IF(ISERROR(VLOOKUP(CONCATENATE(EB$7,"-",MID($E33,1,100)),DATOS!$Z:$AA,2,0)),"",VLOOKUP(CONCATENATE(EB$7,"-",MID($E33,1,100)),DATOS!$Z:$AA,2,0))</f>
        <v/>
      </c>
      <c r="EC33" s="165" t="str">
        <f>IF(ISERROR(VLOOKUP(CONCATENATE(EC$7,"-",MID($E33,1,100)),DATOS!$Z:$AA,2,0)),"",VLOOKUP(CONCATENATE(EC$7,"-",MID($E33,1,100)),DATOS!$Z:$AA,2,0))</f>
        <v/>
      </c>
      <c r="ED33" s="195" t="str">
        <f>IF(ISERROR(VLOOKUP(CONCATENATE(ED$7,"-",MID($E33,1,100)),DATOS!$Z:$AA,2,0)),"",VLOOKUP(CONCATENATE(ED$7,"-",MID($E33,1,100)),DATOS!$Z:$AA,2,0))</f>
        <v/>
      </c>
      <c r="EE33" s="166" t="str">
        <f>IF(ISERROR(VLOOKUP(CONCATENATE(EE$7,"-",MID($E33,1,100)),DATOS!$Z:$AA,2,0)),"",VLOOKUP(CONCATENATE(EE$7,"-",MID($E33,1,100)),DATOS!$Z:$AA,2,0))</f>
        <v/>
      </c>
      <c r="EF33" s="164" t="str">
        <f>IF(ISERROR(VLOOKUP(CONCATENATE($EF$7,"-",MID(E33,1,100)),DATOS!Z:AA,2,0)),"",VLOOKUP(CONCATENATE($EF$7,"-",MID(E33,1,100)),DATOS!Z:AA,2,0))</f>
        <v/>
      </c>
      <c r="EG33" s="165" t="str">
        <f>IF(ISERROR(VLOOKUP(CONCATENATE($EG$7,"-",MID(E33,1,100)),DATOS!Z:AA,2,0)),"",VLOOKUP(CONCATENATE($EG$7,"-",MID(E33,1,100)),DATOS!Z:AA,2,0))</f>
        <v/>
      </c>
      <c r="EH33" s="165" t="str">
        <f>IF(ISERROR(VLOOKUP(CONCATENATE($EH$7,"-",MID(E33,1,100)),DATOS!Z:AA,2,0)),"",VLOOKUP(CONCATENATE($EH$7,"-",MID(E33,1,100)),DATOS!Z:AA,2,0))</f>
        <v/>
      </c>
      <c r="EI33" s="165" t="str">
        <f>IF(ISERROR(VLOOKUP(CONCATENATE($EI$7,"-",MID(E33,1,100)),DATOS!Z:AA,2,0)),"",VLOOKUP(CONCATENATE($EI$7,"-",MID(E33,1,100)),DATOS!Z:AA,2,0))</f>
        <v/>
      </c>
      <c r="EJ33" s="165" t="str">
        <f>IF(ISERROR(VLOOKUP(CONCATENATE($EJ$7,"-",MID(E33,1,100)),DATOS!Z:AA,2,0)),"",VLOOKUP(CONCATENATE($EJ$7,"-",MID(E33,1,100)),DATOS!Z:AA,2,0))</f>
        <v/>
      </c>
      <c r="EK33" s="165" t="str">
        <f>IF(ISERROR(VLOOKUP(CONCATENATE($EK$7,"-",MID(E33,1,100)),DATOS!Z:AA,2,0)),"",VLOOKUP(CONCATENATE($EK$7,"-",MID(E33,1,100)),DATOS!Z:AA,2,0))</f>
        <v/>
      </c>
      <c r="EL33" s="165" t="str">
        <f>IF(ISERROR(VLOOKUP(CONCATENATE($EL$7,"-",MID(E33,1,100)),DATOS!Z:AA,2,0)),"",VLOOKUP(CONCATENATE($EL$7,"-",MID(E33,1,100)),DATOS!Z:AA,2,0))</f>
        <v/>
      </c>
      <c r="EM33" s="165" t="str">
        <f>IF(ISERROR(VLOOKUP(CONCATENATE($EM$7,"-",MID(E33,1,100)),DATOS!Z:AA,2,0)),"",VLOOKUP(CONCATENATE($EM$7,"-",MID(E33,1,100)),DATOS!Z:AA,2,0))</f>
        <v/>
      </c>
      <c r="EN33" s="165" t="str">
        <f>IF(ISERROR(VLOOKUP(CONCATENATE($EN$7,"-",MID(E33,1,100)),DATOS!Z:AA,2,0)),"",VLOOKUP(CONCATENATE($EN$7,"-",MID(E33,1,100)),DATOS!Z:AA,2,0))</f>
        <v/>
      </c>
      <c r="EO33" s="166" t="str">
        <f>IF(ISERROR(VLOOKUP(CONCATENATE($EO$7,"-",MID(E33,1,100)),DATOS!Z:AA,2,0)),"",VLOOKUP(CONCATENATE($EO$7,"-",MID(E33,1,100)),DATOS!Z:AA,2,0))</f>
        <v/>
      </c>
      <c r="EP33" s="167">
        <f t="shared" si="0"/>
        <v>2</v>
      </c>
      <c r="EQ33" s="159" t="str">
        <f t="shared" si="1"/>
        <v>CP3: Desarrollo enseñanza y aprendizaje-N2</v>
      </c>
    </row>
    <row r="34" spans="1:147" ht="17.25" customHeight="1">
      <c r="A34" s="148"/>
      <c r="B34" s="168" t="str">
        <f>IF('1.Fundamentos'!B60="","",'1.Fundamentos'!B60)</f>
        <v>CP3: Desarrollo enseñanza y aprendizaje</v>
      </c>
      <c r="C34" s="169" t="s">
        <v>84</v>
      </c>
      <c r="D34" s="170" t="str">
        <f>IF('1.Fundamentos'!D60="","",'1.Fundamentos'!D60)</f>
        <v>Desempeñarse de manera eficiente en el desarrollo la enseñanza y de su desarrollo en su identidad docente para el buen aprendizaje de los estudiantes.</v>
      </c>
      <c r="E34" s="171" t="str">
        <f t="shared" si="2"/>
        <v>CP3: Desarrollo enseñanza y aprendizaje:N3 Desempeñarse de manera eficiente en el desarrollo la enseñanza y de su desarrollo en su identidad docente para el buen aprendizaje de los estudiantes.</v>
      </c>
      <c r="F34" s="172" t="str">
        <f>IF(ISERROR(VLOOKUP(CONCATENATE($F$7,"-",MID(E34,1,100)),DATOS!Z:AA,2,0)),"",VLOOKUP(CONCATENATE($F$7,"-",MID(E34,1,100)),DATOS!Z:AA,2,0))</f>
        <v/>
      </c>
      <c r="G34" s="173" t="str">
        <f>IF(ISERROR(VLOOKUP(CONCATENATE($G$7,"-",MID(E34,1,100)),DATOS!Z:AA,2,0)),"",VLOOKUP(CONCATENATE($G$7,"-",MID(E34,1,100)),DATOS!Z:AA,2,0))</f>
        <v/>
      </c>
      <c r="H34" s="173" t="str">
        <f>IF(ISERROR(VLOOKUP(CONCATENATE($H$7,"-",MID(E34,1,100)),DATOS!Z:AA,2,0)),"",VLOOKUP(CONCATENATE($H$7,"-",MID(E34,1,100)),DATOS!Z:AA,2,0))</f>
        <v/>
      </c>
      <c r="I34" s="173" t="str">
        <f>IF(ISERROR(VLOOKUP(CONCATENATE($I$7,"-",MID(E34,1,100)),DATOS!Z:AA,2,0)),"",VLOOKUP(CONCATENATE($I$7,"-",MID(E34,1,100)),DATOS!Z:AA,2,0))</f>
        <v/>
      </c>
      <c r="J34" s="173" t="str">
        <f>IF(ISERROR(VLOOKUP(CONCATENATE($J$7,"-",MID(E34,1,100)),DATOS!Z:AA,2,0)),"",VLOOKUP(CONCATENATE($J$7,"-",MID(E34,1,100)),DATOS!Z:AA,2,0))</f>
        <v/>
      </c>
      <c r="K34" s="173" t="str">
        <f>IF(ISERROR(VLOOKUP(CONCATENATE($K$7,"-",MID(E34,1,100)),DATOS!Z:AA,2,0)),"",VLOOKUP(CONCATENATE($K$7,"-",MID(E34,1,100)),DATOS!Z:AA,2,0))</f>
        <v/>
      </c>
      <c r="L34" s="173" t="str">
        <f>IF(ISERROR(VLOOKUP(CONCATENATE($L$7,"-",MID(E34,1,100)),DATOS!Z:AA,2,0)),"",VLOOKUP(CONCATENATE($L$7,"-",MID(E34,1,100)),DATOS!Z:AA,2,0))</f>
        <v/>
      </c>
      <c r="M34" s="173" t="str">
        <f>IF(ISERROR(VLOOKUP(CONCATENATE($M$7,"-",MID(E34,1,100)),DATOS!Z:AA,2,0)),"",VLOOKUP(CONCATENATE($M$7,"-",MID(E34,1,100)),DATOS!Z:AA,2,0))</f>
        <v/>
      </c>
      <c r="N34" s="173" t="str">
        <f>IF(ISERROR(VLOOKUP(CONCATENATE($N$7,"-",MID(E34,1,100)),DATOS!Z:AA,2,0)),"",VLOOKUP(CONCATENATE($N$7,"-",MID(E34,1,100)),DATOS!Z:AA,2,0))</f>
        <v/>
      </c>
      <c r="O34" s="174" t="str">
        <f>IF(ISERROR(VLOOKUP(CONCATENATE($O$7,"-",MID(E34,1,100)),DATOS!Z:AA,2,0)),"",VLOOKUP(CONCATENATE($O$7,"-",MID(E34,1,100)),DATOS!Z:AA,2,0))</f>
        <v/>
      </c>
      <c r="P34" s="172" t="str">
        <f>IF(ISERROR(VLOOKUP(CONCATENATE($P$7,"-",MID(E34,1,100)),DATOS!Z:AA,2,0)),"",VLOOKUP(CONCATENATE($P$7,"-",MID(E34,1,100)),DATOS!Z:AA,2,0))</f>
        <v/>
      </c>
      <c r="Q34" s="173" t="str">
        <f>IF(ISERROR(VLOOKUP(CONCATENATE($Q$7,"-",MID(E34,1,100)),DATOS!Z:AA,2,0)),"",VLOOKUP(CONCATENATE($Q$7,"-",MID(E34,1,100)),DATOS!Z:AA,2,0))</f>
        <v/>
      </c>
      <c r="R34" s="173" t="str">
        <f>IF(ISERROR(VLOOKUP(CONCATENATE($R$7,"-",MID(E34,1,100)),DATOS!Z:AA,2,0)),"",VLOOKUP(CONCATENATE($R$7,"-",MID(E34,1,100)),DATOS!Z:AA,2,0))</f>
        <v/>
      </c>
      <c r="S34" s="173" t="str">
        <f>IF(ISERROR(VLOOKUP(CONCATENATE($S$7,"-",MID(E34,1,100)),DATOS!Z:AA,2,0)),"",VLOOKUP(CONCATENATE($S$7,"-",MID(E34,1,100)),DATOS!Z:AA,2,0))</f>
        <v/>
      </c>
      <c r="T34" s="173" t="str">
        <f>IF(ISERROR(VLOOKUP(CONCATENATE($T$7,"-",MID(E34,1,100)),DATOS!Z:AA,2,0)),"",VLOOKUP(CONCATENATE($T$7,"-",MID(E34,1,100)),DATOS!Z:AA,2,0))</f>
        <v/>
      </c>
      <c r="U34" s="173" t="str">
        <f>IF(ISERROR(VLOOKUP(CONCATENATE($U$7,"-",MID(E34,1,100)),DATOS!Z:AA,2,0)),"",VLOOKUP(CONCATENATE($U$7,"-",MID(E34,1,100)),DATOS!Z:AA,2,0))</f>
        <v/>
      </c>
      <c r="V34" s="173" t="str">
        <f>IF(ISERROR(VLOOKUP(CONCATENATE($V$7,"-",MID(E34,1,100)),DATOS!Z:AA,2,0)),"",VLOOKUP(CONCATENATE($V$7,"-",MID(E34,1,100)),DATOS!Z:AA,2,0))</f>
        <v/>
      </c>
      <c r="W34" s="173" t="str">
        <f>IF(ISERROR(VLOOKUP(CONCATENATE($W$7,"-",MID(E34,1,100)),DATOS!Z:AA,2,0)),"",VLOOKUP(CONCATENATE($W$7,"-",MID(E34,1,100)),DATOS!Z:AA,2,0))</f>
        <v/>
      </c>
      <c r="X34" s="173" t="str">
        <f>IF(ISERROR(VLOOKUP(CONCATENATE($X$7,"-",MID(E34,1,100)),DATOS!Z:AA,2,0)),"",VLOOKUP(CONCATENATE($X$7,"-",MID(E34,1,100)),DATOS!Z:AA,2,0))</f>
        <v/>
      </c>
      <c r="Y34" s="174" t="str">
        <f>IF(ISERROR(VLOOKUP(CONCATENATE($Y$7,"-",MID(E34,1,100)),DATOS!Z:AA,2,0)),"",VLOOKUP(CONCATENATE($Y$7,"-",MID(E34,1,100)),DATOS!Z:AA,2,0))</f>
        <v/>
      </c>
      <c r="Z34" s="172" t="str">
        <f>IF(ISERROR(VLOOKUP(CONCATENATE($Z$7,"-",MID(E34,1,100)),DATOS!Z:AA,2,0)),"",VLOOKUP(CONCATENATE($Z$7,"-",MID(E34,1,100)),DATOS!Z:AA,2,0))</f>
        <v/>
      </c>
      <c r="AA34" s="173" t="str">
        <f>IF(ISERROR(VLOOKUP(CONCATENATE($AA$7,"-",MID(E34,1,100)),DATOS!Z:AA,2,0)),"",VLOOKUP(CONCATENATE($AA$7,"-",MID(E34,1,100)),DATOS!Z:AA,2,0))</f>
        <v/>
      </c>
      <c r="AB34" s="173" t="str">
        <f>IF(ISERROR(VLOOKUP(CONCATENATE($AB$7,"-",MID(E34,1,100)),DATOS!Z:AA,2,0)),"",VLOOKUP(CONCATENATE($AB$7,"-",MID(E34,1,100)),DATOS!Z:AA,2,0))</f>
        <v/>
      </c>
      <c r="AC34" s="173" t="str">
        <f>IF(ISERROR(VLOOKUP(CONCATENATE($AC$7,"-",MID(E34,1,100)),DATOS!Z:AA,2,0)),"",VLOOKUP(CONCATENATE($AC$7,"-",MID(E34,1,100)),DATOS!Z:AA,2,0))</f>
        <v/>
      </c>
      <c r="AD34" s="173" t="str">
        <f>IF(ISERROR(VLOOKUP(CONCATENATE($AD$7,"-",MID(E34,1,100)),DATOS!Z:AA,2,0)),"",VLOOKUP(CONCATENATE($AD$7,"-",MID(E34,1,100)),DATOS!Z:AA,2,0))</f>
        <v/>
      </c>
      <c r="AE34" s="173" t="str">
        <f>IF(ISERROR(VLOOKUP(CONCATENATE($AE$7,"-",MID(E34,1,100)),DATOS!Z:AA,2,0)),"",VLOOKUP(CONCATENATE($AE$7,"-",MID(E34,1,100)),DATOS!Z:AA,2,0))</f>
        <v/>
      </c>
      <c r="AF34" s="173" t="str">
        <f>IF(ISERROR(VLOOKUP(CONCATENATE($AF$7,"-",MID(E34,1,100)),DATOS!Z:AA,2,0)),"",VLOOKUP(CONCATENATE($AF$7,"-",MID(E34,1,100)),DATOS!Z:AA,2,0))</f>
        <v/>
      </c>
      <c r="AG34" s="173" t="str">
        <f>IF(ISERROR(VLOOKUP(CONCATENATE($AG$7,"-",MID(E34,1,100)),DATOS!Z:AA,2,0)),"",VLOOKUP(CONCATENATE($AG$7,"-",MID(E34,1,100)),DATOS!Z:AA,2,0))</f>
        <v/>
      </c>
      <c r="AH34" s="173" t="str">
        <f>IF(ISERROR(VLOOKUP(CONCATENATE($AH$7,"-",MID(E34,1,100)),DATOS!Z:AA,2,0)),"",VLOOKUP(CONCATENATE($AH$7,"-",MID(E34,1,100)),DATOS!Z:AA,2,0))</f>
        <v/>
      </c>
      <c r="AI34" s="174" t="str">
        <f>IF(ISERROR(VLOOKUP(CONCATENATE($AI$7,"-",MID(E34,1,100)),DATOS!Z:AA,2,0)),"",VLOOKUP(CONCATENATE($AI$7,"-",MID(E34,1,100)),DATOS!Z:AA,2,0))</f>
        <v/>
      </c>
      <c r="AJ34" s="172" t="str">
        <f>IF(ISERROR(VLOOKUP(CONCATENATE($AJ$7,"-",MID(E34,1,100)),DATOS!Z:AA,2,0)),"",VLOOKUP(CONCATENATE($AJ$7,"-",MID(E34,1,100)),DATOS!Z:AA,2,0))</f>
        <v/>
      </c>
      <c r="AK34" s="173" t="str">
        <f>IF(ISERROR(VLOOKUP(CONCATENATE($AK$7,"-",MID(E34,1,100)),DATOS!Z:AA,2,0)),"",VLOOKUP(CONCATENATE($AK$7,"-",MID(E34,1,100)),DATOS!Z:AA,2,0))</f>
        <v/>
      </c>
      <c r="AL34" s="173" t="str">
        <f>IF(ISERROR(VLOOKUP(CONCATENATE($AL$7,"-",MID(E34,1,100)),DATOS!Z:AA,2,0)),"",VLOOKUP(CONCATENATE($AL$7,"-",MID(E34,1,100)),DATOS!Z:AA,2,0))</f>
        <v/>
      </c>
      <c r="AM34" s="173" t="str">
        <f>IF(ISERROR(VLOOKUP(CONCATENATE($AM$7,"-",MID(E34,1,100)),DATOS!Z:AA,2,0)),"",VLOOKUP(CONCATENATE($AM$7,"-",MID(E34,1,100)),DATOS!Z:AA,2,0))</f>
        <v/>
      </c>
      <c r="AN34" s="173" t="str">
        <f>IF(ISERROR(VLOOKUP(CONCATENATE($AN$7,"-",MID(E34,1,100)),DATOS!Z:AA,2,0)),"",VLOOKUP(CONCATENATE($AN$7,"-",MID(E34,1,100)),DATOS!Z:AA,2,0))</f>
        <v/>
      </c>
      <c r="AO34" s="173" t="str">
        <f>IF(ISERROR(VLOOKUP(CONCATENATE($AO$7,"-",MID(E34,1,100)),DATOS!Z:AA,2,0)),"",VLOOKUP(CONCATENATE($AO$7,"-",MID(E34,1,100)),DATOS!Z:AA,2,0))</f>
        <v/>
      </c>
      <c r="AP34" s="173" t="str">
        <f>IF(ISERROR(VLOOKUP(CONCATENATE($AP$7,"-",MID(E34,1,100)),DATOS!Z:AA,2,0)),"",VLOOKUP(CONCATENATE($AP$7,"-",MID(E34,1,100)),DATOS!Z:AA,2,0))</f>
        <v/>
      </c>
      <c r="AQ34" s="173" t="str">
        <f>IF(ISERROR(VLOOKUP(CONCATENATE($AQ$7,"-",MID(E34,1,100)),DATOS!Z:AA,2,0)),"",VLOOKUP(CONCATENATE($AQ$7,"-",MID(E34,1,100)),DATOS!Z:AA,2,0))</f>
        <v/>
      </c>
      <c r="AR34" s="173" t="str">
        <f>IF(ISERROR(VLOOKUP(CONCATENATE($AR$7,"-",MID(E34,1,100)),DATOS!Z:AA,2,0)),"",VLOOKUP(CONCATENATE($AR$7,"-",MID(E34,1,100)),DATOS!Z:AA,2,0))</f>
        <v/>
      </c>
      <c r="AS34" s="174" t="str">
        <f>IF(ISERROR(VLOOKUP(CONCATENATE($AS$7,"-",MID(E34,1,100)),DATOS!Z:AA,2,0)),"",VLOOKUP(CONCATENATE($AS$7,"-",MID(E34,1,100)),DATOS!Z:AA,2,0))</f>
        <v/>
      </c>
      <c r="AT34" s="172" t="str">
        <f>IF(ISERROR(VLOOKUP(CONCATENATE($AT$7,"-",MID(E34,1,100)),DATOS!Z:AA,2,0)),"",VLOOKUP(CONCATENATE($AT$7,"-",MID(E34,1,100)),DATOS!Z:AA,2,0))</f>
        <v/>
      </c>
      <c r="AU34" s="173" t="str">
        <f>IF(ISERROR(VLOOKUP(CONCATENATE($AU$7,"-",MID(E34,1,100)),DATOS!Z:AA,2,0)),"",VLOOKUP(CONCATENATE($AU$7,"-",MID(E34,1,100)),DATOS!Z:AA,2,0))</f>
        <v/>
      </c>
      <c r="AV34" s="173" t="str">
        <f>IF(ISERROR(VLOOKUP(CONCATENATE($AV$7,"-",MID(E34,1,100)),DATOS!Z:AA,2,0)),"",VLOOKUP(CONCATENATE($AV$7,"-",MID(E34,1,100)),DATOS!Z:AA,2,0))</f>
        <v/>
      </c>
      <c r="AW34" s="173" t="str">
        <f>IF(ISERROR(VLOOKUP(CONCATENATE($AW$7,"-",MID(E34,1,100)),DATOS!Z:AA,2,0)),"",VLOOKUP(CONCATENATE($AW$7,"-",MID(E34,1,100)),DATOS!Z:AA,2,0))</f>
        <v/>
      </c>
      <c r="AX34" s="173" t="str">
        <f>IF(ISERROR(VLOOKUP(CONCATENATE($AX$7,"-",MID(E34,1,100)),DATOS!Z:AA,2,0)),"",VLOOKUP(CONCATENATE($AX$7,"-",MID(E34,1,100)),DATOS!Z:AA,2,0))</f>
        <v/>
      </c>
      <c r="AY34" s="173" t="str">
        <f>IF(ISERROR(VLOOKUP(CONCATENATE($AY$7,"-",MID(E34,1,100)),DATOS!Z:AA,2,0)),"",VLOOKUP(CONCATENATE($AY$7,"-",MID(E34,1,100)),DATOS!Z:AA,2,0))</f>
        <v/>
      </c>
      <c r="AZ34" s="173" t="str">
        <f>IF(ISERROR(VLOOKUP(CONCATENATE($AZ$7,"-",MID(E34,1,100)),DATOS!Z:AA,2,0)),"",VLOOKUP(CONCATENATE($AZ$7,"-",MID(E34,1,100)),DATOS!Z:AA,2,0))</f>
        <v/>
      </c>
      <c r="BA34" s="173" t="str">
        <f>IF(ISERROR(VLOOKUP(CONCATENATE($BA$7,"-",MID(E34,1,100)),DATOS!Z:AA,2,0)),"",VLOOKUP(CONCATENATE($BA$7,"-",MID(E34,1,100)),DATOS!Z:AA,2,0))</f>
        <v/>
      </c>
      <c r="BB34" s="173" t="str">
        <f>IF(ISERROR(VLOOKUP(CONCATENATE($BB$7,"-",MID(E34,1,100)),DATOS!Z:AA,2,0)),"",VLOOKUP(CONCATENATE($BB$7,"-",MID(E34,1,100)),DATOS!Z:AA,2,0))</f>
        <v/>
      </c>
      <c r="BC34" s="174" t="str">
        <f>IF(ISERROR(VLOOKUP(CONCATENATE($BC$7,"-",MID(E34,1,100)),DATOS!Z:AA,2,0)),"",VLOOKUP(CONCATENATE($BC$7,"-",MID(E34,1,100)),DATOS!Z:AA,2,0))</f>
        <v/>
      </c>
      <c r="BD34" s="172" t="str">
        <f>IF(ISERROR(VLOOKUP(CONCATENATE($BD$7,"-",MID(E34,1,100)),DATOS!Z:AA,2,0)),"",VLOOKUP(CONCATENATE($BD$7,"-",MID(E34,1,100)),DATOS!Z:AA,2,0))</f>
        <v/>
      </c>
      <c r="BE34" s="173" t="str">
        <f>IF(ISERROR(VLOOKUP(CONCATENATE($BE$7,"-",MID(E34,1,100)),DATOS!Z:AA,2,0)),"",VLOOKUP(CONCATENATE($BE$7,"-",MID(E34,1,100)),DATOS!Z:AA,2,0))</f>
        <v/>
      </c>
      <c r="BF34" s="173" t="str">
        <f>IF(ISERROR(VLOOKUP(CONCATENATE($BF$7,"-",MID(E34,1,100)),DATOS!Z:AA,2,0)),"",VLOOKUP(CONCATENATE($BF$7,"-",MID(E34,1,100)),DATOS!Z:AA,2,0))</f>
        <v/>
      </c>
      <c r="BG34" s="173" t="str">
        <f>IF(ISERROR(VLOOKUP(CONCATENATE($BG$7,"-",MID(E34,1,100)),DATOS!Z:AA,2,0)),"",VLOOKUP(CONCATENATE($BG$7,"-",MID(E34,1,100)),DATOS!Z:AA,2,0))</f>
        <v/>
      </c>
      <c r="BH34" s="173" t="str">
        <f>IF(ISERROR(VLOOKUP(CONCATENATE($BH$7,"-",MID(E34,1,100)),DATOS!Z:AA,2,0)),"",VLOOKUP(CONCATENATE($BH$7,"-",MID(E34,1,100)),DATOS!Z:AA,2,0))</f>
        <v/>
      </c>
      <c r="BI34" s="173" t="str">
        <f>IF(ISERROR(VLOOKUP(CONCATENATE($BI$7,"-",MID(E34,1,100)),DATOS!Z:AA,2,0)),"",VLOOKUP(CONCATENATE($BI$7,"-",MID(E34,1,100)),DATOS!Z:AA,2,0))</f>
        <v/>
      </c>
      <c r="BJ34" s="173" t="str">
        <f>IF(ISERROR(VLOOKUP(CONCATENATE($BJ$7,"-",MID(E34,1,100)),DATOS!Z:AA,2,0)),"",VLOOKUP(CONCATENATE($BJ$7,"-",MID(E34,1,100)),DATOS!Z:AA,2,0))</f>
        <v/>
      </c>
      <c r="BK34" s="173" t="str">
        <f>IF(ISERROR(VLOOKUP(CONCATENATE($BK$7,"-",MID(E34,1,100)),DATOS!Z:AA,2,0)),"",VLOOKUP(CONCATENATE($BK$7,"-",MID(E34,1,100)),DATOS!Z:AA,2,0))</f>
        <v/>
      </c>
      <c r="BL34" s="173" t="str">
        <f>IF(ISERROR(VLOOKUP(CONCATENATE($BL$7,"-",MID(E34,1,100)),DATOS!Z:AA,2,0)),"",VLOOKUP(CONCATENATE($BL$7,"-",MID(E34,1,100)),DATOS!Z:AA,2,0))</f>
        <v/>
      </c>
      <c r="BM34" s="174" t="str">
        <f>IF(ISERROR(VLOOKUP(CONCATENATE($BM$7,"-",MID(E34,1,100)),DATOS!Z:AA,2,0)),"",VLOOKUP(CONCATENATE($BM$7,"-",MID(E34,1,100)),DATOS!Z:AA,2,0))</f>
        <v/>
      </c>
      <c r="BN34" s="172" t="str">
        <f>IF(ISERROR(VLOOKUP(CONCATENATE($BN$7,"-",MID(E34,1,100)),DATOS!Z:AA,2,0)),"",VLOOKUP(CONCATENATE($BN$7,"-",MID(E34,1,100)),DATOS!Z:AA,2,0))</f>
        <v/>
      </c>
      <c r="BO34" s="173" t="str">
        <f>IF(ISERROR(VLOOKUP(CONCATENATE($BO$7,"-",MID(E34,1,100)),DATOS!Z:AA,2,0)),"",VLOOKUP(CONCATENATE($BO$7,"-",MID(E34,1,100)),DATOS!Z:AA,2,0))</f>
        <v/>
      </c>
      <c r="BP34" s="173" t="str">
        <f>IF(ISERROR(VLOOKUP(CONCATENATE($BP$7,"-",MID(E34,1,100)),DATOS!Z:AA,2,0)),"",VLOOKUP(CONCATENATE($BP$7,"-",MID(E34,1,100)),DATOS!Z:AA,2,0))</f>
        <v/>
      </c>
      <c r="BQ34" s="173" t="str">
        <f>IF(ISERROR(VLOOKUP(CONCATENATE($BQ$7,"-",MID(E34,1,100)),DATOS!Z:AA,2,0)),"",VLOOKUP(CONCATENATE($BQ$7,"-",MID(E34,1,100)),DATOS!Z:AA,2,0))</f>
        <v/>
      </c>
      <c r="BR34" s="173" t="str">
        <f>IF(ISERROR(VLOOKUP(CONCATENATE($BR$7,"-",MID(E34,1,100)),DATOS!Z:AA,2,0)),"",VLOOKUP(CONCATENATE($BR$7,"-",MID(E34,1,100)),DATOS!Z:AA,2,0))</f>
        <v/>
      </c>
      <c r="BS34" s="173" t="str">
        <f>IF(ISERROR(VLOOKUP(CONCATENATE($BS$7,"-",MID(E34,1,100)),DATOS!Z:AA,2,0)),"",VLOOKUP(CONCATENATE($BS$7,"-",MID(E34,1,100)),DATOS!Z:AA,2,0))</f>
        <v/>
      </c>
      <c r="BT34" s="173" t="str">
        <f>IF(ISERROR(VLOOKUP(CONCATENATE($BT$7,"-",MID(E34,1,100)),DATOS!Z:AA,2,0)),"",VLOOKUP(CONCATENATE($BT$7,"-",MID(E34,1,100)),DATOS!Z:AA,2,0))</f>
        <v/>
      </c>
      <c r="BU34" s="173" t="str">
        <f>IF(ISERROR(VLOOKUP(CONCATENATE($BU$7,"-",MID(E34,1,100)),DATOS!Z:AA,2,0)),"",VLOOKUP(CONCATENATE($BU$7,"-",MID(E34,1,100)),DATOS!Z:AA,2,0))</f>
        <v/>
      </c>
      <c r="BV34" s="173" t="str">
        <f>IF(ISERROR(VLOOKUP(CONCATENATE($BV$7,"-",MID(E34,1,100)),DATOS!Z:AA,2,0)),"",VLOOKUP(CONCATENATE($BV$7,"-",MID(E34,1,100)),DATOS!Z:AA,2,0))</f>
        <v/>
      </c>
      <c r="BW34" s="174" t="str">
        <f>IF(ISERROR(VLOOKUP(CONCATENATE($BW$7,"-",MID(E34,1,100)),DATOS!Z:AA,2,0)),"",VLOOKUP(CONCATENATE($BW$7,"-",MID(E34,1,100)),DATOS!Z:AA,2,0))</f>
        <v/>
      </c>
      <c r="BX34" s="210" t="str">
        <f>IF(ISERROR(VLOOKUP(CONCATENATE($BX$7,"-",MID(E34,1,100)),DATOS!Z:AA,2,0)),"",VLOOKUP(CONCATENATE($BX$7,"-",MID(E34,1,100)),DATOS!Z:AA,2,0))</f>
        <v/>
      </c>
      <c r="BY34" s="211" t="str">
        <f>IF(ISERROR(VLOOKUP(CONCATENATE($BY$7,"-",MID(E34,1,100)),DATOS!Z:AA,2,0)),"",VLOOKUP(CONCATENATE($BY$7,"-",MID(E34,1,100)),DATOS!Z:AA,2,0))</f>
        <v/>
      </c>
      <c r="BZ34" s="211" t="str">
        <f>IF(ISERROR(VLOOKUP(CONCATENATE($BZ$7,"-",MID(E34,1,100)),DATOS!Z:AA,2,0)),"",VLOOKUP(CONCATENATE($BZ$7,"-",MID(E34,1,100)),DATOS!Z:AA,2,0))</f>
        <v/>
      </c>
      <c r="CA34" s="211" t="str">
        <f>IF(ISERROR(VLOOKUP(CONCATENATE($CA$7,"-",MID(E34,1,100)),DATOS!Z:AA,2,0)),"",VLOOKUP(CONCATENATE($CA$7,"-",MID(E34,1,100)),DATOS!Z:AA,2,0))</f>
        <v>a</v>
      </c>
      <c r="CB34" s="211" t="str">
        <f>IF(ISERROR(VLOOKUP(CONCATENATE($CB$7,"-",MID(E34,1,100)),DATOS!Z:AA,2,0)),"",VLOOKUP(CONCATENATE($CB$7,"-",MID(E34,1,100)),DATOS!Z:AA,2,0))</f>
        <v/>
      </c>
      <c r="CC34" s="211" t="str">
        <f>IF(ISERROR(VLOOKUP(CONCATENATE($CC$7,"-",MID(E34,1,100)),DATOS!Z:AA,2,0)),"",VLOOKUP(CONCATENATE($CC$7,"-",MID(E34,1,100)),DATOS!Z:AA,2,0))</f>
        <v/>
      </c>
      <c r="CD34" s="211" t="str">
        <f>IF(ISERROR(VLOOKUP(CONCATENATE($CD$7,"-",MID(E34,1,100)),DATOS!Z:AA,2,0)),"",VLOOKUP(CONCATENATE($CD$7,"-",MID(E34,1,100)),DATOS!Z:AA,2,0))</f>
        <v/>
      </c>
      <c r="CE34" s="211" t="str">
        <f>IF(ISERROR(VLOOKUP(CONCATENATE($CE$7,"-",MID(E34,1,100)),DATOS!Z:AA,2,0)),"",VLOOKUP(CONCATENATE($CE$7,"-",MID(E34,1,100)),DATOS!Z:AA,2,0))</f>
        <v/>
      </c>
      <c r="CF34" s="211" t="str">
        <f>IF(ISERROR(VLOOKUP(CONCATENATE($CF$7,"-",MID(E34,1,100)),DATOS!Z:AA,2,0)),"",VLOOKUP(CONCATENATE($CF$7,"-",MID(E34,1,100)),DATOS!Z:AA,2,0))</f>
        <v/>
      </c>
      <c r="CG34" s="212" t="str">
        <f>IF(ISERROR(VLOOKUP(CONCATENATE($CG$7,"-",MID(E34,1,100)),DATOS!Z:AA,2,0)),"",VLOOKUP(CONCATENATE($CG$7,"-",MID(E34,1,100)),DATOS!Z:AA,2,0))</f>
        <v/>
      </c>
      <c r="CH34" s="210" t="str">
        <f>IF(ISERROR(VLOOKUP(CONCATENATE($CH$7,"-",MID(E34,1,100)),DATOS!Z:AA,2,0)),"",VLOOKUP(CONCATENATE($CH$7,"-",MID(E34,1,100)),DATOS!Z:AA,2,0))</f>
        <v>a</v>
      </c>
      <c r="CI34" s="211" t="str">
        <f>IF(ISERROR(VLOOKUP(CONCATENATE($CI$7,"-",MID(E34,1,100)),DATOS!Z:AA,2,0)),"",VLOOKUP(CONCATENATE($CI$7,"-",MID(E34,1,100)),DATOS!Z:AA,2,0))</f>
        <v/>
      </c>
      <c r="CJ34" s="211" t="str">
        <f>IF(ISERROR(VLOOKUP(CONCATENATE($CJ$7,"-",MID(E34,1,100)),DATOS!Z:AA,2,0)),"",VLOOKUP(CONCATENATE($CJ$7,"-",MID(E34,1,100)),DATOS!Z:AA,2,0))</f>
        <v>a</v>
      </c>
      <c r="CK34" s="211" t="str">
        <f>IF(ISERROR(VLOOKUP(CONCATENATE($CK$7,"-",MID(E34,1,100)),DATOS!Z:AA,2,0)),"",VLOOKUP(CONCATENATE($CK$7,"-",MID(E34,1,100)),DATOS!Z:AA,2,0))</f>
        <v>a</v>
      </c>
      <c r="CL34" s="211" t="str">
        <f>IF(ISERROR(VLOOKUP(CONCATENATE($CL$7,"-",MID(E34,1,100)),DATOS!Z:AA,2,0)),"",VLOOKUP(CONCATENATE($CL$7,"-",MID(E34,1,100)),DATOS!Z:AA,2,0))</f>
        <v/>
      </c>
      <c r="CM34" s="211" t="str">
        <f>IF(ISERROR(VLOOKUP(CONCATENATE($CM$7,"-",MID(E34,1,100)),DATOS!Z:AA,2,0)),"",VLOOKUP(CONCATENATE($CM$7,"-",MID(E34,1,100)),DATOS!Z:AA,2,0))</f>
        <v/>
      </c>
      <c r="CN34" s="211" t="str">
        <f>IF(ISERROR(VLOOKUP(CONCATENATE($CN$7,"-",MID(E34,1,100)),DATOS!Z:AA,2,0)),"",VLOOKUP(CONCATENATE($CN$7,"-",MID(E34,1,100)),DATOS!Z:AA,2,0))</f>
        <v/>
      </c>
      <c r="CO34" s="211" t="str">
        <f>IF(ISERROR(VLOOKUP(CONCATENATE($CO$7,"-",MID(E34,1,100)),DATOS!Z:AA,2,0)),"",VLOOKUP(CONCATENATE($CO$7,"-",MID(E34,1,100)),DATOS!Z:AA,2,0))</f>
        <v/>
      </c>
      <c r="CP34" s="213" t="str">
        <f>IF(ISERROR(VLOOKUP(CONCATENATE($CP$7,"-",MID(E34,1,100)),DATOS!Z:AA,2,0)),"",VLOOKUP(CONCATENATE($CP$7,"-",MID(E34,1,100)),DATOS!Z:AA,2,0))</f>
        <v/>
      </c>
      <c r="CQ34" s="212" t="str">
        <f>IF(ISERROR(VLOOKUP(CONCATENATE($CQ$7,"-",MID(E34,1,100)),DATOS!Z:AA,2,0)),"",VLOOKUP(CONCATENATE($CQ$7,"-",MID(E34,1,100)),DATOS!Z:AA,2,0))</f>
        <v/>
      </c>
      <c r="CR34" s="210" t="str">
        <f>IF(ISERROR(VLOOKUP(CONCATENATE(CR$7,"-",MID($E34,1,100)),DATOS!$Z:$AA,2,0)),"",VLOOKUP(CONCATENATE(CR$7,"-",MID($E34,1,100)),DATOS!$Z:$AA,2,0))</f>
        <v/>
      </c>
      <c r="CS34" s="211" t="str">
        <f>IF(ISERROR(VLOOKUP(CONCATENATE(CS$7,"-",MID($E34,1,100)),DATOS!$Z:$AA,2,0)),"",VLOOKUP(CONCATENATE(CS$7,"-",MID($E34,1,100)),DATOS!$Z:$AA,2,0))</f>
        <v/>
      </c>
      <c r="CT34" s="211" t="str">
        <f>IF(ISERROR(VLOOKUP(CONCATENATE(CT$7,"-",MID($E34,1,100)),DATOS!$Z:$AA,2,0)),"",VLOOKUP(CONCATENATE(CT$7,"-",MID($E34,1,100)),DATOS!$Z:$AA,2,0))</f>
        <v/>
      </c>
      <c r="CU34" s="211" t="str">
        <f>IF(ISERROR(VLOOKUP(CONCATENATE(CU$7,"-",MID($E34,1,100)),DATOS!$Z:$AA,2,0)),"",VLOOKUP(CONCATENATE(CU$7,"-",MID($E34,1,100)),DATOS!$Z:$AA,2,0))</f>
        <v/>
      </c>
      <c r="CV34" s="211" t="str">
        <f>IF(ISERROR(VLOOKUP(CONCATENATE(CV$7,"-",MID($E34,1,100)),DATOS!$Z:$AA,2,0)),"",VLOOKUP(CONCATENATE(CV$7,"-",MID($E34,1,100)),DATOS!$Z:$AA,2,0))</f>
        <v/>
      </c>
      <c r="CW34" s="211" t="str">
        <f>IF(ISERROR(VLOOKUP(CONCATENATE(CW$7,"-",MID($E34,1,100)),DATOS!$Z:$AA,2,0)),"",VLOOKUP(CONCATENATE(CW$7,"-",MID($E34,1,100)),DATOS!$Z:$AA,2,0))</f>
        <v/>
      </c>
      <c r="CX34" s="211" t="str">
        <f>IF(ISERROR(VLOOKUP(CONCATENATE(CX$7,"-",MID($E34,1,100)),DATOS!$Z:$AA,2,0)),"",VLOOKUP(CONCATENATE(CX$7,"-",MID($E34,1,100)),DATOS!$Z:$AA,2,0))</f>
        <v/>
      </c>
      <c r="CY34" s="211" t="str">
        <f>IF(ISERROR(VLOOKUP(CONCATENATE(CY$7,"-",MID($E34,1,100)),DATOS!$Z:$AA,2,0)),"",VLOOKUP(CONCATENATE(CY$7,"-",MID($E34,1,100)),DATOS!$Z:$AA,2,0))</f>
        <v/>
      </c>
      <c r="CZ34" s="213" t="str">
        <f>IF(ISERROR(VLOOKUP(CONCATENATE(CZ$7,"-",MID($E34,1,100)),DATOS!$Z:$AA,2,0)),"",VLOOKUP(CONCATENATE(CZ$7,"-",MID($E34,1,100)),DATOS!$Z:$AA,2,0))</f>
        <v/>
      </c>
      <c r="DA34" s="212" t="str">
        <f>IF(ISERROR(VLOOKUP(CONCATENATE(DA$7,"-",MID($E34,1,100)),DATOS!$Z:$AA,2,0)),"",VLOOKUP(CONCATENATE(DA$7,"-",MID($E34,1,100)),DATOS!$Z:$AA,2,0))</f>
        <v/>
      </c>
      <c r="DB34" s="210" t="str">
        <f>IF(ISERROR(VLOOKUP(CONCATENATE(DB$7,"-",MID($E34,1,100)),DATOS!$Z:$AA,2,0)),"",VLOOKUP(CONCATENATE(DB$7,"-",MID($E34,1,100)),DATOS!$Z:$AA,2,0))</f>
        <v/>
      </c>
      <c r="DC34" s="211" t="str">
        <f>IF(ISERROR(VLOOKUP(CONCATENATE(DC$7,"-",MID($E34,1,100)),DATOS!$Z:$AA,2,0)),"",VLOOKUP(CONCATENATE(DC$7,"-",MID($E34,1,100)),DATOS!$Z:$AA,2,0))</f>
        <v/>
      </c>
      <c r="DD34" s="211" t="str">
        <f>IF(ISERROR(VLOOKUP(CONCATENATE(DD$7,"-",MID($E34,1,100)),DATOS!$Z:$AA,2,0)),"",VLOOKUP(CONCATENATE(DD$7,"-",MID($E34,1,100)),DATOS!$Z:$AA,2,0))</f>
        <v/>
      </c>
      <c r="DE34" s="211" t="str">
        <f>IF(ISERROR(VLOOKUP(CONCATENATE(DE$7,"-",MID($E34,1,100)),DATOS!$Z:$AA,2,0)),"",VLOOKUP(CONCATENATE(DE$7,"-",MID($E34,1,100)),DATOS!$Z:$AA,2,0))</f>
        <v/>
      </c>
      <c r="DF34" s="211" t="str">
        <f>IF(ISERROR(VLOOKUP(CONCATENATE(DF$7,"-",MID($E34,1,100)),DATOS!$Z:$AA,2,0)),"",VLOOKUP(CONCATENATE(DF$7,"-",MID($E34,1,100)),DATOS!$Z:$AA,2,0))</f>
        <v/>
      </c>
      <c r="DG34" s="211" t="str">
        <f>IF(ISERROR(VLOOKUP(CONCATENATE(DG$7,"-",MID($E34,1,100)),DATOS!$Z:$AA,2,0)),"",VLOOKUP(CONCATENATE(DG$7,"-",MID($E34,1,100)),DATOS!$Z:$AA,2,0))</f>
        <v/>
      </c>
      <c r="DH34" s="211" t="str">
        <f>IF(ISERROR(VLOOKUP(CONCATENATE(DH$7,"-",MID($E34,1,100)),DATOS!$Z:$AA,2,0)),"",VLOOKUP(CONCATENATE(DH$7,"-",MID($E34,1,100)),DATOS!$Z:$AA,2,0))</f>
        <v/>
      </c>
      <c r="DI34" s="211" t="str">
        <f>IF(ISERROR(VLOOKUP(CONCATENATE(DI$7,"-",MID($E34,1,100)),DATOS!$Z:$AA,2,0)),"",VLOOKUP(CONCATENATE(DI$7,"-",MID($E34,1,100)),DATOS!$Z:$AA,2,0))</f>
        <v/>
      </c>
      <c r="DJ34" s="213" t="str">
        <f>IF(ISERROR(VLOOKUP(CONCATENATE(DJ$7,"-",MID($E34,1,100)),DATOS!$Z:$AA,2,0)),"",VLOOKUP(CONCATENATE(DJ$7,"-",MID($E34,1,100)),DATOS!$Z:$AA,2,0))</f>
        <v/>
      </c>
      <c r="DK34" s="212" t="str">
        <f>IF(ISERROR(VLOOKUP(CONCATENATE(DK$7,"-",MID($E34,1,100)),DATOS!$Z:$AA,2,0)),"",VLOOKUP(CONCATENATE(DK$7,"-",MID($E34,1,100)),DATOS!$Z:$AA,2,0))</f>
        <v/>
      </c>
      <c r="DL34" s="210" t="str">
        <f>IF(ISERROR(VLOOKUP(CONCATENATE(DL$7,"-",MID($E34,1,100)),DATOS!$Z:$AA,2,0)),"",VLOOKUP(CONCATENATE(DL$7,"-",MID($E34,1,100)),DATOS!$Z:$AA,2,0))</f>
        <v/>
      </c>
      <c r="DM34" s="211" t="str">
        <f>IF(ISERROR(VLOOKUP(CONCATENATE(DM$7,"-",MID($E34,1,100)),DATOS!$Z:$AA,2,0)),"",VLOOKUP(CONCATENATE(DM$7,"-",MID($E34,1,100)),DATOS!$Z:$AA,2,0))</f>
        <v/>
      </c>
      <c r="DN34" s="211" t="str">
        <f>IF(ISERROR(VLOOKUP(CONCATENATE(DN$7,"-",MID($E34,1,100)),DATOS!$Z:$AA,2,0)),"",VLOOKUP(CONCATENATE(DN$7,"-",MID($E34,1,100)),DATOS!$Z:$AA,2,0))</f>
        <v/>
      </c>
      <c r="DO34" s="211" t="str">
        <f>IF(ISERROR(VLOOKUP(CONCATENATE(DO$7,"-",MID($E34,1,100)),DATOS!$Z:$AA,2,0)),"",VLOOKUP(CONCATENATE(DO$7,"-",MID($E34,1,100)),DATOS!$Z:$AA,2,0))</f>
        <v/>
      </c>
      <c r="DP34" s="211" t="str">
        <f>IF(ISERROR(VLOOKUP(CONCATENATE(DP$7,"-",MID($E34,1,100)),DATOS!$Z:$AA,2,0)),"",VLOOKUP(CONCATENATE(DP$7,"-",MID($E34,1,100)),DATOS!$Z:$AA,2,0))</f>
        <v/>
      </c>
      <c r="DQ34" s="211" t="str">
        <f>IF(ISERROR(VLOOKUP(CONCATENATE(DQ$7,"-",MID($E34,1,100)),DATOS!$Z:$AA,2,0)),"",VLOOKUP(CONCATENATE(DQ$7,"-",MID($E34,1,100)),DATOS!$Z:$AA,2,0))</f>
        <v/>
      </c>
      <c r="DR34" s="211" t="str">
        <f>IF(ISERROR(VLOOKUP(CONCATENATE(DR$7,"-",MID($E34,1,100)),DATOS!$Z:$AA,2,0)),"",VLOOKUP(CONCATENATE(DR$7,"-",MID($E34,1,100)),DATOS!$Z:$AA,2,0))</f>
        <v/>
      </c>
      <c r="DS34" s="211" t="str">
        <f>IF(ISERROR(VLOOKUP(CONCATENATE(DS$7,"-",MID($E34,1,100)),DATOS!$Z:$AA,2,0)),"",VLOOKUP(CONCATENATE(DS$7,"-",MID($E34,1,100)),DATOS!$Z:$AA,2,0))</f>
        <v/>
      </c>
      <c r="DT34" s="213" t="str">
        <f>IF(ISERROR(VLOOKUP(CONCATENATE(DT$7,"-",MID($E34,1,100)),DATOS!$Z:$AA,2,0)),"",VLOOKUP(CONCATENATE(DT$7,"-",MID($E34,1,100)),DATOS!$Z:$AA,2,0))</f>
        <v/>
      </c>
      <c r="DU34" s="212" t="str">
        <f>IF(ISERROR(VLOOKUP(CONCATENATE(DU$7,"-",MID($E34,1,100)),DATOS!$Z:$AA,2,0)),"",VLOOKUP(CONCATENATE(DU$7,"-",MID($E34,1,100)),DATOS!$Z:$AA,2,0))</f>
        <v/>
      </c>
      <c r="DV34" s="210" t="str">
        <f>IF(ISERROR(VLOOKUP(CONCATENATE(DV$7,"-",MID($E34,1,100)),DATOS!$Z:$AA,2,0)),"",VLOOKUP(CONCATENATE(DV$7,"-",MID($E34,1,100)),DATOS!$Z:$AA,2,0))</f>
        <v/>
      </c>
      <c r="DW34" s="211" t="str">
        <f>IF(ISERROR(VLOOKUP(CONCATENATE(DW$7,"-",MID($E34,1,100)),DATOS!$Z:$AA,2,0)),"",VLOOKUP(CONCATENATE(DW$7,"-",MID($E34,1,100)),DATOS!$Z:$AA,2,0))</f>
        <v/>
      </c>
      <c r="DX34" s="211" t="str">
        <f>IF(ISERROR(VLOOKUP(CONCATENATE(DX$7,"-",MID($E34,1,100)),DATOS!$Z:$AA,2,0)),"",VLOOKUP(CONCATENATE(DX$7,"-",MID($E34,1,100)),DATOS!$Z:$AA,2,0))</f>
        <v/>
      </c>
      <c r="DY34" s="211" t="str">
        <f>IF(ISERROR(VLOOKUP(CONCATENATE(DY$7,"-",MID($E34,1,100)),DATOS!$Z:$AA,2,0)),"",VLOOKUP(CONCATENATE(DY$7,"-",MID($E34,1,100)),DATOS!$Z:$AA,2,0))</f>
        <v/>
      </c>
      <c r="DZ34" s="211" t="str">
        <f>IF(ISERROR(VLOOKUP(CONCATENATE(DZ$7,"-",MID($E34,1,100)),DATOS!$Z:$AA,2,0)),"",VLOOKUP(CONCATENATE(DZ$7,"-",MID($E34,1,100)),DATOS!$Z:$AA,2,0))</f>
        <v/>
      </c>
      <c r="EA34" s="211" t="str">
        <f>IF(ISERROR(VLOOKUP(CONCATENATE(EA$7,"-",MID($E34,1,100)),DATOS!$Z:$AA,2,0)),"",VLOOKUP(CONCATENATE(EA$7,"-",MID($E34,1,100)),DATOS!$Z:$AA,2,0))</f>
        <v/>
      </c>
      <c r="EB34" s="211" t="str">
        <f>IF(ISERROR(VLOOKUP(CONCATENATE(EB$7,"-",MID($E34,1,100)),DATOS!$Z:$AA,2,0)),"",VLOOKUP(CONCATENATE(EB$7,"-",MID($E34,1,100)),DATOS!$Z:$AA,2,0))</f>
        <v/>
      </c>
      <c r="EC34" s="211" t="str">
        <f>IF(ISERROR(VLOOKUP(CONCATENATE(EC$7,"-",MID($E34,1,100)),DATOS!$Z:$AA,2,0)),"",VLOOKUP(CONCATENATE(EC$7,"-",MID($E34,1,100)),DATOS!$Z:$AA,2,0))</f>
        <v/>
      </c>
      <c r="ED34" s="213" t="str">
        <f>IF(ISERROR(VLOOKUP(CONCATENATE(ED$7,"-",MID($E34,1,100)),DATOS!$Z:$AA,2,0)),"",VLOOKUP(CONCATENATE(ED$7,"-",MID($E34,1,100)),DATOS!$Z:$AA,2,0))</f>
        <v/>
      </c>
      <c r="EE34" s="212" t="str">
        <f>IF(ISERROR(VLOOKUP(CONCATENATE(EE$7,"-",MID($E34,1,100)),DATOS!$Z:$AA,2,0)),"",VLOOKUP(CONCATENATE(EE$7,"-",MID($E34,1,100)),DATOS!$Z:$AA,2,0))</f>
        <v/>
      </c>
      <c r="EF34" s="210" t="str">
        <f>IF(ISERROR(VLOOKUP(CONCATENATE($EF$7,"-",MID(E34,1,100)),DATOS!Z:AA,2,0)),"",VLOOKUP(CONCATENATE($EF$7,"-",MID(E34,1,100)),DATOS!Z:AA,2,0))</f>
        <v/>
      </c>
      <c r="EG34" s="211" t="str">
        <f>IF(ISERROR(VLOOKUP(CONCATENATE($EG$7,"-",MID(E34,1,100)),DATOS!Z:AA,2,0)),"",VLOOKUP(CONCATENATE($EG$7,"-",MID(E34,1,100)),DATOS!Z:AA,2,0))</f>
        <v/>
      </c>
      <c r="EH34" s="211" t="str">
        <f>IF(ISERROR(VLOOKUP(CONCATENATE($EH$7,"-",MID(E34,1,100)),DATOS!Z:AA,2,0)),"",VLOOKUP(CONCATENATE($EH$7,"-",MID(E34,1,100)),DATOS!Z:AA,2,0))</f>
        <v/>
      </c>
      <c r="EI34" s="211" t="str">
        <f>IF(ISERROR(VLOOKUP(CONCATENATE($EI$7,"-",MID(E34,1,100)),DATOS!Z:AA,2,0)),"",VLOOKUP(CONCATENATE($EI$7,"-",MID(E34,1,100)),DATOS!Z:AA,2,0))</f>
        <v/>
      </c>
      <c r="EJ34" s="211" t="str">
        <f>IF(ISERROR(VLOOKUP(CONCATENATE($EJ$7,"-",MID(E34,1,100)),DATOS!Z:AA,2,0)),"",VLOOKUP(CONCATENATE($EJ$7,"-",MID(E34,1,100)),DATOS!Z:AA,2,0))</f>
        <v/>
      </c>
      <c r="EK34" s="211" t="str">
        <f>IF(ISERROR(VLOOKUP(CONCATENATE($EK$7,"-",MID(E34,1,100)),DATOS!Z:AA,2,0)),"",VLOOKUP(CONCATENATE($EK$7,"-",MID(E34,1,100)),DATOS!Z:AA,2,0))</f>
        <v/>
      </c>
      <c r="EL34" s="211" t="str">
        <f>IF(ISERROR(VLOOKUP(CONCATENATE($EL$7,"-",MID(E34,1,100)),DATOS!Z:AA,2,0)),"",VLOOKUP(CONCATENATE($EL$7,"-",MID(E34,1,100)),DATOS!Z:AA,2,0))</f>
        <v/>
      </c>
      <c r="EM34" s="211" t="str">
        <f>IF(ISERROR(VLOOKUP(CONCATENATE($EM$7,"-",MID(E34,1,100)),DATOS!Z:AA,2,0)),"",VLOOKUP(CONCATENATE($EM$7,"-",MID(E34,1,100)),DATOS!Z:AA,2,0))</f>
        <v/>
      </c>
      <c r="EN34" s="211" t="str">
        <f>IF(ISERROR(VLOOKUP(CONCATENATE($EN$7,"-",MID(E34,1,100)),DATOS!Z:AA,2,0)),"",VLOOKUP(CONCATENATE($EN$7,"-",MID(E34,1,100)),DATOS!Z:AA,2,0))</f>
        <v/>
      </c>
      <c r="EO34" s="212" t="str">
        <f>IF(ISERROR(VLOOKUP(CONCATENATE($EO$7,"-",MID(E34,1,100)),DATOS!Z:AA,2,0)),"",VLOOKUP(CONCATENATE($EO$7,"-",MID(E34,1,100)),DATOS!Z:AA,2,0))</f>
        <v/>
      </c>
      <c r="EP34" s="175">
        <f t="shared" si="0"/>
        <v>4</v>
      </c>
      <c r="EQ34" s="159" t="str">
        <f t="shared" si="1"/>
        <v>CP3: Desarrollo enseñanza y aprendizaje-N3</v>
      </c>
    </row>
    <row r="35" spans="1:147" ht="17.25" customHeight="1">
      <c r="A35" s="148"/>
      <c r="B35" s="151" t="str">
        <f>IF('1.Fundamentos'!B61="","",'1.Fundamentos'!B61)</f>
        <v>CP4: Investigación Educativa</v>
      </c>
      <c r="C35" s="152" t="s">
        <v>78</v>
      </c>
      <c r="D35" s="153" t="str">
        <f>IF('1.Fundamentos'!F61="","",'1.Fundamentos'!F61)</f>
        <v>Implementa el marco teórico del proyecto de investigación para la validación de los posibles instrumentos a aplicar.</v>
      </c>
      <c r="E35" s="154" t="str">
        <f t="shared" si="2"/>
        <v>CP4: Investigación Educativa:N1 Implementa el marco teórico del proyecto de investigación para la validación de los posibles instrumentos a aplicar.</v>
      </c>
      <c r="F35" s="204" t="str">
        <f>IF(ISERROR(VLOOKUP(CONCATENATE($F$7,"-",MID(E35,1,100)),DATOS!Z:AA,2,0)),"",VLOOKUP(CONCATENATE($F$7,"-",MID(E35,1,100)),DATOS!Z:AA,2,0))</f>
        <v/>
      </c>
      <c r="G35" s="205" t="str">
        <f>IF(ISERROR(VLOOKUP(CONCATENATE($G$7,"-",MID(E35,1,100)),DATOS!Z:AA,2,0)),"",VLOOKUP(CONCATENATE($G$7,"-",MID(E35,1,100)),DATOS!Z:AA,2,0))</f>
        <v/>
      </c>
      <c r="H35" s="205" t="str">
        <f>IF(ISERROR(VLOOKUP(CONCATENATE($H$7,"-",MID(E35,1,100)),DATOS!Z:AA,2,0)),"",VLOOKUP(CONCATENATE($H$7,"-",MID(E35,1,100)),DATOS!Z:AA,2,0))</f>
        <v/>
      </c>
      <c r="I35" s="205" t="str">
        <f>IF(ISERROR(VLOOKUP(CONCATENATE($I$7,"-",MID(E35,1,100)),DATOS!Z:AA,2,0)),"",VLOOKUP(CONCATENATE($I$7,"-",MID(E35,1,100)),DATOS!Z:AA,2,0))</f>
        <v/>
      </c>
      <c r="J35" s="205" t="str">
        <f>IF(ISERROR(VLOOKUP(CONCATENATE($J$7,"-",MID(E35,1,100)),DATOS!Z:AA,2,0)),"",VLOOKUP(CONCATENATE($J$7,"-",MID(E35,1,100)),DATOS!Z:AA,2,0))</f>
        <v/>
      </c>
      <c r="K35" s="205" t="str">
        <f>IF(ISERROR(VLOOKUP(CONCATENATE($K$7,"-",MID(E35,1,100)),DATOS!Z:AA,2,0)),"",VLOOKUP(CONCATENATE($K$7,"-",MID(E35,1,100)),DATOS!Z:AA,2,0))</f>
        <v/>
      </c>
      <c r="L35" s="205" t="str">
        <f>IF(ISERROR(VLOOKUP(CONCATENATE($L$7,"-",MID(E35,1,100)),DATOS!Z:AA,2,0)),"",VLOOKUP(CONCATENATE($L$7,"-",MID(E35,1,100)),DATOS!Z:AA,2,0))</f>
        <v/>
      </c>
      <c r="M35" s="205" t="str">
        <f>IF(ISERROR(VLOOKUP(CONCATENATE($M$7,"-",MID(E35,1,100)),DATOS!Z:AA,2,0)),"",VLOOKUP(CONCATENATE($M$7,"-",MID(E35,1,100)),DATOS!Z:AA,2,0))</f>
        <v/>
      </c>
      <c r="N35" s="205" t="str">
        <f>IF(ISERROR(VLOOKUP(CONCATENATE($N$7,"-",MID(E35,1,100)),DATOS!Z:AA,2,0)),"",VLOOKUP(CONCATENATE($N$7,"-",MID(E35,1,100)),DATOS!Z:AA,2,0))</f>
        <v/>
      </c>
      <c r="O35" s="206" t="str">
        <f>IF(ISERROR(VLOOKUP(CONCATENATE($O$7,"-",MID(E35,1,100)),DATOS!Z:AA,2,0)),"",VLOOKUP(CONCATENATE($O$7,"-",MID(E35,1,100)),DATOS!Z:AA,2,0))</f>
        <v/>
      </c>
      <c r="P35" s="204" t="str">
        <f>IF(ISERROR(VLOOKUP(CONCATENATE($P$7,"-",MID(E35,1,100)),DATOS!Z:AA,2,0)),"",VLOOKUP(CONCATENATE($P$7,"-",MID(E35,1,100)),DATOS!Z:AA,2,0))</f>
        <v/>
      </c>
      <c r="Q35" s="205" t="str">
        <f>IF(ISERROR(VLOOKUP(CONCATENATE($Q$7,"-",MID(E35,1,100)),DATOS!Z:AA,2,0)),"",VLOOKUP(CONCATENATE($Q$7,"-",MID(E35,1,100)),DATOS!Z:AA,2,0))</f>
        <v/>
      </c>
      <c r="R35" s="205" t="str">
        <f>IF(ISERROR(VLOOKUP(CONCATENATE($R$7,"-",MID(E35,1,100)),DATOS!Z:AA,2,0)),"",VLOOKUP(CONCATENATE($R$7,"-",MID(E35,1,100)),DATOS!Z:AA,2,0))</f>
        <v/>
      </c>
      <c r="S35" s="205" t="str">
        <f>IF(ISERROR(VLOOKUP(CONCATENATE($S$7,"-",MID(E35,1,100)),DATOS!Z:AA,2,0)),"",VLOOKUP(CONCATENATE($S$7,"-",MID(E35,1,100)),DATOS!Z:AA,2,0))</f>
        <v/>
      </c>
      <c r="T35" s="205" t="str">
        <f>IF(ISERROR(VLOOKUP(CONCATENATE($T$7,"-",MID(E35,1,100)),DATOS!Z:AA,2,0)),"",VLOOKUP(CONCATENATE($T$7,"-",MID(E35,1,100)),DATOS!Z:AA,2,0))</f>
        <v/>
      </c>
      <c r="U35" s="205" t="str">
        <f>IF(ISERROR(VLOOKUP(CONCATENATE($U$7,"-",MID(E35,1,100)),DATOS!Z:AA,2,0)),"",VLOOKUP(CONCATENATE($U$7,"-",MID(E35,1,100)),DATOS!Z:AA,2,0))</f>
        <v/>
      </c>
      <c r="V35" s="205" t="str">
        <f>IF(ISERROR(VLOOKUP(CONCATENATE($V$7,"-",MID(E35,1,100)),DATOS!Z:AA,2,0)),"",VLOOKUP(CONCATENATE($V$7,"-",MID(E35,1,100)),DATOS!Z:AA,2,0))</f>
        <v/>
      </c>
      <c r="W35" s="205" t="str">
        <f>IF(ISERROR(VLOOKUP(CONCATENATE($W$7,"-",MID(E35,1,100)),DATOS!Z:AA,2,0)),"",VLOOKUP(CONCATENATE($W$7,"-",MID(E35,1,100)),DATOS!Z:AA,2,0))</f>
        <v/>
      </c>
      <c r="X35" s="205" t="str">
        <f>IF(ISERROR(VLOOKUP(CONCATENATE($X$7,"-",MID(E35,1,100)),DATOS!Z:AA,2,0)),"",VLOOKUP(CONCATENATE($X$7,"-",MID(E35,1,100)),DATOS!Z:AA,2,0))</f>
        <v/>
      </c>
      <c r="Y35" s="206" t="str">
        <f>IF(ISERROR(VLOOKUP(CONCATENATE($Y$7,"-",MID(E35,1,100)),DATOS!Z:AA,2,0)),"",VLOOKUP(CONCATENATE($Y$7,"-",MID(E35,1,100)),DATOS!Z:AA,2,0))</f>
        <v/>
      </c>
      <c r="Z35" s="204" t="str">
        <f>IF(ISERROR(VLOOKUP(CONCATENATE($Z$7,"-",MID(E35,1,100)),DATOS!Z:AA,2,0)),"",VLOOKUP(CONCATENATE($Z$7,"-",MID(E35,1,100)),DATOS!Z:AA,2,0))</f>
        <v/>
      </c>
      <c r="AA35" s="205" t="str">
        <f>IF(ISERROR(VLOOKUP(CONCATENATE($AA$7,"-",MID(E35,1,100)),DATOS!Z:AA,2,0)),"",VLOOKUP(CONCATENATE($AA$7,"-",MID(E35,1,100)),DATOS!Z:AA,2,0))</f>
        <v/>
      </c>
      <c r="AB35" s="205" t="str">
        <f>IF(ISERROR(VLOOKUP(CONCATENATE($AB$7,"-",MID(E35,1,100)),DATOS!Z:AA,2,0)),"",VLOOKUP(CONCATENATE($AB$7,"-",MID(E35,1,100)),DATOS!Z:AA,2,0))</f>
        <v/>
      </c>
      <c r="AC35" s="205" t="str">
        <f>IF(ISERROR(VLOOKUP(CONCATENATE($AC$7,"-",MID(E35,1,100)),DATOS!Z:AA,2,0)),"",VLOOKUP(CONCATENATE($AC$7,"-",MID(E35,1,100)),DATOS!Z:AA,2,0))</f>
        <v/>
      </c>
      <c r="AD35" s="205" t="str">
        <f>IF(ISERROR(VLOOKUP(CONCATENATE($AD$7,"-",MID(E35,1,100)),DATOS!Z:AA,2,0)),"",VLOOKUP(CONCATENATE($AD$7,"-",MID(E35,1,100)),DATOS!Z:AA,2,0))</f>
        <v/>
      </c>
      <c r="AE35" s="205" t="str">
        <f>IF(ISERROR(VLOOKUP(CONCATENATE($AE$7,"-",MID(E35,1,100)),DATOS!Z:AA,2,0)),"",VLOOKUP(CONCATENATE($AE$7,"-",MID(E35,1,100)),DATOS!Z:AA,2,0))</f>
        <v/>
      </c>
      <c r="AF35" s="205" t="str">
        <f>IF(ISERROR(VLOOKUP(CONCATENATE($AF$7,"-",MID(E35,1,100)),DATOS!Z:AA,2,0)),"",VLOOKUP(CONCATENATE($AF$7,"-",MID(E35,1,100)),DATOS!Z:AA,2,0))</f>
        <v/>
      </c>
      <c r="AG35" s="205" t="str">
        <f>IF(ISERROR(VLOOKUP(CONCATENATE($AG$7,"-",MID(E35,1,100)),DATOS!Z:AA,2,0)),"",VLOOKUP(CONCATENATE($AG$7,"-",MID(E35,1,100)),DATOS!Z:AA,2,0))</f>
        <v/>
      </c>
      <c r="AH35" s="205" t="str">
        <f>IF(ISERROR(VLOOKUP(CONCATENATE($AH$7,"-",MID(E35,1,100)),DATOS!Z:AA,2,0)),"",VLOOKUP(CONCATENATE($AH$7,"-",MID(E35,1,100)),DATOS!Z:AA,2,0))</f>
        <v/>
      </c>
      <c r="AI35" s="206" t="str">
        <f>IF(ISERROR(VLOOKUP(CONCATENATE($AI$7,"-",MID(E35,1,100)),DATOS!Z:AA,2,0)),"",VLOOKUP(CONCATENATE($AI$7,"-",MID(E35,1,100)),DATOS!Z:AA,2,0))</f>
        <v/>
      </c>
      <c r="AJ35" s="204" t="str">
        <f>IF(ISERROR(VLOOKUP(CONCATENATE($AJ$7,"-",MID(E35,1,100)),DATOS!Z:AA,2,0)),"",VLOOKUP(CONCATENATE($AJ$7,"-",MID(E35,1,100)),DATOS!Z:AA,2,0))</f>
        <v/>
      </c>
      <c r="AK35" s="205" t="str">
        <f>IF(ISERROR(VLOOKUP(CONCATENATE($AK$7,"-",MID(E35,1,100)),DATOS!Z:AA,2,0)),"",VLOOKUP(CONCATENATE($AK$7,"-",MID(E35,1,100)),DATOS!Z:AA,2,0))</f>
        <v/>
      </c>
      <c r="AL35" s="205" t="str">
        <f>IF(ISERROR(VLOOKUP(CONCATENATE($AL$7,"-",MID(E35,1,100)),DATOS!Z:AA,2,0)),"",VLOOKUP(CONCATENATE($AL$7,"-",MID(E35,1,100)),DATOS!Z:AA,2,0))</f>
        <v/>
      </c>
      <c r="AM35" s="205" t="str">
        <f>IF(ISERROR(VLOOKUP(CONCATENATE($AM$7,"-",MID(E35,1,100)),DATOS!Z:AA,2,0)),"",VLOOKUP(CONCATENATE($AM$7,"-",MID(E35,1,100)),DATOS!Z:AA,2,0))</f>
        <v>a</v>
      </c>
      <c r="AN35" s="205" t="str">
        <f>IF(ISERROR(VLOOKUP(CONCATENATE($AN$7,"-",MID(E35,1,100)),DATOS!Z:AA,2,0)),"",VLOOKUP(CONCATENATE($AN$7,"-",MID(E35,1,100)),DATOS!Z:AA,2,0))</f>
        <v/>
      </c>
      <c r="AO35" s="205" t="str">
        <f>IF(ISERROR(VLOOKUP(CONCATENATE($AO$7,"-",MID(E35,1,100)),DATOS!Z:AA,2,0)),"",VLOOKUP(CONCATENATE($AO$7,"-",MID(E35,1,100)),DATOS!Z:AA,2,0))</f>
        <v/>
      </c>
      <c r="AP35" s="205" t="str">
        <f>IF(ISERROR(VLOOKUP(CONCATENATE($AP$7,"-",MID(E35,1,100)),DATOS!Z:AA,2,0)),"",VLOOKUP(CONCATENATE($AP$7,"-",MID(E35,1,100)),DATOS!Z:AA,2,0))</f>
        <v/>
      </c>
      <c r="AQ35" s="205" t="str">
        <f>IF(ISERROR(VLOOKUP(CONCATENATE($AQ$7,"-",MID(E35,1,100)),DATOS!Z:AA,2,0)),"",VLOOKUP(CONCATENATE($AQ$7,"-",MID(E35,1,100)),DATOS!Z:AA,2,0))</f>
        <v/>
      </c>
      <c r="AR35" s="205" t="str">
        <f>IF(ISERROR(VLOOKUP(CONCATENATE($AR$7,"-",MID(E35,1,100)),DATOS!Z:AA,2,0)),"",VLOOKUP(CONCATENATE($AR$7,"-",MID(E35,1,100)),DATOS!Z:AA,2,0))</f>
        <v/>
      </c>
      <c r="AS35" s="206" t="str">
        <f>IF(ISERROR(VLOOKUP(CONCATENATE($AS$7,"-",MID(E35,1,100)),DATOS!Z:AA,2,0)),"",VLOOKUP(CONCATENATE($AS$7,"-",MID(E35,1,100)),DATOS!Z:AA,2,0))</f>
        <v/>
      </c>
      <c r="AT35" s="155" t="str">
        <f>IF(ISERROR(VLOOKUP(CONCATENATE($AT$7,"-",MID(E35,1,100)),DATOS!Z:AA,2,0)),"",VLOOKUP(CONCATENATE($AT$7,"-",MID(E35,1,100)),DATOS!Z:AA,2,0))</f>
        <v/>
      </c>
      <c r="AU35" s="156" t="str">
        <f>IF(ISERROR(VLOOKUP(CONCATENATE($AU$7,"-",MID(E35,1,100)),DATOS!Z:AA,2,0)),"",VLOOKUP(CONCATENATE($AU$7,"-",MID(E35,1,100)),DATOS!Z:AA,2,0))</f>
        <v/>
      </c>
      <c r="AV35" s="156" t="str">
        <f>IF(ISERROR(VLOOKUP(CONCATENATE($AV$7,"-",MID(E35,1,100)),DATOS!Z:AA,2,0)),"",VLOOKUP(CONCATENATE($AV$7,"-",MID(E35,1,100)),DATOS!Z:AA,2,0))</f>
        <v/>
      </c>
      <c r="AW35" s="156" t="str">
        <f>IF(ISERROR(VLOOKUP(CONCATENATE($AW$7,"-",MID(E35,1,100)),DATOS!Z:AA,2,0)),"",VLOOKUP(CONCATENATE($AW$7,"-",MID(E35,1,100)),DATOS!Z:AA,2,0))</f>
        <v/>
      </c>
      <c r="AX35" s="156" t="str">
        <f>IF(ISERROR(VLOOKUP(CONCATENATE($AX$7,"-",MID(E35,1,100)),DATOS!Z:AA,2,0)),"",VLOOKUP(CONCATENATE($AX$7,"-",MID(E35,1,100)),DATOS!Z:AA,2,0))</f>
        <v/>
      </c>
      <c r="AY35" s="156" t="str">
        <f>IF(ISERROR(VLOOKUP(CONCATENATE($AY$7,"-",MID(E35,1,100)),DATOS!Z:AA,2,0)),"",VLOOKUP(CONCATENATE($AY$7,"-",MID(E35,1,100)),DATOS!Z:AA,2,0))</f>
        <v/>
      </c>
      <c r="AZ35" s="156" t="str">
        <f>IF(ISERROR(VLOOKUP(CONCATENATE($AZ$7,"-",MID(E35,1,100)),DATOS!Z:AA,2,0)),"",VLOOKUP(CONCATENATE($AZ$7,"-",MID(E35,1,100)),DATOS!Z:AA,2,0))</f>
        <v/>
      </c>
      <c r="BA35" s="156" t="str">
        <f>IF(ISERROR(VLOOKUP(CONCATENATE($BA$7,"-",MID(E35,1,100)),DATOS!Z:AA,2,0)),"",VLOOKUP(CONCATENATE($BA$7,"-",MID(E35,1,100)),DATOS!Z:AA,2,0))</f>
        <v/>
      </c>
      <c r="BB35" s="156" t="str">
        <f>IF(ISERROR(VLOOKUP(CONCATENATE($BB$7,"-",MID(E35,1,100)),DATOS!Z:AA,2,0)),"",VLOOKUP(CONCATENATE($BB$7,"-",MID(E35,1,100)),DATOS!Z:AA,2,0))</f>
        <v/>
      </c>
      <c r="BC35" s="157" t="str">
        <f>IF(ISERROR(VLOOKUP(CONCATENATE($BC$7,"-",MID(E35,1,100)),DATOS!Z:AA,2,0)),"",VLOOKUP(CONCATENATE($BC$7,"-",MID(E35,1,100)),DATOS!Z:AA,2,0))</f>
        <v/>
      </c>
      <c r="BD35" s="155" t="str">
        <f>IF(ISERROR(VLOOKUP(CONCATENATE($BD$7,"-",MID(E35,1,100)),DATOS!Z:AA,2,0)),"",VLOOKUP(CONCATENATE($BD$7,"-",MID(E35,1,100)),DATOS!Z:AA,2,0))</f>
        <v/>
      </c>
      <c r="BE35" s="156" t="str">
        <f>IF(ISERROR(VLOOKUP(CONCATENATE($BE$7,"-",MID(E35,1,100)),DATOS!Z:AA,2,0)),"",VLOOKUP(CONCATENATE($BE$7,"-",MID(E35,1,100)),DATOS!Z:AA,2,0))</f>
        <v/>
      </c>
      <c r="BF35" s="156" t="str">
        <f>IF(ISERROR(VLOOKUP(CONCATENATE($BF$7,"-",MID(E35,1,100)),DATOS!Z:AA,2,0)),"",VLOOKUP(CONCATENATE($BF$7,"-",MID(E35,1,100)),DATOS!Z:AA,2,0))</f>
        <v/>
      </c>
      <c r="BG35" s="156" t="str">
        <f>IF(ISERROR(VLOOKUP(CONCATENATE($BG$7,"-",MID(E35,1,100)),DATOS!Z:AA,2,0)),"",VLOOKUP(CONCATENATE($BG$7,"-",MID(E35,1,100)),DATOS!Z:AA,2,0))</f>
        <v/>
      </c>
      <c r="BH35" s="156" t="str">
        <f>IF(ISERROR(VLOOKUP(CONCATENATE($BH$7,"-",MID(E35,1,100)),DATOS!Z:AA,2,0)),"",VLOOKUP(CONCATENATE($BH$7,"-",MID(E35,1,100)),DATOS!Z:AA,2,0))</f>
        <v/>
      </c>
      <c r="BI35" s="156" t="str">
        <f>IF(ISERROR(VLOOKUP(CONCATENATE($BI$7,"-",MID(E35,1,100)),DATOS!Z:AA,2,0)),"",VLOOKUP(CONCATENATE($BI$7,"-",MID(E35,1,100)),DATOS!Z:AA,2,0))</f>
        <v/>
      </c>
      <c r="BJ35" s="156" t="str">
        <f>IF(ISERROR(VLOOKUP(CONCATENATE($BJ$7,"-",MID(E35,1,100)),DATOS!Z:AA,2,0)),"",VLOOKUP(CONCATENATE($BJ$7,"-",MID(E35,1,100)),DATOS!Z:AA,2,0))</f>
        <v/>
      </c>
      <c r="BK35" s="156" t="str">
        <f>IF(ISERROR(VLOOKUP(CONCATENATE($BK$7,"-",MID(E35,1,100)),DATOS!Z:AA,2,0)),"",VLOOKUP(CONCATENATE($BK$7,"-",MID(E35,1,100)),DATOS!Z:AA,2,0))</f>
        <v/>
      </c>
      <c r="BL35" s="156" t="str">
        <f>IF(ISERROR(VLOOKUP(CONCATENATE($BL$7,"-",MID(E35,1,100)),DATOS!Z:AA,2,0)),"",VLOOKUP(CONCATENATE($BL$7,"-",MID(E35,1,100)),DATOS!Z:AA,2,0))</f>
        <v/>
      </c>
      <c r="BM35" s="157" t="str">
        <f>IF(ISERROR(VLOOKUP(CONCATENATE($BM$7,"-",MID(E35,1,100)),DATOS!Z:AA,2,0)),"",VLOOKUP(CONCATENATE($BM$7,"-",MID(E35,1,100)),DATOS!Z:AA,2,0))</f>
        <v/>
      </c>
      <c r="BN35" s="155" t="str">
        <f>IF(ISERROR(VLOOKUP(CONCATENATE($BN$7,"-",MID(E35,1,100)),DATOS!Z:AA,2,0)),"",VLOOKUP(CONCATENATE($BN$7,"-",MID(E35,1,100)),DATOS!Z:AA,2,0))</f>
        <v/>
      </c>
      <c r="BO35" s="156" t="str">
        <f>IF(ISERROR(VLOOKUP(CONCATENATE($BO$7,"-",MID(E35,1,100)),DATOS!Z:AA,2,0)),"",VLOOKUP(CONCATENATE($BO$7,"-",MID(E35,1,100)),DATOS!Z:AA,2,0))</f>
        <v/>
      </c>
      <c r="BP35" s="156" t="str">
        <f>IF(ISERROR(VLOOKUP(CONCATENATE($BP$7,"-",MID(E35,1,100)),DATOS!Z:AA,2,0)),"",VLOOKUP(CONCATENATE($BP$7,"-",MID(E35,1,100)),DATOS!Z:AA,2,0))</f>
        <v/>
      </c>
      <c r="BQ35" s="156" t="str">
        <f>IF(ISERROR(VLOOKUP(CONCATENATE($BQ$7,"-",MID(E35,1,100)),DATOS!Z:AA,2,0)),"",VLOOKUP(CONCATENATE($BQ$7,"-",MID(E35,1,100)),DATOS!Z:AA,2,0))</f>
        <v/>
      </c>
      <c r="BR35" s="156" t="str">
        <f>IF(ISERROR(VLOOKUP(CONCATENATE($BR$7,"-",MID(E35,1,100)),DATOS!Z:AA,2,0)),"",VLOOKUP(CONCATENATE($BR$7,"-",MID(E35,1,100)),DATOS!Z:AA,2,0))</f>
        <v/>
      </c>
      <c r="BS35" s="156" t="str">
        <f>IF(ISERROR(VLOOKUP(CONCATENATE($BS$7,"-",MID(E35,1,100)),DATOS!Z:AA,2,0)),"",VLOOKUP(CONCATENATE($BS$7,"-",MID(E35,1,100)),DATOS!Z:AA,2,0))</f>
        <v/>
      </c>
      <c r="BT35" s="156" t="str">
        <f>IF(ISERROR(VLOOKUP(CONCATENATE($BT$7,"-",MID(E35,1,100)),DATOS!Z:AA,2,0)),"",VLOOKUP(CONCATENATE($BT$7,"-",MID(E35,1,100)),DATOS!Z:AA,2,0))</f>
        <v/>
      </c>
      <c r="BU35" s="156" t="str">
        <f>IF(ISERROR(VLOOKUP(CONCATENATE($BU$7,"-",MID(E35,1,100)),DATOS!Z:AA,2,0)),"",VLOOKUP(CONCATENATE($BU$7,"-",MID(E35,1,100)),DATOS!Z:AA,2,0))</f>
        <v/>
      </c>
      <c r="BV35" s="156" t="str">
        <f>IF(ISERROR(VLOOKUP(CONCATENATE($BV$7,"-",MID(E35,1,100)),DATOS!Z:AA,2,0)),"",VLOOKUP(CONCATENATE($BV$7,"-",MID(E35,1,100)),DATOS!Z:AA,2,0))</f>
        <v/>
      </c>
      <c r="BW35" s="157" t="str">
        <f>IF(ISERROR(VLOOKUP(CONCATENATE($BW$7,"-",MID(E35,1,100)),DATOS!Z:AA,2,0)),"",VLOOKUP(CONCATENATE($BW$7,"-",MID(E35,1,100)),DATOS!Z:AA,2,0))</f>
        <v/>
      </c>
      <c r="BX35" s="155" t="str">
        <f>IF(ISERROR(VLOOKUP(CONCATENATE($BX$7,"-",MID(E35,1,100)),DATOS!Z:AA,2,0)),"",VLOOKUP(CONCATENATE($BX$7,"-",MID(E35,1,100)),DATOS!Z:AA,2,0))</f>
        <v/>
      </c>
      <c r="BY35" s="156" t="str">
        <f>IF(ISERROR(VLOOKUP(CONCATENATE($BY$7,"-",MID(E35,1,100)),DATOS!Z:AA,2,0)),"",VLOOKUP(CONCATENATE($BY$7,"-",MID(E35,1,100)),DATOS!Z:AA,2,0))</f>
        <v/>
      </c>
      <c r="BZ35" s="156" t="str">
        <f>IF(ISERROR(VLOOKUP(CONCATENATE($BZ$7,"-",MID(E35,1,100)),DATOS!Z:AA,2,0)),"",VLOOKUP(CONCATENATE($BZ$7,"-",MID(E35,1,100)),DATOS!Z:AA,2,0))</f>
        <v/>
      </c>
      <c r="CA35" s="156" t="str">
        <f>IF(ISERROR(VLOOKUP(CONCATENATE($CA$7,"-",MID(E35,1,100)),DATOS!Z:AA,2,0)),"",VLOOKUP(CONCATENATE($CA$7,"-",MID(E35,1,100)),DATOS!Z:AA,2,0))</f>
        <v/>
      </c>
      <c r="CB35" s="156" t="str">
        <f>IF(ISERROR(VLOOKUP(CONCATENATE($CB$7,"-",MID(E35,1,100)),DATOS!Z:AA,2,0)),"",VLOOKUP(CONCATENATE($CB$7,"-",MID(E35,1,100)),DATOS!Z:AA,2,0))</f>
        <v/>
      </c>
      <c r="CC35" s="156" t="str">
        <f>IF(ISERROR(VLOOKUP(CONCATENATE($CC$7,"-",MID(E35,1,100)),DATOS!Z:AA,2,0)),"",VLOOKUP(CONCATENATE($CC$7,"-",MID(E35,1,100)),DATOS!Z:AA,2,0))</f>
        <v/>
      </c>
      <c r="CD35" s="156" t="str">
        <f>IF(ISERROR(VLOOKUP(CONCATENATE($CD$7,"-",MID(E35,1,100)),DATOS!Z:AA,2,0)),"",VLOOKUP(CONCATENATE($CD$7,"-",MID(E35,1,100)),DATOS!Z:AA,2,0))</f>
        <v/>
      </c>
      <c r="CE35" s="156" t="str">
        <f>IF(ISERROR(VLOOKUP(CONCATENATE($CE$7,"-",MID(E35,1,100)),DATOS!Z:AA,2,0)),"",VLOOKUP(CONCATENATE($CE$7,"-",MID(E35,1,100)),DATOS!Z:AA,2,0))</f>
        <v/>
      </c>
      <c r="CF35" s="156" t="str">
        <f>IF(ISERROR(VLOOKUP(CONCATENATE($CF$7,"-",MID(E35,1,100)),DATOS!Z:AA,2,0)),"",VLOOKUP(CONCATENATE($CF$7,"-",MID(E35,1,100)),DATOS!Z:AA,2,0))</f>
        <v/>
      </c>
      <c r="CG35" s="157" t="str">
        <f>IF(ISERROR(VLOOKUP(CONCATENATE($CG$7,"-",MID(E35,1,100)),DATOS!Z:AA,2,0)),"",VLOOKUP(CONCATENATE($CG$7,"-",MID(E35,1,100)),DATOS!Z:AA,2,0))</f>
        <v/>
      </c>
      <c r="CH35" s="155" t="str">
        <f>IF(ISERROR(VLOOKUP(CONCATENATE($CH$7,"-",MID(E35,1,100)),DATOS!Z:AA,2,0)),"",VLOOKUP(CONCATENATE($CH$7,"-",MID(E35,1,100)),DATOS!Z:AA,2,0))</f>
        <v/>
      </c>
      <c r="CI35" s="156" t="str">
        <f>IF(ISERROR(VLOOKUP(CONCATENATE($CI$7,"-",MID(E35,1,100)),DATOS!Z:AA,2,0)),"",VLOOKUP(CONCATENATE($CI$7,"-",MID(E35,1,100)),DATOS!Z:AA,2,0))</f>
        <v/>
      </c>
      <c r="CJ35" s="156" t="str">
        <f>IF(ISERROR(VLOOKUP(CONCATENATE($CJ$7,"-",MID(E35,1,100)),DATOS!Z:AA,2,0)),"",VLOOKUP(CONCATENATE($CJ$7,"-",MID(E35,1,100)),DATOS!Z:AA,2,0))</f>
        <v/>
      </c>
      <c r="CK35" s="156" t="str">
        <f>IF(ISERROR(VLOOKUP(CONCATENATE($CK$7,"-",MID(E35,1,100)),DATOS!Z:AA,2,0)),"",VLOOKUP(CONCATENATE($CK$7,"-",MID(E35,1,100)),DATOS!Z:AA,2,0))</f>
        <v/>
      </c>
      <c r="CL35" s="156" t="str">
        <f>IF(ISERROR(VLOOKUP(CONCATENATE($CL$7,"-",MID(E35,1,100)),DATOS!Z:AA,2,0)),"",VLOOKUP(CONCATENATE($CL$7,"-",MID(E35,1,100)),DATOS!Z:AA,2,0))</f>
        <v/>
      </c>
      <c r="CM35" s="156" t="str">
        <f>IF(ISERROR(VLOOKUP(CONCATENATE($CM$7,"-",MID(E35,1,100)),DATOS!Z:AA,2,0)),"",VLOOKUP(CONCATENATE($CM$7,"-",MID(E35,1,100)),DATOS!Z:AA,2,0))</f>
        <v/>
      </c>
      <c r="CN35" s="156" t="str">
        <f>IF(ISERROR(VLOOKUP(CONCATENATE($CN$7,"-",MID(E35,1,100)),DATOS!Z:AA,2,0)),"",VLOOKUP(CONCATENATE($CN$7,"-",MID(E35,1,100)),DATOS!Z:AA,2,0))</f>
        <v/>
      </c>
      <c r="CO35" s="156" t="str">
        <f>IF(ISERROR(VLOOKUP(CONCATENATE($CO$7,"-",MID(E35,1,100)),DATOS!Z:AA,2,0)),"",VLOOKUP(CONCATENATE($CO$7,"-",MID(E35,1,100)),DATOS!Z:AA,2,0))</f>
        <v/>
      </c>
      <c r="CP35" s="194" t="str">
        <f>IF(ISERROR(VLOOKUP(CONCATENATE($CP$7,"-",MID(E35,1,100)),DATOS!Z:AA,2,0)),"",VLOOKUP(CONCATENATE($CP$7,"-",MID(E35,1,100)),DATOS!Z:AA,2,0))</f>
        <v/>
      </c>
      <c r="CQ35" s="157" t="str">
        <f>IF(ISERROR(VLOOKUP(CONCATENATE($CQ$7,"-",MID(E35,1,100)),DATOS!Z:AA,2,0)),"",VLOOKUP(CONCATENATE($CQ$7,"-",MID(E35,1,100)),DATOS!Z:AA,2,0))</f>
        <v/>
      </c>
      <c r="CR35" s="155" t="str">
        <f>IF(ISERROR(VLOOKUP(CONCATENATE(CR$7,"-",MID($E35,1,100)),DATOS!$Z:$AA,2,0)),"",VLOOKUP(CONCATENATE(CR$7,"-",MID($E35,1,100)),DATOS!$Z:$AA,2,0))</f>
        <v/>
      </c>
      <c r="CS35" s="156" t="str">
        <f>IF(ISERROR(VLOOKUP(CONCATENATE(CS$7,"-",MID($E35,1,100)),DATOS!$Z:$AA,2,0)),"",VLOOKUP(CONCATENATE(CS$7,"-",MID($E35,1,100)),DATOS!$Z:$AA,2,0))</f>
        <v/>
      </c>
      <c r="CT35" s="156" t="str">
        <f>IF(ISERROR(VLOOKUP(CONCATENATE(CT$7,"-",MID($E35,1,100)),DATOS!$Z:$AA,2,0)),"",VLOOKUP(CONCATENATE(CT$7,"-",MID($E35,1,100)),DATOS!$Z:$AA,2,0))</f>
        <v/>
      </c>
      <c r="CU35" s="156" t="str">
        <f>IF(ISERROR(VLOOKUP(CONCATENATE(CU$7,"-",MID($E35,1,100)),DATOS!$Z:$AA,2,0)),"",VLOOKUP(CONCATENATE(CU$7,"-",MID($E35,1,100)),DATOS!$Z:$AA,2,0))</f>
        <v/>
      </c>
      <c r="CV35" s="156" t="str">
        <f>IF(ISERROR(VLOOKUP(CONCATENATE(CV$7,"-",MID($E35,1,100)),DATOS!$Z:$AA,2,0)),"",VLOOKUP(CONCATENATE(CV$7,"-",MID($E35,1,100)),DATOS!$Z:$AA,2,0))</f>
        <v/>
      </c>
      <c r="CW35" s="156" t="str">
        <f>IF(ISERROR(VLOOKUP(CONCATENATE(CW$7,"-",MID($E35,1,100)),DATOS!$Z:$AA,2,0)),"",VLOOKUP(CONCATENATE(CW$7,"-",MID($E35,1,100)),DATOS!$Z:$AA,2,0))</f>
        <v/>
      </c>
      <c r="CX35" s="156" t="str">
        <f>IF(ISERROR(VLOOKUP(CONCATENATE(CX$7,"-",MID($E35,1,100)),DATOS!$Z:$AA,2,0)),"",VLOOKUP(CONCATENATE(CX$7,"-",MID($E35,1,100)),DATOS!$Z:$AA,2,0))</f>
        <v/>
      </c>
      <c r="CY35" s="156" t="str">
        <f>IF(ISERROR(VLOOKUP(CONCATENATE(CY$7,"-",MID($E35,1,100)),DATOS!$Z:$AA,2,0)),"",VLOOKUP(CONCATENATE(CY$7,"-",MID($E35,1,100)),DATOS!$Z:$AA,2,0))</f>
        <v/>
      </c>
      <c r="CZ35" s="194" t="str">
        <f>IF(ISERROR(VLOOKUP(CONCATENATE(CZ$7,"-",MID($E35,1,100)),DATOS!$Z:$AA,2,0)),"",VLOOKUP(CONCATENATE(CZ$7,"-",MID($E35,1,100)),DATOS!$Z:$AA,2,0))</f>
        <v/>
      </c>
      <c r="DA35" s="157" t="str">
        <f>IF(ISERROR(VLOOKUP(CONCATENATE(DA$7,"-",MID($E35,1,100)),DATOS!$Z:$AA,2,0)),"",VLOOKUP(CONCATENATE(DA$7,"-",MID($E35,1,100)),DATOS!$Z:$AA,2,0))</f>
        <v/>
      </c>
      <c r="DB35" s="155" t="str">
        <f>IF(ISERROR(VLOOKUP(CONCATENATE(DB$7,"-",MID($E35,1,100)),DATOS!$Z:$AA,2,0)),"",VLOOKUP(CONCATENATE(DB$7,"-",MID($E35,1,100)),DATOS!$Z:$AA,2,0))</f>
        <v/>
      </c>
      <c r="DC35" s="156" t="str">
        <f>IF(ISERROR(VLOOKUP(CONCATENATE(DC$7,"-",MID($E35,1,100)),DATOS!$Z:$AA,2,0)),"",VLOOKUP(CONCATENATE(DC$7,"-",MID($E35,1,100)),DATOS!$Z:$AA,2,0))</f>
        <v/>
      </c>
      <c r="DD35" s="156" t="str">
        <f>IF(ISERROR(VLOOKUP(CONCATENATE(DD$7,"-",MID($E35,1,100)),DATOS!$Z:$AA,2,0)),"",VLOOKUP(CONCATENATE(DD$7,"-",MID($E35,1,100)),DATOS!$Z:$AA,2,0))</f>
        <v/>
      </c>
      <c r="DE35" s="156" t="str">
        <f>IF(ISERROR(VLOOKUP(CONCATENATE(DE$7,"-",MID($E35,1,100)),DATOS!$Z:$AA,2,0)),"",VLOOKUP(CONCATENATE(DE$7,"-",MID($E35,1,100)),DATOS!$Z:$AA,2,0))</f>
        <v/>
      </c>
      <c r="DF35" s="156" t="str">
        <f>IF(ISERROR(VLOOKUP(CONCATENATE(DF$7,"-",MID($E35,1,100)),DATOS!$Z:$AA,2,0)),"",VLOOKUP(CONCATENATE(DF$7,"-",MID($E35,1,100)),DATOS!$Z:$AA,2,0))</f>
        <v/>
      </c>
      <c r="DG35" s="156" t="str">
        <f>IF(ISERROR(VLOOKUP(CONCATENATE(DG$7,"-",MID($E35,1,100)),DATOS!$Z:$AA,2,0)),"",VLOOKUP(CONCATENATE(DG$7,"-",MID($E35,1,100)),DATOS!$Z:$AA,2,0))</f>
        <v/>
      </c>
      <c r="DH35" s="156" t="str">
        <f>IF(ISERROR(VLOOKUP(CONCATENATE(DH$7,"-",MID($E35,1,100)),DATOS!$Z:$AA,2,0)),"",VLOOKUP(CONCATENATE(DH$7,"-",MID($E35,1,100)),DATOS!$Z:$AA,2,0))</f>
        <v/>
      </c>
      <c r="DI35" s="156" t="str">
        <f>IF(ISERROR(VLOOKUP(CONCATENATE(DI$7,"-",MID($E35,1,100)),DATOS!$Z:$AA,2,0)),"",VLOOKUP(CONCATENATE(DI$7,"-",MID($E35,1,100)),DATOS!$Z:$AA,2,0))</f>
        <v/>
      </c>
      <c r="DJ35" s="194" t="str">
        <f>IF(ISERROR(VLOOKUP(CONCATENATE(DJ$7,"-",MID($E35,1,100)),DATOS!$Z:$AA,2,0)),"",VLOOKUP(CONCATENATE(DJ$7,"-",MID($E35,1,100)),DATOS!$Z:$AA,2,0))</f>
        <v/>
      </c>
      <c r="DK35" s="157" t="str">
        <f>IF(ISERROR(VLOOKUP(CONCATENATE(DK$7,"-",MID($E35,1,100)),DATOS!$Z:$AA,2,0)),"",VLOOKUP(CONCATENATE(DK$7,"-",MID($E35,1,100)),DATOS!$Z:$AA,2,0))</f>
        <v/>
      </c>
      <c r="DL35" s="155" t="str">
        <f>IF(ISERROR(VLOOKUP(CONCATENATE(DL$7,"-",MID($E35,1,100)),DATOS!$Z:$AA,2,0)),"",VLOOKUP(CONCATENATE(DL$7,"-",MID($E35,1,100)),DATOS!$Z:$AA,2,0))</f>
        <v/>
      </c>
      <c r="DM35" s="156" t="str">
        <f>IF(ISERROR(VLOOKUP(CONCATENATE(DM$7,"-",MID($E35,1,100)),DATOS!$Z:$AA,2,0)),"",VLOOKUP(CONCATENATE(DM$7,"-",MID($E35,1,100)),DATOS!$Z:$AA,2,0))</f>
        <v/>
      </c>
      <c r="DN35" s="156" t="str">
        <f>IF(ISERROR(VLOOKUP(CONCATENATE(DN$7,"-",MID($E35,1,100)),DATOS!$Z:$AA,2,0)),"",VLOOKUP(CONCATENATE(DN$7,"-",MID($E35,1,100)),DATOS!$Z:$AA,2,0))</f>
        <v/>
      </c>
      <c r="DO35" s="156" t="str">
        <f>IF(ISERROR(VLOOKUP(CONCATENATE(DO$7,"-",MID($E35,1,100)),DATOS!$Z:$AA,2,0)),"",VLOOKUP(CONCATENATE(DO$7,"-",MID($E35,1,100)),DATOS!$Z:$AA,2,0))</f>
        <v/>
      </c>
      <c r="DP35" s="156" t="str">
        <f>IF(ISERROR(VLOOKUP(CONCATENATE(DP$7,"-",MID($E35,1,100)),DATOS!$Z:$AA,2,0)),"",VLOOKUP(CONCATENATE(DP$7,"-",MID($E35,1,100)),DATOS!$Z:$AA,2,0))</f>
        <v/>
      </c>
      <c r="DQ35" s="156" t="str">
        <f>IF(ISERROR(VLOOKUP(CONCATENATE(DQ$7,"-",MID($E35,1,100)),DATOS!$Z:$AA,2,0)),"",VLOOKUP(CONCATENATE(DQ$7,"-",MID($E35,1,100)),DATOS!$Z:$AA,2,0))</f>
        <v/>
      </c>
      <c r="DR35" s="156" t="str">
        <f>IF(ISERROR(VLOOKUP(CONCATENATE(DR$7,"-",MID($E35,1,100)),DATOS!$Z:$AA,2,0)),"",VLOOKUP(CONCATENATE(DR$7,"-",MID($E35,1,100)),DATOS!$Z:$AA,2,0))</f>
        <v/>
      </c>
      <c r="DS35" s="156" t="str">
        <f>IF(ISERROR(VLOOKUP(CONCATENATE(DS$7,"-",MID($E35,1,100)),DATOS!$Z:$AA,2,0)),"",VLOOKUP(CONCATENATE(DS$7,"-",MID($E35,1,100)),DATOS!$Z:$AA,2,0))</f>
        <v/>
      </c>
      <c r="DT35" s="194" t="str">
        <f>IF(ISERROR(VLOOKUP(CONCATENATE(DT$7,"-",MID($E35,1,100)),DATOS!$Z:$AA,2,0)),"",VLOOKUP(CONCATENATE(DT$7,"-",MID($E35,1,100)),DATOS!$Z:$AA,2,0))</f>
        <v/>
      </c>
      <c r="DU35" s="157" t="str">
        <f>IF(ISERROR(VLOOKUP(CONCATENATE(DU$7,"-",MID($E35,1,100)),DATOS!$Z:$AA,2,0)),"",VLOOKUP(CONCATENATE(DU$7,"-",MID($E35,1,100)),DATOS!$Z:$AA,2,0))</f>
        <v/>
      </c>
      <c r="DV35" s="155" t="str">
        <f>IF(ISERROR(VLOOKUP(CONCATENATE(DV$7,"-",MID($E35,1,100)),DATOS!$Z:$AA,2,0)),"",VLOOKUP(CONCATENATE(DV$7,"-",MID($E35,1,100)),DATOS!$Z:$AA,2,0))</f>
        <v/>
      </c>
      <c r="DW35" s="156" t="str">
        <f>IF(ISERROR(VLOOKUP(CONCATENATE(DW$7,"-",MID($E35,1,100)),DATOS!$Z:$AA,2,0)),"",VLOOKUP(CONCATENATE(DW$7,"-",MID($E35,1,100)),DATOS!$Z:$AA,2,0))</f>
        <v/>
      </c>
      <c r="DX35" s="156" t="str">
        <f>IF(ISERROR(VLOOKUP(CONCATENATE(DX$7,"-",MID($E35,1,100)),DATOS!$Z:$AA,2,0)),"",VLOOKUP(CONCATENATE(DX$7,"-",MID($E35,1,100)),DATOS!$Z:$AA,2,0))</f>
        <v/>
      </c>
      <c r="DY35" s="156" t="str">
        <f>IF(ISERROR(VLOOKUP(CONCATENATE(DY$7,"-",MID($E35,1,100)),DATOS!$Z:$AA,2,0)),"",VLOOKUP(CONCATENATE(DY$7,"-",MID($E35,1,100)),DATOS!$Z:$AA,2,0))</f>
        <v/>
      </c>
      <c r="DZ35" s="156" t="str">
        <f>IF(ISERROR(VLOOKUP(CONCATENATE(DZ$7,"-",MID($E35,1,100)),DATOS!$Z:$AA,2,0)),"",VLOOKUP(CONCATENATE(DZ$7,"-",MID($E35,1,100)),DATOS!$Z:$AA,2,0))</f>
        <v/>
      </c>
      <c r="EA35" s="156" t="str">
        <f>IF(ISERROR(VLOOKUP(CONCATENATE(EA$7,"-",MID($E35,1,100)),DATOS!$Z:$AA,2,0)),"",VLOOKUP(CONCATENATE(EA$7,"-",MID($E35,1,100)),DATOS!$Z:$AA,2,0))</f>
        <v/>
      </c>
      <c r="EB35" s="156" t="str">
        <f>IF(ISERROR(VLOOKUP(CONCATENATE(EB$7,"-",MID($E35,1,100)),DATOS!$Z:$AA,2,0)),"",VLOOKUP(CONCATENATE(EB$7,"-",MID($E35,1,100)),DATOS!$Z:$AA,2,0))</f>
        <v/>
      </c>
      <c r="EC35" s="156" t="str">
        <f>IF(ISERROR(VLOOKUP(CONCATENATE(EC$7,"-",MID($E35,1,100)),DATOS!$Z:$AA,2,0)),"",VLOOKUP(CONCATENATE(EC$7,"-",MID($E35,1,100)),DATOS!$Z:$AA,2,0))</f>
        <v/>
      </c>
      <c r="ED35" s="194" t="str">
        <f>IF(ISERROR(VLOOKUP(CONCATENATE(ED$7,"-",MID($E35,1,100)),DATOS!$Z:$AA,2,0)),"",VLOOKUP(CONCATENATE(ED$7,"-",MID($E35,1,100)),DATOS!$Z:$AA,2,0))</f>
        <v/>
      </c>
      <c r="EE35" s="157" t="str">
        <f>IF(ISERROR(VLOOKUP(CONCATENATE(EE$7,"-",MID($E35,1,100)),DATOS!$Z:$AA,2,0)),"",VLOOKUP(CONCATENATE(EE$7,"-",MID($E35,1,100)),DATOS!$Z:$AA,2,0))</f>
        <v/>
      </c>
      <c r="EF35" s="155" t="str">
        <f>IF(ISERROR(VLOOKUP(CONCATENATE($EF$7,"-",MID(E35,1,100)),DATOS!Z:AA,2,0)),"",VLOOKUP(CONCATENATE($EF$7,"-",MID(E35,1,100)),DATOS!Z:AA,2,0))</f>
        <v/>
      </c>
      <c r="EG35" s="156" t="str">
        <f>IF(ISERROR(VLOOKUP(CONCATENATE($EG$7,"-",MID(E35,1,100)),DATOS!Z:AA,2,0)),"",VLOOKUP(CONCATENATE($EG$7,"-",MID(E35,1,100)),DATOS!Z:AA,2,0))</f>
        <v/>
      </c>
      <c r="EH35" s="156" t="str">
        <f>IF(ISERROR(VLOOKUP(CONCATENATE($EH$7,"-",MID(E35,1,100)),DATOS!Z:AA,2,0)),"",VLOOKUP(CONCATENATE($EH$7,"-",MID(E35,1,100)),DATOS!Z:AA,2,0))</f>
        <v/>
      </c>
      <c r="EI35" s="156" t="str">
        <f>IF(ISERROR(VLOOKUP(CONCATENATE($EI$7,"-",MID(E35,1,100)),DATOS!Z:AA,2,0)),"",VLOOKUP(CONCATENATE($EI$7,"-",MID(E35,1,100)),DATOS!Z:AA,2,0))</f>
        <v/>
      </c>
      <c r="EJ35" s="156" t="str">
        <f>IF(ISERROR(VLOOKUP(CONCATENATE($EJ$7,"-",MID(E35,1,100)),DATOS!Z:AA,2,0)),"",VLOOKUP(CONCATENATE($EJ$7,"-",MID(E35,1,100)),DATOS!Z:AA,2,0))</f>
        <v/>
      </c>
      <c r="EK35" s="156" t="str">
        <f>IF(ISERROR(VLOOKUP(CONCATENATE($EK$7,"-",MID(E35,1,100)),DATOS!Z:AA,2,0)),"",VLOOKUP(CONCATENATE($EK$7,"-",MID(E35,1,100)),DATOS!Z:AA,2,0))</f>
        <v/>
      </c>
      <c r="EL35" s="156" t="str">
        <f>IF(ISERROR(VLOOKUP(CONCATENATE($EL$7,"-",MID(E35,1,100)),DATOS!Z:AA,2,0)),"",VLOOKUP(CONCATENATE($EL$7,"-",MID(E35,1,100)),DATOS!Z:AA,2,0))</f>
        <v/>
      </c>
      <c r="EM35" s="156" t="str">
        <f>IF(ISERROR(VLOOKUP(CONCATENATE($EM$7,"-",MID(E35,1,100)),DATOS!Z:AA,2,0)),"",VLOOKUP(CONCATENATE($EM$7,"-",MID(E35,1,100)),DATOS!Z:AA,2,0))</f>
        <v/>
      </c>
      <c r="EN35" s="156" t="str">
        <f>IF(ISERROR(VLOOKUP(CONCATENATE($EN$7,"-",MID(E35,1,100)),DATOS!Z:AA,2,0)),"",VLOOKUP(CONCATENATE($EN$7,"-",MID(E35,1,100)),DATOS!Z:AA,2,0))</f>
        <v/>
      </c>
      <c r="EO35" s="157" t="str">
        <f>IF(ISERROR(VLOOKUP(CONCATENATE($EO$7,"-",MID(E35,1,100)),DATOS!Z:AA,2,0)),"",VLOOKUP(CONCATENATE($EO$7,"-",MID(E35,1,100)),DATOS!Z:AA,2,0))</f>
        <v/>
      </c>
      <c r="EP35" s="158">
        <f t="shared" si="0"/>
        <v>1</v>
      </c>
      <c r="EQ35" s="159" t="str">
        <f t="shared" si="1"/>
        <v>CP4: Investigación Educativa-N1</v>
      </c>
    </row>
    <row r="36" spans="1:147" ht="17.25" customHeight="1">
      <c r="A36" s="148"/>
      <c r="B36" s="160" t="str">
        <f>IF('1.Fundamentos'!B61="","",'1.Fundamentos'!B61)</f>
        <v>CP4: Investigación Educativa</v>
      </c>
      <c r="C36" s="161" t="s">
        <v>82</v>
      </c>
      <c r="D36" s="162" t="str">
        <f>IF('1.Fundamentos'!E61="","",'1.Fundamentos'!E61)</f>
        <v>Realiza proyectos de investigación reflejando sustento sobre el campo metodológico y teórico para sustentar los productos acreditables.</v>
      </c>
      <c r="E36" s="163" t="str">
        <f t="shared" si="2"/>
        <v>CP4: Investigación Educativa:N2 Realiza proyectos de investigación reflejando sustento sobre el campo metodológico y teórico para sustentar los productos acreditables.</v>
      </c>
      <c r="F36" s="164" t="str">
        <f>IF(ISERROR(VLOOKUP(CONCATENATE($F$7,"-",MID(E36,1,100)),DATOS!Z:AA,2,0)),"",VLOOKUP(CONCATENATE($F$7,"-",MID(E36,1,100)),DATOS!Z:AA,2,0))</f>
        <v/>
      </c>
      <c r="G36" s="165" t="str">
        <f>IF(ISERROR(VLOOKUP(CONCATENATE($G$7,"-",MID(E36,1,100)),DATOS!Z:AA,2,0)),"",VLOOKUP(CONCATENATE($G$7,"-",MID(E36,1,100)),DATOS!Z:AA,2,0))</f>
        <v/>
      </c>
      <c r="H36" s="165" t="str">
        <f>IF(ISERROR(VLOOKUP(CONCATENATE($H$7,"-",MID(E36,1,100)),DATOS!Z:AA,2,0)),"",VLOOKUP(CONCATENATE($H$7,"-",MID(E36,1,100)),DATOS!Z:AA,2,0))</f>
        <v/>
      </c>
      <c r="I36" s="165" t="str">
        <f>IF(ISERROR(VLOOKUP(CONCATENATE($I$7,"-",MID(E36,1,100)),DATOS!Z:AA,2,0)),"",VLOOKUP(CONCATENATE($I$7,"-",MID(E36,1,100)),DATOS!Z:AA,2,0))</f>
        <v/>
      </c>
      <c r="J36" s="165" t="str">
        <f>IF(ISERROR(VLOOKUP(CONCATENATE($J$7,"-",MID(E36,1,100)),DATOS!Z:AA,2,0)),"",VLOOKUP(CONCATENATE($J$7,"-",MID(E36,1,100)),DATOS!Z:AA,2,0))</f>
        <v/>
      </c>
      <c r="K36" s="165" t="str">
        <f>IF(ISERROR(VLOOKUP(CONCATENATE($K$7,"-",MID(E36,1,100)),DATOS!Z:AA,2,0)),"",VLOOKUP(CONCATENATE($K$7,"-",MID(E36,1,100)),DATOS!Z:AA,2,0))</f>
        <v/>
      </c>
      <c r="L36" s="165" t="str">
        <f>IF(ISERROR(VLOOKUP(CONCATENATE($L$7,"-",MID(E36,1,100)),DATOS!Z:AA,2,0)),"",VLOOKUP(CONCATENATE($L$7,"-",MID(E36,1,100)),DATOS!Z:AA,2,0))</f>
        <v/>
      </c>
      <c r="M36" s="165" t="str">
        <f>IF(ISERROR(VLOOKUP(CONCATENATE($M$7,"-",MID(E36,1,100)),DATOS!Z:AA,2,0)),"",VLOOKUP(CONCATENATE($M$7,"-",MID(E36,1,100)),DATOS!Z:AA,2,0))</f>
        <v/>
      </c>
      <c r="N36" s="165" t="str">
        <f>IF(ISERROR(VLOOKUP(CONCATENATE($N$7,"-",MID(E36,1,100)),DATOS!Z:AA,2,0)),"",VLOOKUP(CONCATENATE($N$7,"-",MID(E36,1,100)),DATOS!Z:AA,2,0))</f>
        <v/>
      </c>
      <c r="O36" s="166" t="str">
        <f>IF(ISERROR(VLOOKUP(CONCATENATE($O$7,"-",MID(E36,1,100)),DATOS!Z:AA,2,0)),"",VLOOKUP(CONCATENATE($O$7,"-",MID(E36,1,100)),DATOS!Z:AA,2,0))</f>
        <v/>
      </c>
      <c r="P36" s="164" t="str">
        <f>IF(ISERROR(VLOOKUP(CONCATENATE($P$7,"-",MID(E36,1,100)),DATOS!Z:AA,2,0)),"",VLOOKUP(CONCATENATE($P$7,"-",MID(E36,1,100)),DATOS!Z:AA,2,0))</f>
        <v/>
      </c>
      <c r="Q36" s="165" t="str">
        <f>IF(ISERROR(VLOOKUP(CONCATENATE($Q$7,"-",MID(E36,1,100)),DATOS!Z:AA,2,0)),"",VLOOKUP(CONCATENATE($Q$7,"-",MID(E36,1,100)),DATOS!Z:AA,2,0))</f>
        <v/>
      </c>
      <c r="R36" s="165" t="str">
        <f>IF(ISERROR(VLOOKUP(CONCATENATE($R$7,"-",MID(E36,1,100)),DATOS!Z:AA,2,0)),"",VLOOKUP(CONCATENATE($R$7,"-",MID(E36,1,100)),DATOS!Z:AA,2,0))</f>
        <v/>
      </c>
      <c r="S36" s="165" t="str">
        <f>IF(ISERROR(VLOOKUP(CONCATENATE($S$7,"-",MID(E36,1,100)),DATOS!Z:AA,2,0)),"",VLOOKUP(CONCATENATE($S$7,"-",MID(E36,1,100)),DATOS!Z:AA,2,0))</f>
        <v/>
      </c>
      <c r="T36" s="165" t="str">
        <f>IF(ISERROR(VLOOKUP(CONCATENATE($T$7,"-",MID(E36,1,100)),DATOS!Z:AA,2,0)),"",VLOOKUP(CONCATENATE($T$7,"-",MID(E36,1,100)),DATOS!Z:AA,2,0))</f>
        <v/>
      </c>
      <c r="U36" s="165" t="str">
        <f>IF(ISERROR(VLOOKUP(CONCATENATE($U$7,"-",MID(E36,1,100)),DATOS!Z:AA,2,0)),"",VLOOKUP(CONCATENATE($U$7,"-",MID(E36,1,100)),DATOS!Z:AA,2,0))</f>
        <v/>
      </c>
      <c r="V36" s="165" t="str">
        <f>IF(ISERROR(VLOOKUP(CONCATENATE($V$7,"-",MID(E36,1,100)),DATOS!Z:AA,2,0)),"",VLOOKUP(CONCATENATE($V$7,"-",MID(E36,1,100)),DATOS!Z:AA,2,0))</f>
        <v/>
      </c>
      <c r="W36" s="165" t="str">
        <f>IF(ISERROR(VLOOKUP(CONCATENATE($W$7,"-",MID(E36,1,100)),DATOS!Z:AA,2,0)),"",VLOOKUP(CONCATENATE($W$7,"-",MID(E36,1,100)),DATOS!Z:AA,2,0))</f>
        <v/>
      </c>
      <c r="X36" s="165" t="str">
        <f>IF(ISERROR(VLOOKUP(CONCATENATE($X$7,"-",MID(E36,1,100)),DATOS!Z:AA,2,0)),"",VLOOKUP(CONCATENATE($X$7,"-",MID(E36,1,100)),DATOS!Z:AA,2,0))</f>
        <v/>
      </c>
      <c r="Y36" s="166" t="str">
        <f>IF(ISERROR(VLOOKUP(CONCATENATE($Y$7,"-",MID(E36,1,100)),DATOS!Z:AA,2,0)),"",VLOOKUP(CONCATENATE($Y$7,"-",MID(E36,1,100)),DATOS!Z:AA,2,0))</f>
        <v/>
      </c>
      <c r="Z36" s="164" t="str">
        <f>IF(ISERROR(VLOOKUP(CONCATENATE($Z$7,"-",MID(E36,1,100)),DATOS!Z:AA,2,0)),"",VLOOKUP(CONCATENATE($Z$7,"-",MID(E36,1,100)),DATOS!Z:AA,2,0))</f>
        <v/>
      </c>
      <c r="AA36" s="165" t="str">
        <f>IF(ISERROR(VLOOKUP(CONCATENATE($AA$7,"-",MID(E36,1,100)),DATOS!Z:AA,2,0)),"",VLOOKUP(CONCATENATE($AA$7,"-",MID(E36,1,100)),DATOS!Z:AA,2,0))</f>
        <v/>
      </c>
      <c r="AB36" s="165" t="str">
        <f>IF(ISERROR(VLOOKUP(CONCATENATE($AB$7,"-",MID(E36,1,100)),DATOS!Z:AA,2,0)),"",VLOOKUP(CONCATENATE($AB$7,"-",MID(E36,1,100)),DATOS!Z:AA,2,0))</f>
        <v/>
      </c>
      <c r="AC36" s="165" t="str">
        <f>IF(ISERROR(VLOOKUP(CONCATENATE($AC$7,"-",MID(E36,1,100)),DATOS!Z:AA,2,0)),"",VLOOKUP(CONCATENATE($AC$7,"-",MID(E36,1,100)),DATOS!Z:AA,2,0))</f>
        <v/>
      </c>
      <c r="AD36" s="165" t="str">
        <f>IF(ISERROR(VLOOKUP(CONCATENATE($AD$7,"-",MID(E36,1,100)),DATOS!Z:AA,2,0)),"",VLOOKUP(CONCATENATE($AD$7,"-",MID(E36,1,100)),DATOS!Z:AA,2,0))</f>
        <v/>
      </c>
      <c r="AE36" s="165" t="str">
        <f>IF(ISERROR(VLOOKUP(CONCATENATE($AE$7,"-",MID(E36,1,100)),DATOS!Z:AA,2,0)),"",VLOOKUP(CONCATENATE($AE$7,"-",MID(E36,1,100)),DATOS!Z:AA,2,0))</f>
        <v/>
      </c>
      <c r="AF36" s="165" t="str">
        <f>IF(ISERROR(VLOOKUP(CONCATENATE($AF$7,"-",MID(E36,1,100)),DATOS!Z:AA,2,0)),"",VLOOKUP(CONCATENATE($AF$7,"-",MID(E36,1,100)),DATOS!Z:AA,2,0))</f>
        <v/>
      </c>
      <c r="AG36" s="165" t="str">
        <f>IF(ISERROR(VLOOKUP(CONCATENATE($AG$7,"-",MID(E36,1,100)),DATOS!Z:AA,2,0)),"",VLOOKUP(CONCATENATE($AG$7,"-",MID(E36,1,100)),DATOS!Z:AA,2,0))</f>
        <v/>
      </c>
      <c r="AH36" s="165" t="str">
        <f>IF(ISERROR(VLOOKUP(CONCATENATE($AH$7,"-",MID(E36,1,100)),DATOS!Z:AA,2,0)),"",VLOOKUP(CONCATENATE($AH$7,"-",MID(E36,1,100)),DATOS!Z:AA,2,0))</f>
        <v/>
      </c>
      <c r="AI36" s="166" t="str">
        <f>IF(ISERROR(VLOOKUP(CONCATENATE($AI$7,"-",MID(E36,1,100)),DATOS!Z:AA,2,0)),"",VLOOKUP(CONCATENATE($AI$7,"-",MID(E36,1,100)),DATOS!Z:AA,2,0))</f>
        <v/>
      </c>
      <c r="AJ36" s="164" t="str">
        <f>IF(ISERROR(VLOOKUP(CONCATENATE($AJ$7,"-",MID(E36,1,100)),DATOS!Z:AA,2,0)),"",VLOOKUP(CONCATENATE($AJ$7,"-",MID(E36,1,100)),DATOS!Z:AA,2,0))</f>
        <v/>
      </c>
      <c r="AK36" s="165" t="str">
        <f>IF(ISERROR(VLOOKUP(CONCATENATE($AK$7,"-",MID(E36,1,100)),DATOS!Z:AA,2,0)),"",VLOOKUP(CONCATENATE($AK$7,"-",MID(E36,1,100)),DATOS!Z:AA,2,0))</f>
        <v/>
      </c>
      <c r="AL36" s="165" t="str">
        <f>IF(ISERROR(VLOOKUP(CONCATENATE($AL$7,"-",MID(E36,1,100)),DATOS!Z:AA,2,0)),"",VLOOKUP(CONCATENATE($AL$7,"-",MID(E36,1,100)),DATOS!Z:AA,2,0))</f>
        <v/>
      </c>
      <c r="AM36" s="165" t="str">
        <f>IF(ISERROR(VLOOKUP(CONCATENATE($AM$7,"-",MID(E36,1,100)),DATOS!Z:AA,2,0)),"",VLOOKUP(CONCATENATE($AM$7,"-",MID(E36,1,100)),DATOS!Z:AA,2,0))</f>
        <v/>
      </c>
      <c r="AN36" s="165" t="str">
        <f>IF(ISERROR(VLOOKUP(CONCATENATE($AN$7,"-",MID(E36,1,100)),DATOS!Z:AA,2,0)),"",VLOOKUP(CONCATENATE($AN$7,"-",MID(E36,1,100)),DATOS!Z:AA,2,0))</f>
        <v/>
      </c>
      <c r="AO36" s="165" t="str">
        <f>IF(ISERROR(VLOOKUP(CONCATENATE($AO$7,"-",MID(E36,1,100)),DATOS!Z:AA,2,0)),"",VLOOKUP(CONCATENATE($AO$7,"-",MID(E36,1,100)),DATOS!Z:AA,2,0))</f>
        <v/>
      </c>
      <c r="AP36" s="165" t="str">
        <f>IF(ISERROR(VLOOKUP(CONCATENATE($AP$7,"-",MID(E36,1,100)),DATOS!Z:AA,2,0)),"",VLOOKUP(CONCATENATE($AP$7,"-",MID(E36,1,100)),DATOS!Z:AA,2,0))</f>
        <v/>
      </c>
      <c r="AQ36" s="165" t="str">
        <f>IF(ISERROR(VLOOKUP(CONCATENATE($AQ$7,"-",MID(E36,1,100)),DATOS!Z:AA,2,0)),"",VLOOKUP(CONCATENATE($AQ$7,"-",MID(E36,1,100)),DATOS!Z:AA,2,0))</f>
        <v/>
      </c>
      <c r="AR36" s="165" t="str">
        <f>IF(ISERROR(VLOOKUP(CONCATENATE($AR$7,"-",MID(E36,1,100)),DATOS!Z:AA,2,0)),"",VLOOKUP(CONCATENATE($AR$7,"-",MID(E36,1,100)),DATOS!Z:AA,2,0))</f>
        <v/>
      </c>
      <c r="AS36" s="166" t="str">
        <f>IF(ISERROR(VLOOKUP(CONCATENATE($AS$7,"-",MID(E36,1,100)),DATOS!Z:AA,2,0)),"",VLOOKUP(CONCATENATE($AS$7,"-",MID(E36,1,100)),DATOS!Z:AA,2,0))</f>
        <v/>
      </c>
      <c r="AT36" s="207" t="str">
        <f>IF(ISERROR(VLOOKUP(CONCATENATE($AT$7,"-",MID(E36,1,100)),DATOS!Z:AA,2,0)),"",VLOOKUP(CONCATENATE($AT$7,"-",MID(E36,1,100)),DATOS!Z:AA,2,0))</f>
        <v/>
      </c>
      <c r="AU36" s="208" t="str">
        <f>IF(ISERROR(VLOOKUP(CONCATENATE($AU$7,"-",MID(E36,1,100)),DATOS!Z:AA,2,0)),"",VLOOKUP(CONCATENATE($AU$7,"-",MID(E36,1,100)),DATOS!Z:AA,2,0))</f>
        <v/>
      </c>
      <c r="AV36" s="208" t="str">
        <f>IF(ISERROR(VLOOKUP(CONCATENATE($AV$7,"-",MID(E36,1,100)),DATOS!Z:AA,2,0)),"",VLOOKUP(CONCATENATE($AV$7,"-",MID(E36,1,100)),DATOS!Z:AA,2,0))</f>
        <v/>
      </c>
      <c r="AW36" s="208" t="str">
        <f>IF(ISERROR(VLOOKUP(CONCATENATE($AW$7,"-",MID(E36,1,100)),DATOS!Z:AA,2,0)),"",VLOOKUP(CONCATENATE($AW$7,"-",MID(E36,1,100)),DATOS!Z:AA,2,0))</f>
        <v/>
      </c>
      <c r="AX36" s="208" t="str">
        <f>IF(ISERROR(VLOOKUP(CONCATENATE($AX$7,"-",MID(E36,1,100)),DATOS!Z:AA,2,0)),"",VLOOKUP(CONCATENATE($AX$7,"-",MID(E36,1,100)),DATOS!Z:AA,2,0))</f>
        <v/>
      </c>
      <c r="AY36" s="208" t="str">
        <f>IF(ISERROR(VLOOKUP(CONCATENATE($AY$7,"-",MID(E36,1,100)),DATOS!Z:AA,2,0)),"",VLOOKUP(CONCATENATE($AY$7,"-",MID(E36,1,100)),DATOS!Z:AA,2,0))</f>
        <v/>
      </c>
      <c r="AZ36" s="208" t="str">
        <f>IF(ISERROR(VLOOKUP(CONCATENATE($AZ$7,"-",MID(E36,1,100)),DATOS!Z:AA,2,0)),"",VLOOKUP(CONCATENATE($AZ$7,"-",MID(E36,1,100)),DATOS!Z:AA,2,0))</f>
        <v/>
      </c>
      <c r="BA36" s="208" t="str">
        <f>IF(ISERROR(VLOOKUP(CONCATENATE($BA$7,"-",MID(E36,1,100)),DATOS!Z:AA,2,0)),"",VLOOKUP(CONCATENATE($BA$7,"-",MID(E36,1,100)),DATOS!Z:AA,2,0))</f>
        <v/>
      </c>
      <c r="BB36" s="208" t="str">
        <f>IF(ISERROR(VLOOKUP(CONCATENATE($BB$7,"-",MID(E36,1,100)),DATOS!Z:AA,2,0)),"",VLOOKUP(CONCATENATE($BB$7,"-",MID(E36,1,100)),DATOS!Z:AA,2,0))</f>
        <v/>
      </c>
      <c r="BC36" s="209" t="str">
        <f>IF(ISERROR(VLOOKUP(CONCATENATE($BC$7,"-",MID(E36,1,100)),DATOS!Z:AA,2,0)),"",VLOOKUP(CONCATENATE($BC$7,"-",MID(E36,1,100)),DATOS!Z:AA,2,0))</f>
        <v/>
      </c>
      <c r="BD36" s="207" t="str">
        <f>IF(ISERROR(VLOOKUP(CONCATENATE($BD$7,"-",MID(E36,1,100)),DATOS!Z:AA,2,0)),"",VLOOKUP(CONCATENATE($BD$7,"-",MID(E36,1,100)),DATOS!Z:AA,2,0))</f>
        <v/>
      </c>
      <c r="BE36" s="208" t="str">
        <f>IF(ISERROR(VLOOKUP(CONCATENATE($BE$7,"-",MID(E36,1,100)),DATOS!Z:AA,2,0)),"",VLOOKUP(CONCATENATE($BE$7,"-",MID(E36,1,100)),DATOS!Z:AA,2,0))</f>
        <v/>
      </c>
      <c r="BF36" s="208" t="str">
        <f>IF(ISERROR(VLOOKUP(CONCATENATE($BF$7,"-",MID(E36,1,100)),DATOS!Z:AA,2,0)),"",VLOOKUP(CONCATENATE($BF$7,"-",MID(E36,1,100)),DATOS!Z:AA,2,0))</f>
        <v/>
      </c>
      <c r="BG36" s="208" t="str">
        <f>IF(ISERROR(VLOOKUP(CONCATENATE($BG$7,"-",MID(E36,1,100)),DATOS!Z:AA,2,0)),"",VLOOKUP(CONCATENATE($BG$7,"-",MID(E36,1,100)),DATOS!Z:AA,2,0))</f>
        <v/>
      </c>
      <c r="BH36" s="208" t="str">
        <f>IF(ISERROR(VLOOKUP(CONCATENATE($BH$7,"-",MID(E36,1,100)),DATOS!Z:AA,2,0)),"",VLOOKUP(CONCATENATE($BH$7,"-",MID(E36,1,100)),DATOS!Z:AA,2,0))</f>
        <v/>
      </c>
      <c r="BI36" s="208" t="str">
        <f>IF(ISERROR(VLOOKUP(CONCATENATE($BI$7,"-",MID(E36,1,100)),DATOS!Z:AA,2,0)),"",VLOOKUP(CONCATENATE($BI$7,"-",MID(E36,1,100)),DATOS!Z:AA,2,0))</f>
        <v/>
      </c>
      <c r="BJ36" s="208" t="str">
        <f>IF(ISERROR(VLOOKUP(CONCATENATE($BJ$7,"-",MID(E36,1,100)),DATOS!Z:AA,2,0)),"",VLOOKUP(CONCATENATE($BJ$7,"-",MID(E36,1,100)),DATOS!Z:AA,2,0))</f>
        <v/>
      </c>
      <c r="BK36" s="208" t="str">
        <f>IF(ISERROR(VLOOKUP(CONCATENATE($BK$7,"-",MID(E36,1,100)),DATOS!Z:AA,2,0)),"",VLOOKUP(CONCATENATE($BK$7,"-",MID(E36,1,100)),DATOS!Z:AA,2,0))</f>
        <v/>
      </c>
      <c r="BL36" s="208" t="str">
        <f>IF(ISERROR(VLOOKUP(CONCATENATE($BL$7,"-",MID(E36,1,100)),DATOS!Z:AA,2,0)),"",VLOOKUP(CONCATENATE($BL$7,"-",MID(E36,1,100)),DATOS!Z:AA,2,0))</f>
        <v/>
      </c>
      <c r="BM36" s="209" t="str">
        <f>IF(ISERROR(VLOOKUP(CONCATENATE($BM$7,"-",MID(E36,1,100)),DATOS!Z:AA,2,0)),"",VLOOKUP(CONCATENATE($BM$7,"-",MID(E36,1,100)),DATOS!Z:AA,2,0))</f>
        <v/>
      </c>
      <c r="BN36" s="207" t="str">
        <f>IF(ISERROR(VLOOKUP(CONCATENATE($BN$7,"-",MID(E36,1,100)),DATOS!Z:AA,2,0)),"",VLOOKUP(CONCATENATE($BN$7,"-",MID(E36,1,100)),DATOS!Z:AA,2,0))</f>
        <v/>
      </c>
      <c r="BO36" s="208" t="str">
        <f>IF(ISERROR(VLOOKUP(CONCATENATE($BO$7,"-",MID(E36,1,100)),DATOS!Z:AA,2,0)),"",VLOOKUP(CONCATENATE($BO$7,"-",MID(E36,1,100)),DATOS!Z:AA,2,0))</f>
        <v>a</v>
      </c>
      <c r="BP36" s="208" t="str">
        <f>IF(ISERROR(VLOOKUP(CONCATENATE($BP$7,"-",MID(E36,1,100)),DATOS!Z:AA,2,0)),"",VLOOKUP(CONCATENATE($BP$7,"-",MID(E36,1,100)),DATOS!Z:AA,2,0))</f>
        <v>a</v>
      </c>
      <c r="BQ36" s="208" t="str">
        <f>IF(ISERROR(VLOOKUP(CONCATENATE($BQ$7,"-",MID(E36,1,100)),DATOS!Z:AA,2,0)),"",VLOOKUP(CONCATENATE($BQ$7,"-",MID(E36,1,100)),DATOS!Z:AA,2,0))</f>
        <v/>
      </c>
      <c r="BR36" s="208" t="str">
        <f>IF(ISERROR(VLOOKUP(CONCATENATE($BR$7,"-",MID(E36,1,100)),DATOS!Z:AA,2,0)),"",VLOOKUP(CONCATENATE($BR$7,"-",MID(E36,1,100)),DATOS!Z:AA,2,0))</f>
        <v/>
      </c>
      <c r="BS36" s="208" t="str">
        <f>IF(ISERROR(VLOOKUP(CONCATENATE($BS$7,"-",MID(E36,1,100)),DATOS!Z:AA,2,0)),"",VLOOKUP(CONCATENATE($BS$7,"-",MID(E36,1,100)),DATOS!Z:AA,2,0))</f>
        <v/>
      </c>
      <c r="BT36" s="208" t="str">
        <f>IF(ISERROR(VLOOKUP(CONCATENATE($BT$7,"-",MID(E36,1,100)),DATOS!Z:AA,2,0)),"",VLOOKUP(CONCATENATE($BT$7,"-",MID(E36,1,100)),DATOS!Z:AA,2,0))</f>
        <v/>
      </c>
      <c r="BU36" s="208" t="str">
        <f>IF(ISERROR(VLOOKUP(CONCATENATE($BU$7,"-",MID(E36,1,100)),DATOS!Z:AA,2,0)),"",VLOOKUP(CONCATENATE($BU$7,"-",MID(E36,1,100)),DATOS!Z:AA,2,0))</f>
        <v/>
      </c>
      <c r="BV36" s="208" t="str">
        <f>IF(ISERROR(VLOOKUP(CONCATENATE($BV$7,"-",MID(E36,1,100)),DATOS!Z:AA,2,0)),"",VLOOKUP(CONCATENATE($BV$7,"-",MID(E36,1,100)),DATOS!Z:AA,2,0))</f>
        <v/>
      </c>
      <c r="BW36" s="209" t="str">
        <f>IF(ISERROR(VLOOKUP(CONCATENATE($BW$7,"-",MID(E36,1,100)),DATOS!Z:AA,2,0)),"",VLOOKUP(CONCATENATE($BW$7,"-",MID(E36,1,100)),DATOS!Z:AA,2,0))</f>
        <v/>
      </c>
      <c r="BX36" s="164" t="str">
        <f>IF(ISERROR(VLOOKUP(CONCATENATE($BX$7,"-",MID(E36,1,100)),DATOS!Z:AA,2,0)),"",VLOOKUP(CONCATENATE($BX$7,"-",MID(E36,1,100)),DATOS!Z:AA,2,0))</f>
        <v/>
      </c>
      <c r="BY36" s="165" t="str">
        <f>IF(ISERROR(VLOOKUP(CONCATENATE($BY$7,"-",MID(E36,1,100)),DATOS!Z:AA,2,0)),"",VLOOKUP(CONCATENATE($BY$7,"-",MID(E36,1,100)),DATOS!Z:AA,2,0))</f>
        <v/>
      </c>
      <c r="BZ36" s="165" t="str">
        <f>IF(ISERROR(VLOOKUP(CONCATENATE($BZ$7,"-",MID(E36,1,100)),DATOS!Z:AA,2,0)),"",VLOOKUP(CONCATENATE($BZ$7,"-",MID(E36,1,100)),DATOS!Z:AA,2,0))</f>
        <v/>
      </c>
      <c r="CA36" s="165" t="str">
        <f>IF(ISERROR(VLOOKUP(CONCATENATE($CA$7,"-",MID(E36,1,100)),DATOS!Z:AA,2,0)),"",VLOOKUP(CONCATENATE($CA$7,"-",MID(E36,1,100)),DATOS!Z:AA,2,0))</f>
        <v/>
      </c>
      <c r="CB36" s="165" t="str">
        <f>IF(ISERROR(VLOOKUP(CONCATENATE($CB$7,"-",MID(E36,1,100)),DATOS!Z:AA,2,0)),"",VLOOKUP(CONCATENATE($CB$7,"-",MID(E36,1,100)),DATOS!Z:AA,2,0))</f>
        <v/>
      </c>
      <c r="CC36" s="165" t="str">
        <f>IF(ISERROR(VLOOKUP(CONCATENATE($CC$7,"-",MID(E36,1,100)),DATOS!Z:AA,2,0)),"",VLOOKUP(CONCATENATE($CC$7,"-",MID(E36,1,100)),DATOS!Z:AA,2,0))</f>
        <v/>
      </c>
      <c r="CD36" s="165" t="str">
        <f>IF(ISERROR(VLOOKUP(CONCATENATE($CD$7,"-",MID(E36,1,100)),DATOS!Z:AA,2,0)),"",VLOOKUP(CONCATENATE($CD$7,"-",MID(E36,1,100)),DATOS!Z:AA,2,0))</f>
        <v/>
      </c>
      <c r="CE36" s="165" t="str">
        <f>IF(ISERROR(VLOOKUP(CONCATENATE($CE$7,"-",MID(E36,1,100)),DATOS!Z:AA,2,0)),"",VLOOKUP(CONCATENATE($CE$7,"-",MID(E36,1,100)),DATOS!Z:AA,2,0))</f>
        <v/>
      </c>
      <c r="CF36" s="165" t="str">
        <f>IF(ISERROR(VLOOKUP(CONCATENATE($CF$7,"-",MID(E36,1,100)),DATOS!Z:AA,2,0)),"",VLOOKUP(CONCATENATE($CF$7,"-",MID(E36,1,100)),DATOS!Z:AA,2,0))</f>
        <v/>
      </c>
      <c r="CG36" s="166" t="str">
        <f>IF(ISERROR(VLOOKUP(CONCATENATE($CG$7,"-",MID(E36,1,100)),DATOS!Z:AA,2,0)),"",VLOOKUP(CONCATENATE($CG$7,"-",MID(E36,1,100)),DATOS!Z:AA,2,0))</f>
        <v/>
      </c>
      <c r="CH36" s="164" t="str">
        <f>IF(ISERROR(VLOOKUP(CONCATENATE($CH$7,"-",MID(E36,1,100)),DATOS!Z:AA,2,0)),"",VLOOKUP(CONCATENATE($CH$7,"-",MID(E36,1,100)),DATOS!Z:AA,2,0))</f>
        <v/>
      </c>
      <c r="CI36" s="165" t="str">
        <f>IF(ISERROR(VLOOKUP(CONCATENATE($CI$7,"-",MID(E36,1,100)),DATOS!Z:AA,2,0)),"",VLOOKUP(CONCATENATE($CI$7,"-",MID(E36,1,100)),DATOS!Z:AA,2,0))</f>
        <v/>
      </c>
      <c r="CJ36" s="165" t="str">
        <f>IF(ISERROR(VLOOKUP(CONCATENATE($CJ$7,"-",MID(E36,1,100)),DATOS!Z:AA,2,0)),"",VLOOKUP(CONCATENATE($CJ$7,"-",MID(E36,1,100)),DATOS!Z:AA,2,0))</f>
        <v/>
      </c>
      <c r="CK36" s="165" t="str">
        <f>IF(ISERROR(VLOOKUP(CONCATENATE($CK$7,"-",MID(E36,1,100)),DATOS!Z:AA,2,0)),"",VLOOKUP(CONCATENATE($CK$7,"-",MID(E36,1,100)),DATOS!Z:AA,2,0))</f>
        <v/>
      </c>
      <c r="CL36" s="165" t="str">
        <f>IF(ISERROR(VLOOKUP(CONCATENATE($CL$7,"-",MID(E36,1,100)),DATOS!Z:AA,2,0)),"",VLOOKUP(CONCATENATE($CL$7,"-",MID(E36,1,100)),DATOS!Z:AA,2,0))</f>
        <v/>
      </c>
      <c r="CM36" s="165" t="str">
        <f>IF(ISERROR(VLOOKUP(CONCATENATE($CM$7,"-",MID(E36,1,100)),DATOS!Z:AA,2,0)),"",VLOOKUP(CONCATENATE($CM$7,"-",MID(E36,1,100)),DATOS!Z:AA,2,0))</f>
        <v/>
      </c>
      <c r="CN36" s="165" t="str">
        <f>IF(ISERROR(VLOOKUP(CONCATENATE($CN$7,"-",MID(E36,1,100)),DATOS!Z:AA,2,0)),"",VLOOKUP(CONCATENATE($CN$7,"-",MID(E36,1,100)),DATOS!Z:AA,2,0))</f>
        <v/>
      </c>
      <c r="CO36" s="165" t="str">
        <f>IF(ISERROR(VLOOKUP(CONCATENATE($CO$7,"-",MID(E36,1,100)),DATOS!Z:AA,2,0)),"",VLOOKUP(CONCATENATE($CO$7,"-",MID(E36,1,100)),DATOS!Z:AA,2,0))</f>
        <v/>
      </c>
      <c r="CP36" s="195" t="str">
        <f>IF(ISERROR(VLOOKUP(CONCATENATE($CP$7,"-",MID(E36,1,100)),DATOS!Z:AA,2,0)),"",VLOOKUP(CONCATENATE($CP$7,"-",MID(E36,1,100)),DATOS!Z:AA,2,0))</f>
        <v/>
      </c>
      <c r="CQ36" s="166" t="str">
        <f>IF(ISERROR(VLOOKUP(CONCATENATE($CQ$7,"-",MID(E36,1,100)),DATOS!Z:AA,2,0)),"",VLOOKUP(CONCATENATE($CQ$7,"-",MID(E36,1,100)),DATOS!Z:AA,2,0))</f>
        <v/>
      </c>
      <c r="CR36" s="164" t="str">
        <f>IF(ISERROR(VLOOKUP(CONCATENATE(CR$7,"-",MID($E36,1,100)),DATOS!$Z:$AA,2,0)),"",VLOOKUP(CONCATENATE(CR$7,"-",MID($E36,1,100)),DATOS!$Z:$AA,2,0))</f>
        <v/>
      </c>
      <c r="CS36" s="165" t="str">
        <f>IF(ISERROR(VLOOKUP(CONCATENATE(CS$7,"-",MID($E36,1,100)),DATOS!$Z:$AA,2,0)),"",VLOOKUP(CONCATENATE(CS$7,"-",MID($E36,1,100)),DATOS!$Z:$AA,2,0))</f>
        <v/>
      </c>
      <c r="CT36" s="165" t="str">
        <f>IF(ISERROR(VLOOKUP(CONCATENATE(CT$7,"-",MID($E36,1,100)),DATOS!$Z:$AA,2,0)),"",VLOOKUP(CONCATENATE(CT$7,"-",MID($E36,1,100)),DATOS!$Z:$AA,2,0))</f>
        <v/>
      </c>
      <c r="CU36" s="165" t="str">
        <f>IF(ISERROR(VLOOKUP(CONCATENATE(CU$7,"-",MID($E36,1,100)),DATOS!$Z:$AA,2,0)),"",VLOOKUP(CONCATENATE(CU$7,"-",MID($E36,1,100)),DATOS!$Z:$AA,2,0))</f>
        <v/>
      </c>
      <c r="CV36" s="165" t="str">
        <f>IF(ISERROR(VLOOKUP(CONCATENATE(CV$7,"-",MID($E36,1,100)),DATOS!$Z:$AA,2,0)),"",VLOOKUP(CONCATENATE(CV$7,"-",MID($E36,1,100)),DATOS!$Z:$AA,2,0))</f>
        <v/>
      </c>
      <c r="CW36" s="165" t="str">
        <f>IF(ISERROR(VLOOKUP(CONCATENATE(CW$7,"-",MID($E36,1,100)),DATOS!$Z:$AA,2,0)),"",VLOOKUP(CONCATENATE(CW$7,"-",MID($E36,1,100)),DATOS!$Z:$AA,2,0))</f>
        <v/>
      </c>
      <c r="CX36" s="165" t="str">
        <f>IF(ISERROR(VLOOKUP(CONCATENATE(CX$7,"-",MID($E36,1,100)),DATOS!$Z:$AA,2,0)),"",VLOOKUP(CONCATENATE(CX$7,"-",MID($E36,1,100)),DATOS!$Z:$AA,2,0))</f>
        <v/>
      </c>
      <c r="CY36" s="165" t="str">
        <f>IF(ISERROR(VLOOKUP(CONCATENATE(CY$7,"-",MID($E36,1,100)),DATOS!$Z:$AA,2,0)),"",VLOOKUP(CONCATENATE(CY$7,"-",MID($E36,1,100)),DATOS!$Z:$AA,2,0))</f>
        <v/>
      </c>
      <c r="CZ36" s="195" t="str">
        <f>IF(ISERROR(VLOOKUP(CONCATENATE(CZ$7,"-",MID($E36,1,100)),DATOS!$Z:$AA,2,0)),"",VLOOKUP(CONCATENATE(CZ$7,"-",MID($E36,1,100)),DATOS!$Z:$AA,2,0))</f>
        <v/>
      </c>
      <c r="DA36" s="166" t="str">
        <f>IF(ISERROR(VLOOKUP(CONCATENATE(DA$7,"-",MID($E36,1,100)),DATOS!$Z:$AA,2,0)),"",VLOOKUP(CONCATENATE(DA$7,"-",MID($E36,1,100)),DATOS!$Z:$AA,2,0))</f>
        <v/>
      </c>
      <c r="DB36" s="164" t="str">
        <f>IF(ISERROR(VLOOKUP(CONCATENATE(DB$7,"-",MID($E36,1,100)),DATOS!$Z:$AA,2,0)),"",VLOOKUP(CONCATENATE(DB$7,"-",MID($E36,1,100)),DATOS!$Z:$AA,2,0))</f>
        <v/>
      </c>
      <c r="DC36" s="165" t="str">
        <f>IF(ISERROR(VLOOKUP(CONCATENATE(DC$7,"-",MID($E36,1,100)),DATOS!$Z:$AA,2,0)),"",VLOOKUP(CONCATENATE(DC$7,"-",MID($E36,1,100)),DATOS!$Z:$AA,2,0))</f>
        <v/>
      </c>
      <c r="DD36" s="165" t="str">
        <f>IF(ISERROR(VLOOKUP(CONCATENATE(DD$7,"-",MID($E36,1,100)),DATOS!$Z:$AA,2,0)),"",VLOOKUP(CONCATENATE(DD$7,"-",MID($E36,1,100)),DATOS!$Z:$AA,2,0))</f>
        <v/>
      </c>
      <c r="DE36" s="165" t="str">
        <f>IF(ISERROR(VLOOKUP(CONCATENATE(DE$7,"-",MID($E36,1,100)),DATOS!$Z:$AA,2,0)),"",VLOOKUP(CONCATENATE(DE$7,"-",MID($E36,1,100)),DATOS!$Z:$AA,2,0))</f>
        <v/>
      </c>
      <c r="DF36" s="165" t="str">
        <f>IF(ISERROR(VLOOKUP(CONCATENATE(DF$7,"-",MID($E36,1,100)),DATOS!$Z:$AA,2,0)),"",VLOOKUP(CONCATENATE(DF$7,"-",MID($E36,1,100)),DATOS!$Z:$AA,2,0))</f>
        <v/>
      </c>
      <c r="DG36" s="165" t="str">
        <f>IF(ISERROR(VLOOKUP(CONCATENATE(DG$7,"-",MID($E36,1,100)),DATOS!$Z:$AA,2,0)),"",VLOOKUP(CONCATENATE(DG$7,"-",MID($E36,1,100)),DATOS!$Z:$AA,2,0))</f>
        <v/>
      </c>
      <c r="DH36" s="165" t="str">
        <f>IF(ISERROR(VLOOKUP(CONCATENATE(DH$7,"-",MID($E36,1,100)),DATOS!$Z:$AA,2,0)),"",VLOOKUP(CONCATENATE(DH$7,"-",MID($E36,1,100)),DATOS!$Z:$AA,2,0))</f>
        <v/>
      </c>
      <c r="DI36" s="165" t="str">
        <f>IF(ISERROR(VLOOKUP(CONCATENATE(DI$7,"-",MID($E36,1,100)),DATOS!$Z:$AA,2,0)),"",VLOOKUP(CONCATENATE(DI$7,"-",MID($E36,1,100)),DATOS!$Z:$AA,2,0))</f>
        <v/>
      </c>
      <c r="DJ36" s="195" t="str">
        <f>IF(ISERROR(VLOOKUP(CONCATENATE(DJ$7,"-",MID($E36,1,100)),DATOS!$Z:$AA,2,0)),"",VLOOKUP(CONCATENATE(DJ$7,"-",MID($E36,1,100)),DATOS!$Z:$AA,2,0))</f>
        <v/>
      </c>
      <c r="DK36" s="166" t="str">
        <f>IF(ISERROR(VLOOKUP(CONCATENATE(DK$7,"-",MID($E36,1,100)),DATOS!$Z:$AA,2,0)),"",VLOOKUP(CONCATENATE(DK$7,"-",MID($E36,1,100)),DATOS!$Z:$AA,2,0))</f>
        <v/>
      </c>
      <c r="DL36" s="164" t="str">
        <f>IF(ISERROR(VLOOKUP(CONCATENATE(DL$7,"-",MID($E36,1,100)),DATOS!$Z:$AA,2,0)),"",VLOOKUP(CONCATENATE(DL$7,"-",MID($E36,1,100)),DATOS!$Z:$AA,2,0))</f>
        <v/>
      </c>
      <c r="DM36" s="165" t="str">
        <f>IF(ISERROR(VLOOKUP(CONCATENATE(DM$7,"-",MID($E36,1,100)),DATOS!$Z:$AA,2,0)),"",VLOOKUP(CONCATENATE(DM$7,"-",MID($E36,1,100)),DATOS!$Z:$AA,2,0))</f>
        <v/>
      </c>
      <c r="DN36" s="165" t="str">
        <f>IF(ISERROR(VLOOKUP(CONCATENATE(DN$7,"-",MID($E36,1,100)),DATOS!$Z:$AA,2,0)),"",VLOOKUP(CONCATENATE(DN$7,"-",MID($E36,1,100)),DATOS!$Z:$AA,2,0))</f>
        <v/>
      </c>
      <c r="DO36" s="165" t="str">
        <f>IF(ISERROR(VLOOKUP(CONCATENATE(DO$7,"-",MID($E36,1,100)),DATOS!$Z:$AA,2,0)),"",VLOOKUP(CONCATENATE(DO$7,"-",MID($E36,1,100)),DATOS!$Z:$AA,2,0))</f>
        <v/>
      </c>
      <c r="DP36" s="165" t="str">
        <f>IF(ISERROR(VLOOKUP(CONCATENATE(DP$7,"-",MID($E36,1,100)),DATOS!$Z:$AA,2,0)),"",VLOOKUP(CONCATENATE(DP$7,"-",MID($E36,1,100)),DATOS!$Z:$AA,2,0))</f>
        <v/>
      </c>
      <c r="DQ36" s="165" t="str">
        <f>IF(ISERROR(VLOOKUP(CONCATENATE(DQ$7,"-",MID($E36,1,100)),DATOS!$Z:$AA,2,0)),"",VLOOKUP(CONCATENATE(DQ$7,"-",MID($E36,1,100)),DATOS!$Z:$AA,2,0))</f>
        <v/>
      </c>
      <c r="DR36" s="165" t="str">
        <f>IF(ISERROR(VLOOKUP(CONCATENATE(DR$7,"-",MID($E36,1,100)),DATOS!$Z:$AA,2,0)),"",VLOOKUP(CONCATENATE(DR$7,"-",MID($E36,1,100)),DATOS!$Z:$AA,2,0))</f>
        <v/>
      </c>
      <c r="DS36" s="165" t="str">
        <f>IF(ISERROR(VLOOKUP(CONCATENATE(DS$7,"-",MID($E36,1,100)),DATOS!$Z:$AA,2,0)),"",VLOOKUP(CONCATENATE(DS$7,"-",MID($E36,1,100)),DATOS!$Z:$AA,2,0))</f>
        <v/>
      </c>
      <c r="DT36" s="195" t="str">
        <f>IF(ISERROR(VLOOKUP(CONCATENATE(DT$7,"-",MID($E36,1,100)),DATOS!$Z:$AA,2,0)),"",VLOOKUP(CONCATENATE(DT$7,"-",MID($E36,1,100)),DATOS!$Z:$AA,2,0))</f>
        <v/>
      </c>
      <c r="DU36" s="166" t="str">
        <f>IF(ISERROR(VLOOKUP(CONCATENATE(DU$7,"-",MID($E36,1,100)),DATOS!$Z:$AA,2,0)),"",VLOOKUP(CONCATENATE(DU$7,"-",MID($E36,1,100)),DATOS!$Z:$AA,2,0))</f>
        <v/>
      </c>
      <c r="DV36" s="164" t="str">
        <f>IF(ISERROR(VLOOKUP(CONCATENATE(DV$7,"-",MID($E36,1,100)),DATOS!$Z:$AA,2,0)),"",VLOOKUP(CONCATENATE(DV$7,"-",MID($E36,1,100)),DATOS!$Z:$AA,2,0))</f>
        <v/>
      </c>
      <c r="DW36" s="165" t="str">
        <f>IF(ISERROR(VLOOKUP(CONCATENATE(DW$7,"-",MID($E36,1,100)),DATOS!$Z:$AA,2,0)),"",VLOOKUP(CONCATENATE(DW$7,"-",MID($E36,1,100)),DATOS!$Z:$AA,2,0))</f>
        <v/>
      </c>
      <c r="DX36" s="165" t="str">
        <f>IF(ISERROR(VLOOKUP(CONCATENATE(DX$7,"-",MID($E36,1,100)),DATOS!$Z:$AA,2,0)),"",VLOOKUP(CONCATENATE(DX$7,"-",MID($E36,1,100)),DATOS!$Z:$AA,2,0))</f>
        <v/>
      </c>
      <c r="DY36" s="165" t="str">
        <f>IF(ISERROR(VLOOKUP(CONCATENATE(DY$7,"-",MID($E36,1,100)),DATOS!$Z:$AA,2,0)),"",VLOOKUP(CONCATENATE(DY$7,"-",MID($E36,1,100)),DATOS!$Z:$AA,2,0))</f>
        <v/>
      </c>
      <c r="DZ36" s="165" t="str">
        <f>IF(ISERROR(VLOOKUP(CONCATENATE(DZ$7,"-",MID($E36,1,100)),DATOS!$Z:$AA,2,0)),"",VLOOKUP(CONCATENATE(DZ$7,"-",MID($E36,1,100)),DATOS!$Z:$AA,2,0))</f>
        <v/>
      </c>
      <c r="EA36" s="165" t="str">
        <f>IF(ISERROR(VLOOKUP(CONCATENATE(EA$7,"-",MID($E36,1,100)),DATOS!$Z:$AA,2,0)),"",VLOOKUP(CONCATENATE(EA$7,"-",MID($E36,1,100)),DATOS!$Z:$AA,2,0))</f>
        <v/>
      </c>
      <c r="EB36" s="165" t="str">
        <f>IF(ISERROR(VLOOKUP(CONCATENATE(EB$7,"-",MID($E36,1,100)),DATOS!$Z:$AA,2,0)),"",VLOOKUP(CONCATENATE(EB$7,"-",MID($E36,1,100)),DATOS!$Z:$AA,2,0))</f>
        <v/>
      </c>
      <c r="EC36" s="165" t="str">
        <f>IF(ISERROR(VLOOKUP(CONCATENATE(EC$7,"-",MID($E36,1,100)),DATOS!$Z:$AA,2,0)),"",VLOOKUP(CONCATENATE(EC$7,"-",MID($E36,1,100)),DATOS!$Z:$AA,2,0))</f>
        <v/>
      </c>
      <c r="ED36" s="195" t="str">
        <f>IF(ISERROR(VLOOKUP(CONCATENATE(ED$7,"-",MID($E36,1,100)),DATOS!$Z:$AA,2,0)),"",VLOOKUP(CONCATENATE(ED$7,"-",MID($E36,1,100)),DATOS!$Z:$AA,2,0))</f>
        <v/>
      </c>
      <c r="EE36" s="166" t="str">
        <f>IF(ISERROR(VLOOKUP(CONCATENATE(EE$7,"-",MID($E36,1,100)),DATOS!$Z:$AA,2,0)),"",VLOOKUP(CONCATENATE(EE$7,"-",MID($E36,1,100)),DATOS!$Z:$AA,2,0))</f>
        <v/>
      </c>
      <c r="EF36" s="164" t="str">
        <f>IF(ISERROR(VLOOKUP(CONCATENATE($EF$7,"-",MID(E36,1,100)),DATOS!Z:AA,2,0)),"",VLOOKUP(CONCATENATE($EF$7,"-",MID(E36,1,100)),DATOS!Z:AA,2,0))</f>
        <v/>
      </c>
      <c r="EG36" s="165" t="str">
        <f>IF(ISERROR(VLOOKUP(CONCATENATE($EG$7,"-",MID(E36,1,100)),DATOS!Z:AA,2,0)),"",VLOOKUP(CONCATENATE($EG$7,"-",MID(E36,1,100)),DATOS!Z:AA,2,0))</f>
        <v/>
      </c>
      <c r="EH36" s="165" t="str">
        <f>IF(ISERROR(VLOOKUP(CONCATENATE($EH$7,"-",MID(E36,1,100)),DATOS!Z:AA,2,0)),"",VLOOKUP(CONCATENATE($EH$7,"-",MID(E36,1,100)),DATOS!Z:AA,2,0))</f>
        <v/>
      </c>
      <c r="EI36" s="165" t="str">
        <f>IF(ISERROR(VLOOKUP(CONCATENATE($EI$7,"-",MID(E36,1,100)),DATOS!Z:AA,2,0)),"",VLOOKUP(CONCATENATE($EI$7,"-",MID(E36,1,100)),DATOS!Z:AA,2,0))</f>
        <v/>
      </c>
      <c r="EJ36" s="165" t="str">
        <f>IF(ISERROR(VLOOKUP(CONCATENATE($EJ$7,"-",MID(E36,1,100)),DATOS!Z:AA,2,0)),"",VLOOKUP(CONCATENATE($EJ$7,"-",MID(E36,1,100)),DATOS!Z:AA,2,0))</f>
        <v/>
      </c>
      <c r="EK36" s="165" t="str">
        <f>IF(ISERROR(VLOOKUP(CONCATENATE($EK$7,"-",MID(E36,1,100)),DATOS!Z:AA,2,0)),"",VLOOKUP(CONCATENATE($EK$7,"-",MID(E36,1,100)),DATOS!Z:AA,2,0))</f>
        <v/>
      </c>
      <c r="EL36" s="165" t="str">
        <f>IF(ISERROR(VLOOKUP(CONCATENATE($EL$7,"-",MID(E36,1,100)),DATOS!Z:AA,2,0)),"",VLOOKUP(CONCATENATE($EL$7,"-",MID(E36,1,100)),DATOS!Z:AA,2,0))</f>
        <v/>
      </c>
      <c r="EM36" s="165" t="str">
        <f>IF(ISERROR(VLOOKUP(CONCATENATE($EM$7,"-",MID(E36,1,100)),DATOS!Z:AA,2,0)),"",VLOOKUP(CONCATENATE($EM$7,"-",MID(E36,1,100)),DATOS!Z:AA,2,0))</f>
        <v/>
      </c>
      <c r="EN36" s="165" t="str">
        <f>IF(ISERROR(VLOOKUP(CONCATENATE($EN$7,"-",MID(E36,1,100)),DATOS!Z:AA,2,0)),"",VLOOKUP(CONCATENATE($EN$7,"-",MID(E36,1,100)),DATOS!Z:AA,2,0))</f>
        <v/>
      </c>
      <c r="EO36" s="166" t="str">
        <f>IF(ISERROR(VLOOKUP(CONCATENATE($EO$7,"-",MID(E36,1,100)),DATOS!Z:AA,2,0)),"",VLOOKUP(CONCATENATE($EO$7,"-",MID(E36,1,100)),DATOS!Z:AA,2,0))</f>
        <v/>
      </c>
      <c r="EP36" s="167">
        <f t="shared" si="0"/>
        <v>2</v>
      </c>
      <c r="EQ36" s="159" t="str">
        <f t="shared" si="1"/>
        <v>CP4: Investigación Educativa-N2</v>
      </c>
    </row>
    <row r="37" spans="1:147" ht="17.25" customHeight="1">
      <c r="A37" s="148"/>
      <c r="B37" s="168" t="str">
        <f>IF('1.Fundamentos'!B61="","",'1.Fundamentos'!B61)</f>
        <v>CP4: Investigación Educativa</v>
      </c>
      <c r="C37" s="169" t="s">
        <v>84</v>
      </c>
      <c r="D37" s="170" t="str">
        <f>IF('1.Fundamentos'!D61="","",'1.Fundamentos'!D61)</f>
        <v>Elabora el proyecto de investigación demostrando consistencia sobre todo en el marco teórico, diseño metodológico y validación de los instrumentos de investigación.</v>
      </c>
      <c r="E37" s="171" t="str">
        <f t="shared" si="2"/>
        <v>CP4: Investigación Educativa:N3 Elabora el proyecto de investigación demostrando consistencia sobre todo en el marco teórico, diseño metodológico y validación de los instrumentos de investigación.</v>
      </c>
      <c r="F37" s="172" t="str">
        <f>IF(ISERROR(VLOOKUP(CONCATENATE($F$7,"-",MID(E37,1,100)),DATOS!Z:AA,2,0)),"",VLOOKUP(CONCATENATE($F$7,"-",MID(E37,1,100)),DATOS!Z:AA,2,0))</f>
        <v/>
      </c>
      <c r="G37" s="173" t="str">
        <f>IF(ISERROR(VLOOKUP(CONCATENATE($G$7,"-",MID(E37,1,100)),DATOS!Z:AA,2,0)),"",VLOOKUP(CONCATENATE($G$7,"-",MID(E37,1,100)),DATOS!Z:AA,2,0))</f>
        <v/>
      </c>
      <c r="H37" s="173" t="str">
        <f>IF(ISERROR(VLOOKUP(CONCATENATE($H$7,"-",MID(E37,1,100)),DATOS!Z:AA,2,0)),"",VLOOKUP(CONCATENATE($H$7,"-",MID(E37,1,100)),DATOS!Z:AA,2,0))</f>
        <v/>
      </c>
      <c r="I37" s="173" t="str">
        <f>IF(ISERROR(VLOOKUP(CONCATENATE($I$7,"-",MID(E37,1,100)),DATOS!Z:AA,2,0)),"",VLOOKUP(CONCATENATE($I$7,"-",MID(E37,1,100)),DATOS!Z:AA,2,0))</f>
        <v/>
      </c>
      <c r="J37" s="173" t="str">
        <f>IF(ISERROR(VLOOKUP(CONCATENATE($J$7,"-",MID(E37,1,100)),DATOS!Z:AA,2,0)),"",VLOOKUP(CONCATENATE($J$7,"-",MID(E37,1,100)),DATOS!Z:AA,2,0))</f>
        <v/>
      </c>
      <c r="K37" s="173" t="str">
        <f>IF(ISERROR(VLOOKUP(CONCATENATE($K$7,"-",MID(E37,1,100)),DATOS!Z:AA,2,0)),"",VLOOKUP(CONCATENATE($K$7,"-",MID(E37,1,100)),DATOS!Z:AA,2,0))</f>
        <v/>
      </c>
      <c r="L37" s="173" t="str">
        <f>IF(ISERROR(VLOOKUP(CONCATENATE($L$7,"-",MID(E37,1,100)),DATOS!Z:AA,2,0)),"",VLOOKUP(CONCATENATE($L$7,"-",MID(E37,1,100)),DATOS!Z:AA,2,0))</f>
        <v/>
      </c>
      <c r="M37" s="173" t="str">
        <f>IF(ISERROR(VLOOKUP(CONCATENATE($M$7,"-",MID(E37,1,100)),DATOS!Z:AA,2,0)),"",VLOOKUP(CONCATENATE($M$7,"-",MID(E37,1,100)),DATOS!Z:AA,2,0))</f>
        <v/>
      </c>
      <c r="N37" s="173" t="str">
        <f>IF(ISERROR(VLOOKUP(CONCATENATE($N$7,"-",MID(E37,1,100)),DATOS!Z:AA,2,0)),"",VLOOKUP(CONCATENATE($N$7,"-",MID(E37,1,100)),DATOS!Z:AA,2,0))</f>
        <v/>
      </c>
      <c r="O37" s="174" t="str">
        <f>IF(ISERROR(VLOOKUP(CONCATENATE($O$7,"-",MID(E37,1,100)),DATOS!Z:AA,2,0)),"",VLOOKUP(CONCATENATE($O$7,"-",MID(E37,1,100)),DATOS!Z:AA,2,0))</f>
        <v/>
      </c>
      <c r="P37" s="172" t="str">
        <f>IF(ISERROR(VLOOKUP(CONCATENATE($P$7,"-",MID(E37,1,100)),DATOS!Z:AA,2,0)),"",VLOOKUP(CONCATENATE($P$7,"-",MID(E37,1,100)),DATOS!Z:AA,2,0))</f>
        <v/>
      </c>
      <c r="Q37" s="173" t="str">
        <f>IF(ISERROR(VLOOKUP(CONCATENATE($Q$7,"-",MID(E37,1,100)),DATOS!Z:AA,2,0)),"",VLOOKUP(CONCATENATE($Q$7,"-",MID(E37,1,100)),DATOS!Z:AA,2,0))</f>
        <v/>
      </c>
      <c r="R37" s="173" t="str">
        <f>IF(ISERROR(VLOOKUP(CONCATENATE($R$7,"-",MID(E37,1,100)),DATOS!Z:AA,2,0)),"",VLOOKUP(CONCATENATE($R$7,"-",MID(E37,1,100)),DATOS!Z:AA,2,0))</f>
        <v/>
      </c>
      <c r="S37" s="173" t="str">
        <f>IF(ISERROR(VLOOKUP(CONCATENATE($S$7,"-",MID(E37,1,100)),DATOS!Z:AA,2,0)),"",VLOOKUP(CONCATENATE($S$7,"-",MID(E37,1,100)),DATOS!Z:AA,2,0))</f>
        <v/>
      </c>
      <c r="T37" s="173" t="str">
        <f>IF(ISERROR(VLOOKUP(CONCATENATE($T$7,"-",MID(E37,1,100)),DATOS!Z:AA,2,0)),"",VLOOKUP(CONCATENATE($T$7,"-",MID(E37,1,100)),DATOS!Z:AA,2,0))</f>
        <v/>
      </c>
      <c r="U37" s="173" t="str">
        <f>IF(ISERROR(VLOOKUP(CONCATENATE($U$7,"-",MID(E37,1,100)),DATOS!Z:AA,2,0)),"",VLOOKUP(CONCATENATE($U$7,"-",MID(E37,1,100)),DATOS!Z:AA,2,0))</f>
        <v/>
      </c>
      <c r="V37" s="173" t="str">
        <f>IF(ISERROR(VLOOKUP(CONCATENATE($V$7,"-",MID(E37,1,100)),DATOS!Z:AA,2,0)),"",VLOOKUP(CONCATENATE($V$7,"-",MID(E37,1,100)),DATOS!Z:AA,2,0))</f>
        <v/>
      </c>
      <c r="W37" s="173" t="str">
        <f>IF(ISERROR(VLOOKUP(CONCATENATE($W$7,"-",MID(E37,1,100)),DATOS!Z:AA,2,0)),"",VLOOKUP(CONCATENATE($W$7,"-",MID(E37,1,100)),DATOS!Z:AA,2,0))</f>
        <v/>
      </c>
      <c r="X37" s="173" t="str">
        <f>IF(ISERROR(VLOOKUP(CONCATENATE($X$7,"-",MID(E37,1,100)),DATOS!Z:AA,2,0)),"",VLOOKUP(CONCATENATE($X$7,"-",MID(E37,1,100)),DATOS!Z:AA,2,0))</f>
        <v/>
      </c>
      <c r="Y37" s="174" t="str">
        <f>IF(ISERROR(VLOOKUP(CONCATENATE($Y$7,"-",MID(E37,1,100)),DATOS!Z:AA,2,0)),"",VLOOKUP(CONCATENATE($Y$7,"-",MID(E37,1,100)),DATOS!Z:AA,2,0))</f>
        <v/>
      </c>
      <c r="Z37" s="172" t="str">
        <f>IF(ISERROR(VLOOKUP(CONCATENATE($Z$7,"-",MID(E37,1,100)),DATOS!Z:AA,2,0)),"",VLOOKUP(CONCATENATE($Z$7,"-",MID(E37,1,100)),DATOS!Z:AA,2,0))</f>
        <v/>
      </c>
      <c r="AA37" s="173" t="str">
        <f>IF(ISERROR(VLOOKUP(CONCATENATE($AA$7,"-",MID(E37,1,100)),DATOS!Z:AA,2,0)),"",VLOOKUP(CONCATENATE($AA$7,"-",MID(E37,1,100)),DATOS!Z:AA,2,0))</f>
        <v/>
      </c>
      <c r="AB37" s="173" t="str">
        <f>IF(ISERROR(VLOOKUP(CONCATENATE($AB$7,"-",MID(E37,1,100)),DATOS!Z:AA,2,0)),"",VLOOKUP(CONCATENATE($AB$7,"-",MID(E37,1,100)),DATOS!Z:AA,2,0))</f>
        <v/>
      </c>
      <c r="AC37" s="173" t="str">
        <f>IF(ISERROR(VLOOKUP(CONCATENATE($AC$7,"-",MID(E37,1,100)),DATOS!Z:AA,2,0)),"",VLOOKUP(CONCATENATE($AC$7,"-",MID(E37,1,100)),DATOS!Z:AA,2,0))</f>
        <v/>
      </c>
      <c r="AD37" s="173" t="str">
        <f>IF(ISERROR(VLOOKUP(CONCATENATE($AD$7,"-",MID(E37,1,100)),DATOS!Z:AA,2,0)),"",VLOOKUP(CONCATENATE($AD$7,"-",MID(E37,1,100)),DATOS!Z:AA,2,0))</f>
        <v/>
      </c>
      <c r="AE37" s="173" t="str">
        <f>IF(ISERROR(VLOOKUP(CONCATENATE($AE$7,"-",MID(E37,1,100)),DATOS!Z:AA,2,0)),"",VLOOKUP(CONCATENATE($AE$7,"-",MID(E37,1,100)),DATOS!Z:AA,2,0))</f>
        <v/>
      </c>
      <c r="AF37" s="173" t="str">
        <f>IF(ISERROR(VLOOKUP(CONCATENATE($AF$7,"-",MID(E37,1,100)),DATOS!Z:AA,2,0)),"",VLOOKUP(CONCATENATE($AF$7,"-",MID(E37,1,100)),DATOS!Z:AA,2,0))</f>
        <v/>
      </c>
      <c r="AG37" s="173" t="str">
        <f>IF(ISERROR(VLOOKUP(CONCATENATE($AG$7,"-",MID(E37,1,100)),DATOS!Z:AA,2,0)),"",VLOOKUP(CONCATENATE($AG$7,"-",MID(E37,1,100)),DATOS!Z:AA,2,0))</f>
        <v/>
      </c>
      <c r="AH37" s="173" t="str">
        <f>IF(ISERROR(VLOOKUP(CONCATENATE($AH$7,"-",MID(E37,1,100)),DATOS!Z:AA,2,0)),"",VLOOKUP(CONCATENATE($AH$7,"-",MID(E37,1,100)),DATOS!Z:AA,2,0))</f>
        <v/>
      </c>
      <c r="AI37" s="174" t="str">
        <f>IF(ISERROR(VLOOKUP(CONCATENATE($AI$7,"-",MID(E37,1,100)),DATOS!Z:AA,2,0)),"",VLOOKUP(CONCATENATE($AI$7,"-",MID(E37,1,100)),DATOS!Z:AA,2,0))</f>
        <v/>
      </c>
      <c r="AJ37" s="172" t="str">
        <f>IF(ISERROR(VLOOKUP(CONCATENATE($AJ$7,"-",MID(E37,1,100)),DATOS!Z:AA,2,0)),"",VLOOKUP(CONCATENATE($AJ$7,"-",MID(E37,1,100)),DATOS!Z:AA,2,0))</f>
        <v/>
      </c>
      <c r="AK37" s="173" t="str">
        <f>IF(ISERROR(VLOOKUP(CONCATENATE($AK$7,"-",MID(E37,1,100)),DATOS!Z:AA,2,0)),"",VLOOKUP(CONCATENATE($AK$7,"-",MID(E37,1,100)),DATOS!Z:AA,2,0))</f>
        <v/>
      </c>
      <c r="AL37" s="173" t="str">
        <f>IF(ISERROR(VLOOKUP(CONCATENATE($AL$7,"-",MID(E37,1,100)),DATOS!Z:AA,2,0)),"",VLOOKUP(CONCATENATE($AL$7,"-",MID(E37,1,100)),DATOS!Z:AA,2,0))</f>
        <v/>
      </c>
      <c r="AM37" s="173" t="str">
        <f>IF(ISERROR(VLOOKUP(CONCATENATE($AM$7,"-",MID(E37,1,100)),DATOS!Z:AA,2,0)),"",VLOOKUP(CONCATENATE($AM$7,"-",MID(E37,1,100)),DATOS!Z:AA,2,0))</f>
        <v/>
      </c>
      <c r="AN37" s="173" t="str">
        <f>IF(ISERROR(VLOOKUP(CONCATENATE($AN$7,"-",MID(E37,1,100)),DATOS!Z:AA,2,0)),"",VLOOKUP(CONCATENATE($AN$7,"-",MID(E37,1,100)),DATOS!Z:AA,2,0))</f>
        <v/>
      </c>
      <c r="AO37" s="173" t="str">
        <f>IF(ISERROR(VLOOKUP(CONCATENATE($AO$7,"-",MID(E37,1,100)),DATOS!Z:AA,2,0)),"",VLOOKUP(CONCATENATE($AO$7,"-",MID(E37,1,100)),DATOS!Z:AA,2,0))</f>
        <v/>
      </c>
      <c r="AP37" s="173" t="str">
        <f>IF(ISERROR(VLOOKUP(CONCATENATE($AP$7,"-",MID(E37,1,100)),DATOS!Z:AA,2,0)),"",VLOOKUP(CONCATENATE($AP$7,"-",MID(E37,1,100)),DATOS!Z:AA,2,0))</f>
        <v/>
      </c>
      <c r="AQ37" s="173" t="str">
        <f>IF(ISERROR(VLOOKUP(CONCATENATE($AQ$7,"-",MID(E37,1,100)),DATOS!Z:AA,2,0)),"",VLOOKUP(CONCATENATE($AQ$7,"-",MID(E37,1,100)),DATOS!Z:AA,2,0))</f>
        <v/>
      </c>
      <c r="AR37" s="173" t="str">
        <f>IF(ISERROR(VLOOKUP(CONCATENATE($AR$7,"-",MID(E37,1,100)),DATOS!Z:AA,2,0)),"",VLOOKUP(CONCATENATE($AR$7,"-",MID(E37,1,100)),DATOS!Z:AA,2,0))</f>
        <v/>
      </c>
      <c r="AS37" s="174" t="str">
        <f>IF(ISERROR(VLOOKUP(CONCATENATE($AS$7,"-",MID(E37,1,100)),DATOS!Z:AA,2,0)),"",VLOOKUP(CONCATENATE($AS$7,"-",MID(E37,1,100)),DATOS!Z:AA,2,0))</f>
        <v/>
      </c>
      <c r="AT37" s="172" t="str">
        <f>IF(ISERROR(VLOOKUP(CONCATENATE($AT$7,"-",MID(E37,1,100)),DATOS!Z:AA,2,0)),"",VLOOKUP(CONCATENATE($AT$7,"-",MID(E37,1,100)),DATOS!Z:AA,2,0))</f>
        <v/>
      </c>
      <c r="AU37" s="173" t="str">
        <f>IF(ISERROR(VLOOKUP(CONCATENATE($AU$7,"-",MID(E37,1,100)),DATOS!Z:AA,2,0)),"",VLOOKUP(CONCATENATE($AU$7,"-",MID(E37,1,100)),DATOS!Z:AA,2,0))</f>
        <v/>
      </c>
      <c r="AV37" s="173" t="str">
        <f>IF(ISERROR(VLOOKUP(CONCATENATE($AV$7,"-",MID(E37,1,100)),DATOS!Z:AA,2,0)),"",VLOOKUP(CONCATENATE($AV$7,"-",MID(E37,1,100)),DATOS!Z:AA,2,0))</f>
        <v/>
      </c>
      <c r="AW37" s="173" t="str">
        <f>IF(ISERROR(VLOOKUP(CONCATENATE($AW$7,"-",MID(E37,1,100)),DATOS!Z:AA,2,0)),"",VLOOKUP(CONCATENATE($AW$7,"-",MID(E37,1,100)),DATOS!Z:AA,2,0))</f>
        <v/>
      </c>
      <c r="AX37" s="173" t="str">
        <f>IF(ISERROR(VLOOKUP(CONCATENATE($AX$7,"-",MID(E37,1,100)),DATOS!Z:AA,2,0)),"",VLOOKUP(CONCATENATE($AX$7,"-",MID(E37,1,100)),DATOS!Z:AA,2,0))</f>
        <v/>
      </c>
      <c r="AY37" s="173" t="str">
        <f>IF(ISERROR(VLOOKUP(CONCATENATE($AY$7,"-",MID(E37,1,100)),DATOS!Z:AA,2,0)),"",VLOOKUP(CONCATENATE($AY$7,"-",MID(E37,1,100)),DATOS!Z:AA,2,0))</f>
        <v/>
      </c>
      <c r="AZ37" s="173" t="str">
        <f>IF(ISERROR(VLOOKUP(CONCATENATE($AZ$7,"-",MID(E37,1,100)),DATOS!Z:AA,2,0)),"",VLOOKUP(CONCATENATE($AZ$7,"-",MID(E37,1,100)),DATOS!Z:AA,2,0))</f>
        <v/>
      </c>
      <c r="BA37" s="173" t="str">
        <f>IF(ISERROR(VLOOKUP(CONCATENATE($BA$7,"-",MID(E37,1,100)),DATOS!Z:AA,2,0)),"",VLOOKUP(CONCATENATE($BA$7,"-",MID(E37,1,100)),DATOS!Z:AA,2,0))</f>
        <v/>
      </c>
      <c r="BB37" s="173" t="str">
        <f>IF(ISERROR(VLOOKUP(CONCATENATE($BB$7,"-",MID(E37,1,100)),DATOS!Z:AA,2,0)),"",VLOOKUP(CONCATENATE($BB$7,"-",MID(E37,1,100)),DATOS!Z:AA,2,0))</f>
        <v/>
      </c>
      <c r="BC37" s="174" t="str">
        <f>IF(ISERROR(VLOOKUP(CONCATENATE($BC$7,"-",MID(E37,1,100)),DATOS!Z:AA,2,0)),"",VLOOKUP(CONCATENATE($BC$7,"-",MID(E37,1,100)),DATOS!Z:AA,2,0))</f>
        <v/>
      </c>
      <c r="BD37" s="172" t="str">
        <f>IF(ISERROR(VLOOKUP(CONCATENATE($BD$7,"-",MID(E37,1,100)),DATOS!Z:AA,2,0)),"",VLOOKUP(CONCATENATE($BD$7,"-",MID(E37,1,100)),DATOS!Z:AA,2,0))</f>
        <v/>
      </c>
      <c r="BE37" s="173" t="str">
        <f>IF(ISERROR(VLOOKUP(CONCATENATE($BE$7,"-",MID(E37,1,100)),DATOS!Z:AA,2,0)),"",VLOOKUP(CONCATENATE($BE$7,"-",MID(E37,1,100)),DATOS!Z:AA,2,0))</f>
        <v/>
      </c>
      <c r="BF37" s="173" t="str">
        <f>IF(ISERROR(VLOOKUP(CONCATENATE($BF$7,"-",MID(E37,1,100)),DATOS!Z:AA,2,0)),"",VLOOKUP(CONCATENATE($BF$7,"-",MID(E37,1,100)),DATOS!Z:AA,2,0))</f>
        <v/>
      </c>
      <c r="BG37" s="173" t="str">
        <f>IF(ISERROR(VLOOKUP(CONCATENATE($BG$7,"-",MID(E37,1,100)),DATOS!Z:AA,2,0)),"",VLOOKUP(CONCATENATE($BG$7,"-",MID(E37,1,100)),DATOS!Z:AA,2,0))</f>
        <v/>
      </c>
      <c r="BH37" s="173" t="str">
        <f>IF(ISERROR(VLOOKUP(CONCATENATE($BH$7,"-",MID(E37,1,100)),DATOS!Z:AA,2,0)),"",VLOOKUP(CONCATENATE($BH$7,"-",MID(E37,1,100)),DATOS!Z:AA,2,0))</f>
        <v/>
      </c>
      <c r="BI37" s="173" t="str">
        <f>IF(ISERROR(VLOOKUP(CONCATENATE($BI$7,"-",MID(E37,1,100)),DATOS!Z:AA,2,0)),"",VLOOKUP(CONCATENATE($BI$7,"-",MID(E37,1,100)),DATOS!Z:AA,2,0))</f>
        <v/>
      </c>
      <c r="BJ37" s="173" t="str">
        <f>IF(ISERROR(VLOOKUP(CONCATENATE($BJ$7,"-",MID(E37,1,100)),DATOS!Z:AA,2,0)),"",VLOOKUP(CONCATENATE($BJ$7,"-",MID(E37,1,100)),DATOS!Z:AA,2,0))</f>
        <v/>
      </c>
      <c r="BK37" s="173" t="str">
        <f>IF(ISERROR(VLOOKUP(CONCATENATE($BK$7,"-",MID(E37,1,100)),DATOS!Z:AA,2,0)),"",VLOOKUP(CONCATENATE($BK$7,"-",MID(E37,1,100)),DATOS!Z:AA,2,0))</f>
        <v/>
      </c>
      <c r="BL37" s="173" t="str">
        <f>IF(ISERROR(VLOOKUP(CONCATENATE($BL$7,"-",MID(E37,1,100)),DATOS!Z:AA,2,0)),"",VLOOKUP(CONCATENATE($BL$7,"-",MID(E37,1,100)),DATOS!Z:AA,2,0))</f>
        <v/>
      </c>
      <c r="BM37" s="174" t="str">
        <f>IF(ISERROR(VLOOKUP(CONCATENATE($BM$7,"-",MID(E37,1,100)),DATOS!Z:AA,2,0)),"",VLOOKUP(CONCATENATE($BM$7,"-",MID(E37,1,100)),DATOS!Z:AA,2,0))</f>
        <v/>
      </c>
      <c r="BN37" s="172" t="str">
        <f>IF(ISERROR(VLOOKUP(CONCATENATE($BN$7,"-",MID(E37,1,100)),DATOS!Z:AA,2,0)),"",VLOOKUP(CONCATENATE($BN$7,"-",MID(E37,1,100)),DATOS!Z:AA,2,0))</f>
        <v/>
      </c>
      <c r="BO37" s="173" t="str">
        <f>IF(ISERROR(VLOOKUP(CONCATENATE($BO$7,"-",MID(E37,1,100)),DATOS!Z:AA,2,0)),"",VLOOKUP(CONCATENATE($BO$7,"-",MID(E37,1,100)),DATOS!Z:AA,2,0))</f>
        <v/>
      </c>
      <c r="BP37" s="173" t="str">
        <f>IF(ISERROR(VLOOKUP(CONCATENATE($BP$7,"-",MID(E37,1,100)),DATOS!Z:AA,2,0)),"",VLOOKUP(CONCATENATE($BP$7,"-",MID(E37,1,100)),DATOS!Z:AA,2,0))</f>
        <v/>
      </c>
      <c r="BQ37" s="173" t="str">
        <f>IF(ISERROR(VLOOKUP(CONCATENATE($BQ$7,"-",MID(E37,1,100)),DATOS!Z:AA,2,0)),"",VLOOKUP(CONCATENATE($BQ$7,"-",MID(E37,1,100)),DATOS!Z:AA,2,0))</f>
        <v/>
      </c>
      <c r="BR37" s="173" t="str">
        <f>IF(ISERROR(VLOOKUP(CONCATENATE($BR$7,"-",MID(E37,1,100)),DATOS!Z:AA,2,0)),"",VLOOKUP(CONCATENATE($BR$7,"-",MID(E37,1,100)),DATOS!Z:AA,2,0))</f>
        <v/>
      </c>
      <c r="BS37" s="173" t="str">
        <f>IF(ISERROR(VLOOKUP(CONCATENATE($BS$7,"-",MID(E37,1,100)),DATOS!Z:AA,2,0)),"",VLOOKUP(CONCATENATE($BS$7,"-",MID(E37,1,100)),DATOS!Z:AA,2,0))</f>
        <v/>
      </c>
      <c r="BT37" s="173" t="str">
        <f>IF(ISERROR(VLOOKUP(CONCATENATE($BT$7,"-",MID(E37,1,100)),DATOS!Z:AA,2,0)),"",VLOOKUP(CONCATENATE($BT$7,"-",MID(E37,1,100)),DATOS!Z:AA,2,0))</f>
        <v/>
      </c>
      <c r="BU37" s="173" t="str">
        <f>IF(ISERROR(VLOOKUP(CONCATENATE($BU$7,"-",MID(E37,1,100)),DATOS!Z:AA,2,0)),"",VLOOKUP(CONCATENATE($BU$7,"-",MID(E37,1,100)),DATOS!Z:AA,2,0))</f>
        <v/>
      </c>
      <c r="BV37" s="173" t="str">
        <f>IF(ISERROR(VLOOKUP(CONCATENATE($BV$7,"-",MID(E37,1,100)),DATOS!Z:AA,2,0)),"",VLOOKUP(CONCATENATE($BV$7,"-",MID(E37,1,100)),DATOS!Z:AA,2,0))</f>
        <v/>
      </c>
      <c r="BW37" s="174" t="str">
        <f>IF(ISERROR(VLOOKUP(CONCATENATE($BW$7,"-",MID(E37,1,100)),DATOS!Z:AA,2,0)),"",VLOOKUP(CONCATENATE($BW$7,"-",MID(E37,1,100)),DATOS!Z:AA,2,0))</f>
        <v/>
      </c>
      <c r="BX37" s="210" t="str">
        <f>IF(ISERROR(VLOOKUP(CONCATENATE($BX$7,"-",MID(E37,1,100)),DATOS!Z:AA,2,0)),"",VLOOKUP(CONCATENATE($BX$7,"-",MID(E37,1,100)),DATOS!Z:AA,2,0))</f>
        <v/>
      </c>
      <c r="BY37" s="211" t="str">
        <f>IF(ISERROR(VLOOKUP(CONCATENATE($BY$7,"-",MID(E37,1,100)),DATOS!Z:AA,2,0)),"",VLOOKUP(CONCATENATE($BY$7,"-",MID(E37,1,100)),DATOS!Z:AA,2,0))</f>
        <v/>
      </c>
      <c r="BZ37" s="211" t="str">
        <f>IF(ISERROR(VLOOKUP(CONCATENATE($BZ$7,"-",MID(E37,1,100)),DATOS!Z:AA,2,0)),"",VLOOKUP(CONCATENATE($BZ$7,"-",MID(E37,1,100)),DATOS!Z:AA,2,0))</f>
        <v>a</v>
      </c>
      <c r="CA37" s="211" t="str">
        <f>IF(ISERROR(VLOOKUP(CONCATENATE($CA$7,"-",MID(E37,1,100)),DATOS!Z:AA,2,0)),"",VLOOKUP(CONCATENATE($CA$7,"-",MID(E37,1,100)),DATOS!Z:AA,2,0))</f>
        <v>a</v>
      </c>
      <c r="CB37" s="211" t="str">
        <f>IF(ISERROR(VLOOKUP(CONCATENATE($CB$7,"-",MID(E37,1,100)),DATOS!Z:AA,2,0)),"",VLOOKUP(CONCATENATE($CB$7,"-",MID(E37,1,100)),DATOS!Z:AA,2,0))</f>
        <v/>
      </c>
      <c r="CC37" s="211" t="str">
        <f>IF(ISERROR(VLOOKUP(CONCATENATE($CC$7,"-",MID(E37,1,100)),DATOS!Z:AA,2,0)),"",VLOOKUP(CONCATENATE($CC$7,"-",MID(E37,1,100)),DATOS!Z:AA,2,0))</f>
        <v/>
      </c>
      <c r="CD37" s="211" t="str">
        <f>IF(ISERROR(VLOOKUP(CONCATENATE($CD$7,"-",MID(E37,1,100)),DATOS!Z:AA,2,0)),"",VLOOKUP(CONCATENATE($CD$7,"-",MID(E37,1,100)),DATOS!Z:AA,2,0))</f>
        <v/>
      </c>
      <c r="CE37" s="211" t="str">
        <f>IF(ISERROR(VLOOKUP(CONCATENATE($CE$7,"-",MID(E37,1,100)),DATOS!Z:AA,2,0)),"",VLOOKUP(CONCATENATE($CE$7,"-",MID(E37,1,100)),DATOS!Z:AA,2,0))</f>
        <v/>
      </c>
      <c r="CF37" s="211" t="str">
        <f>IF(ISERROR(VLOOKUP(CONCATENATE($CF$7,"-",MID(E37,1,100)),DATOS!Z:AA,2,0)),"",VLOOKUP(CONCATENATE($CF$7,"-",MID(E37,1,100)),DATOS!Z:AA,2,0))</f>
        <v/>
      </c>
      <c r="CG37" s="212" t="str">
        <f>IF(ISERROR(VLOOKUP(CONCATENATE($CG$7,"-",MID(E37,1,100)),DATOS!Z:AA,2,0)),"",VLOOKUP(CONCATENATE($CG$7,"-",MID(E37,1,100)),DATOS!Z:AA,2,0))</f>
        <v/>
      </c>
      <c r="CH37" s="210" t="str">
        <f>IF(ISERROR(VLOOKUP(CONCATENATE($CH$7,"-",MID(E37,1,100)),DATOS!Z:AA,2,0)),"",VLOOKUP(CONCATENATE($CH$7,"-",MID(E37,1,100)),DATOS!Z:AA,2,0))</f>
        <v/>
      </c>
      <c r="CI37" s="211" t="str">
        <f>IF(ISERROR(VLOOKUP(CONCATENATE($CI$7,"-",MID(E37,1,100)),DATOS!Z:AA,2,0)),"",VLOOKUP(CONCATENATE($CI$7,"-",MID(E37,1,100)),DATOS!Z:AA,2,0))</f>
        <v/>
      </c>
      <c r="CJ37" s="211" t="str">
        <f>IF(ISERROR(VLOOKUP(CONCATENATE($CJ$7,"-",MID(E37,1,100)),DATOS!Z:AA,2,0)),"",VLOOKUP(CONCATENATE($CJ$7,"-",MID(E37,1,100)),DATOS!Z:AA,2,0))</f>
        <v/>
      </c>
      <c r="CK37" s="211" t="str">
        <f>IF(ISERROR(VLOOKUP(CONCATENATE($CK$7,"-",MID(E37,1,100)),DATOS!Z:AA,2,0)),"",VLOOKUP(CONCATENATE($CK$7,"-",MID(E37,1,100)),DATOS!Z:AA,2,0))</f>
        <v/>
      </c>
      <c r="CL37" s="211" t="str">
        <f>IF(ISERROR(VLOOKUP(CONCATENATE($CL$7,"-",MID(E37,1,100)),DATOS!Z:AA,2,0)),"",VLOOKUP(CONCATENATE($CL$7,"-",MID(E37,1,100)),DATOS!Z:AA,2,0))</f>
        <v>a</v>
      </c>
      <c r="CM37" s="211" t="str">
        <f>IF(ISERROR(VLOOKUP(CONCATENATE($CM$7,"-",MID(E37,1,100)),DATOS!Z:AA,2,0)),"",VLOOKUP(CONCATENATE($CM$7,"-",MID(E37,1,100)),DATOS!Z:AA,2,0))</f>
        <v/>
      </c>
      <c r="CN37" s="211" t="str">
        <f>IF(ISERROR(VLOOKUP(CONCATENATE($CN$7,"-",MID(E37,1,100)),DATOS!Z:AA,2,0)),"",VLOOKUP(CONCATENATE($CN$7,"-",MID(E37,1,100)),DATOS!Z:AA,2,0))</f>
        <v/>
      </c>
      <c r="CO37" s="211" t="str">
        <f>IF(ISERROR(VLOOKUP(CONCATENATE($CO$7,"-",MID(E37,1,100)),DATOS!Z:AA,2,0)),"",VLOOKUP(CONCATENATE($CO$7,"-",MID(E37,1,100)),DATOS!Z:AA,2,0))</f>
        <v/>
      </c>
      <c r="CP37" s="213" t="str">
        <f>IF(ISERROR(VLOOKUP(CONCATENATE($CP$7,"-",MID(E37,1,100)),DATOS!Z:AA,2,0)),"",VLOOKUP(CONCATENATE($CP$7,"-",MID(E37,1,100)),DATOS!Z:AA,2,0))</f>
        <v/>
      </c>
      <c r="CQ37" s="212" t="str">
        <f>IF(ISERROR(VLOOKUP(CONCATENATE($CQ$7,"-",MID(E37,1,100)),DATOS!Z:AA,2,0)),"",VLOOKUP(CONCATENATE($CQ$7,"-",MID(E37,1,100)),DATOS!Z:AA,2,0))</f>
        <v/>
      </c>
      <c r="CR37" s="210" t="str">
        <f>IF(ISERROR(VLOOKUP(CONCATENATE(CR$7,"-",MID($E37,1,100)),DATOS!$Z:$AA,2,0)),"",VLOOKUP(CONCATENATE(CR$7,"-",MID($E37,1,100)),DATOS!$Z:$AA,2,0))</f>
        <v/>
      </c>
      <c r="CS37" s="211" t="str">
        <f>IF(ISERROR(VLOOKUP(CONCATENATE(CS$7,"-",MID($E37,1,100)),DATOS!$Z:$AA,2,0)),"",VLOOKUP(CONCATENATE(CS$7,"-",MID($E37,1,100)),DATOS!$Z:$AA,2,0))</f>
        <v>a</v>
      </c>
      <c r="CT37" s="211" t="str">
        <f>IF(ISERROR(VLOOKUP(CONCATENATE(CT$7,"-",MID($E37,1,100)),DATOS!$Z:$AA,2,0)),"",VLOOKUP(CONCATENATE(CT$7,"-",MID($E37,1,100)),DATOS!$Z:$AA,2,0))</f>
        <v/>
      </c>
      <c r="CU37" s="211" t="str">
        <f>IF(ISERROR(VLOOKUP(CONCATENATE(CU$7,"-",MID($E37,1,100)),DATOS!$Z:$AA,2,0)),"",VLOOKUP(CONCATENATE(CU$7,"-",MID($E37,1,100)),DATOS!$Z:$AA,2,0))</f>
        <v/>
      </c>
      <c r="CV37" s="211" t="str">
        <f>IF(ISERROR(VLOOKUP(CONCATENATE(CV$7,"-",MID($E37,1,100)),DATOS!$Z:$AA,2,0)),"",VLOOKUP(CONCATENATE(CV$7,"-",MID($E37,1,100)),DATOS!$Z:$AA,2,0))</f>
        <v/>
      </c>
      <c r="CW37" s="211" t="str">
        <f>IF(ISERROR(VLOOKUP(CONCATENATE(CW$7,"-",MID($E37,1,100)),DATOS!$Z:$AA,2,0)),"",VLOOKUP(CONCATENATE(CW$7,"-",MID($E37,1,100)),DATOS!$Z:$AA,2,0))</f>
        <v/>
      </c>
      <c r="CX37" s="211" t="str">
        <f>IF(ISERROR(VLOOKUP(CONCATENATE(CX$7,"-",MID($E37,1,100)),DATOS!$Z:$AA,2,0)),"",VLOOKUP(CONCATENATE(CX$7,"-",MID($E37,1,100)),DATOS!$Z:$AA,2,0))</f>
        <v/>
      </c>
      <c r="CY37" s="211" t="str">
        <f>IF(ISERROR(VLOOKUP(CONCATENATE(CY$7,"-",MID($E37,1,100)),DATOS!$Z:$AA,2,0)),"",VLOOKUP(CONCATENATE(CY$7,"-",MID($E37,1,100)),DATOS!$Z:$AA,2,0))</f>
        <v/>
      </c>
      <c r="CZ37" s="213" t="str">
        <f>IF(ISERROR(VLOOKUP(CONCATENATE(CZ$7,"-",MID($E37,1,100)),DATOS!$Z:$AA,2,0)),"",VLOOKUP(CONCATENATE(CZ$7,"-",MID($E37,1,100)),DATOS!$Z:$AA,2,0))</f>
        <v/>
      </c>
      <c r="DA37" s="212" t="str">
        <f>IF(ISERROR(VLOOKUP(CONCATENATE(DA$7,"-",MID($E37,1,100)),DATOS!$Z:$AA,2,0)),"",VLOOKUP(CONCATENATE(DA$7,"-",MID($E37,1,100)),DATOS!$Z:$AA,2,0))</f>
        <v/>
      </c>
      <c r="DB37" s="210" t="str">
        <f>IF(ISERROR(VLOOKUP(CONCATENATE(DB$7,"-",MID($E37,1,100)),DATOS!$Z:$AA,2,0)),"",VLOOKUP(CONCATENATE(DB$7,"-",MID($E37,1,100)),DATOS!$Z:$AA,2,0))</f>
        <v/>
      </c>
      <c r="DC37" s="211" t="str">
        <f>IF(ISERROR(VLOOKUP(CONCATENATE(DC$7,"-",MID($E37,1,100)),DATOS!$Z:$AA,2,0)),"",VLOOKUP(CONCATENATE(DC$7,"-",MID($E37,1,100)),DATOS!$Z:$AA,2,0))</f>
        <v/>
      </c>
      <c r="DD37" s="211" t="str">
        <f>IF(ISERROR(VLOOKUP(CONCATENATE(DD$7,"-",MID($E37,1,100)),DATOS!$Z:$AA,2,0)),"",VLOOKUP(CONCATENATE(DD$7,"-",MID($E37,1,100)),DATOS!$Z:$AA,2,0))</f>
        <v/>
      </c>
      <c r="DE37" s="211" t="str">
        <f>IF(ISERROR(VLOOKUP(CONCATENATE(DE$7,"-",MID($E37,1,100)),DATOS!$Z:$AA,2,0)),"",VLOOKUP(CONCATENATE(DE$7,"-",MID($E37,1,100)),DATOS!$Z:$AA,2,0))</f>
        <v/>
      </c>
      <c r="DF37" s="211" t="str">
        <f>IF(ISERROR(VLOOKUP(CONCATENATE(DF$7,"-",MID($E37,1,100)),DATOS!$Z:$AA,2,0)),"",VLOOKUP(CONCATENATE(DF$7,"-",MID($E37,1,100)),DATOS!$Z:$AA,2,0))</f>
        <v/>
      </c>
      <c r="DG37" s="211" t="str">
        <f>IF(ISERROR(VLOOKUP(CONCATENATE(DG$7,"-",MID($E37,1,100)),DATOS!$Z:$AA,2,0)),"",VLOOKUP(CONCATENATE(DG$7,"-",MID($E37,1,100)),DATOS!$Z:$AA,2,0))</f>
        <v/>
      </c>
      <c r="DH37" s="211" t="str">
        <f>IF(ISERROR(VLOOKUP(CONCATENATE(DH$7,"-",MID($E37,1,100)),DATOS!$Z:$AA,2,0)),"",VLOOKUP(CONCATENATE(DH$7,"-",MID($E37,1,100)),DATOS!$Z:$AA,2,0))</f>
        <v/>
      </c>
      <c r="DI37" s="211" t="str">
        <f>IF(ISERROR(VLOOKUP(CONCATENATE(DI$7,"-",MID($E37,1,100)),DATOS!$Z:$AA,2,0)),"",VLOOKUP(CONCATENATE(DI$7,"-",MID($E37,1,100)),DATOS!$Z:$AA,2,0))</f>
        <v/>
      </c>
      <c r="DJ37" s="213" t="str">
        <f>IF(ISERROR(VLOOKUP(CONCATENATE(DJ$7,"-",MID($E37,1,100)),DATOS!$Z:$AA,2,0)),"",VLOOKUP(CONCATENATE(DJ$7,"-",MID($E37,1,100)),DATOS!$Z:$AA,2,0))</f>
        <v/>
      </c>
      <c r="DK37" s="212" t="str">
        <f>IF(ISERROR(VLOOKUP(CONCATENATE(DK$7,"-",MID($E37,1,100)),DATOS!$Z:$AA,2,0)),"",VLOOKUP(CONCATENATE(DK$7,"-",MID($E37,1,100)),DATOS!$Z:$AA,2,0))</f>
        <v/>
      </c>
      <c r="DL37" s="210" t="str">
        <f>IF(ISERROR(VLOOKUP(CONCATENATE(DL$7,"-",MID($E37,1,100)),DATOS!$Z:$AA,2,0)),"",VLOOKUP(CONCATENATE(DL$7,"-",MID($E37,1,100)),DATOS!$Z:$AA,2,0))</f>
        <v/>
      </c>
      <c r="DM37" s="211" t="str">
        <f>IF(ISERROR(VLOOKUP(CONCATENATE(DM$7,"-",MID($E37,1,100)),DATOS!$Z:$AA,2,0)),"",VLOOKUP(CONCATENATE(DM$7,"-",MID($E37,1,100)),DATOS!$Z:$AA,2,0))</f>
        <v/>
      </c>
      <c r="DN37" s="211" t="str">
        <f>IF(ISERROR(VLOOKUP(CONCATENATE(DN$7,"-",MID($E37,1,100)),DATOS!$Z:$AA,2,0)),"",VLOOKUP(CONCATENATE(DN$7,"-",MID($E37,1,100)),DATOS!$Z:$AA,2,0))</f>
        <v/>
      </c>
      <c r="DO37" s="211" t="str">
        <f>IF(ISERROR(VLOOKUP(CONCATENATE(DO$7,"-",MID($E37,1,100)),DATOS!$Z:$AA,2,0)),"",VLOOKUP(CONCATENATE(DO$7,"-",MID($E37,1,100)),DATOS!$Z:$AA,2,0))</f>
        <v/>
      </c>
      <c r="DP37" s="211" t="str">
        <f>IF(ISERROR(VLOOKUP(CONCATENATE(DP$7,"-",MID($E37,1,100)),DATOS!$Z:$AA,2,0)),"",VLOOKUP(CONCATENATE(DP$7,"-",MID($E37,1,100)),DATOS!$Z:$AA,2,0))</f>
        <v/>
      </c>
      <c r="DQ37" s="211" t="str">
        <f>IF(ISERROR(VLOOKUP(CONCATENATE(DQ$7,"-",MID($E37,1,100)),DATOS!$Z:$AA,2,0)),"",VLOOKUP(CONCATENATE(DQ$7,"-",MID($E37,1,100)),DATOS!$Z:$AA,2,0))</f>
        <v/>
      </c>
      <c r="DR37" s="211" t="str">
        <f>IF(ISERROR(VLOOKUP(CONCATENATE(DR$7,"-",MID($E37,1,100)),DATOS!$Z:$AA,2,0)),"",VLOOKUP(CONCATENATE(DR$7,"-",MID($E37,1,100)),DATOS!$Z:$AA,2,0))</f>
        <v/>
      </c>
      <c r="DS37" s="211" t="str">
        <f>IF(ISERROR(VLOOKUP(CONCATENATE(DS$7,"-",MID($E37,1,100)),DATOS!$Z:$AA,2,0)),"",VLOOKUP(CONCATENATE(DS$7,"-",MID($E37,1,100)),DATOS!$Z:$AA,2,0))</f>
        <v/>
      </c>
      <c r="DT37" s="213" t="str">
        <f>IF(ISERROR(VLOOKUP(CONCATENATE(DT$7,"-",MID($E37,1,100)),DATOS!$Z:$AA,2,0)),"",VLOOKUP(CONCATENATE(DT$7,"-",MID($E37,1,100)),DATOS!$Z:$AA,2,0))</f>
        <v/>
      </c>
      <c r="DU37" s="212" t="str">
        <f>IF(ISERROR(VLOOKUP(CONCATENATE(DU$7,"-",MID($E37,1,100)),DATOS!$Z:$AA,2,0)),"",VLOOKUP(CONCATENATE(DU$7,"-",MID($E37,1,100)),DATOS!$Z:$AA,2,0))</f>
        <v/>
      </c>
      <c r="DV37" s="210" t="str">
        <f>IF(ISERROR(VLOOKUP(CONCATENATE(DV$7,"-",MID($E37,1,100)),DATOS!$Z:$AA,2,0)),"",VLOOKUP(CONCATENATE(DV$7,"-",MID($E37,1,100)),DATOS!$Z:$AA,2,0))</f>
        <v/>
      </c>
      <c r="DW37" s="211" t="str">
        <f>IF(ISERROR(VLOOKUP(CONCATENATE(DW$7,"-",MID($E37,1,100)),DATOS!$Z:$AA,2,0)),"",VLOOKUP(CONCATENATE(DW$7,"-",MID($E37,1,100)),DATOS!$Z:$AA,2,0))</f>
        <v/>
      </c>
      <c r="DX37" s="211" t="str">
        <f>IF(ISERROR(VLOOKUP(CONCATENATE(DX$7,"-",MID($E37,1,100)),DATOS!$Z:$AA,2,0)),"",VLOOKUP(CONCATENATE(DX$7,"-",MID($E37,1,100)),DATOS!$Z:$AA,2,0))</f>
        <v/>
      </c>
      <c r="DY37" s="211" t="str">
        <f>IF(ISERROR(VLOOKUP(CONCATENATE(DY$7,"-",MID($E37,1,100)),DATOS!$Z:$AA,2,0)),"",VLOOKUP(CONCATENATE(DY$7,"-",MID($E37,1,100)),DATOS!$Z:$AA,2,0))</f>
        <v/>
      </c>
      <c r="DZ37" s="211" t="str">
        <f>IF(ISERROR(VLOOKUP(CONCATENATE(DZ$7,"-",MID($E37,1,100)),DATOS!$Z:$AA,2,0)),"",VLOOKUP(CONCATENATE(DZ$7,"-",MID($E37,1,100)),DATOS!$Z:$AA,2,0))</f>
        <v/>
      </c>
      <c r="EA37" s="211" t="str">
        <f>IF(ISERROR(VLOOKUP(CONCATENATE(EA$7,"-",MID($E37,1,100)),DATOS!$Z:$AA,2,0)),"",VLOOKUP(CONCATENATE(EA$7,"-",MID($E37,1,100)),DATOS!$Z:$AA,2,0))</f>
        <v/>
      </c>
      <c r="EB37" s="211" t="str">
        <f>IF(ISERROR(VLOOKUP(CONCATENATE(EB$7,"-",MID($E37,1,100)),DATOS!$Z:$AA,2,0)),"",VLOOKUP(CONCATENATE(EB$7,"-",MID($E37,1,100)),DATOS!$Z:$AA,2,0))</f>
        <v/>
      </c>
      <c r="EC37" s="211" t="str">
        <f>IF(ISERROR(VLOOKUP(CONCATENATE(EC$7,"-",MID($E37,1,100)),DATOS!$Z:$AA,2,0)),"",VLOOKUP(CONCATENATE(EC$7,"-",MID($E37,1,100)),DATOS!$Z:$AA,2,0))</f>
        <v/>
      </c>
      <c r="ED37" s="213" t="str">
        <f>IF(ISERROR(VLOOKUP(CONCATENATE(ED$7,"-",MID($E37,1,100)),DATOS!$Z:$AA,2,0)),"",VLOOKUP(CONCATENATE(ED$7,"-",MID($E37,1,100)),DATOS!$Z:$AA,2,0))</f>
        <v/>
      </c>
      <c r="EE37" s="212" t="str">
        <f>IF(ISERROR(VLOOKUP(CONCATENATE(EE$7,"-",MID($E37,1,100)),DATOS!$Z:$AA,2,0)),"",VLOOKUP(CONCATENATE(EE$7,"-",MID($E37,1,100)),DATOS!$Z:$AA,2,0))</f>
        <v/>
      </c>
      <c r="EF37" s="210" t="str">
        <f>IF(ISERROR(VLOOKUP(CONCATENATE($EF$7,"-",MID(E37,1,100)),DATOS!Z:AA,2,0)),"",VLOOKUP(CONCATENATE($EF$7,"-",MID(E37,1,100)),DATOS!Z:AA,2,0))</f>
        <v/>
      </c>
      <c r="EG37" s="211" t="str">
        <f>IF(ISERROR(VLOOKUP(CONCATENATE($EG$7,"-",MID(E37,1,100)),DATOS!Z:AA,2,0)),"",VLOOKUP(CONCATENATE($EG$7,"-",MID(E37,1,100)),DATOS!Z:AA,2,0))</f>
        <v/>
      </c>
      <c r="EH37" s="211" t="str">
        <f>IF(ISERROR(VLOOKUP(CONCATENATE($EH$7,"-",MID(E37,1,100)),DATOS!Z:AA,2,0)),"",VLOOKUP(CONCATENATE($EH$7,"-",MID(E37,1,100)),DATOS!Z:AA,2,0))</f>
        <v/>
      </c>
      <c r="EI37" s="211" t="str">
        <f>IF(ISERROR(VLOOKUP(CONCATENATE($EI$7,"-",MID(E37,1,100)),DATOS!Z:AA,2,0)),"",VLOOKUP(CONCATENATE($EI$7,"-",MID(E37,1,100)),DATOS!Z:AA,2,0))</f>
        <v/>
      </c>
      <c r="EJ37" s="211" t="str">
        <f>IF(ISERROR(VLOOKUP(CONCATENATE($EJ$7,"-",MID(E37,1,100)),DATOS!Z:AA,2,0)),"",VLOOKUP(CONCATENATE($EJ$7,"-",MID(E37,1,100)),DATOS!Z:AA,2,0))</f>
        <v/>
      </c>
      <c r="EK37" s="211" t="str">
        <f>IF(ISERROR(VLOOKUP(CONCATENATE($EK$7,"-",MID(E37,1,100)),DATOS!Z:AA,2,0)),"",VLOOKUP(CONCATENATE($EK$7,"-",MID(E37,1,100)),DATOS!Z:AA,2,0))</f>
        <v/>
      </c>
      <c r="EL37" s="211" t="str">
        <f>IF(ISERROR(VLOOKUP(CONCATENATE($EL$7,"-",MID(E37,1,100)),DATOS!Z:AA,2,0)),"",VLOOKUP(CONCATENATE($EL$7,"-",MID(E37,1,100)),DATOS!Z:AA,2,0))</f>
        <v/>
      </c>
      <c r="EM37" s="211" t="str">
        <f>IF(ISERROR(VLOOKUP(CONCATENATE($EM$7,"-",MID(E37,1,100)),DATOS!Z:AA,2,0)),"",VLOOKUP(CONCATENATE($EM$7,"-",MID(E37,1,100)),DATOS!Z:AA,2,0))</f>
        <v/>
      </c>
      <c r="EN37" s="211" t="str">
        <f>IF(ISERROR(VLOOKUP(CONCATENATE($EN$7,"-",MID(E37,1,100)),DATOS!Z:AA,2,0)),"",VLOOKUP(CONCATENATE($EN$7,"-",MID(E37,1,100)),DATOS!Z:AA,2,0))</f>
        <v/>
      </c>
      <c r="EO37" s="212" t="str">
        <f>IF(ISERROR(VLOOKUP(CONCATENATE($EO$7,"-",MID(E37,1,100)),DATOS!Z:AA,2,0)),"",VLOOKUP(CONCATENATE($EO$7,"-",MID(E37,1,100)),DATOS!Z:AA,2,0))</f>
        <v/>
      </c>
      <c r="EP37" s="175">
        <f t="shared" si="0"/>
        <v>4</v>
      </c>
      <c r="EQ37" s="159" t="str">
        <f t="shared" si="1"/>
        <v>CP4: Investigación Educativa-N3</v>
      </c>
    </row>
    <row r="38" spans="1:147" ht="17.25" customHeight="1">
      <c r="A38" s="148"/>
      <c r="B38" s="151" t="str">
        <f>IF('1.Fundamentos'!B62="","",'1.Fundamentos'!B62)</f>
        <v>CP5: Comprensión y expresión del idioma inglés</v>
      </c>
      <c r="C38" s="152" t="s">
        <v>78</v>
      </c>
      <c r="D38" s="153" t="str">
        <f>IF('1.Fundamentos'!F62="","",'1.Fundamentos'!F62)</f>
        <v>Emplea el uso de las TIC para el proceso de sistematización del proceso enseñanza aprendizaje.</v>
      </c>
      <c r="E38" s="154" t="str">
        <f t="shared" si="2"/>
        <v>CP5: Comprensión y expresión del idioma inglés:N1 Emplea el uso de las TIC para el proceso de sistematización del proceso enseñanza aprendizaje.</v>
      </c>
      <c r="F38" s="204" t="str">
        <f>IF(ISERROR(VLOOKUP(CONCATENATE($F$7,"-",MID(E38,1,100)),DATOS!Z:AA,2,0)),"",VLOOKUP(CONCATENATE($F$7,"-",MID(E38,1,100)),DATOS!Z:AA,2,0))</f>
        <v/>
      </c>
      <c r="G38" s="205" t="str">
        <f>IF(ISERROR(VLOOKUP(CONCATENATE($G$7,"-",MID(E38,1,100)),DATOS!Z:AA,2,0)),"",VLOOKUP(CONCATENATE($G$7,"-",MID(E38,1,100)),DATOS!Z:AA,2,0))</f>
        <v/>
      </c>
      <c r="H38" s="205" t="str">
        <f>IF(ISERROR(VLOOKUP(CONCATENATE($H$7,"-",MID(E38,1,100)),DATOS!Z:AA,2,0)),"",VLOOKUP(CONCATENATE($H$7,"-",MID(E38,1,100)),DATOS!Z:AA,2,0))</f>
        <v/>
      </c>
      <c r="I38" s="205" t="str">
        <f>IF(ISERROR(VLOOKUP(CONCATENATE($I$7,"-",MID(E38,1,100)),DATOS!Z:AA,2,0)),"",VLOOKUP(CONCATENATE($I$7,"-",MID(E38,1,100)),DATOS!Z:AA,2,0))</f>
        <v/>
      </c>
      <c r="J38" s="205" t="str">
        <f>IF(ISERROR(VLOOKUP(CONCATENATE($J$7,"-",MID(E38,1,100)),DATOS!Z:AA,2,0)),"",VLOOKUP(CONCATENATE($J$7,"-",MID(E38,1,100)),DATOS!Z:AA,2,0))</f>
        <v/>
      </c>
      <c r="K38" s="205" t="str">
        <f>IF(ISERROR(VLOOKUP(CONCATENATE($K$7,"-",MID(E38,1,100)),DATOS!Z:AA,2,0)),"",VLOOKUP(CONCATENATE($K$7,"-",MID(E38,1,100)),DATOS!Z:AA,2,0))</f>
        <v/>
      </c>
      <c r="L38" s="205" t="str">
        <f>IF(ISERROR(VLOOKUP(CONCATENATE($L$7,"-",MID(E38,1,100)),DATOS!Z:AA,2,0)),"",VLOOKUP(CONCATENATE($L$7,"-",MID(E38,1,100)),DATOS!Z:AA,2,0))</f>
        <v/>
      </c>
      <c r="M38" s="205" t="str">
        <f>IF(ISERROR(VLOOKUP(CONCATENATE($M$7,"-",MID(E38,1,100)),DATOS!Z:AA,2,0)),"",VLOOKUP(CONCATENATE($M$7,"-",MID(E38,1,100)),DATOS!Z:AA,2,0))</f>
        <v/>
      </c>
      <c r="N38" s="205" t="str">
        <f>IF(ISERROR(VLOOKUP(CONCATENATE($N$7,"-",MID(E38,1,100)),DATOS!Z:AA,2,0)),"",VLOOKUP(CONCATENATE($N$7,"-",MID(E38,1,100)),DATOS!Z:AA,2,0))</f>
        <v/>
      </c>
      <c r="O38" s="206" t="str">
        <f>IF(ISERROR(VLOOKUP(CONCATENATE($O$7,"-",MID(E38,1,100)),DATOS!Z:AA,2,0)),"",VLOOKUP(CONCATENATE($O$7,"-",MID(E38,1,100)),DATOS!Z:AA,2,0))</f>
        <v/>
      </c>
      <c r="P38" s="204" t="str">
        <f>IF(ISERROR(VLOOKUP(CONCATENATE($P$7,"-",MID(E38,1,100)),DATOS!Z:AA,2,0)),"",VLOOKUP(CONCATENATE($P$7,"-",MID(E38,1,100)),DATOS!Z:AA,2,0))</f>
        <v/>
      </c>
      <c r="Q38" s="205" t="str">
        <f>IF(ISERROR(VLOOKUP(CONCATENATE($Q$7,"-",MID(E38,1,100)),DATOS!Z:AA,2,0)),"",VLOOKUP(CONCATENATE($Q$7,"-",MID(E38,1,100)),DATOS!Z:AA,2,0))</f>
        <v/>
      </c>
      <c r="R38" s="205" t="str">
        <f>IF(ISERROR(VLOOKUP(CONCATENATE($R$7,"-",MID(E38,1,100)),DATOS!Z:AA,2,0)),"",VLOOKUP(CONCATENATE($R$7,"-",MID(E38,1,100)),DATOS!Z:AA,2,0))</f>
        <v/>
      </c>
      <c r="S38" s="205" t="str">
        <f>IF(ISERROR(VLOOKUP(CONCATENATE($S$7,"-",MID(E38,1,100)),DATOS!Z:AA,2,0)),"",VLOOKUP(CONCATENATE($S$7,"-",MID(E38,1,100)),DATOS!Z:AA,2,0))</f>
        <v/>
      </c>
      <c r="T38" s="205" t="str">
        <f>IF(ISERROR(VLOOKUP(CONCATENATE($T$7,"-",MID(E38,1,100)),DATOS!Z:AA,2,0)),"",VLOOKUP(CONCATENATE($T$7,"-",MID(E38,1,100)),DATOS!Z:AA,2,0))</f>
        <v/>
      </c>
      <c r="U38" s="205" t="str">
        <f>IF(ISERROR(VLOOKUP(CONCATENATE($U$7,"-",MID(E38,1,100)),DATOS!Z:AA,2,0)),"",VLOOKUP(CONCATENATE($U$7,"-",MID(E38,1,100)),DATOS!Z:AA,2,0))</f>
        <v/>
      </c>
      <c r="V38" s="205" t="str">
        <f>IF(ISERROR(VLOOKUP(CONCATENATE($V$7,"-",MID(E38,1,100)),DATOS!Z:AA,2,0)),"",VLOOKUP(CONCATENATE($V$7,"-",MID(E38,1,100)),DATOS!Z:AA,2,0))</f>
        <v/>
      </c>
      <c r="W38" s="205" t="str">
        <f>IF(ISERROR(VLOOKUP(CONCATENATE($W$7,"-",MID(E38,1,100)),DATOS!Z:AA,2,0)),"",VLOOKUP(CONCATENATE($W$7,"-",MID(E38,1,100)),DATOS!Z:AA,2,0))</f>
        <v/>
      </c>
      <c r="X38" s="205" t="str">
        <f>IF(ISERROR(VLOOKUP(CONCATENATE($X$7,"-",MID(E38,1,100)),DATOS!Z:AA,2,0)),"",VLOOKUP(CONCATENATE($X$7,"-",MID(E38,1,100)),DATOS!Z:AA,2,0))</f>
        <v/>
      </c>
      <c r="Y38" s="206" t="str">
        <f>IF(ISERROR(VLOOKUP(CONCATENATE($Y$7,"-",MID(E38,1,100)),DATOS!Z:AA,2,0)),"",VLOOKUP(CONCATENATE($Y$7,"-",MID(E38,1,100)),DATOS!Z:AA,2,0))</f>
        <v/>
      </c>
      <c r="Z38" s="204" t="str">
        <f>IF(ISERROR(VLOOKUP(CONCATENATE($Z$7,"-",MID(E38,1,100)),DATOS!Z:AA,2,0)),"",VLOOKUP(CONCATENATE($Z$7,"-",MID(E38,1,100)),DATOS!Z:AA,2,0))</f>
        <v/>
      </c>
      <c r="AA38" s="205" t="str">
        <f>IF(ISERROR(VLOOKUP(CONCATENATE($AA$7,"-",MID(E38,1,100)),DATOS!Z:AA,2,0)),"",VLOOKUP(CONCATENATE($AA$7,"-",MID(E38,1,100)),DATOS!Z:AA,2,0))</f>
        <v/>
      </c>
      <c r="AB38" s="205" t="str">
        <f>IF(ISERROR(VLOOKUP(CONCATENATE($AB$7,"-",MID(E38,1,100)),DATOS!Z:AA,2,0)),"",VLOOKUP(CONCATENATE($AB$7,"-",MID(E38,1,100)),DATOS!Z:AA,2,0))</f>
        <v/>
      </c>
      <c r="AC38" s="205" t="str">
        <f>IF(ISERROR(VLOOKUP(CONCATENATE($AC$7,"-",MID(E38,1,100)),DATOS!Z:AA,2,0)),"",VLOOKUP(CONCATENATE($AC$7,"-",MID(E38,1,100)),DATOS!Z:AA,2,0))</f>
        <v>a</v>
      </c>
      <c r="AD38" s="205" t="str">
        <f>IF(ISERROR(VLOOKUP(CONCATENATE($AD$7,"-",MID(E38,1,100)),DATOS!Z:AA,2,0)),"",VLOOKUP(CONCATENATE($AD$7,"-",MID(E38,1,100)),DATOS!Z:AA,2,0))</f>
        <v/>
      </c>
      <c r="AE38" s="205" t="str">
        <f>IF(ISERROR(VLOOKUP(CONCATENATE($AE$7,"-",MID(E38,1,100)),DATOS!Z:AA,2,0)),"",VLOOKUP(CONCATENATE($AE$7,"-",MID(E38,1,100)),DATOS!Z:AA,2,0))</f>
        <v/>
      </c>
      <c r="AF38" s="205" t="str">
        <f>IF(ISERROR(VLOOKUP(CONCATENATE($AF$7,"-",MID(E38,1,100)),DATOS!Z:AA,2,0)),"",VLOOKUP(CONCATENATE($AF$7,"-",MID(E38,1,100)),DATOS!Z:AA,2,0))</f>
        <v/>
      </c>
      <c r="AG38" s="205" t="str">
        <f>IF(ISERROR(VLOOKUP(CONCATENATE($AG$7,"-",MID(E38,1,100)),DATOS!Z:AA,2,0)),"",VLOOKUP(CONCATENATE($AG$7,"-",MID(E38,1,100)),DATOS!Z:AA,2,0))</f>
        <v/>
      </c>
      <c r="AH38" s="205" t="str">
        <f>IF(ISERROR(VLOOKUP(CONCATENATE($AH$7,"-",MID(E38,1,100)),DATOS!Z:AA,2,0)),"",VLOOKUP(CONCATENATE($AH$7,"-",MID(E38,1,100)),DATOS!Z:AA,2,0))</f>
        <v/>
      </c>
      <c r="AI38" s="206" t="str">
        <f>IF(ISERROR(VLOOKUP(CONCATENATE($AI$7,"-",MID(E38,1,100)),DATOS!Z:AA,2,0)),"",VLOOKUP(CONCATENATE($AI$7,"-",MID(E38,1,100)),DATOS!Z:AA,2,0))</f>
        <v/>
      </c>
      <c r="AJ38" s="204" t="str">
        <f>IF(ISERROR(VLOOKUP(CONCATENATE($AJ$7,"-",MID(E38,1,100)),DATOS!Z:AA,2,0)),"",VLOOKUP(CONCATENATE($AJ$7,"-",MID(E38,1,100)),DATOS!Z:AA,2,0))</f>
        <v/>
      </c>
      <c r="AK38" s="205" t="str">
        <f>IF(ISERROR(VLOOKUP(CONCATENATE($AK$7,"-",MID(E38,1,100)),DATOS!Z:AA,2,0)),"",VLOOKUP(CONCATENATE($AK$7,"-",MID(E38,1,100)),DATOS!Z:AA,2,0))</f>
        <v/>
      </c>
      <c r="AL38" s="205" t="str">
        <f>IF(ISERROR(VLOOKUP(CONCATENATE($AL$7,"-",MID(E38,1,100)),DATOS!Z:AA,2,0)),"",VLOOKUP(CONCATENATE($AL$7,"-",MID(E38,1,100)),DATOS!Z:AA,2,0))</f>
        <v>a</v>
      </c>
      <c r="AM38" s="205" t="str">
        <f>IF(ISERROR(VLOOKUP(CONCATENATE($AM$7,"-",MID(E38,1,100)),DATOS!Z:AA,2,0)),"",VLOOKUP(CONCATENATE($AM$7,"-",MID(E38,1,100)),DATOS!Z:AA,2,0))</f>
        <v/>
      </c>
      <c r="AN38" s="205" t="str">
        <f>IF(ISERROR(VLOOKUP(CONCATENATE($AN$7,"-",MID(E38,1,100)),DATOS!Z:AA,2,0)),"",VLOOKUP(CONCATENATE($AN$7,"-",MID(E38,1,100)),DATOS!Z:AA,2,0))</f>
        <v/>
      </c>
      <c r="AO38" s="205" t="str">
        <f>IF(ISERROR(VLOOKUP(CONCATENATE($AO$7,"-",MID(E38,1,100)),DATOS!Z:AA,2,0)),"",VLOOKUP(CONCATENATE($AO$7,"-",MID(E38,1,100)),DATOS!Z:AA,2,0))</f>
        <v/>
      </c>
      <c r="AP38" s="205" t="str">
        <f>IF(ISERROR(VLOOKUP(CONCATENATE($AP$7,"-",MID(E38,1,100)),DATOS!Z:AA,2,0)),"",VLOOKUP(CONCATENATE($AP$7,"-",MID(E38,1,100)),DATOS!Z:AA,2,0))</f>
        <v/>
      </c>
      <c r="AQ38" s="205" t="str">
        <f>IF(ISERROR(VLOOKUP(CONCATENATE($AQ$7,"-",MID(E38,1,100)),DATOS!Z:AA,2,0)),"",VLOOKUP(CONCATENATE($AQ$7,"-",MID(E38,1,100)),DATOS!Z:AA,2,0))</f>
        <v/>
      </c>
      <c r="AR38" s="205" t="str">
        <f>IF(ISERROR(VLOOKUP(CONCATENATE($AR$7,"-",MID(E38,1,100)),DATOS!Z:AA,2,0)),"",VLOOKUP(CONCATENATE($AR$7,"-",MID(E38,1,100)),DATOS!Z:AA,2,0))</f>
        <v/>
      </c>
      <c r="AS38" s="206" t="str">
        <f>IF(ISERROR(VLOOKUP(CONCATENATE($AS$7,"-",MID(E38,1,100)),DATOS!Z:AA,2,0)),"",VLOOKUP(CONCATENATE($AS$7,"-",MID(E38,1,100)),DATOS!Z:AA,2,0))</f>
        <v/>
      </c>
      <c r="AT38" s="155" t="str">
        <f>IF(ISERROR(VLOOKUP(CONCATENATE($AT$7,"-",MID(E38,1,100)),DATOS!Z:AA,2,0)),"",VLOOKUP(CONCATENATE($AT$7,"-",MID(E38,1,100)),DATOS!Z:AA,2,0))</f>
        <v/>
      </c>
      <c r="AU38" s="156" t="str">
        <f>IF(ISERROR(VLOOKUP(CONCATENATE($AU$7,"-",MID(E38,1,100)),DATOS!Z:AA,2,0)),"",VLOOKUP(CONCATENATE($AU$7,"-",MID(E38,1,100)),DATOS!Z:AA,2,0))</f>
        <v/>
      </c>
      <c r="AV38" s="156" t="str">
        <f>IF(ISERROR(VLOOKUP(CONCATENATE($AV$7,"-",MID(E38,1,100)),DATOS!Z:AA,2,0)),"",VLOOKUP(CONCATENATE($AV$7,"-",MID(E38,1,100)),DATOS!Z:AA,2,0))</f>
        <v/>
      </c>
      <c r="AW38" s="156" t="str">
        <f>IF(ISERROR(VLOOKUP(CONCATENATE($AW$7,"-",MID(E38,1,100)),DATOS!Z:AA,2,0)),"",VLOOKUP(CONCATENATE($AW$7,"-",MID(E38,1,100)),DATOS!Z:AA,2,0))</f>
        <v/>
      </c>
      <c r="AX38" s="156" t="str">
        <f>IF(ISERROR(VLOOKUP(CONCATENATE($AX$7,"-",MID(E38,1,100)),DATOS!Z:AA,2,0)),"",VLOOKUP(CONCATENATE($AX$7,"-",MID(E38,1,100)),DATOS!Z:AA,2,0))</f>
        <v/>
      </c>
      <c r="AY38" s="156" t="str">
        <f>IF(ISERROR(VLOOKUP(CONCATENATE($AY$7,"-",MID(E38,1,100)),DATOS!Z:AA,2,0)),"",VLOOKUP(CONCATENATE($AY$7,"-",MID(E38,1,100)),DATOS!Z:AA,2,0))</f>
        <v/>
      </c>
      <c r="AZ38" s="156" t="str">
        <f>IF(ISERROR(VLOOKUP(CONCATENATE($AZ$7,"-",MID(E38,1,100)),DATOS!Z:AA,2,0)),"",VLOOKUP(CONCATENATE($AZ$7,"-",MID(E38,1,100)),DATOS!Z:AA,2,0))</f>
        <v/>
      </c>
      <c r="BA38" s="156" t="str">
        <f>IF(ISERROR(VLOOKUP(CONCATENATE($BA$7,"-",MID(E38,1,100)),DATOS!Z:AA,2,0)),"",VLOOKUP(CONCATENATE($BA$7,"-",MID(E38,1,100)),DATOS!Z:AA,2,0))</f>
        <v/>
      </c>
      <c r="BB38" s="156" t="str">
        <f>IF(ISERROR(VLOOKUP(CONCATENATE($BB$7,"-",MID(E38,1,100)),DATOS!Z:AA,2,0)),"",VLOOKUP(CONCATENATE($BB$7,"-",MID(E38,1,100)),DATOS!Z:AA,2,0))</f>
        <v/>
      </c>
      <c r="BC38" s="157" t="str">
        <f>IF(ISERROR(VLOOKUP(CONCATENATE($BC$7,"-",MID(E38,1,100)),DATOS!Z:AA,2,0)),"",VLOOKUP(CONCATENATE($BC$7,"-",MID(E38,1,100)),DATOS!Z:AA,2,0))</f>
        <v/>
      </c>
      <c r="BD38" s="155" t="str">
        <f>IF(ISERROR(VLOOKUP(CONCATENATE($BD$7,"-",MID(E38,1,100)),DATOS!Z:AA,2,0)),"",VLOOKUP(CONCATENATE($BD$7,"-",MID(E38,1,100)),DATOS!Z:AA,2,0))</f>
        <v/>
      </c>
      <c r="BE38" s="156" t="str">
        <f>IF(ISERROR(VLOOKUP(CONCATENATE($BE$7,"-",MID(E38,1,100)),DATOS!Z:AA,2,0)),"",VLOOKUP(CONCATENATE($BE$7,"-",MID(E38,1,100)),DATOS!Z:AA,2,0))</f>
        <v/>
      </c>
      <c r="BF38" s="156" t="str">
        <f>IF(ISERROR(VLOOKUP(CONCATENATE($BF$7,"-",MID(E38,1,100)),DATOS!Z:AA,2,0)),"",VLOOKUP(CONCATENATE($BF$7,"-",MID(E38,1,100)),DATOS!Z:AA,2,0))</f>
        <v/>
      </c>
      <c r="BG38" s="156" t="str">
        <f>IF(ISERROR(VLOOKUP(CONCATENATE($BG$7,"-",MID(E38,1,100)),DATOS!Z:AA,2,0)),"",VLOOKUP(CONCATENATE($BG$7,"-",MID(E38,1,100)),DATOS!Z:AA,2,0))</f>
        <v/>
      </c>
      <c r="BH38" s="156" t="str">
        <f>IF(ISERROR(VLOOKUP(CONCATENATE($BH$7,"-",MID(E38,1,100)),DATOS!Z:AA,2,0)),"",VLOOKUP(CONCATENATE($BH$7,"-",MID(E38,1,100)),DATOS!Z:AA,2,0))</f>
        <v/>
      </c>
      <c r="BI38" s="156" t="str">
        <f>IF(ISERROR(VLOOKUP(CONCATENATE($BI$7,"-",MID(E38,1,100)),DATOS!Z:AA,2,0)),"",VLOOKUP(CONCATENATE($BI$7,"-",MID(E38,1,100)),DATOS!Z:AA,2,0))</f>
        <v/>
      </c>
      <c r="BJ38" s="156" t="str">
        <f>IF(ISERROR(VLOOKUP(CONCATENATE($BJ$7,"-",MID(E38,1,100)),DATOS!Z:AA,2,0)),"",VLOOKUP(CONCATENATE($BJ$7,"-",MID(E38,1,100)),DATOS!Z:AA,2,0))</f>
        <v/>
      </c>
      <c r="BK38" s="156" t="str">
        <f>IF(ISERROR(VLOOKUP(CONCATENATE($BK$7,"-",MID(E38,1,100)),DATOS!Z:AA,2,0)),"",VLOOKUP(CONCATENATE($BK$7,"-",MID(E38,1,100)),DATOS!Z:AA,2,0))</f>
        <v/>
      </c>
      <c r="BL38" s="156" t="str">
        <f>IF(ISERROR(VLOOKUP(CONCATENATE($BL$7,"-",MID(E38,1,100)),DATOS!Z:AA,2,0)),"",VLOOKUP(CONCATENATE($BL$7,"-",MID(E38,1,100)),DATOS!Z:AA,2,0))</f>
        <v/>
      </c>
      <c r="BM38" s="157" t="str">
        <f>IF(ISERROR(VLOOKUP(CONCATENATE($BM$7,"-",MID(E38,1,100)),DATOS!Z:AA,2,0)),"",VLOOKUP(CONCATENATE($BM$7,"-",MID(E38,1,100)),DATOS!Z:AA,2,0))</f>
        <v/>
      </c>
      <c r="BN38" s="155" t="str">
        <f>IF(ISERROR(VLOOKUP(CONCATENATE($BN$7,"-",MID(E38,1,100)),DATOS!Z:AA,2,0)),"",VLOOKUP(CONCATENATE($BN$7,"-",MID(E38,1,100)),DATOS!Z:AA,2,0))</f>
        <v/>
      </c>
      <c r="BO38" s="156" t="str">
        <f>IF(ISERROR(VLOOKUP(CONCATENATE($BO$7,"-",MID(E38,1,100)),DATOS!Z:AA,2,0)),"",VLOOKUP(CONCATENATE($BO$7,"-",MID(E38,1,100)),DATOS!Z:AA,2,0))</f>
        <v/>
      </c>
      <c r="BP38" s="156" t="str">
        <f>IF(ISERROR(VLOOKUP(CONCATENATE($BP$7,"-",MID(E38,1,100)),DATOS!Z:AA,2,0)),"",VLOOKUP(CONCATENATE($BP$7,"-",MID(E38,1,100)),DATOS!Z:AA,2,0))</f>
        <v/>
      </c>
      <c r="BQ38" s="156" t="str">
        <f>IF(ISERROR(VLOOKUP(CONCATENATE($BQ$7,"-",MID(E38,1,100)),DATOS!Z:AA,2,0)),"",VLOOKUP(CONCATENATE($BQ$7,"-",MID(E38,1,100)),DATOS!Z:AA,2,0))</f>
        <v/>
      </c>
      <c r="BR38" s="156" t="str">
        <f>IF(ISERROR(VLOOKUP(CONCATENATE($BR$7,"-",MID(E38,1,100)),DATOS!Z:AA,2,0)),"",VLOOKUP(CONCATENATE($BR$7,"-",MID(E38,1,100)),DATOS!Z:AA,2,0))</f>
        <v/>
      </c>
      <c r="BS38" s="156" t="str">
        <f>IF(ISERROR(VLOOKUP(CONCATENATE($BS$7,"-",MID(E38,1,100)),DATOS!Z:AA,2,0)),"",VLOOKUP(CONCATENATE($BS$7,"-",MID(E38,1,100)),DATOS!Z:AA,2,0))</f>
        <v/>
      </c>
      <c r="BT38" s="156" t="str">
        <f>IF(ISERROR(VLOOKUP(CONCATENATE($BT$7,"-",MID(E38,1,100)),DATOS!Z:AA,2,0)),"",VLOOKUP(CONCATENATE($BT$7,"-",MID(E38,1,100)),DATOS!Z:AA,2,0))</f>
        <v/>
      </c>
      <c r="BU38" s="156" t="str">
        <f>IF(ISERROR(VLOOKUP(CONCATENATE($BU$7,"-",MID(E38,1,100)),DATOS!Z:AA,2,0)),"",VLOOKUP(CONCATENATE($BU$7,"-",MID(E38,1,100)),DATOS!Z:AA,2,0))</f>
        <v/>
      </c>
      <c r="BV38" s="156" t="str">
        <f>IF(ISERROR(VLOOKUP(CONCATENATE($BV$7,"-",MID(E38,1,100)),DATOS!Z:AA,2,0)),"",VLOOKUP(CONCATENATE($BV$7,"-",MID(E38,1,100)),DATOS!Z:AA,2,0))</f>
        <v/>
      </c>
      <c r="BW38" s="157" t="str">
        <f>IF(ISERROR(VLOOKUP(CONCATENATE($BW$7,"-",MID(E38,1,100)),DATOS!Z:AA,2,0)),"",VLOOKUP(CONCATENATE($BW$7,"-",MID(E38,1,100)),DATOS!Z:AA,2,0))</f>
        <v/>
      </c>
      <c r="BX38" s="155" t="str">
        <f>IF(ISERROR(VLOOKUP(CONCATENATE($BX$7,"-",MID(E38,1,100)),DATOS!Z:AA,2,0)),"",VLOOKUP(CONCATENATE($BX$7,"-",MID(E38,1,100)),DATOS!Z:AA,2,0))</f>
        <v/>
      </c>
      <c r="BY38" s="156" t="str">
        <f>IF(ISERROR(VLOOKUP(CONCATENATE($BY$7,"-",MID(E38,1,100)),DATOS!Z:AA,2,0)),"",VLOOKUP(CONCATENATE($BY$7,"-",MID(E38,1,100)),DATOS!Z:AA,2,0))</f>
        <v/>
      </c>
      <c r="BZ38" s="156" t="str">
        <f>IF(ISERROR(VLOOKUP(CONCATENATE($BZ$7,"-",MID(E38,1,100)),DATOS!Z:AA,2,0)),"",VLOOKUP(CONCATENATE($BZ$7,"-",MID(E38,1,100)),DATOS!Z:AA,2,0))</f>
        <v/>
      </c>
      <c r="CA38" s="156" t="str">
        <f>IF(ISERROR(VLOOKUP(CONCATENATE($CA$7,"-",MID(E38,1,100)),DATOS!Z:AA,2,0)),"",VLOOKUP(CONCATENATE($CA$7,"-",MID(E38,1,100)),DATOS!Z:AA,2,0))</f>
        <v/>
      </c>
      <c r="CB38" s="156" t="str">
        <f>IF(ISERROR(VLOOKUP(CONCATENATE($CB$7,"-",MID(E38,1,100)),DATOS!Z:AA,2,0)),"",VLOOKUP(CONCATENATE($CB$7,"-",MID(E38,1,100)),DATOS!Z:AA,2,0))</f>
        <v/>
      </c>
      <c r="CC38" s="156" t="str">
        <f>IF(ISERROR(VLOOKUP(CONCATENATE($CC$7,"-",MID(E38,1,100)),DATOS!Z:AA,2,0)),"",VLOOKUP(CONCATENATE($CC$7,"-",MID(E38,1,100)),DATOS!Z:AA,2,0))</f>
        <v/>
      </c>
      <c r="CD38" s="156" t="str">
        <f>IF(ISERROR(VLOOKUP(CONCATENATE($CD$7,"-",MID(E38,1,100)),DATOS!Z:AA,2,0)),"",VLOOKUP(CONCATENATE($CD$7,"-",MID(E38,1,100)),DATOS!Z:AA,2,0))</f>
        <v/>
      </c>
      <c r="CE38" s="156" t="str">
        <f>IF(ISERROR(VLOOKUP(CONCATENATE($CE$7,"-",MID(E38,1,100)),DATOS!Z:AA,2,0)),"",VLOOKUP(CONCATENATE($CE$7,"-",MID(E38,1,100)),DATOS!Z:AA,2,0))</f>
        <v/>
      </c>
      <c r="CF38" s="156" t="str">
        <f>IF(ISERROR(VLOOKUP(CONCATENATE($CF$7,"-",MID(E38,1,100)),DATOS!Z:AA,2,0)),"",VLOOKUP(CONCATENATE($CF$7,"-",MID(E38,1,100)),DATOS!Z:AA,2,0))</f>
        <v/>
      </c>
      <c r="CG38" s="157" t="str">
        <f>IF(ISERROR(VLOOKUP(CONCATENATE($CG$7,"-",MID(E38,1,100)),DATOS!Z:AA,2,0)),"",VLOOKUP(CONCATENATE($CG$7,"-",MID(E38,1,100)),DATOS!Z:AA,2,0))</f>
        <v/>
      </c>
      <c r="CH38" s="155" t="str">
        <f>IF(ISERROR(VLOOKUP(CONCATENATE($CH$7,"-",MID(E38,1,100)),DATOS!Z:AA,2,0)),"",VLOOKUP(CONCATENATE($CH$7,"-",MID(E38,1,100)),DATOS!Z:AA,2,0))</f>
        <v/>
      </c>
      <c r="CI38" s="156" t="str">
        <f>IF(ISERROR(VLOOKUP(CONCATENATE($CI$7,"-",MID(E38,1,100)),DATOS!Z:AA,2,0)),"",VLOOKUP(CONCATENATE($CI$7,"-",MID(E38,1,100)),DATOS!Z:AA,2,0))</f>
        <v/>
      </c>
      <c r="CJ38" s="156" t="str">
        <f>IF(ISERROR(VLOOKUP(CONCATENATE($CJ$7,"-",MID(E38,1,100)),DATOS!Z:AA,2,0)),"",VLOOKUP(CONCATENATE($CJ$7,"-",MID(E38,1,100)),DATOS!Z:AA,2,0))</f>
        <v/>
      </c>
      <c r="CK38" s="156" t="str">
        <f>IF(ISERROR(VLOOKUP(CONCATENATE($CK$7,"-",MID(E38,1,100)),DATOS!Z:AA,2,0)),"",VLOOKUP(CONCATENATE($CK$7,"-",MID(E38,1,100)),DATOS!Z:AA,2,0))</f>
        <v/>
      </c>
      <c r="CL38" s="156" t="str">
        <f>IF(ISERROR(VLOOKUP(CONCATENATE($CL$7,"-",MID(E38,1,100)),DATOS!Z:AA,2,0)),"",VLOOKUP(CONCATENATE($CL$7,"-",MID(E38,1,100)),DATOS!Z:AA,2,0))</f>
        <v/>
      </c>
      <c r="CM38" s="156" t="str">
        <f>IF(ISERROR(VLOOKUP(CONCATENATE($CM$7,"-",MID(E38,1,100)),DATOS!Z:AA,2,0)),"",VLOOKUP(CONCATENATE($CM$7,"-",MID(E38,1,100)),DATOS!Z:AA,2,0))</f>
        <v/>
      </c>
      <c r="CN38" s="156" t="str">
        <f>IF(ISERROR(VLOOKUP(CONCATENATE($CN$7,"-",MID(E38,1,100)),DATOS!Z:AA,2,0)),"",VLOOKUP(CONCATENATE($CN$7,"-",MID(E38,1,100)),DATOS!Z:AA,2,0))</f>
        <v/>
      </c>
      <c r="CO38" s="156" t="str">
        <f>IF(ISERROR(VLOOKUP(CONCATENATE($CO$7,"-",MID(E38,1,100)),DATOS!Z:AA,2,0)),"",VLOOKUP(CONCATENATE($CO$7,"-",MID(E38,1,100)),DATOS!Z:AA,2,0))</f>
        <v/>
      </c>
      <c r="CP38" s="194" t="str">
        <f>IF(ISERROR(VLOOKUP(CONCATENATE($CP$7,"-",MID(E38,1,100)),DATOS!Z:AA,2,0)),"",VLOOKUP(CONCATENATE($CP$7,"-",MID(E38,1,100)),DATOS!Z:AA,2,0))</f>
        <v/>
      </c>
      <c r="CQ38" s="157" t="str">
        <f>IF(ISERROR(VLOOKUP(CONCATENATE($CQ$7,"-",MID(E38,1,100)),DATOS!Z:AA,2,0)),"",VLOOKUP(CONCATENATE($CQ$7,"-",MID(E38,1,100)),DATOS!Z:AA,2,0))</f>
        <v/>
      </c>
      <c r="CR38" s="155" t="str">
        <f>IF(ISERROR(VLOOKUP(CONCATENATE(CR$7,"-",MID($E38,1,100)),DATOS!$Z:$AA,2,0)),"",VLOOKUP(CONCATENATE(CR$7,"-",MID($E38,1,100)),DATOS!$Z:$AA,2,0))</f>
        <v/>
      </c>
      <c r="CS38" s="156" t="str">
        <f>IF(ISERROR(VLOOKUP(CONCATENATE(CS$7,"-",MID($E38,1,100)),DATOS!$Z:$AA,2,0)),"",VLOOKUP(CONCATENATE(CS$7,"-",MID($E38,1,100)),DATOS!$Z:$AA,2,0))</f>
        <v/>
      </c>
      <c r="CT38" s="156" t="str">
        <f>IF(ISERROR(VLOOKUP(CONCATENATE(CT$7,"-",MID($E38,1,100)),DATOS!$Z:$AA,2,0)),"",VLOOKUP(CONCATENATE(CT$7,"-",MID($E38,1,100)),DATOS!$Z:$AA,2,0))</f>
        <v/>
      </c>
      <c r="CU38" s="156" t="str">
        <f>IF(ISERROR(VLOOKUP(CONCATENATE(CU$7,"-",MID($E38,1,100)),DATOS!$Z:$AA,2,0)),"",VLOOKUP(CONCATENATE(CU$7,"-",MID($E38,1,100)),DATOS!$Z:$AA,2,0))</f>
        <v/>
      </c>
      <c r="CV38" s="156" t="str">
        <f>IF(ISERROR(VLOOKUP(CONCATENATE(CV$7,"-",MID($E38,1,100)),DATOS!$Z:$AA,2,0)),"",VLOOKUP(CONCATENATE(CV$7,"-",MID($E38,1,100)),DATOS!$Z:$AA,2,0))</f>
        <v/>
      </c>
      <c r="CW38" s="156" t="str">
        <f>IF(ISERROR(VLOOKUP(CONCATENATE(CW$7,"-",MID($E38,1,100)),DATOS!$Z:$AA,2,0)),"",VLOOKUP(CONCATENATE(CW$7,"-",MID($E38,1,100)),DATOS!$Z:$AA,2,0))</f>
        <v/>
      </c>
      <c r="CX38" s="156" t="str">
        <f>IF(ISERROR(VLOOKUP(CONCATENATE(CX$7,"-",MID($E38,1,100)),DATOS!$Z:$AA,2,0)),"",VLOOKUP(CONCATENATE(CX$7,"-",MID($E38,1,100)),DATOS!$Z:$AA,2,0))</f>
        <v/>
      </c>
      <c r="CY38" s="156" t="str">
        <f>IF(ISERROR(VLOOKUP(CONCATENATE(CY$7,"-",MID($E38,1,100)),DATOS!$Z:$AA,2,0)),"",VLOOKUP(CONCATENATE(CY$7,"-",MID($E38,1,100)),DATOS!$Z:$AA,2,0))</f>
        <v/>
      </c>
      <c r="CZ38" s="194" t="str">
        <f>IF(ISERROR(VLOOKUP(CONCATENATE(CZ$7,"-",MID($E38,1,100)),DATOS!$Z:$AA,2,0)),"",VLOOKUP(CONCATENATE(CZ$7,"-",MID($E38,1,100)),DATOS!$Z:$AA,2,0))</f>
        <v/>
      </c>
      <c r="DA38" s="157" t="str">
        <f>IF(ISERROR(VLOOKUP(CONCATENATE(DA$7,"-",MID($E38,1,100)),DATOS!$Z:$AA,2,0)),"",VLOOKUP(CONCATENATE(DA$7,"-",MID($E38,1,100)),DATOS!$Z:$AA,2,0))</f>
        <v/>
      </c>
      <c r="DB38" s="155" t="str">
        <f>IF(ISERROR(VLOOKUP(CONCATENATE(DB$7,"-",MID($E38,1,100)),DATOS!$Z:$AA,2,0)),"",VLOOKUP(CONCATENATE(DB$7,"-",MID($E38,1,100)),DATOS!$Z:$AA,2,0))</f>
        <v/>
      </c>
      <c r="DC38" s="156" t="str">
        <f>IF(ISERROR(VLOOKUP(CONCATENATE(DC$7,"-",MID($E38,1,100)),DATOS!$Z:$AA,2,0)),"",VLOOKUP(CONCATENATE(DC$7,"-",MID($E38,1,100)),DATOS!$Z:$AA,2,0))</f>
        <v/>
      </c>
      <c r="DD38" s="156" t="str">
        <f>IF(ISERROR(VLOOKUP(CONCATENATE(DD$7,"-",MID($E38,1,100)),DATOS!$Z:$AA,2,0)),"",VLOOKUP(CONCATENATE(DD$7,"-",MID($E38,1,100)),DATOS!$Z:$AA,2,0))</f>
        <v/>
      </c>
      <c r="DE38" s="156" t="str">
        <f>IF(ISERROR(VLOOKUP(CONCATENATE(DE$7,"-",MID($E38,1,100)),DATOS!$Z:$AA,2,0)),"",VLOOKUP(CONCATENATE(DE$7,"-",MID($E38,1,100)),DATOS!$Z:$AA,2,0))</f>
        <v/>
      </c>
      <c r="DF38" s="156" t="str">
        <f>IF(ISERROR(VLOOKUP(CONCATENATE(DF$7,"-",MID($E38,1,100)),DATOS!$Z:$AA,2,0)),"",VLOOKUP(CONCATENATE(DF$7,"-",MID($E38,1,100)),DATOS!$Z:$AA,2,0))</f>
        <v/>
      </c>
      <c r="DG38" s="156" t="str">
        <f>IF(ISERROR(VLOOKUP(CONCATENATE(DG$7,"-",MID($E38,1,100)),DATOS!$Z:$AA,2,0)),"",VLOOKUP(CONCATENATE(DG$7,"-",MID($E38,1,100)),DATOS!$Z:$AA,2,0))</f>
        <v/>
      </c>
      <c r="DH38" s="156" t="str">
        <f>IF(ISERROR(VLOOKUP(CONCATENATE(DH$7,"-",MID($E38,1,100)),DATOS!$Z:$AA,2,0)),"",VLOOKUP(CONCATENATE(DH$7,"-",MID($E38,1,100)),DATOS!$Z:$AA,2,0))</f>
        <v/>
      </c>
      <c r="DI38" s="156" t="str">
        <f>IF(ISERROR(VLOOKUP(CONCATENATE(DI$7,"-",MID($E38,1,100)),DATOS!$Z:$AA,2,0)),"",VLOOKUP(CONCATENATE(DI$7,"-",MID($E38,1,100)),DATOS!$Z:$AA,2,0))</f>
        <v/>
      </c>
      <c r="DJ38" s="194" t="str">
        <f>IF(ISERROR(VLOOKUP(CONCATENATE(DJ$7,"-",MID($E38,1,100)),DATOS!$Z:$AA,2,0)),"",VLOOKUP(CONCATENATE(DJ$7,"-",MID($E38,1,100)),DATOS!$Z:$AA,2,0))</f>
        <v/>
      </c>
      <c r="DK38" s="157" t="str">
        <f>IF(ISERROR(VLOOKUP(CONCATENATE(DK$7,"-",MID($E38,1,100)),DATOS!$Z:$AA,2,0)),"",VLOOKUP(CONCATENATE(DK$7,"-",MID($E38,1,100)),DATOS!$Z:$AA,2,0))</f>
        <v/>
      </c>
      <c r="DL38" s="155" t="str">
        <f>IF(ISERROR(VLOOKUP(CONCATENATE(DL$7,"-",MID($E38,1,100)),DATOS!$Z:$AA,2,0)),"",VLOOKUP(CONCATENATE(DL$7,"-",MID($E38,1,100)),DATOS!$Z:$AA,2,0))</f>
        <v/>
      </c>
      <c r="DM38" s="156" t="str">
        <f>IF(ISERROR(VLOOKUP(CONCATENATE(DM$7,"-",MID($E38,1,100)),DATOS!$Z:$AA,2,0)),"",VLOOKUP(CONCATENATE(DM$7,"-",MID($E38,1,100)),DATOS!$Z:$AA,2,0))</f>
        <v/>
      </c>
      <c r="DN38" s="156" t="str">
        <f>IF(ISERROR(VLOOKUP(CONCATENATE(DN$7,"-",MID($E38,1,100)),DATOS!$Z:$AA,2,0)),"",VLOOKUP(CONCATENATE(DN$7,"-",MID($E38,1,100)),DATOS!$Z:$AA,2,0))</f>
        <v/>
      </c>
      <c r="DO38" s="156" t="str">
        <f>IF(ISERROR(VLOOKUP(CONCATENATE(DO$7,"-",MID($E38,1,100)),DATOS!$Z:$AA,2,0)),"",VLOOKUP(CONCATENATE(DO$7,"-",MID($E38,1,100)),DATOS!$Z:$AA,2,0))</f>
        <v/>
      </c>
      <c r="DP38" s="156" t="str">
        <f>IF(ISERROR(VLOOKUP(CONCATENATE(DP$7,"-",MID($E38,1,100)),DATOS!$Z:$AA,2,0)),"",VLOOKUP(CONCATENATE(DP$7,"-",MID($E38,1,100)),DATOS!$Z:$AA,2,0))</f>
        <v/>
      </c>
      <c r="DQ38" s="156" t="str">
        <f>IF(ISERROR(VLOOKUP(CONCATENATE(DQ$7,"-",MID($E38,1,100)),DATOS!$Z:$AA,2,0)),"",VLOOKUP(CONCATENATE(DQ$7,"-",MID($E38,1,100)),DATOS!$Z:$AA,2,0))</f>
        <v/>
      </c>
      <c r="DR38" s="156" t="str">
        <f>IF(ISERROR(VLOOKUP(CONCATENATE(DR$7,"-",MID($E38,1,100)),DATOS!$Z:$AA,2,0)),"",VLOOKUP(CONCATENATE(DR$7,"-",MID($E38,1,100)),DATOS!$Z:$AA,2,0))</f>
        <v/>
      </c>
      <c r="DS38" s="156" t="str">
        <f>IF(ISERROR(VLOOKUP(CONCATENATE(DS$7,"-",MID($E38,1,100)),DATOS!$Z:$AA,2,0)),"",VLOOKUP(CONCATENATE(DS$7,"-",MID($E38,1,100)),DATOS!$Z:$AA,2,0))</f>
        <v/>
      </c>
      <c r="DT38" s="194" t="str">
        <f>IF(ISERROR(VLOOKUP(CONCATENATE(DT$7,"-",MID($E38,1,100)),DATOS!$Z:$AA,2,0)),"",VLOOKUP(CONCATENATE(DT$7,"-",MID($E38,1,100)),DATOS!$Z:$AA,2,0))</f>
        <v/>
      </c>
      <c r="DU38" s="157" t="str">
        <f>IF(ISERROR(VLOOKUP(CONCATENATE(DU$7,"-",MID($E38,1,100)),DATOS!$Z:$AA,2,0)),"",VLOOKUP(CONCATENATE(DU$7,"-",MID($E38,1,100)),DATOS!$Z:$AA,2,0))</f>
        <v/>
      </c>
      <c r="DV38" s="155" t="str">
        <f>IF(ISERROR(VLOOKUP(CONCATENATE(DV$7,"-",MID($E38,1,100)),DATOS!$Z:$AA,2,0)),"",VLOOKUP(CONCATENATE(DV$7,"-",MID($E38,1,100)),DATOS!$Z:$AA,2,0))</f>
        <v/>
      </c>
      <c r="DW38" s="156" t="str">
        <f>IF(ISERROR(VLOOKUP(CONCATENATE(DW$7,"-",MID($E38,1,100)),DATOS!$Z:$AA,2,0)),"",VLOOKUP(CONCATENATE(DW$7,"-",MID($E38,1,100)),DATOS!$Z:$AA,2,0))</f>
        <v/>
      </c>
      <c r="DX38" s="156" t="str">
        <f>IF(ISERROR(VLOOKUP(CONCATENATE(DX$7,"-",MID($E38,1,100)),DATOS!$Z:$AA,2,0)),"",VLOOKUP(CONCATENATE(DX$7,"-",MID($E38,1,100)),DATOS!$Z:$AA,2,0))</f>
        <v/>
      </c>
      <c r="DY38" s="156" t="str">
        <f>IF(ISERROR(VLOOKUP(CONCATENATE(DY$7,"-",MID($E38,1,100)),DATOS!$Z:$AA,2,0)),"",VLOOKUP(CONCATENATE(DY$7,"-",MID($E38,1,100)),DATOS!$Z:$AA,2,0))</f>
        <v/>
      </c>
      <c r="DZ38" s="156" t="str">
        <f>IF(ISERROR(VLOOKUP(CONCATENATE(DZ$7,"-",MID($E38,1,100)),DATOS!$Z:$AA,2,0)),"",VLOOKUP(CONCATENATE(DZ$7,"-",MID($E38,1,100)),DATOS!$Z:$AA,2,0))</f>
        <v/>
      </c>
      <c r="EA38" s="156" t="str">
        <f>IF(ISERROR(VLOOKUP(CONCATENATE(EA$7,"-",MID($E38,1,100)),DATOS!$Z:$AA,2,0)),"",VLOOKUP(CONCATENATE(EA$7,"-",MID($E38,1,100)),DATOS!$Z:$AA,2,0))</f>
        <v/>
      </c>
      <c r="EB38" s="156" t="str">
        <f>IF(ISERROR(VLOOKUP(CONCATENATE(EB$7,"-",MID($E38,1,100)),DATOS!$Z:$AA,2,0)),"",VLOOKUP(CONCATENATE(EB$7,"-",MID($E38,1,100)),DATOS!$Z:$AA,2,0))</f>
        <v/>
      </c>
      <c r="EC38" s="156" t="str">
        <f>IF(ISERROR(VLOOKUP(CONCATENATE(EC$7,"-",MID($E38,1,100)),DATOS!$Z:$AA,2,0)),"",VLOOKUP(CONCATENATE(EC$7,"-",MID($E38,1,100)),DATOS!$Z:$AA,2,0))</f>
        <v/>
      </c>
      <c r="ED38" s="194" t="str">
        <f>IF(ISERROR(VLOOKUP(CONCATENATE(ED$7,"-",MID($E38,1,100)),DATOS!$Z:$AA,2,0)),"",VLOOKUP(CONCATENATE(ED$7,"-",MID($E38,1,100)),DATOS!$Z:$AA,2,0))</f>
        <v/>
      </c>
      <c r="EE38" s="157" t="str">
        <f>IF(ISERROR(VLOOKUP(CONCATENATE(EE$7,"-",MID($E38,1,100)),DATOS!$Z:$AA,2,0)),"",VLOOKUP(CONCATENATE(EE$7,"-",MID($E38,1,100)),DATOS!$Z:$AA,2,0))</f>
        <v/>
      </c>
      <c r="EF38" s="155" t="str">
        <f>IF(ISERROR(VLOOKUP(CONCATENATE($EF$7,"-",MID(E38,1,100)),DATOS!Z:AA,2,0)),"",VLOOKUP(CONCATENATE($EF$7,"-",MID(E38,1,100)),DATOS!Z:AA,2,0))</f>
        <v/>
      </c>
      <c r="EG38" s="156" t="str">
        <f>IF(ISERROR(VLOOKUP(CONCATENATE($EG$7,"-",MID(E38,1,100)),DATOS!Z:AA,2,0)),"",VLOOKUP(CONCATENATE($EG$7,"-",MID(E38,1,100)),DATOS!Z:AA,2,0))</f>
        <v/>
      </c>
      <c r="EH38" s="156" t="str">
        <f>IF(ISERROR(VLOOKUP(CONCATENATE($EH$7,"-",MID(E38,1,100)),DATOS!Z:AA,2,0)),"",VLOOKUP(CONCATENATE($EH$7,"-",MID(E38,1,100)),DATOS!Z:AA,2,0))</f>
        <v/>
      </c>
      <c r="EI38" s="156" t="str">
        <f>IF(ISERROR(VLOOKUP(CONCATENATE($EI$7,"-",MID(E38,1,100)),DATOS!Z:AA,2,0)),"",VLOOKUP(CONCATENATE($EI$7,"-",MID(E38,1,100)),DATOS!Z:AA,2,0))</f>
        <v/>
      </c>
      <c r="EJ38" s="156" t="str">
        <f>IF(ISERROR(VLOOKUP(CONCATENATE($EJ$7,"-",MID(E38,1,100)),DATOS!Z:AA,2,0)),"",VLOOKUP(CONCATENATE($EJ$7,"-",MID(E38,1,100)),DATOS!Z:AA,2,0))</f>
        <v/>
      </c>
      <c r="EK38" s="156" t="str">
        <f>IF(ISERROR(VLOOKUP(CONCATENATE($EK$7,"-",MID(E38,1,100)),DATOS!Z:AA,2,0)),"",VLOOKUP(CONCATENATE($EK$7,"-",MID(E38,1,100)),DATOS!Z:AA,2,0))</f>
        <v/>
      </c>
      <c r="EL38" s="156" t="str">
        <f>IF(ISERROR(VLOOKUP(CONCATENATE($EL$7,"-",MID(E38,1,100)),DATOS!Z:AA,2,0)),"",VLOOKUP(CONCATENATE($EL$7,"-",MID(E38,1,100)),DATOS!Z:AA,2,0))</f>
        <v/>
      </c>
      <c r="EM38" s="156" t="str">
        <f>IF(ISERROR(VLOOKUP(CONCATENATE($EM$7,"-",MID(E38,1,100)),DATOS!Z:AA,2,0)),"",VLOOKUP(CONCATENATE($EM$7,"-",MID(E38,1,100)),DATOS!Z:AA,2,0))</f>
        <v/>
      </c>
      <c r="EN38" s="156" t="str">
        <f>IF(ISERROR(VLOOKUP(CONCATENATE($EN$7,"-",MID(E38,1,100)),DATOS!Z:AA,2,0)),"",VLOOKUP(CONCATENATE($EN$7,"-",MID(E38,1,100)),DATOS!Z:AA,2,0))</f>
        <v/>
      </c>
      <c r="EO38" s="157" t="str">
        <f>IF(ISERROR(VLOOKUP(CONCATENATE($EO$7,"-",MID(E38,1,100)),DATOS!Z:AA,2,0)),"",VLOOKUP(CONCATENATE($EO$7,"-",MID(E38,1,100)),DATOS!Z:AA,2,0))</f>
        <v/>
      </c>
      <c r="EP38" s="158">
        <f t="shared" si="0"/>
        <v>2</v>
      </c>
      <c r="EQ38" s="159" t="str">
        <f t="shared" si="1"/>
        <v>CP5: Comprensión y expresión del idioma inglés-N1</v>
      </c>
    </row>
    <row r="39" spans="1:147" ht="17.25" customHeight="1">
      <c r="A39" s="148"/>
      <c r="B39" s="160" t="str">
        <f>IF('1.Fundamentos'!B62="","",'1.Fundamentos'!B62)</f>
        <v>CP5: Comprensión y expresión del idioma inglés</v>
      </c>
      <c r="C39" s="161" t="s">
        <v>82</v>
      </c>
      <c r="D39" s="162" t="str">
        <f>IF('1.Fundamentos'!E62="","",'1.Fundamentos'!E62)</f>
        <v xml:space="preserve">Comprende y desarrolla el pensamiento crítico de manera integral del idioma inglés como segunda lengua, perfeccionando ciertos aspectos fundamentales como el campo fonético y léxico. </v>
      </c>
      <c r="E39" s="163" t="str">
        <f t="shared" si="2"/>
        <v xml:space="preserve">CP5: Comprensión y expresión del idioma inglés:N2 Comprende y desarrolla el pensamiento crítico de manera integral del idioma inglés como segunda lengua, perfeccionando ciertos aspectos fundamentales como el campo fonético y léxico. </v>
      </c>
      <c r="F39" s="164" t="str">
        <f>IF(ISERROR(VLOOKUP(CONCATENATE($F$7,"-",MID(E39,1,100)),DATOS!Z:AA,2,0)),"",VLOOKUP(CONCATENATE($F$7,"-",MID(E39,1,100)),DATOS!Z:AA,2,0))</f>
        <v/>
      </c>
      <c r="G39" s="165" t="str">
        <f>IF(ISERROR(VLOOKUP(CONCATENATE($G$7,"-",MID(E39,1,100)),DATOS!Z:AA,2,0)),"",VLOOKUP(CONCATENATE($G$7,"-",MID(E39,1,100)),DATOS!Z:AA,2,0))</f>
        <v/>
      </c>
      <c r="H39" s="165" t="str">
        <f>IF(ISERROR(VLOOKUP(CONCATENATE($H$7,"-",MID(E39,1,100)),DATOS!Z:AA,2,0)),"",VLOOKUP(CONCATENATE($H$7,"-",MID(E39,1,100)),DATOS!Z:AA,2,0))</f>
        <v/>
      </c>
      <c r="I39" s="165" t="str">
        <f>IF(ISERROR(VLOOKUP(CONCATENATE($I$7,"-",MID(E39,1,100)),DATOS!Z:AA,2,0)),"",VLOOKUP(CONCATENATE($I$7,"-",MID(E39,1,100)),DATOS!Z:AA,2,0))</f>
        <v/>
      </c>
      <c r="J39" s="165" t="str">
        <f>IF(ISERROR(VLOOKUP(CONCATENATE($J$7,"-",MID(E39,1,100)),DATOS!Z:AA,2,0)),"",VLOOKUP(CONCATENATE($J$7,"-",MID(E39,1,100)),DATOS!Z:AA,2,0))</f>
        <v/>
      </c>
      <c r="K39" s="165" t="str">
        <f>IF(ISERROR(VLOOKUP(CONCATENATE($K$7,"-",MID(E39,1,100)),DATOS!Z:AA,2,0)),"",VLOOKUP(CONCATENATE($K$7,"-",MID(E39,1,100)),DATOS!Z:AA,2,0))</f>
        <v/>
      </c>
      <c r="L39" s="165" t="str">
        <f>IF(ISERROR(VLOOKUP(CONCATENATE($L$7,"-",MID(E39,1,100)),DATOS!Z:AA,2,0)),"",VLOOKUP(CONCATENATE($L$7,"-",MID(E39,1,100)),DATOS!Z:AA,2,0))</f>
        <v/>
      </c>
      <c r="M39" s="165" t="str">
        <f>IF(ISERROR(VLOOKUP(CONCATENATE($M$7,"-",MID(E39,1,100)),DATOS!Z:AA,2,0)),"",VLOOKUP(CONCATENATE($M$7,"-",MID(E39,1,100)),DATOS!Z:AA,2,0))</f>
        <v/>
      </c>
      <c r="N39" s="165" t="str">
        <f>IF(ISERROR(VLOOKUP(CONCATENATE($N$7,"-",MID(E39,1,100)),DATOS!Z:AA,2,0)),"",VLOOKUP(CONCATENATE($N$7,"-",MID(E39,1,100)),DATOS!Z:AA,2,0))</f>
        <v/>
      </c>
      <c r="O39" s="166" t="str">
        <f>IF(ISERROR(VLOOKUP(CONCATENATE($O$7,"-",MID(E39,1,100)),DATOS!Z:AA,2,0)),"",VLOOKUP(CONCATENATE($O$7,"-",MID(E39,1,100)),DATOS!Z:AA,2,0))</f>
        <v/>
      </c>
      <c r="P39" s="164" t="str">
        <f>IF(ISERROR(VLOOKUP(CONCATENATE($P$7,"-",MID(E39,1,100)),DATOS!Z:AA,2,0)),"",VLOOKUP(CONCATENATE($P$7,"-",MID(E39,1,100)),DATOS!Z:AA,2,0))</f>
        <v/>
      </c>
      <c r="Q39" s="165" t="str">
        <f>IF(ISERROR(VLOOKUP(CONCATENATE($Q$7,"-",MID(E39,1,100)),DATOS!Z:AA,2,0)),"",VLOOKUP(CONCATENATE($Q$7,"-",MID(E39,1,100)),DATOS!Z:AA,2,0))</f>
        <v/>
      </c>
      <c r="R39" s="165" t="str">
        <f>IF(ISERROR(VLOOKUP(CONCATENATE($R$7,"-",MID(E39,1,100)),DATOS!Z:AA,2,0)),"",VLOOKUP(CONCATENATE($R$7,"-",MID(E39,1,100)),DATOS!Z:AA,2,0))</f>
        <v/>
      </c>
      <c r="S39" s="165" t="str">
        <f>IF(ISERROR(VLOOKUP(CONCATENATE($S$7,"-",MID(E39,1,100)),DATOS!Z:AA,2,0)),"",VLOOKUP(CONCATENATE($S$7,"-",MID(E39,1,100)),DATOS!Z:AA,2,0))</f>
        <v/>
      </c>
      <c r="T39" s="165" t="str">
        <f>IF(ISERROR(VLOOKUP(CONCATENATE($T$7,"-",MID(E39,1,100)),DATOS!Z:AA,2,0)),"",VLOOKUP(CONCATENATE($T$7,"-",MID(E39,1,100)),DATOS!Z:AA,2,0))</f>
        <v/>
      </c>
      <c r="U39" s="165" t="str">
        <f>IF(ISERROR(VLOOKUP(CONCATENATE($U$7,"-",MID(E39,1,100)),DATOS!Z:AA,2,0)),"",VLOOKUP(CONCATENATE($U$7,"-",MID(E39,1,100)),DATOS!Z:AA,2,0))</f>
        <v/>
      </c>
      <c r="V39" s="165" t="str">
        <f>IF(ISERROR(VLOOKUP(CONCATENATE($V$7,"-",MID(E39,1,100)),DATOS!Z:AA,2,0)),"",VLOOKUP(CONCATENATE($V$7,"-",MID(E39,1,100)),DATOS!Z:AA,2,0))</f>
        <v/>
      </c>
      <c r="W39" s="165" t="str">
        <f>IF(ISERROR(VLOOKUP(CONCATENATE($W$7,"-",MID(E39,1,100)),DATOS!Z:AA,2,0)),"",VLOOKUP(CONCATENATE($W$7,"-",MID(E39,1,100)),DATOS!Z:AA,2,0))</f>
        <v/>
      </c>
      <c r="X39" s="165" t="str">
        <f>IF(ISERROR(VLOOKUP(CONCATENATE($X$7,"-",MID(E39,1,100)),DATOS!Z:AA,2,0)),"",VLOOKUP(CONCATENATE($X$7,"-",MID(E39,1,100)),DATOS!Z:AA,2,0))</f>
        <v/>
      </c>
      <c r="Y39" s="166" t="str">
        <f>IF(ISERROR(VLOOKUP(CONCATENATE($Y$7,"-",MID(E39,1,100)),DATOS!Z:AA,2,0)),"",VLOOKUP(CONCATENATE($Y$7,"-",MID(E39,1,100)),DATOS!Z:AA,2,0))</f>
        <v/>
      </c>
      <c r="Z39" s="164" t="str">
        <f>IF(ISERROR(VLOOKUP(CONCATENATE($Z$7,"-",MID(E39,1,100)),DATOS!Z:AA,2,0)),"",VLOOKUP(CONCATENATE($Z$7,"-",MID(E39,1,100)),DATOS!Z:AA,2,0))</f>
        <v/>
      </c>
      <c r="AA39" s="165" t="str">
        <f>IF(ISERROR(VLOOKUP(CONCATENATE($AA$7,"-",MID(E39,1,100)),DATOS!Z:AA,2,0)),"",VLOOKUP(CONCATENATE($AA$7,"-",MID(E39,1,100)),DATOS!Z:AA,2,0))</f>
        <v/>
      </c>
      <c r="AB39" s="165" t="str">
        <f>IF(ISERROR(VLOOKUP(CONCATENATE($AB$7,"-",MID(E39,1,100)),DATOS!Z:AA,2,0)),"",VLOOKUP(CONCATENATE($AB$7,"-",MID(E39,1,100)),DATOS!Z:AA,2,0))</f>
        <v/>
      </c>
      <c r="AC39" s="165" t="str">
        <f>IF(ISERROR(VLOOKUP(CONCATENATE($AC$7,"-",MID(E39,1,100)),DATOS!Z:AA,2,0)),"",VLOOKUP(CONCATENATE($AC$7,"-",MID(E39,1,100)),DATOS!Z:AA,2,0))</f>
        <v/>
      </c>
      <c r="AD39" s="165" t="str">
        <f>IF(ISERROR(VLOOKUP(CONCATENATE($AD$7,"-",MID(E39,1,100)),DATOS!Z:AA,2,0)),"",VLOOKUP(CONCATENATE($AD$7,"-",MID(E39,1,100)),DATOS!Z:AA,2,0))</f>
        <v/>
      </c>
      <c r="AE39" s="165" t="str">
        <f>IF(ISERROR(VLOOKUP(CONCATENATE($AE$7,"-",MID(E39,1,100)),DATOS!Z:AA,2,0)),"",VLOOKUP(CONCATENATE($AE$7,"-",MID(E39,1,100)),DATOS!Z:AA,2,0))</f>
        <v/>
      </c>
      <c r="AF39" s="165" t="str">
        <f>IF(ISERROR(VLOOKUP(CONCATENATE($AF$7,"-",MID(E39,1,100)),DATOS!Z:AA,2,0)),"",VLOOKUP(CONCATENATE($AF$7,"-",MID(E39,1,100)),DATOS!Z:AA,2,0))</f>
        <v/>
      </c>
      <c r="AG39" s="165" t="str">
        <f>IF(ISERROR(VLOOKUP(CONCATENATE($AG$7,"-",MID(E39,1,100)),DATOS!Z:AA,2,0)),"",VLOOKUP(CONCATENATE($AG$7,"-",MID(E39,1,100)),DATOS!Z:AA,2,0))</f>
        <v/>
      </c>
      <c r="AH39" s="165" t="str">
        <f>IF(ISERROR(VLOOKUP(CONCATENATE($AH$7,"-",MID(E39,1,100)),DATOS!Z:AA,2,0)),"",VLOOKUP(CONCATENATE($AH$7,"-",MID(E39,1,100)),DATOS!Z:AA,2,0))</f>
        <v/>
      </c>
      <c r="AI39" s="166" t="str">
        <f>IF(ISERROR(VLOOKUP(CONCATENATE($AI$7,"-",MID(E39,1,100)),DATOS!Z:AA,2,0)),"",VLOOKUP(CONCATENATE($AI$7,"-",MID(E39,1,100)),DATOS!Z:AA,2,0))</f>
        <v/>
      </c>
      <c r="AJ39" s="164" t="str">
        <f>IF(ISERROR(VLOOKUP(CONCATENATE($AJ$7,"-",MID(E39,1,100)),DATOS!Z:AA,2,0)),"",VLOOKUP(CONCATENATE($AJ$7,"-",MID(E39,1,100)),DATOS!Z:AA,2,0))</f>
        <v/>
      </c>
      <c r="AK39" s="165" t="str">
        <f>IF(ISERROR(VLOOKUP(CONCATENATE($AK$7,"-",MID(E39,1,100)),DATOS!Z:AA,2,0)),"",VLOOKUP(CONCATENATE($AK$7,"-",MID(E39,1,100)),DATOS!Z:AA,2,0))</f>
        <v/>
      </c>
      <c r="AL39" s="165" t="str">
        <f>IF(ISERROR(VLOOKUP(CONCATENATE($AL$7,"-",MID(E39,1,100)),DATOS!Z:AA,2,0)),"",VLOOKUP(CONCATENATE($AL$7,"-",MID(E39,1,100)),DATOS!Z:AA,2,0))</f>
        <v/>
      </c>
      <c r="AM39" s="165" t="str">
        <f>IF(ISERROR(VLOOKUP(CONCATENATE($AM$7,"-",MID(E39,1,100)),DATOS!Z:AA,2,0)),"",VLOOKUP(CONCATENATE($AM$7,"-",MID(E39,1,100)),DATOS!Z:AA,2,0))</f>
        <v/>
      </c>
      <c r="AN39" s="165" t="str">
        <f>IF(ISERROR(VLOOKUP(CONCATENATE($AN$7,"-",MID(E39,1,100)),DATOS!Z:AA,2,0)),"",VLOOKUP(CONCATENATE($AN$7,"-",MID(E39,1,100)),DATOS!Z:AA,2,0))</f>
        <v/>
      </c>
      <c r="AO39" s="165" t="str">
        <f>IF(ISERROR(VLOOKUP(CONCATENATE($AO$7,"-",MID(E39,1,100)),DATOS!Z:AA,2,0)),"",VLOOKUP(CONCATENATE($AO$7,"-",MID(E39,1,100)),DATOS!Z:AA,2,0))</f>
        <v/>
      </c>
      <c r="AP39" s="165" t="str">
        <f>IF(ISERROR(VLOOKUP(CONCATENATE($AP$7,"-",MID(E39,1,100)),DATOS!Z:AA,2,0)),"",VLOOKUP(CONCATENATE($AP$7,"-",MID(E39,1,100)),DATOS!Z:AA,2,0))</f>
        <v/>
      </c>
      <c r="AQ39" s="165" t="str">
        <f>IF(ISERROR(VLOOKUP(CONCATENATE($AQ$7,"-",MID(E39,1,100)),DATOS!Z:AA,2,0)),"",VLOOKUP(CONCATENATE($AQ$7,"-",MID(E39,1,100)),DATOS!Z:AA,2,0))</f>
        <v/>
      </c>
      <c r="AR39" s="165" t="str">
        <f>IF(ISERROR(VLOOKUP(CONCATENATE($AR$7,"-",MID(E39,1,100)),DATOS!Z:AA,2,0)),"",VLOOKUP(CONCATENATE($AR$7,"-",MID(E39,1,100)),DATOS!Z:AA,2,0))</f>
        <v/>
      </c>
      <c r="AS39" s="166" t="str">
        <f>IF(ISERROR(VLOOKUP(CONCATENATE($AS$7,"-",MID(E39,1,100)),DATOS!Z:AA,2,0)),"",VLOOKUP(CONCATENATE($AS$7,"-",MID(E39,1,100)),DATOS!Z:AA,2,0))</f>
        <v/>
      </c>
      <c r="AT39" s="207" t="str">
        <f>IF(ISERROR(VLOOKUP(CONCATENATE($AT$7,"-",MID(E39,1,100)),DATOS!Z:AA,2,0)),"",VLOOKUP(CONCATENATE($AT$7,"-",MID(E39,1,100)),DATOS!Z:AA,2,0))</f>
        <v/>
      </c>
      <c r="AU39" s="208" t="str">
        <f>IF(ISERROR(VLOOKUP(CONCATENATE($AU$7,"-",MID(E39,1,100)),DATOS!Z:AA,2,0)),"",VLOOKUP(CONCATENATE($AU$7,"-",MID(E39,1,100)),DATOS!Z:AA,2,0))</f>
        <v/>
      </c>
      <c r="AV39" s="208" t="str">
        <f>IF(ISERROR(VLOOKUP(CONCATENATE($AV$7,"-",MID(E39,1,100)),DATOS!Z:AA,2,0)),"",VLOOKUP(CONCATENATE($AV$7,"-",MID(E39,1,100)),DATOS!Z:AA,2,0))</f>
        <v/>
      </c>
      <c r="AW39" s="208" t="str">
        <f>IF(ISERROR(VLOOKUP(CONCATENATE($AW$7,"-",MID(E39,1,100)),DATOS!Z:AA,2,0)),"",VLOOKUP(CONCATENATE($AW$7,"-",MID(E39,1,100)),DATOS!Z:AA,2,0))</f>
        <v>a</v>
      </c>
      <c r="AX39" s="208" t="str">
        <f>IF(ISERROR(VLOOKUP(CONCATENATE($AX$7,"-",MID(E39,1,100)),DATOS!Z:AA,2,0)),"",VLOOKUP(CONCATENATE($AX$7,"-",MID(E39,1,100)),DATOS!Z:AA,2,0))</f>
        <v/>
      </c>
      <c r="AY39" s="208" t="str">
        <f>IF(ISERROR(VLOOKUP(CONCATENATE($AY$7,"-",MID(E39,1,100)),DATOS!Z:AA,2,0)),"",VLOOKUP(CONCATENATE($AY$7,"-",MID(E39,1,100)),DATOS!Z:AA,2,0))</f>
        <v/>
      </c>
      <c r="AZ39" s="208" t="str">
        <f>IF(ISERROR(VLOOKUP(CONCATENATE($AZ$7,"-",MID(E39,1,100)),DATOS!Z:AA,2,0)),"",VLOOKUP(CONCATENATE($AZ$7,"-",MID(E39,1,100)),DATOS!Z:AA,2,0))</f>
        <v/>
      </c>
      <c r="BA39" s="208" t="str">
        <f>IF(ISERROR(VLOOKUP(CONCATENATE($BA$7,"-",MID(E39,1,100)),DATOS!Z:AA,2,0)),"",VLOOKUP(CONCATENATE($BA$7,"-",MID(E39,1,100)),DATOS!Z:AA,2,0))</f>
        <v/>
      </c>
      <c r="BB39" s="208" t="str">
        <f>IF(ISERROR(VLOOKUP(CONCATENATE($BB$7,"-",MID(E39,1,100)),DATOS!Z:AA,2,0)),"",VLOOKUP(CONCATENATE($BB$7,"-",MID(E39,1,100)),DATOS!Z:AA,2,0))</f>
        <v/>
      </c>
      <c r="BC39" s="209" t="str">
        <f>IF(ISERROR(VLOOKUP(CONCATENATE($BC$7,"-",MID(E39,1,100)),DATOS!Z:AA,2,0)),"",VLOOKUP(CONCATENATE($BC$7,"-",MID(E39,1,100)),DATOS!Z:AA,2,0))</f>
        <v/>
      </c>
      <c r="BD39" s="207" t="str">
        <f>IF(ISERROR(VLOOKUP(CONCATENATE($BD$7,"-",MID(E39,1,100)),DATOS!Z:AA,2,0)),"",VLOOKUP(CONCATENATE($BD$7,"-",MID(E39,1,100)),DATOS!Z:AA,2,0))</f>
        <v>a</v>
      </c>
      <c r="BE39" s="208" t="str">
        <f>IF(ISERROR(VLOOKUP(CONCATENATE($BE$7,"-",MID(E39,1,100)),DATOS!Z:AA,2,0)),"",VLOOKUP(CONCATENATE($BE$7,"-",MID(E39,1,100)),DATOS!Z:AA,2,0))</f>
        <v/>
      </c>
      <c r="BF39" s="208" t="str">
        <f>IF(ISERROR(VLOOKUP(CONCATENATE($BF$7,"-",MID(E39,1,100)),DATOS!Z:AA,2,0)),"",VLOOKUP(CONCATENATE($BF$7,"-",MID(E39,1,100)),DATOS!Z:AA,2,0))</f>
        <v/>
      </c>
      <c r="BG39" s="208" t="str">
        <f>IF(ISERROR(VLOOKUP(CONCATENATE($BG$7,"-",MID(E39,1,100)),DATOS!Z:AA,2,0)),"",VLOOKUP(CONCATENATE($BG$7,"-",MID(E39,1,100)),DATOS!Z:AA,2,0))</f>
        <v>a</v>
      </c>
      <c r="BH39" s="208" t="str">
        <f>IF(ISERROR(VLOOKUP(CONCATENATE($BH$7,"-",MID(E39,1,100)),DATOS!Z:AA,2,0)),"",VLOOKUP(CONCATENATE($BH$7,"-",MID(E39,1,100)),DATOS!Z:AA,2,0))</f>
        <v/>
      </c>
      <c r="BI39" s="208" t="str">
        <f>IF(ISERROR(VLOOKUP(CONCATENATE($BI$7,"-",MID(E39,1,100)),DATOS!Z:AA,2,0)),"",VLOOKUP(CONCATENATE($BI$7,"-",MID(E39,1,100)),DATOS!Z:AA,2,0))</f>
        <v>a</v>
      </c>
      <c r="BJ39" s="208" t="str">
        <f>IF(ISERROR(VLOOKUP(CONCATENATE($BJ$7,"-",MID(E39,1,100)),DATOS!Z:AA,2,0)),"",VLOOKUP(CONCATENATE($BJ$7,"-",MID(E39,1,100)),DATOS!Z:AA,2,0))</f>
        <v/>
      </c>
      <c r="BK39" s="208" t="str">
        <f>IF(ISERROR(VLOOKUP(CONCATENATE($BK$7,"-",MID(E39,1,100)),DATOS!Z:AA,2,0)),"",VLOOKUP(CONCATENATE($BK$7,"-",MID(E39,1,100)),DATOS!Z:AA,2,0))</f>
        <v/>
      </c>
      <c r="BL39" s="208" t="str">
        <f>IF(ISERROR(VLOOKUP(CONCATENATE($BL$7,"-",MID(E39,1,100)),DATOS!Z:AA,2,0)),"",VLOOKUP(CONCATENATE($BL$7,"-",MID(E39,1,100)),DATOS!Z:AA,2,0))</f>
        <v/>
      </c>
      <c r="BM39" s="209" t="str">
        <f>IF(ISERROR(VLOOKUP(CONCATENATE($BM$7,"-",MID(E39,1,100)),DATOS!Z:AA,2,0)),"",VLOOKUP(CONCATENATE($BM$7,"-",MID(E39,1,100)),DATOS!Z:AA,2,0))</f>
        <v/>
      </c>
      <c r="BN39" s="207" t="str">
        <f>IF(ISERROR(VLOOKUP(CONCATENATE($BN$7,"-",MID(E39,1,100)),DATOS!Z:AA,2,0)),"",VLOOKUP(CONCATENATE($BN$7,"-",MID(E39,1,100)),DATOS!Z:AA,2,0))</f>
        <v>a</v>
      </c>
      <c r="BO39" s="208" t="str">
        <f>IF(ISERROR(VLOOKUP(CONCATENATE($BO$7,"-",MID(E39,1,100)),DATOS!Z:AA,2,0)),"",VLOOKUP(CONCATENATE($BO$7,"-",MID(E39,1,100)),DATOS!Z:AA,2,0))</f>
        <v/>
      </c>
      <c r="BP39" s="208" t="str">
        <f>IF(ISERROR(VLOOKUP(CONCATENATE($BP$7,"-",MID(E39,1,100)),DATOS!Z:AA,2,0)),"",VLOOKUP(CONCATENATE($BP$7,"-",MID(E39,1,100)),DATOS!Z:AA,2,0))</f>
        <v/>
      </c>
      <c r="BQ39" s="208" t="str">
        <f>IF(ISERROR(VLOOKUP(CONCATENATE($BQ$7,"-",MID(E39,1,100)),DATOS!Z:AA,2,0)),"",VLOOKUP(CONCATENATE($BQ$7,"-",MID(E39,1,100)),DATOS!Z:AA,2,0))</f>
        <v/>
      </c>
      <c r="BR39" s="208" t="str">
        <f>IF(ISERROR(VLOOKUP(CONCATENATE($BR$7,"-",MID(E39,1,100)),DATOS!Z:AA,2,0)),"",VLOOKUP(CONCATENATE($BR$7,"-",MID(E39,1,100)),DATOS!Z:AA,2,0))</f>
        <v/>
      </c>
      <c r="BS39" s="208" t="str">
        <f>IF(ISERROR(VLOOKUP(CONCATENATE($BS$7,"-",MID(E39,1,100)),DATOS!Z:AA,2,0)),"",VLOOKUP(CONCATENATE($BS$7,"-",MID(E39,1,100)),DATOS!Z:AA,2,0))</f>
        <v/>
      </c>
      <c r="BT39" s="208" t="str">
        <f>IF(ISERROR(VLOOKUP(CONCATENATE($BT$7,"-",MID(E39,1,100)),DATOS!Z:AA,2,0)),"",VLOOKUP(CONCATENATE($BT$7,"-",MID(E39,1,100)),DATOS!Z:AA,2,0))</f>
        <v/>
      </c>
      <c r="BU39" s="208" t="str">
        <f>IF(ISERROR(VLOOKUP(CONCATENATE($BU$7,"-",MID(E39,1,100)),DATOS!Z:AA,2,0)),"",VLOOKUP(CONCATENATE($BU$7,"-",MID(E39,1,100)),DATOS!Z:AA,2,0))</f>
        <v/>
      </c>
      <c r="BV39" s="208" t="str">
        <f>IF(ISERROR(VLOOKUP(CONCATENATE($BV$7,"-",MID(E39,1,100)),DATOS!Z:AA,2,0)),"",VLOOKUP(CONCATENATE($BV$7,"-",MID(E39,1,100)),DATOS!Z:AA,2,0))</f>
        <v/>
      </c>
      <c r="BW39" s="209" t="str">
        <f>IF(ISERROR(VLOOKUP(CONCATENATE($BW$7,"-",MID(E39,1,100)),DATOS!Z:AA,2,0)),"",VLOOKUP(CONCATENATE($BW$7,"-",MID(E39,1,100)),DATOS!Z:AA,2,0))</f>
        <v/>
      </c>
      <c r="BX39" s="164" t="str">
        <f>IF(ISERROR(VLOOKUP(CONCATENATE($BX$7,"-",MID(E39,1,100)),DATOS!Z:AA,2,0)),"",VLOOKUP(CONCATENATE($BX$7,"-",MID(E39,1,100)),DATOS!Z:AA,2,0))</f>
        <v/>
      </c>
      <c r="BY39" s="165" t="str">
        <f>IF(ISERROR(VLOOKUP(CONCATENATE($BY$7,"-",MID(E39,1,100)),DATOS!Z:AA,2,0)),"",VLOOKUP(CONCATENATE($BY$7,"-",MID(E39,1,100)),DATOS!Z:AA,2,0))</f>
        <v/>
      </c>
      <c r="BZ39" s="165" t="str">
        <f>IF(ISERROR(VLOOKUP(CONCATENATE($BZ$7,"-",MID(E39,1,100)),DATOS!Z:AA,2,0)),"",VLOOKUP(CONCATENATE($BZ$7,"-",MID(E39,1,100)),DATOS!Z:AA,2,0))</f>
        <v/>
      </c>
      <c r="CA39" s="165" t="str">
        <f>IF(ISERROR(VLOOKUP(CONCATENATE($CA$7,"-",MID(E39,1,100)),DATOS!Z:AA,2,0)),"",VLOOKUP(CONCATENATE($CA$7,"-",MID(E39,1,100)),DATOS!Z:AA,2,0))</f>
        <v/>
      </c>
      <c r="CB39" s="165" t="str">
        <f>IF(ISERROR(VLOOKUP(CONCATENATE($CB$7,"-",MID(E39,1,100)),DATOS!Z:AA,2,0)),"",VLOOKUP(CONCATENATE($CB$7,"-",MID(E39,1,100)),DATOS!Z:AA,2,0))</f>
        <v/>
      </c>
      <c r="CC39" s="165" t="str">
        <f>IF(ISERROR(VLOOKUP(CONCATENATE($CC$7,"-",MID(E39,1,100)),DATOS!Z:AA,2,0)),"",VLOOKUP(CONCATENATE($CC$7,"-",MID(E39,1,100)),DATOS!Z:AA,2,0))</f>
        <v/>
      </c>
      <c r="CD39" s="165" t="str">
        <f>IF(ISERROR(VLOOKUP(CONCATENATE($CD$7,"-",MID(E39,1,100)),DATOS!Z:AA,2,0)),"",VLOOKUP(CONCATENATE($CD$7,"-",MID(E39,1,100)),DATOS!Z:AA,2,0))</f>
        <v/>
      </c>
      <c r="CE39" s="165" t="str">
        <f>IF(ISERROR(VLOOKUP(CONCATENATE($CE$7,"-",MID(E39,1,100)),DATOS!Z:AA,2,0)),"",VLOOKUP(CONCATENATE($CE$7,"-",MID(E39,1,100)),DATOS!Z:AA,2,0))</f>
        <v/>
      </c>
      <c r="CF39" s="165" t="str">
        <f>IF(ISERROR(VLOOKUP(CONCATENATE($CF$7,"-",MID(E39,1,100)),DATOS!Z:AA,2,0)),"",VLOOKUP(CONCATENATE($CF$7,"-",MID(E39,1,100)),DATOS!Z:AA,2,0))</f>
        <v/>
      </c>
      <c r="CG39" s="166" t="str">
        <f>IF(ISERROR(VLOOKUP(CONCATENATE($CG$7,"-",MID(E39,1,100)),DATOS!Z:AA,2,0)),"",VLOOKUP(CONCATENATE($CG$7,"-",MID(E39,1,100)),DATOS!Z:AA,2,0))</f>
        <v/>
      </c>
      <c r="CH39" s="164" t="str">
        <f>IF(ISERROR(VLOOKUP(CONCATENATE($CH$7,"-",MID(E39,1,100)),DATOS!Z:AA,2,0)),"",VLOOKUP(CONCATENATE($CH$7,"-",MID(E39,1,100)),DATOS!Z:AA,2,0))</f>
        <v/>
      </c>
      <c r="CI39" s="165" t="str">
        <f>IF(ISERROR(VLOOKUP(CONCATENATE($CI$7,"-",MID(E39,1,100)),DATOS!Z:AA,2,0)),"",VLOOKUP(CONCATENATE($CI$7,"-",MID(E39,1,100)),DATOS!Z:AA,2,0))</f>
        <v/>
      </c>
      <c r="CJ39" s="165" t="str">
        <f>IF(ISERROR(VLOOKUP(CONCATENATE($CJ$7,"-",MID(E39,1,100)),DATOS!Z:AA,2,0)),"",VLOOKUP(CONCATENATE($CJ$7,"-",MID(E39,1,100)),DATOS!Z:AA,2,0))</f>
        <v/>
      </c>
      <c r="CK39" s="165" t="str">
        <f>IF(ISERROR(VLOOKUP(CONCATENATE($CK$7,"-",MID(E39,1,100)),DATOS!Z:AA,2,0)),"",VLOOKUP(CONCATENATE($CK$7,"-",MID(E39,1,100)),DATOS!Z:AA,2,0))</f>
        <v/>
      </c>
      <c r="CL39" s="165" t="str">
        <f>IF(ISERROR(VLOOKUP(CONCATENATE($CL$7,"-",MID(E39,1,100)),DATOS!Z:AA,2,0)),"",VLOOKUP(CONCATENATE($CL$7,"-",MID(E39,1,100)),DATOS!Z:AA,2,0))</f>
        <v/>
      </c>
      <c r="CM39" s="165" t="str">
        <f>IF(ISERROR(VLOOKUP(CONCATENATE($CM$7,"-",MID(E39,1,100)),DATOS!Z:AA,2,0)),"",VLOOKUP(CONCATENATE($CM$7,"-",MID(E39,1,100)),DATOS!Z:AA,2,0))</f>
        <v/>
      </c>
      <c r="CN39" s="165" t="str">
        <f>IF(ISERROR(VLOOKUP(CONCATENATE($CN$7,"-",MID(E39,1,100)),DATOS!Z:AA,2,0)),"",VLOOKUP(CONCATENATE($CN$7,"-",MID(E39,1,100)),DATOS!Z:AA,2,0))</f>
        <v/>
      </c>
      <c r="CO39" s="165" t="str">
        <f>IF(ISERROR(VLOOKUP(CONCATENATE($CO$7,"-",MID(E39,1,100)),DATOS!Z:AA,2,0)),"",VLOOKUP(CONCATENATE($CO$7,"-",MID(E39,1,100)),DATOS!Z:AA,2,0))</f>
        <v/>
      </c>
      <c r="CP39" s="195" t="str">
        <f>IF(ISERROR(VLOOKUP(CONCATENATE($CP$7,"-",MID(E39,1,100)),DATOS!Z:AA,2,0)),"",VLOOKUP(CONCATENATE($CP$7,"-",MID(E39,1,100)),DATOS!Z:AA,2,0))</f>
        <v/>
      </c>
      <c r="CQ39" s="166" t="str">
        <f>IF(ISERROR(VLOOKUP(CONCATENATE($CQ$7,"-",MID(E39,1,100)),DATOS!Z:AA,2,0)),"",VLOOKUP(CONCATENATE($CQ$7,"-",MID(E39,1,100)),DATOS!Z:AA,2,0))</f>
        <v/>
      </c>
      <c r="CR39" s="164" t="str">
        <f>IF(ISERROR(VLOOKUP(CONCATENATE(CR$7,"-",MID($E39,1,100)),DATOS!$Z:$AA,2,0)),"",VLOOKUP(CONCATENATE(CR$7,"-",MID($E39,1,100)),DATOS!$Z:$AA,2,0))</f>
        <v/>
      </c>
      <c r="CS39" s="165" t="str">
        <f>IF(ISERROR(VLOOKUP(CONCATENATE(CS$7,"-",MID($E39,1,100)),DATOS!$Z:$AA,2,0)),"",VLOOKUP(CONCATENATE(CS$7,"-",MID($E39,1,100)),DATOS!$Z:$AA,2,0))</f>
        <v/>
      </c>
      <c r="CT39" s="165" t="str">
        <f>IF(ISERROR(VLOOKUP(CONCATENATE(CT$7,"-",MID($E39,1,100)),DATOS!$Z:$AA,2,0)),"",VLOOKUP(CONCATENATE(CT$7,"-",MID($E39,1,100)),DATOS!$Z:$AA,2,0))</f>
        <v/>
      </c>
      <c r="CU39" s="165" t="str">
        <f>IF(ISERROR(VLOOKUP(CONCATENATE(CU$7,"-",MID($E39,1,100)),DATOS!$Z:$AA,2,0)),"",VLOOKUP(CONCATENATE(CU$7,"-",MID($E39,1,100)),DATOS!$Z:$AA,2,0))</f>
        <v/>
      </c>
      <c r="CV39" s="165" t="str">
        <f>IF(ISERROR(VLOOKUP(CONCATENATE(CV$7,"-",MID($E39,1,100)),DATOS!$Z:$AA,2,0)),"",VLOOKUP(CONCATENATE(CV$7,"-",MID($E39,1,100)),DATOS!$Z:$AA,2,0))</f>
        <v/>
      </c>
      <c r="CW39" s="165" t="str">
        <f>IF(ISERROR(VLOOKUP(CONCATENATE(CW$7,"-",MID($E39,1,100)),DATOS!$Z:$AA,2,0)),"",VLOOKUP(CONCATENATE(CW$7,"-",MID($E39,1,100)),DATOS!$Z:$AA,2,0))</f>
        <v/>
      </c>
      <c r="CX39" s="165" t="str">
        <f>IF(ISERROR(VLOOKUP(CONCATENATE(CX$7,"-",MID($E39,1,100)),DATOS!$Z:$AA,2,0)),"",VLOOKUP(CONCATENATE(CX$7,"-",MID($E39,1,100)),DATOS!$Z:$AA,2,0))</f>
        <v/>
      </c>
      <c r="CY39" s="165" t="str">
        <f>IF(ISERROR(VLOOKUP(CONCATENATE(CY$7,"-",MID($E39,1,100)),DATOS!$Z:$AA,2,0)),"",VLOOKUP(CONCATENATE(CY$7,"-",MID($E39,1,100)),DATOS!$Z:$AA,2,0))</f>
        <v/>
      </c>
      <c r="CZ39" s="195" t="str">
        <f>IF(ISERROR(VLOOKUP(CONCATENATE(CZ$7,"-",MID($E39,1,100)),DATOS!$Z:$AA,2,0)),"",VLOOKUP(CONCATENATE(CZ$7,"-",MID($E39,1,100)),DATOS!$Z:$AA,2,0))</f>
        <v/>
      </c>
      <c r="DA39" s="166" t="str">
        <f>IF(ISERROR(VLOOKUP(CONCATENATE(DA$7,"-",MID($E39,1,100)),DATOS!$Z:$AA,2,0)),"",VLOOKUP(CONCATENATE(DA$7,"-",MID($E39,1,100)),DATOS!$Z:$AA,2,0))</f>
        <v/>
      </c>
      <c r="DB39" s="164" t="str">
        <f>IF(ISERROR(VLOOKUP(CONCATENATE(DB$7,"-",MID($E39,1,100)),DATOS!$Z:$AA,2,0)),"",VLOOKUP(CONCATENATE(DB$7,"-",MID($E39,1,100)),DATOS!$Z:$AA,2,0))</f>
        <v/>
      </c>
      <c r="DC39" s="165" t="str">
        <f>IF(ISERROR(VLOOKUP(CONCATENATE(DC$7,"-",MID($E39,1,100)),DATOS!$Z:$AA,2,0)),"",VLOOKUP(CONCATENATE(DC$7,"-",MID($E39,1,100)),DATOS!$Z:$AA,2,0))</f>
        <v/>
      </c>
      <c r="DD39" s="165" t="str">
        <f>IF(ISERROR(VLOOKUP(CONCATENATE(DD$7,"-",MID($E39,1,100)),DATOS!$Z:$AA,2,0)),"",VLOOKUP(CONCATENATE(DD$7,"-",MID($E39,1,100)),DATOS!$Z:$AA,2,0))</f>
        <v/>
      </c>
      <c r="DE39" s="165" t="str">
        <f>IF(ISERROR(VLOOKUP(CONCATENATE(DE$7,"-",MID($E39,1,100)),DATOS!$Z:$AA,2,0)),"",VLOOKUP(CONCATENATE(DE$7,"-",MID($E39,1,100)),DATOS!$Z:$AA,2,0))</f>
        <v/>
      </c>
      <c r="DF39" s="165" t="str">
        <f>IF(ISERROR(VLOOKUP(CONCATENATE(DF$7,"-",MID($E39,1,100)),DATOS!$Z:$AA,2,0)),"",VLOOKUP(CONCATENATE(DF$7,"-",MID($E39,1,100)),DATOS!$Z:$AA,2,0))</f>
        <v/>
      </c>
      <c r="DG39" s="165" t="str">
        <f>IF(ISERROR(VLOOKUP(CONCATENATE(DG$7,"-",MID($E39,1,100)),DATOS!$Z:$AA,2,0)),"",VLOOKUP(CONCATENATE(DG$7,"-",MID($E39,1,100)),DATOS!$Z:$AA,2,0))</f>
        <v/>
      </c>
      <c r="DH39" s="165" t="str">
        <f>IF(ISERROR(VLOOKUP(CONCATENATE(DH$7,"-",MID($E39,1,100)),DATOS!$Z:$AA,2,0)),"",VLOOKUP(CONCATENATE(DH$7,"-",MID($E39,1,100)),DATOS!$Z:$AA,2,0))</f>
        <v/>
      </c>
      <c r="DI39" s="165" t="str">
        <f>IF(ISERROR(VLOOKUP(CONCATENATE(DI$7,"-",MID($E39,1,100)),DATOS!$Z:$AA,2,0)),"",VLOOKUP(CONCATENATE(DI$7,"-",MID($E39,1,100)),DATOS!$Z:$AA,2,0))</f>
        <v/>
      </c>
      <c r="DJ39" s="195" t="str">
        <f>IF(ISERROR(VLOOKUP(CONCATENATE(DJ$7,"-",MID($E39,1,100)),DATOS!$Z:$AA,2,0)),"",VLOOKUP(CONCATENATE(DJ$7,"-",MID($E39,1,100)),DATOS!$Z:$AA,2,0))</f>
        <v/>
      </c>
      <c r="DK39" s="166" t="str">
        <f>IF(ISERROR(VLOOKUP(CONCATENATE(DK$7,"-",MID($E39,1,100)),DATOS!$Z:$AA,2,0)),"",VLOOKUP(CONCATENATE(DK$7,"-",MID($E39,1,100)),DATOS!$Z:$AA,2,0))</f>
        <v/>
      </c>
      <c r="DL39" s="164" t="str">
        <f>IF(ISERROR(VLOOKUP(CONCATENATE(DL$7,"-",MID($E39,1,100)),DATOS!$Z:$AA,2,0)),"",VLOOKUP(CONCATENATE(DL$7,"-",MID($E39,1,100)),DATOS!$Z:$AA,2,0))</f>
        <v/>
      </c>
      <c r="DM39" s="165" t="str">
        <f>IF(ISERROR(VLOOKUP(CONCATENATE(DM$7,"-",MID($E39,1,100)),DATOS!$Z:$AA,2,0)),"",VLOOKUP(CONCATENATE(DM$7,"-",MID($E39,1,100)),DATOS!$Z:$AA,2,0))</f>
        <v/>
      </c>
      <c r="DN39" s="165" t="str">
        <f>IF(ISERROR(VLOOKUP(CONCATENATE(DN$7,"-",MID($E39,1,100)),DATOS!$Z:$AA,2,0)),"",VLOOKUP(CONCATENATE(DN$7,"-",MID($E39,1,100)),DATOS!$Z:$AA,2,0))</f>
        <v/>
      </c>
      <c r="DO39" s="165" t="str">
        <f>IF(ISERROR(VLOOKUP(CONCATENATE(DO$7,"-",MID($E39,1,100)),DATOS!$Z:$AA,2,0)),"",VLOOKUP(CONCATENATE(DO$7,"-",MID($E39,1,100)),DATOS!$Z:$AA,2,0))</f>
        <v/>
      </c>
      <c r="DP39" s="165" t="str">
        <f>IF(ISERROR(VLOOKUP(CONCATENATE(DP$7,"-",MID($E39,1,100)),DATOS!$Z:$AA,2,0)),"",VLOOKUP(CONCATENATE(DP$7,"-",MID($E39,1,100)),DATOS!$Z:$AA,2,0))</f>
        <v/>
      </c>
      <c r="DQ39" s="165" t="str">
        <f>IF(ISERROR(VLOOKUP(CONCATENATE(DQ$7,"-",MID($E39,1,100)),DATOS!$Z:$AA,2,0)),"",VLOOKUP(CONCATENATE(DQ$7,"-",MID($E39,1,100)),DATOS!$Z:$AA,2,0))</f>
        <v/>
      </c>
      <c r="DR39" s="165" t="str">
        <f>IF(ISERROR(VLOOKUP(CONCATENATE(DR$7,"-",MID($E39,1,100)),DATOS!$Z:$AA,2,0)),"",VLOOKUP(CONCATENATE(DR$7,"-",MID($E39,1,100)),DATOS!$Z:$AA,2,0))</f>
        <v/>
      </c>
      <c r="DS39" s="165" t="str">
        <f>IF(ISERROR(VLOOKUP(CONCATENATE(DS$7,"-",MID($E39,1,100)),DATOS!$Z:$AA,2,0)),"",VLOOKUP(CONCATENATE(DS$7,"-",MID($E39,1,100)),DATOS!$Z:$AA,2,0))</f>
        <v/>
      </c>
      <c r="DT39" s="195" t="str">
        <f>IF(ISERROR(VLOOKUP(CONCATENATE(DT$7,"-",MID($E39,1,100)),DATOS!$Z:$AA,2,0)),"",VLOOKUP(CONCATENATE(DT$7,"-",MID($E39,1,100)),DATOS!$Z:$AA,2,0))</f>
        <v/>
      </c>
      <c r="DU39" s="166" t="str">
        <f>IF(ISERROR(VLOOKUP(CONCATENATE(DU$7,"-",MID($E39,1,100)),DATOS!$Z:$AA,2,0)),"",VLOOKUP(CONCATENATE(DU$7,"-",MID($E39,1,100)),DATOS!$Z:$AA,2,0))</f>
        <v/>
      </c>
      <c r="DV39" s="164" t="str">
        <f>IF(ISERROR(VLOOKUP(CONCATENATE(DV$7,"-",MID($E39,1,100)),DATOS!$Z:$AA,2,0)),"",VLOOKUP(CONCATENATE(DV$7,"-",MID($E39,1,100)),DATOS!$Z:$AA,2,0))</f>
        <v/>
      </c>
      <c r="DW39" s="165" t="str">
        <f>IF(ISERROR(VLOOKUP(CONCATENATE(DW$7,"-",MID($E39,1,100)),DATOS!$Z:$AA,2,0)),"",VLOOKUP(CONCATENATE(DW$7,"-",MID($E39,1,100)),DATOS!$Z:$AA,2,0))</f>
        <v/>
      </c>
      <c r="DX39" s="165" t="str">
        <f>IF(ISERROR(VLOOKUP(CONCATENATE(DX$7,"-",MID($E39,1,100)),DATOS!$Z:$AA,2,0)),"",VLOOKUP(CONCATENATE(DX$7,"-",MID($E39,1,100)),DATOS!$Z:$AA,2,0))</f>
        <v/>
      </c>
      <c r="DY39" s="165" t="str">
        <f>IF(ISERROR(VLOOKUP(CONCATENATE(DY$7,"-",MID($E39,1,100)),DATOS!$Z:$AA,2,0)),"",VLOOKUP(CONCATENATE(DY$7,"-",MID($E39,1,100)),DATOS!$Z:$AA,2,0))</f>
        <v/>
      </c>
      <c r="DZ39" s="165" t="str">
        <f>IF(ISERROR(VLOOKUP(CONCATENATE(DZ$7,"-",MID($E39,1,100)),DATOS!$Z:$AA,2,0)),"",VLOOKUP(CONCATENATE(DZ$7,"-",MID($E39,1,100)),DATOS!$Z:$AA,2,0))</f>
        <v/>
      </c>
      <c r="EA39" s="165" t="str">
        <f>IF(ISERROR(VLOOKUP(CONCATENATE(EA$7,"-",MID($E39,1,100)),DATOS!$Z:$AA,2,0)),"",VLOOKUP(CONCATENATE(EA$7,"-",MID($E39,1,100)),DATOS!$Z:$AA,2,0))</f>
        <v/>
      </c>
      <c r="EB39" s="165" t="str">
        <f>IF(ISERROR(VLOOKUP(CONCATENATE(EB$7,"-",MID($E39,1,100)),DATOS!$Z:$AA,2,0)),"",VLOOKUP(CONCATENATE(EB$7,"-",MID($E39,1,100)),DATOS!$Z:$AA,2,0))</f>
        <v/>
      </c>
      <c r="EC39" s="165" t="str">
        <f>IF(ISERROR(VLOOKUP(CONCATENATE(EC$7,"-",MID($E39,1,100)),DATOS!$Z:$AA,2,0)),"",VLOOKUP(CONCATENATE(EC$7,"-",MID($E39,1,100)),DATOS!$Z:$AA,2,0))</f>
        <v/>
      </c>
      <c r="ED39" s="195" t="str">
        <f>IF(ISERROR(VLOOKUP(CONCATENATE(ED$7,"-",MID($E39,1,100)),DATOS!$Z:$AA,2,0)),"",VLOOKUP(CONCATENATE(ED$7,"-",MID($E39,1,100)),DATOS!$Z:$AA,2,0))</f>
        <v/>
      </c>
      <c r="EE39" s="166" t="str">
        <f>IF(ISERROR(VLOOKUP(CONCATENATE(EE$7,"-",MID($E39,1,100)),DATOS!$Z:$AA,2,0)),"",VLOOKUP(CONCATENATE(EE$7,"-",MID($E39,1,100)),DATOS!$Z:$AA,2,0))</f>
        <v/>
      </c>
      <c r="EF39" s="164" t="str">
        <f>IF(ISERROR(VLOOKUP(CONCATENATE($EF$7,"-",MID(E39,1,100)),DATOS!Z:AA,2,0)),"",VLOOKUP(CONCATENATE($EF$7,"-",MID(E39,1,100)),DATOS!Z:AA,2,0))</f>
        <v/>
      </c>
      <c r="EG39" s="165" t="str">
        <f>IF(ISERROR(VLOOKUP(CONCATENATE($EG$7,"-",MID(E39,1,100)),DATOS!Z:AA,2,0)),"",VLOOKUP(CONCATENATE($EG$7,"-",MID(E39,1,100)),DATOS!Z:AA,2,0))</f>
        <v/>
      </c>
      <c r="EH39" s="165" t="str">
        <f>IF(ISERROR(VLOOKUP(CONCATENATE($EH$7,"-",MID(E39,1,100)),DATOS!Z:AA,2,0)),"",VLOOKUP(CONCATENATE($EH$7,"-",MID(E39,1,100)),DATOS!Z:AA,2,0))</f>
        <v/>
      </c>
      <c r="EI39" s="165" t="str">
        <f>IF(ISERROR(VLOOKUP(CONCATENATE($EI$7,"-",MID(E39,1,100)),DATOS!Z:AA,2,0)),"",VLOOKUP(CONCATENATE($EI$7,"-",MID(E39,1,100)),DATOS!Z:AA,2,0))</f>
        <v/>
      </c>
      <c r="EJ39" s="165" t="str">
        <f>IF(ISERROR(VLOOKUP(CONCATENATE($EJ$7,"-",MID(E39,1,100)),DATOS!Z:AA,2,0)),"",VLOOKUP(CONCATENATE($EJ$7,"-",MID(E39,1,100)),DATOS!Z:AA,2,0))</f>
        <v/>
      </c>
      <c r="EK39" s="165" t="str">
        <f>IF(ISERROR(VLOOKUP(CONCATENATE($EK$7,"-",MID(E39,1,100)),DATOS!Z:AA,2,0)),"",VLOOKUP(CONCATENATE($EK$7,"-",MID(E39,1,100)),DATOS!Z:AA,2,0))</f>
        <v/>
      </c>
      <c r="EL39" s="165" t="str">
        <f>IF(ISERROR(VLOOKUP(CONCATENATE($EL$7,"-",MID(E39,1,100)),DATOS!Z:AA,2,0)),"",VLOOKUP(CONCATENATE($EL$7,"-",MID(E39,1,100)),DATOS!Z:AA,2,0))</f>
        <v/>
      </c>
      <c r="EM39" s="165" t="str">
        <f>IF(ISERROR(VLOOKUP(CONCATENATE($EM$7,"-",MID(E39,1,100)),DATOS!Z:AA,2,0)),"",VLOOKUP(CONCATENATE($EM$7,"-",MID(E39,1,100)),DATOS!Z:AA,2,0))</f>
        <v/>
      </c>
      <c r="EN39" s="165" t="str">
        <f>IF(ISERROR(VLOOKUP(CONCATENATE($EN$7,"-",MID(E39,1,100)),DATOS!Z:AA,2,0)),"",VLOOKUP(CONCATENATE($EN$7,"-",MID(E39,1,100)),DATOS!Z:AA,2,0))</f>
        <v/>
      </c>
      <c r="EO39" s="166" t="str">
        <f>IF(ISERROR(VLOOKUP(CONCATENATE($EO$7,"-",MID(E39,1,100)),DATOS!Z:AA,2,0)),"",VLOOKUP(CONCATENATE($EO$7,"-",MID(E39,1,100)),DATOS!Z:AA,2,0))</f>
        <v/>
      </c>
      <c r="EP39" s="167">
        <f t="shared" si="0"/>
        <v>5</v>
      </c>
      <c r="EQ39" s="159" t="str">
        <f t="shared" si="1"/>
        <v>CP5: Comprensión y expresión del idioma inglés-N2</v>
      </c>
    </row>
    <row r="40" spans="1:147" ht="17.25" customHeight="1" thickBot="1">
      <c r="A40" s="148"/>
      <c r="B40" s="168" t="str">
        <f>IF('1.Fundamentos'!B62="","",'1.Fundamentos'!B62)</f>
        <v>CP5: Comprensión y expresión del idioma inglés</v>
      </c>
      <c r="C40" s="169" t="s">
        <v>84</v>
      </c>
      <c r="D40" s="170" t="str">
        <f>IF('1.Fundamentos'!D62="","",'1.Fundamentos'!D62)</f>
        <v>Explica, crítica de manera holística el idioma inglés como segunda lengua, según los aspectos fonético, léxico y semántico utilizando las TIC para sistematizarla didácticamente en el proceso de enseñanza aprendizaje.</v>
      </c>
      <c r="E40" s="171" t="str">
        <f t="shared" si="2"/>
        <v>CP5: Comprensión y expresión del idioma inglés:N3 Explica, crítica de manera holística el idioma inglés como segunda lengua, según los aspectos fonético, léxico y semántico utilizando las TIC para sistematizarla didácticamente en el proceso de enseñanza aprendizaje.</v>
      </c>
      <c r="F40" s="172" t="str">
        <f>IF(ISERROR(VLOOKUP(CONCATENATE($F$7,"-",MID(E40,1,100)),DATOS!Z:AA,2,0)),"",VLOOKUP(CONCATENATE($F$7,"-",MID(E40,1,100)),DATOS!Z:AA,2,0))</f>
        <v/>
      </c>
      <c r="G40" s="173" t="str">
        <f>IF(ISERROR(VLOOKUP(CONCATENATE($G$7,"-",MID(E40,1,100)),DATOS!Z:AA,2,0)),"",VLOOKUP(CONCATENATE($G$7,"-",MID(E40,1,100)),DATOS!Z:AA,2,0))</f>
        <v/>
      </c>
      <c r="H40" s="173" t="str">
        <f>IF(ISERROR(VLOOKUP(CONCATENATE($H$7,"-",MID(E40,1,100)),DATOS!Z:AA,2,0)),"",VLOOKUP(CONCATENATE($H$7,"-",MID(E40,1,100)),DATOS!Z:AA,2,0))</f>
        <v/>
      </c>
      <c r="I40" s="173" t="str">
        <f>IF(ISERROR(VLOOKUP(CONCATENATE($I$7,"-",MID(E40,1,100)),DATOS!Z:AA,2,0)),"",VLOOKUP(CONCATENATE($I$7,"-",MID(E40,1,100)),DATOS!Z:AA,2,0))</f>
        <v/>
      </c>
      <c r="J40" s="173" t="str">
        <f>IF(ISERROR(VLOOKUP(CONCATENATE($J$7,"-",MID(E40,1,100)),DATOS!Z:AA,2,0)),"",VLOOKUP(CONCATENATE($J$7,"-",MID(E40,1,100)),DATOS!Z:AA,2,0))</f>
        <v/>
      </c>
      <c r="K40" s="173" t="str">
        <f>IF(ISERROR(VLOOKUP(CONCATENATE($K$7,"-",MID(E40,1,100)),DATOS!Z:AA,2,0)),"",VLOOKUP(CONCATENATE($K$7,"-",MID(E40,1,100)),DATOS!Z:AA,2,0))</f>
        <v/>
      </c>
      <c r="L40" s="173" t="str">
        <f>IF(ISERROR(VLOOKUP(CONCATENATE($L$7,"-",MID(E40,1,100)),DATOS!Z:AA,2,0)),"",VLOOKUP(CONCATENATE($L$7,"-",MID(E40,1,100)),DATOS!Z:AA,2,0))</f>
        <v/>
      </c>
      <c r="M40" s="173" t="str">
        <f>IF(ISERROR(VLOOKUP(CONCATENATE($M$7,"-",MID(E40,1,100)),DATOS!Z:AA,2,0)),"",VLOOKUP(CONCATENATE($M$7,"-",MID(E40,1,100)),DATOS!Z:AA,2,0))</f>
        <v/>
      </c>
      <c r="N40" s="173" t="str">
        <f>IF(ISERROR(VLOOKUP(CONCATENATE($N$7,"-",MID(E40,1,100)),DATOS!Z:AA,2,0)),"",VLOOKUP(CONCATENATE($N$7,"-",MID(E40,1,100)),DATOS!Z:AA,2,0))</f>
        <v/>
      </c>
      <c r="O40" s="174" t="str">
        <f>IF(ISERROR(VLOOKUP(CONCATENATE($O$7,"-",MID(E40,1,100)),DATOS!Z:AA,2,0)),"",VLOOKUP(CONCATENATE($O$7,"-",MID(E40,1,100)),DATOS!Z:AA,2,0))</f>
        <v/>
      </c>
      <c r="P40" s="172" t="str">
        <f>IF(ISERROR(VLOOKUP(CONCATENATE($P$7,"-",MID(E40,1,100)),DATOS!Z:AA,2,0)),"",VLOOKUP(CONCATENATE($P$7,"-",MID(E40,1,100)),DATOS!Z:AA,2,0))</f>
        <v/>
      </c>
      <c r="Q40" s="173" t="str">
        <f>IF(ISERROR(VLOOKUP(CONCATENATE($Q$7,"-",MID(E40,1,100)),DATOS!Z:AA,2,0)),"",VLOOKUP(CONCATENATE($Q$7,"-",MID(E40,1,100)),DATOS!Z:AA,2,0))</f>
        <v/>
      </c>
      <c r="R40" s="173" t="str">
        <f>IF(ISERROR(VLOOKUP(CONCATENATE($R$7,"-",MID(E40,1,100)),DATOS!Z:AA,2,0)),"",VLOOKUP(CONCATENATE($R$7,"-",MID(E40,1,100)),DATOS!Z:AA,2,0))</f>
        <v/>
      </c>
      <c r="S40" s="173" t="str">
        <f>IF(ISERROR(VLOOKUP(CONCATENATE($S$7,"-",MID(E40,1,100)),DATOS!Z:AA,2,0)),"",VLOOKUP(CONCATENATE($S$7,"-",MID(E40,1,100)),DATOS!Z:AA,2,0))</f>
        <v/>
      </c>
      <c r="T40" s="173" t="str">
        <f>IF(ISERROR(VLOOKUP(CONCATENATE($T$7,"-",MID(E40,1,100)),DATOS!Z:AA,2,0)),"",VLOOKUP(CONCATENATE($T$7,"-",MID(E40,1,100)),DATOS!Z:AA,2,0))</f>
        <v/>
      </c>
      <c r="U40" s="173" t="str">
        <f>IF(ISERROR(VLOOKUP(CONCATENATE($U$7,"-",MID(E40,1,100)),DATOS!Z:AA,2,0)),"",VLOOKUP(CONCATENATE($U$7,"-",MID(E40,1,100)),DATOS!Z:AA,2,0))</f>
        <v/>
      </c>
      <c r="V40" s="173" t="str">
        <f>IF(ISERROR(VLOOKUP(CONCATENATE($V$7,"-",MID(E40,1,100)),DATOS!Z:AA,2,0)),"",VLOOKUP(CONCATENATE($V$7,"-",MID(E40,1,100)),DATOS!Z:AA,2,0))</f>
        <v/>
      </c>
      <c r="W40" s="173" t="str">
        <f>IF(ISERROR(VLOOKUP(CONCATENATE($W$7,"-",MID(E40,1,100)),DATOS!Z:AA,2,0)),"",VLOOKUP(CONCATENATE($W$7,"-",MID(E40,1,100)),DATOS!Z:AA,2,0))</f>
        <v/>
      </c>
      <c r="X40" s="173" t="str">
        <f>IF(ISERROR(VLOOKUP(CONCATENATE($X$7,"-",MID(E40,1,100)),DATOS!Z:AA,2,0)),"",VLOOKUP(CONCATENATE($X$7,"-",MID(E40,1,100)),DATOS!Z:AA,2,0))</f>
        <v/>
      </c>
      <c r="Y40" s="174" t="str">
        <f>IF(ISERROR(VLOOKUP(CONCATENATE($Y$7,"-",MID(E40,1,100)),DATOS!Z:AA,2,0)),"",VLOOKUP(CONCATENATE($Y$7,"-",MID(E40,1,100)),DATOS!Z:AA,2,0))</f>
        <v/>
      </c>
      <c r="Z40" s="172" t="str">
        <f>IF(ISERROR(VLOOKUP(CONCATENATE($Z$7,"-",MID(E40,1,100)),DATOS!Z:AA,2,0)),"",VLOOKUP(CONCATENATE($Z$7,"-",MID(E40,1,100)),DATOS!Z:AA,2,0))</f>
        <v/>
      </c>
      <c r="AA40" s="173" t="str">
        <f>IF(ISERROR(VLOOKUP(CONCATENATE($AA$7,"-",MID(E40,1,100)),DATOS!Z:AA,2,0)),"",VLOOKUP(CONCATENATE($AA$7,"-",MID(E40,1,100)),DATOS!Z:AA,2,0))</f>
        <v/>
      </c>
      <c r="AB40" s="173" t="str">
        <f>IF(ISERROR(VLOOKUP(CONCATENATE($AB$7,"-",MID(E40,1,100)),DATOS!Z:AA,2,0)),"",VLOOKUP(CONCATENATE($AB$7,"-",MID(E40,1,100)),DATOS!Z:AA,2,0))</f>
        <v/>
      </c>
      <c r="AC40" s="173" t="str">
        <f>IF(ISERROR(VLOOKUP(CONCATENATE($AC$7,"-",MID(E40,1,100)),DATOS!Z:AA,2,0)),"",VLOOKUP(CONCATENATE($AC$7,"-",MID(E40,1,100)),DATOS!Z:AA,2,0))</f>
        <v/>
      </c>
      <c r="AD40" s="173" t="str">
        <f>IF(ISERROR(VLOOKUP(CONCATENATE($AD$7,"-",MID(E40,1,100)),DATOS!Z:AA,2,0)),"",VLOOKUP(CONCATENATE($AD$7,"-",MID(E40,1,100)),DATOS!Z:AA,2,0))</f>
        <v/>
      </c>
      <c r="AE40" s="173" t="str">
        <f>IF(ISERROR(VLOOKUP(CONCATENATE($AE$7,"-",MID(E40,1,100)),DATOS!Z:AA,2,0)),"",VLOOKUP(CONCATENATE($AE$7,"-",MID(E40,1,100)),DATOS!Z:AA,2,0))</f>
        <v/>
      </c>
      <c r="AF40" s="173" t="str">
        <f>IF(ISERROR(VLOOKUP(CONCATENATE($AF$7,"-",MID(E40,1,100)),DATOS!Z:AA,2,0)),"",VLOOKUP(CONCATENATE($AF$7,"-",MID(E40,1,100)),DATOS!Z:AA,2,0))</f>
        <v/>
      </c>
      <c r="AG40" s="173" t="str">
        <f>IF(ISERROR(VLOOKUP(CONCATENATE($AG$7,"-",MID(E40,1,100)),DATOS!Z:AA,2,0)),"",VLOOKUP(CONCATENATE($AG$7,"-",MID(E40,1,100)),DATOS!Z:AA,2,0))</f>
        <v/>
      </c>
      <c r="AH40" s="173" t="str">
        <f>IF(ISERROR(VLOOKUP(CONCATENATE($AH$7,"-",MID(E40,1,100)),DATOS!Z:AA,2,0)),"",VLOOKUP(CONCATENATE($AH$7,"-",MID(E40,1,100)),DATOS!Z:AA,2,0))</f>
        <v/>
      </c>
      <c r="AI40" s="174" t="str">
        <f>IF(ISERROR(VLOOKUP(CONCATENATE($AI$7,"-",MID(E40,1,100)),DATOS!Z:AA,2,0)),"",VLOOKUP(CONCATENATE($AI$7,"-",MID(E40,1,100)),DATOS!Z:AA,2,0))</f>
        <v/>
      </c>
      <c r="AJ40" s="172" t="str">
        <f>IF(ISERROR(VLOOKUP(CONCATENATE($AJ$7,"-",MID(E40,1,100)),DATOS!Z:AA,2,0)),"",VLOOKUP(CONCATENATE($AJ$7,"-",MID(E40,1,100)),DATOS!Z:AA,2,0))</f>
        <v/>
      </c>
      <c r="AK40" s="173" t="str">
        <f>IF(ISERROR(VLOOKUP(CONCATENATE($AK$7,"-",MID(E40,1,100)),DATOS!Z:AA,2,0)),"",VLOOKUP(CONCATENATE($AK$7,"-",MID(E40,1,100)),DATOS!Z:AA,2,0))</f>
        <v/>
      </c>
      <c r="AL40" s="173" t="str">
        <f>IF(ISERROR(VLOOKUP(CONCATENATE($AL$7,"-",MID(E40,1,100)),DATOS!Z:AA,2,0)),"",VLOOKUP(CONCATENATE($AL$7,"-",MID(E40,1,100)),DATOS!Z:AA,2,0))</f>
        <v/>
      </c>
      <c r="AM40" s="173" t="str">
        <f>IF(ISERROR(VLOOKUP(CONCATENATE($AM$7,"-",MID(E40,1,100)),DATOS!Z:AA,2,0)),"",VLOOKUP(CONCATENATE($AM$7,"-",MID(E40,1,100)),DATOS!Z:AA,2,0))</f>
        <v/>
      </c>
      <c r="AN40" s="173" t="str">
        <f>IF(ISERROR(VLOOKUP(CONCATENATE($AN$7,"-",MID(E40,1,100)),DATOS!Z:AA,2,0)),"",VLOOKUP(CONCATENATE($AN$7,"-",MID(E40,1,100)),DATOS!Z:AA,2,0))</f>
        <v/>
      </c>
      <c r="AO40" s="173" t="str">
        <f>IF(ISERROR(VLOOKUP(CONCATENATE($AO$7,"-",MID(E40,1,100)),DATOS!Z:AA,2,0)),"",VLOOKUP(CONCATENATE($AO$7,"-",MID(E40,1,100)),DATOS!Z:AA,2,0))</f>
        <v/>
      </c>
      <c r="AP40" s="173" t="str">
        <f>IF(ISERROR(VLOOKUP(CONCATENATE($AP$7,"-",MID(E40,1,100)),DATOS!Z:AA,2,0)),"",VLOOKUP(CONCATENATE($AP$7,"-",MID(E40,1,100)),DATOS!Z:AA,2,0))</f>
        <v/>
      </c>
      <c r="AQ40" s="173" t="str">
        <f>IF(ISERROR(VLOOKUP(CONCATENATE($AQ$7,"-",MID(E40,1,100)),DATOS!Z:AA,2,0)),"",VLOOKUP(CONCATENATE($AQ$7,"-",MID(E40,1,100)),DATOS!Z:AA,2,0))</f>
        <v/>
      </c>
      <c r="AR40" s="173" t="str">
        <f>IF(ISERROR(VLOOKUP(CONCATENATE($AR$7,"-",MID(E40,1,100)),DATOS!Z:AA,2,0)),"",VLOOKUP(CONCATENATE($AR$7,"-",MID(E40,1,100)),DATOS!Z:AA,2,0))</f>
        <v/>
      </c>
      <c r="AS40" s="174" t="str">
        <f>IF(ISERROR(VLOOKUP(CONCATENATE($AS$7,"-",MID(E40,1,100)),DATOS!Z:AA,2,0)),"",VLOOKUP(CONCATENATE($AS$7,"-",MID(E40,1,100)),DATOS!Z:AA,2,0))</f>
        <v/>
      </c>
      <c r="AT40" s="172" t="str">
        <f>IF(ISERROR(VLOOKUP(CONCATENATE($AT$7,"-",MID(E40,1,100)),DATOS!Z:AA,2,0)),"",VLOOKUP(CONCATENATE($AT$7,"-",MID(E40,1,100)),DATOS!Z:AA,2,0))</f>
        <v/>
      </c>
      <c r="AU40" s="173" t="str">
        <f>IF(ISERROR(VLOOKUP(CONCATENATE($AU$7,"-",MID(E40,1,100)),DATOS!Z:AA,2,0)),"",VLOOKUP(CONCATENATE($AU$7,"-",MID(E40,1,100)),DATOS!Z:AA,2,0))</f>
        <v/>
      </c>
      <c r="AV40" s="173" t="str">
        <f>IF(ISERROR(VLOOKUP(CONCATENATE($AV$7,"-",MID(E40,1,100)),DATOS!Z:AA,2,0)),"",VLOOKUP(CONCATENATE($AV$7,"-",MID(E40,1,100)),DATOS!Z:AA,2,0))</f>
        <v/>
      </c>
      <c r="AW40" s="173" t="str">
        <f>IF(ISERROR(VLOOKUP(CONCATENATE($AW$7,"-",MID(E40,1,100)),DATOS!Z:AA,2,0)),"",VLOOKUP(CONCATENATE($AW$7,"-",MID(E40,1,100)),DATOS!Z:AA,2,0))</f>
        <v/>
      </c>
      <c r="AX40" s="173" t="str">
        <f>IF(ISERROR(VLOOKUP(CONCATENATE($AX$7,"-",MID(E40,1,100)),DATOS!Z:AA,2,0)),"",VLOOKUP(CONCATENATE($AX$7,"-",MID(E40,1,100)),DATOS!Z:AA,2,0))</f>
        <v/>
      </c>
      <c r="AY40" s="173" t="str">
        <f>IF(ISERROR(VLOOKUP(CONCATENATE($AY$7,"-",MID(E40,1,100)),DATOS!Z:AA,2,0)),"",VLOOKUP(CONCATENATE($AY$7,"-",MID(E40,1,100)),DATOS!Z:AA,2,0))</f>
        <v/>
      </c>
      <c r="AZ40" s="173" t="str">
        <f>IF(ISERROR(VLOOKUP(CONCATENATE($AZ$7,"-",MID(E40,1,100)),DATOS!Z:AA,2,0)),"",VLOOKUP(CONCATENATE($AZ$7,"-",MID(E40,1,100)),DATOS!Z:AA,2,0))</f>
        <v/>
      </c>
      <c r="BA40" s="173" t="str">
        <f>IF(ISERROR(VLOOKUP(CONCATENATE($BA$7,"-",MID(E40,1,100)),DATOS!Z:AA,2,0)),"",VLOOKUP(CONCATENATE($BA$7,"-",MID(E40,1,100)),DATOS!Z:AA,2,0))</f>
        <v/>
      </c>
      <c r="BB40" s="173" t="str">
        <f>IF(ISERROR(VLOOKUP(CONCATENATE($BB$7,"-",MID(E40,1,100)),DATOS!Z:AA,2,0)),"",VLOOKUP(CONCATENATE($BB$7,"-",MID(E40,1,100)),DATOS!Z:AA,2,0))</f>
        <v/>
      </c>
      <c r="BC40" s="174" t="str">
        <f>IF(ISERROR(VLOOKUP(CONCATENATE($BC$7,"-",MID(E40,1,100)),DATOS!Z:AA,2,0)),"",VLOOKUP(CONCATENATE($BC$7,"-",MID(E40,1,100)),DATOS!Z:AA,2,0))</f>
        <v/>
      </c>
      <c r="BD40" s="172" t="str">
        <f>IF(ISERROR(VLOOKUP(CONCATENATE($BD$7,"-",MID(E40,1,100)),DATOS!Z:AA,2,0)),"",VLOOKUP(CONCATENATE($BD$7,"-",MID(E40,1,100)),DATOS!Z:AA,2,0))</f>
        <v/>
      </c>
      <c r="BE40" s="173" t="str">
        <f>IF(ISERROR(VLOOKUP(CONCATENATE($BE$7,"-",MID(E40,1,100)),DATOS!Z:AA,2,0)),"",VLOOKUP(CONCATENATE($BE$7,"-",MID(E40,1,100)),DATOS!Z:AA,2,0))</f>
        <v/>
      </c>
      <c r="BF40" s="173" t="str">
        <f>IF(ISERROR(VLOOKUP(CONCATENATE($BF$7,"-",MID(E40,1,100)),DATOS!Z:AA,2,0)),"",VLOOKUP(CONCATENATE($BF$7,"-",MID(E40,1,100)),DATOS!Z:AA,2,0))</f>
        <v/>
      </c>
      <c r="BG40" s="173" t="str">
        <f>IF(ISERROR(VLOOKUP(CONCATENATE($BG$7,"-",MID(E40,1,100)),DATOS!Z:AA,2,0)),"",VLOOKUP(CONCATENATE($BG$7,"-",MID(E40,1,100)),DATOS!Z:AA,2,0))</f>
        <v/>
      </c>
      <c r="BH40" s="173" t="str">
        <f>IF(ISERROR(VLOOKUP(CONCATENATE($BH$7,"-",MID(E40,1,100)),DATOS!Z:AA,2,0)),"",VLOOKUP(CONCATENATE($BH$7,"-",MID(E40,1,100)),DATOS!Z:AA,2,0))</f>
        <v/>
      </c>
      <c r="BI40" s="173" t="str">
        <f>IF(ISERROR(VLOOKUP(CONCATENATE($BI$7,"-",MID(E40,1,100)),DATOS!Z:AA,2,0)),"",VLOOKUP(CONCATENATE($BI$7,"-",MID(E40,1,100)),DATOS!Z:AA,2,0))</f>
        <v/>
      </c>
      <c r="BJ40" s="173" t="str">
        <f>IF(ISERROR(VLOOKUP(CONCATENATE($BJ$7,"-",MID(E40,1,100)),DATOS!Z:AA,2,0)),"",VLOOKUP(CONCATENATE($BJ$7,"-",MID(E40,1,100)),DATOS!Z:AA,2,0))</f>
        <v/>
      </c>
      <c r="BK40" s="173" t="str">
        <f>IF(ISERROR(VLOOKUP(CONCATENATE($BK$7,"-",MID(E40,1,100)),DATOS!Z:AA,2,0)),"",VLOOKUP(CONCATENATE($BK$7,"-",MID(E40,1,100)),DATOS!Z:AA,2,0))</f>
        <v/>
      </c>
      <c r="BL40" s="173" t="str">
        <f>IF(ISERROR(VLOOKUP(CONCATENATE($BL$7,"-",MID(E40,1,100)),DATOS!Z:AA,2,0)),"",VLOOKUP(CONCATENATE($BL$7,"-",MID(E40,1,100)),DATOS!Z:AA,2,0))</f>
        <v/>
      </c>
      <c r="BM40" s="174" t="str">
        <f>IF(ISERROR(VLOOKUP(CONCATENATE($BM$7,"-",MID(E40,1,100)),DATOS!Z:AA,2,0)),"",VLOOKUP(CONCATENATE($BM$7,"-",MID(E40,1,100)),DATOS!Z:AA,2,0))</f>
        <v/>
      </c>
      <c r="BN40" s="172" t="str">
        <f>IF(ISERROR(VLOOKUP(CONCATENATE($BN$7,"-",MID(E40,1,100)),DATOS!Z:AA,2,0)),"",VLOOKUP(CONCATENATE($BN$7,"-",MID(E40,1,100)),DATOS!Z:AA,2,0))</f>
        <v/>
      </c>
      <c r="BO40" s="173" t="str">
        <f>IF(ISERROR(VLOOKUP(CONCATENATE($BO$7,"-",MID(E40,1,100)),DATOS!Z:AA,2,0)),"",VLOOKUP(CONCATENATE($BO$7,"-",MID(E40,1,100)),DATOS!Z:AA,2,0))</f>
        <v/>
      </c>
      <c r="BP40" s="173" t="str">
        <f>IF(ISERROR(VLOOKUP(CONCATENATE($BP$7,"-",MID(E40,1,100)),DATOS!Z:AA,2,0)),"",VLOOKUP(CONCATENATE($BP$7,"-",MID(E40,1,100)),DATOS!Z:AA,2,0))</f>
        <v/>
      </c>
      <c r="BQ40" s="173" t="str">
        <f>IF(ISERROR(VLOOKUP(CONCATENATE($BQ$7,"-",MID(E40,1,100)),DATOS!Z:AA,2,0)),"",VLOOKUP(CONCATENATE($BQ$7,"-",MID(E40,1,100)),DATOS!Z:AA,2,0))</f>
        <v/>
      </c>
      <c r="BR40" s="173" t="str">
        <f>IF(ISERROR(VLOOKUP(CONCATENATE($BR$7,"-",MID(E40,1,100)),DATOS!Z:AA,2,0)),"",VLOOKUP(CONCATENATE($BR$7,"-",MID(E40,1,100)),DATOS!Z:AA,2,0))</f>
        <v/>
      </c>
      <c r="BS40" s="173" t="str">
        <f>IF(ISERROR(VLOOKUP(CONCATENATE($BS$7,"-",MID(E40,1,100)),DATOS!Z:AA,2,0)),"",VLOOKUP(CONCATENATE($BS$7,"-",MID(E40,1,100)),DATOS!Z:AA,2,0))</f>
        <v/>
      </c>
      <c r="BT40" s="173" t="str">
        <f>IF(ISERROR(VLOOKUP(CONCATENATE($BT$7,"-",MID(E40,1,100)),DATOS!Z:AA,2,0)),"",VLOOKUP(CONCATENATE($BT$7,"-",MID(E40,1,100)),DATOS!Z:AA,2,0))</f>
        <v/>
      </c>
      <c r="BU40" s="173" t="str">
        <f>IF(ISERROR(VLOOKUP(CONCATENATE($BU$7,"-",MID(E40,1,100)),DATOS!Z:AA,2,0)),"",VLOOKUP(CONCATENATE($BU$7,"-",MID(E40,1,100)),DATOS!Z:AA,2,0))</f>
        <v/>
      </c>
      <c r="BV40" s="173" t="str">
        <f>IF(ISERROR(VLOOKUP(CONCATENATE($BV$7,"-",MID(E40,1,100)),DATOS!Z:AA,2,0)),"",VLOOKUP(CONCATENATE($BV$7,"-",MID(E40,1,100)),DATOS!Z:AA,2,0))</f>
        <v/>
      </c>
      <c r="BW40" s="174" t="str">
        <f>IF(ISERROR(VLOOKUP(CONCATENATE($BW$7,"-",MID(E40,1,100)),DATOS!Z:AA,2,0)),"",VLOOKUP(CONCATENATE($BW$7,"-",MID(E40,1,100)),DATOS!Z:AA,2,0))</f>
        <v/>
      </c>
      <c r="BX40" s="210" t="str">
        <f>IF(ISERROR(VLOOKUP(CONCATENATE($BX$7,"-",MID(E40,1,100)),DATOS!Z:AA,2,0)),"",VLOOKUP(CONCATENATE($BX$7,"-",MID(E40,1,100)),DATOS!Z:AA,2,0))</f>
        <v>a</v>
      </c>
      <c r="BY40" s="211" t="str">
        <f>IF(ISERROR(VLOOKUP(CONCATENATE($BY$7,"-",MID(E40,1,100)),DATOS!Z:AA,2,0)),"",VLOOKUP(CONCATENATE($BY$7,"-",MID(E40,1,100)),DATOS!Z:AA,2,0))</f>
        <v>a</v>
      </c>
      <c r="BZ40" s="211" t="str">
        <f>IF(ISERROR(VLOOKUP(CONCATENATE($BZ$7,"-",MID(E40,1,100)),DATOS!Z:AA,2,0)),"",VLOOKUP(CONCATENATE($BZ$7,"-",MID(E40,1,100)),DATOS!Z:AA,2,0))</f>
        <v/>
      </c>
      <c r="CA40" s="211" t="str">
        <f>IF(ISERROR(VLOOKUP(CONCATENATE($CA$7,"-",MID(E40,1,100)),DATOS!Z:AA,2,0)),"",VLOOKUP(CONCATENATE($CA$7,"-",MID(E40,1,100)),DATOS!Z:AA,2,0))</f>
        <v/>
      </c>
      <c r="CB40" s="211" t="str">
        <f>IF(ISERROR(VLOOKUP(CONCATENATE($CB$7,"-",MID(E40,1,100)),DATOS!Z:AA,2,0)),"",VLOOKUP(CONCATENATE($CB$7,"-",MID(E40,1,100)),DATOS!Z:AA,2,0))</f>
        <v/>
      </c>
      <c r="CC40" s="211" t="str">
        <f>IF(ISERROR(VLOOKUP(CONCATENATE($CC$7,"-",MID(E40,1,100)),DATOS!Z:AA,2,0)),"",VLOOKUP(CONCATENATE($CC$7,"-",MID(E40,1,100)),DATOS!Z:AA,2,0))</f>
        <v/>
      </c>
      <c r="CD40" s="211" t="str">
        <f>IF(ISERROR(VLOOKUP(CONCATENATE($CD$7,"-",MID(E40,1,100)),DATOS!Z:AA,2,0)),"",VLOOKUP(CONCATENATE($CD$7,"-",MID(E40,1,100)),DATOS!Z:AA,2,0))</f>
        <v/>
      </c>
      <c r="CE40" s="211" t="str">
        <f>IF(ISERROR(VLOOKUP(CONCATENATE($CE$7,"-",MID(E40,1,100)),DATOS!Z:AA,2,0)),"",VLOOKUP(CONCATENATE($CE$7,"-",MID(E40,1,100)),DATOS!Z:AA,2,0))</f>
        <v/>
      </c>
      <c r="CF40" s="211" t="str">
        <f>IF(ISERROR(VLOOKUP(CONCATENATE($CF$7,"-",MID(E40,1,100)),DATOS!Z:AA,2,0)),"",VLOOKUP(CONCATENATE($CF$7,"-",MID(E40,1,100)),DATOS!Z:AA,2,0))</f>
        <v/>
      </c>
      <c r="CG40" s="212" t="str">
        <f>IF(ISERROR(VLOOKUP(CONCATENATE($CG$7,"-",MID(E40,1,100)),DATOS!Z:AA,2,0)),"",VLOOKUP(CONCATENATE($CG$7,"-",MID(E40,1,100)),DATOS!Z:AA,2,0))</f>
        <v/>
      </c>
      <c r="CH40" s="210" t="str">
        <f>IF(ISERROR(VLOOKUP(CONCATENATE($CH$7,"-",MID(E40,1,100)),DATOS!Z:AA,2,0)),"",VLOOKUP(CONCATENATE($CH$7,"-",MID(E40,1,100)),DATOS!Z:AA,2,0))</f>
        <v/>
      </c>
      <c r="CI40" s="211" t="str">
        <f>IF(ISERROR(VLOOKUP(CONCATENATE($CI$7,"-",MID(E40,1,100)),DATOS!Z:AA,2,0)),"",VLOOKUP(CONCATENATE($CI$7,"-",MID(E40,1,100)),DATOS!Z:AA,2,0))</f>
        <v/>
      </c>
      <c r="CJ40" s="211" t="str">
        <f>IF(ISERROR(VLOOKUP(CONCATENATE($CJ$7,"-",MID(E40,1,100)),DATOS!Z:AA,2,0)),"",VLOOKUP(CONCATENATE($CJ$7,"-",MID(E40,1,100)),DATOS!Z:AA,2,0))</f>
        <v/>
      </c>
      <c r="CK40" s="211" t="str">
        <f>IF(ISERROR(VLOOKUP(CONCATENATE($CK$7,"-",MID(E40,1,100)),DATOS!Z:AA,2,0)),"",VLOOKUP(CONCATENATE($CK$7,"-",MID(E40,1,100)),DATOS!Z:AA,2,0))</f>
        <v/>
      </c>
      <c r="CL40" s="211" t="str">
        <f>IF(ISERROR(VLOOKUP(CONCATENATE($CL$7,"-",MID(E40,1,100)),DATOS!Z:AA,2,0)),"",VLOOKUP(CONCATENATE($CL$7,"-",MID(E40,1,100)),DATOS!Z:AA,2,0))</f>
        <v/>
      </c>
      <c r="CM40" s="211" t="str">
        <f>IF(ISERROR(VLOOKUP(CONCATENATE($CM$7,"-",MID(E40,1,100)),DATOS!Z:AA,2,0)),"",VLOOKUP(CONCATENATE($CM$7,"-",MID(E40,1,100)),DATOS!Z:AA,2,0))</f>
        <v/>
      </c>
      <c r="CN40" s="211" t="str">
        <f>IF(ISERROR(VLOOKUP(CONCATENATE($CN$7,"-",MID(E40,1,100)),DATOS!Z:AA,2,0)),"",VLOOKUP(CONCATENATE($CN$7,"-",MID(E40,1,100)),DATOS!Z:AA,2,0))</f>
        <v/>
      </c>
      <c r="CO40" s="211" t="str">
        <f>IF(ISERROR(VLOOKUP(CONCATENATE($CO$7,"-",MID(E40,1,100)),DATOS!Z:AA,2,0)),"",VLOOKUP(CONCATENATE($CO$7,"-",MID(E40,1,100)),DATOS!Z:AA,2,0))</f>
        <v/>
      </c>
      <c r="CP40" s="213" t="str">
        <f>IF(ISERROR(VLOOKUP(CONCATENATE($CP$7,"-",MID(E40,1,100)),DATOS!Z:AA,2,0)),"",VLOOKUP(CONCATENATE($CP$7,"-",MID(E40,1,100)),DATOS!Z:AA,2,0))</f>
        <v/>
      </c>
      <c r="CQ40" s="212" t="str">
        <f>IF(ISERROR(VLOOKUP(CONCATENATE($CQ$7,"-",MID(E40,1,100)),DATOS!Z:AA,2,0)),"",VLOOKUP(CONCATENATE($CQ$7,"-",MID(E40,1,100)),DATOS!Z:AA,2,0))</f>
        <v/>
      </c>
      <c r="CR40" s="210" t="str">
        <f>IF(ISERROR(VLOOKUP(CONCATENATE(CR$7,"-",MID($E40,1,100)),DATOS!$Z:$AA,2,0)),"",VLOOKUP(CONCATENATE(CR$7,"-",MID($E40,1,100)),DATOS!$Z:$AA,2,0))</f>
        <v/>
      </c>
      <c r="CS40" s="211" t="str">
        <f>IF(ISERROR(VLOOKUP(CONCATENATE(CS$7,"-",MID($E40,1,100)),DATOS!$Z:$AA,2,0)),"",VLOOKUP(CONCATENATE(CS$7,"-",MID($E40,1,100)),DATOS!$Z:$AA,2,0))</f>
        <v/>
      </c>
      <c r="CT40" s="211" t="str">
        <f>IF(ISERROR(VLOOKUP(CONCATENATE(CT$7,"-",MID($E40,1,100)),DATOS!$Z:$AA,2,0)),"",VLOOKUP(CONCATENATE(CT$7,"-",MID($E40,1,100)),DATOS!$Z:$AA,2,0))</f>
        <v/>
      </c>
      <c r="CU40" s="211" t="str">
        <f>IF(ISERROR(VLOOKUP(CONCATENATE(CU$7,"-",MID($E40,1,100)),DATOS!$Z:$AA,2,0)),"",VLOOKUP(CONCATENATE(CU$7,"-",MID($E40,1,100)),DATOS!$Z:$AA,2,0))</f>
        <v/>
      </c>
      <c r="CV40" s="211" t="str">
        <f>IF(ISERROR(VLOOKUP(CONCATENATE(CV$7,"-",MID($E40,1,100)),DATOS!$Z:$AA,2,0)),"",VLOOKUP(CONCATENATE(CV$7,"-",MID($E40,1,100)),DATOS!$Z:$AA,2,0))</f>
        <v/>
      </c>
      <c r="CW40" s="211" t="str">
        <f>IF(ISERROR(VLOOKUP(CONCATENATE(CW$7,"-",MID($E40,1,100)),DATOS!$Z:$AA,2,0)),"",VLOOKUP(CONCATENATE(CW$7,"-",MID($E40,1,100)),DATOS!$Z:$AA,2,0))</f>
        <v/>
      </c>
      <c r="CX40" s="211" t="str">
        <f>IF(ISERROR(VLOOKUP(CONCATENATE(CX$7,"-",MID($E40,1,100)),DATOS!$Z:$AA,2,0)),"",VLOOKUP(CONCATENATE(CX$7,"-",MID($E40,1,100)),DATOS!$Z:$AA,2,0))</f>
        <v/>
      </c>
      <c r="CY40" s="211" t="str">
        <f>IF(ISERROR(VLOOKUP(CONCATENATE(CY$7,"-",MID($E40,1,100)),DATOS!$Z:$AA,2,0)),"",VLOOKUP(CONCATENATE(CY$7,"-",MID($E40,1,100)),DATOS!$Z:$AA,2,0))</f>
        <v/>
      </c>
      <c r="CZ40" s="213" t="str">
        <f>IF(ISERROR(VLOOKUP(CONCATENATE(CZ$7,"-",MID($E40,1,100)),DATOS!$Z:$AA,2,0)),"",VLOOKUP(CONCATENATE(CZ$7,"-",MID($E40,1,100)),DATOS!$Z:$AA,2,0))</f>
        <v/>
      </c>
      <c r="DA40" s="212" t="str">
        <f>IF(ISERROR(VLOOKUP(CONCATENATE(DA$7,"-",MID($E40,1,100)),DATOS!$Z:$AA,2,0)),"",VLOOKUP(CONCATENATE(DA$7,"-",MID($E40,1,100)),DATOS!$Z:$AA,2,0))</f>
        <v/>
      </c>
      <c r="DB40" s="210" t="str">
        <f>IF(ISERROR(VLOOKUP(CONCATENATE(DB$7,"-",MID($E40,1,100)),DATOS!$Z:$AA,2,0)),"",VLOOKUP(CONCATENATE(DB$7,"-",MID($E40,1,100)),DATOS!$Z:$AA,2,0))</f>
        <v/>
      </c>
      <c r="DC40" s="211" t="str">
        <f>IF(ISERROR(VLOOKUP(CONCATENATE(DC$7,"-",MID($E40,1,100)),DATOS!$Z:$AA,2,0)),"",VLOOKUP(CONCATENATE(DC$7,"-",MID($E40,1,100)),DATOS!$Z:$AA,2,0))</f>
        <v/>
      </c>
      <c r="DD40" s="211" t="str">
        <f>IF(ISERROR(VLOOKUP(CONCATENATE(DD$7,"-",MID($E40,1,100)),DATOS!$Z:$AA,2,0)),"",VLOOKUP(CONCATENATE(DD$7,"-",MID($E40,1,100)),DATOS!$Z:$AA,2,0))</f>
        <v/>
      </c>
      <c r="DE40" s="211" t="str">
        <f>IF(ISERROR(VLOOKUP(CONCATENATE(DE$7,"-",MID($E40,1,100)),DATOS!$Z:$AA,2,0)),"",VLOOKUP(CONCATENATE(DE$7,"-",MID($E40,1,100)),DATOS!$Z:$AA,2,0))</f>
        <v/>
      </c>
      <c r="DF40" s="211" t="str">
        <f>IF(ISERROR(VLOOKUP(CONCATENATE(DF$7,"-",MID($E40,1,100)),DATOS!$Z:$AA,2,0)),"",VLOOKUP(CONCATENATE(DF$7,"-",MID($E40,1,100)),DATOS!$Z:$AA,2,0))</f>
        <v/>
      </c>
      <c r="DG40" s="211" t="str">
        <f>IF(ISERROR(VLOOKUP(CONCATENATE(DG$7,"-",MID($E40,1,100)),DATOS!$Z:$AA,2,0)),"",VLOOKUP(CONCATENATE(DG$7,"-",MID($E40,1,100)),DATOS!$Z:$AA,2,0))</f>
        <v/>
      </c>
      <c r="DH40" s="211" t="str">
        <f>IF(ISERROR(VLOOKUP(CONCATENATE(DH$7,"-",MID($E40,1,100)),DATOS!$Z:$AA,2,0)),"",VLOOKUP(CONCATENATE(DH$7,"-",MID($E40,1,100)),DATOS!$Z:$AA,2,0))</f>
        <v/>
      </c>
      <c r="DI40" s="211" t="str">
        <f>IF(ISERROR(VLOOKUP(CONCATENATE(DI$7,"-",MID($E40,1,100)),DATOS!$Z:$AA,2,0)),"",VLOOKUP(CONCATENATE(DI$7,"-",MID($E40,1,100)),DATOS!$Z:$AA,2,0))</f>
        <v/>
      </c>
      <c r="DJ40" s="213" t="str">
        <f>IF(ISERROR(VLOOKUP(CONCATENATE(DJ$7,"-",MID($E40,1,100)),DATOS!$Z:$AA,2,0)),"",VLOOKUP(CONCATENATE(DJ$7,"-",MID($E40,1,100)),DATOS!$Z:$AA,2,0))</f>
        <v/>
      </c>
      <c r="DK40" s="212" t="str">
        <f>IF(ISERROR(VLOOKUP(CONCATENATE(DK$7,"-",MID($E40,1,100)),DATOS!$Z:$AA,2,0)),"",VLOOKUP(CONCATENATE(DK$7,"-",MID($E40,1,100)),DATOS!$Z:$AA,2,0))</f>
        <v/>
      </c>
      <c r="DL40" s="210" t="str">
        <f>IF(ISERROR(VLOOKUP(CONCATENATE(DL$7,"-",MID($E40,1,100)),DATOS!$Z:$AA,2,0)),"",VLOOKUP(CONCATENATE(DL$7,"-",MID($E40,1,100)),DATOS!$Z:$AA,2,0))</f>
        <v/>
      </c>
      <c r="DM40" s="211" t="str">
        <f>IF(ISERROR(VLOOKUP(CONCATENATE(DM$7,"-",MID($E40,1,100)),DATOS!$Z:$AA,2,0)),"",VLOOKUP(CONCATENATE(DM$7,"-",MID($E40,1,100)),DATOS!$Z:$AA,2,0))</f>
        <v/>
      </c>
      <c r="DN40" s="211" t="str">
        <f>IF(ISERROR(VLOOKUP(CONCATENATE(DN$7,"-",MID($E40,1,100)),DATOS!$Z:$AA,2,0)),"",VLOOKUP(CONCATENATE(DN$7,"-",MID($E40,1,100)),DATOS!$Z:$AA,2,0))</f>
        <v/>
      </c>
      <c r="DO40" s="211" t="str">
        <f>IF(ISERROR(VLOOKUP(CONCATENATE(DO$7,"-",MID($E40,1,100)),DATOS!$Z:$AA,2,0)),"",VLOOKUP(CONCATENATE(DO$7,"-",MID($E40,1,100)),DATOS!$Z:$AA,2,0))</f>
        <v/>
      </c>
      <c r="DP40" s="211" t="str">
        <f>IF(ISERROR(VLOOKUP(CONCATENATE(DP$7,"-",MID($E40,1,100)),DATOS!$Z:$AA,2,0)),"",VLOOKUP(CONCATENATE(DP$7,"-",MID($E40,1,100)),DATOS!$Z:$AA,2,0))</f>
        <v/>
      </c>
      <c r="DQ40" s="211" t="str">
        <f>IF(ISERROR(VLOOKUP(CONCATENATE(DQ$7,"-",MID($E40,1,100)),DATOS!$Z:$AA,2,0)),"",VLOOKUP(CONCATENATE(DQ$7,"-",MID($E40,1,100)),DATOS!$Z:$AA,2,0))</f>
        <v/>
      </c>
      <c r="DR40" s="211" t="str">
        <f>IF(ISERROR(VLOOKUP(CONCATENATE(DR$7,"-",MID($E40,1,100)),DATOS!$Z:$AA,2,0)),"",VLOOKUP(CONCATENATE(DR$7,"-",MID($E40,1,100)),DATOS!$Z:$AA,2,0))</f>
        <v/>
      </c>
      <c r="DS40" s="211" t="str">
        <f>IF(ISERROR(VLOOKUP(CONCATENATE(DS$7,"-",MID($E40,1,100)),DATOS!$Z:$AA,2,0)),"",VLOOKUP(CONCATENATE(DS$7,"-",MID($E40,1,100)),DATOS!$Z:$AA,2,0))</f>
        <v/>
      </c>
      <c r="DT40" s="213" t="str">
        <f>IF(ISERROR(VLOOKUP(CONCATENATE(DT$7,"-",MID($E40,1,100)),DATOS!$Z:$AA,2,0)),"",VLOOKUP(CONCATENATE(DT$7,"-",MID($E40,1,100)),DATOS!$Z:$AA,2,0))</f>
        <v/>
      </c>
      <c r="DU40" s="212" t="str">
        <f>IF(ISERROR(VLOOKUP(CONCATENATE(DU$7,"-",MID($E40,1,100)),DATOS!$Z:$AA,2,0)),"",VLOOKUP(CONCATENATE(DU$7,"-",MID($E40,1,100)),DATOS!$Z:$AA,2,0))</f>
        <v/>
      </c>
      <c r="DV40" s="210" t="str">
        <f>IF(ISERROR(VLOOKUP(CONCATENATE(DV$7,"-",MID($E40,1,100)),DATOS!$Z:$AA,2,0)),"",VLOOKUP(CONCATENATE(DV$7,"-",MID($E40,1,100)),DATOS!$Z:$AA,2,0))</f>
        <v/>
      </c>
      <c r="DW40" s="211" t="str">
        <f>IF(ISERROR(VLOOKUP(CONCATENATE(DW$7,"-",MID($E40,1,100)),DATOS!$Z:$AA,2,0)),"",VLOOKUP(CONCATENATE(DW$7,"-",MID($E40,1,100)),DATOS!$Z:$AA,2,0))</f>
        <v/>
      </c>
      <c r="DX40" s="211" t="str">
        <f>IF(ISERROR(VLOOKUP(CONCATENATE(DX$7,"-",MID($E40,1,100)),DATOS!$Z:$AA,2,0)),"",VLOOKUP(CONCATENATE(DX$7,"-",MID($E40,1,100)),DATOS!$Z:$AA,2,0))</f>
        <v/>
      </c>
      <c r="DY40" s="211" t="str">
        <f>IF(ISERROR(VLOOKUP(CONCATENATE(DY$7,"-",MID($E40,1,100)),DATOS!$Z:$AA,2,0)),"",VLOOKUP(CONCATENATE(DY$7,"-",MID($E40,1,100)),DATOS!$Z:$AA,2,0))</f>
        <v/>
      </c>
      <c r="DZ40" s="211" t="str">
        <f>IF(ISERROR(VLOOKUP(CONCATENATE(DZ$7,"-",MID($E40,1,100)),DATOS!$Z:$AA,2,0)),"",VLOOKUP(CONCATENATE(DZ$7,"-",MID($E40,1,100)),DATOS!$Z:$AA,2,0))</f>
        <v/>
      </c>
      <c r="EA40" s="211" t="str">
        <f>IF(ISERROR(VLOOKUP(CONCATENATE(EA$7,"-",MID($E40,1,100)),DATOS!$Z:$AA,2,0)),"",VLOOKUP(CONCATENATE(EA$7,"-",MID($E40,1,100)),DATOS!$Z:$AA,2,0))</f>
        <v/>
      </c>
      <c r="EB40" s="211" t="str">
        <f>IF(ISERROR(VLOOKUP(CONCATENATE(EB$7,"-",MID($E40,1,100)),DATOS!$Z:$AA,2,0)),"",VLOOKUP(CONCATENATE(EB$7,"-",MID($E40,1,100)),DATOS!$Z:$AA,2,0))</f>
        <v/>
      </c>
      <c r="EC40" s="211" t="str">
        <f>IF(ISERROR(VLOOKUP(CONCATENATE(EC$7,"-",MID($E40,1,100)),DATOS!$Z:$AA,2,0)),"",VLOOKUP(CONCATENATE(EC$7,"-",MID($E40,1,100)),DATOS!$Z:$AA,2,0))</f>
        <v/>
      </c>
      <c r="ED40" s="213" t="str">
        <f>IF(ISERROR(VLOOKUP(CONCATENATE(ED$7,"-",MID($E40,1,100)),DATOS!$Z:$AA,2,0)),"",VLOOKUP(CONCATENATE(ED$7,"-",MID($E40,1,100)),DATOS!$Z:$AA,2,0))</f>
        <v/>
      </c>
      <c r="EE40" s="212" t="str">
        <f>IF(ISERROR(VLOOKUP(CONCATENATE(EE$7,"-",MID($E40,1,100)),DATOS!$Z:$AA,2,0)),"",VLOOKUP(CONCATENATE(EE$7,"-",MID($E40,1,100)),DATOS!$Z:$AA,2,0))</f>
        <v/>
      </c>
      <c r="EF40" s="210" t="str">
        <f>IF(ISERROR(VLOOKUP(CONCATENATE($EF$7,"-",MID(E40,1,100)),DATOS!Z:AA,2,0)),"",VLOOKUP(CONCATENATE($EF$7,"-",MID(E40,1,100)),DATOS!Z:AA,2,0))</f>
        <v/>
      </c>
      <c r="EG40" s="211" t="str">
        <f>IF(ISERROR(VLOOKUP(CONCATENATE($EG$7,"-",MID(E40,1,100)),DATOS!Z:AA,2,0)),"",VLOOKUP(CONCATENATE($EG$7,"-",MID(E40,1,100)),DATOS!Z:AA,2,0))</f>
        <v/>
      </c>
      <c r="EH40" s="211" t="str">
        <f>IF(ISERROR(VLOOKUP(CONCATENATE($EH$7,"-",MID(E40,1,100)),DATOS!Z:AA,2,0)),"",VLOOKUP(CONCATENATE($EH$7,"-",MID(E40,1,100)),DATOS!Z:AA,2,0))</f>
        <v/>
      </c>
      <c r="EI40" s="211" t="str">
        <f>IF(ISERROR(VLOOKUP(CONCATENATE($EI$7,"-",MID(E40,1,100)),DATOS!Z:AA,2,0)),"",VLOOKUP(CONCATENATE($EI$7,"-",MID(E40,1,100)),DATOS!Z:AA,2,0))</f>
        <v/>
      </c>
      <c r="EJ40" s="211" t="str">
        <f>IF(ISERROR(VLOOKUP(CONCATENATE($EJ$7,"-",MID(E40,1,100)),DATOS!Z:AA,2,0)),"",VLOOKUP(CONCATENATE($EJ$7,"-",MID(E40,1,100)),DATOS!Z:AA,2,0))</f>
        <v/>
      </c>
      <c r="EK40" s="211" t="str">
        <f>IF(ISERROR(VLOOKUP(CONCATENATE($EK$7,"-",MID(E40,1,100)),DATOS!Z:AA,2,0)),"",VLOOKUP(CONCATENATE($EK$7,"-",MID(E40,1,100)),DATOS!Z:AA,2,0))</f>
        <v/>
      </c>
      <c r="EL40" s="211" t="str">
        <f>IF(ISERROR(VLOOKUP(CONCATENATE($EL$7,"-",MID(E40,1,100)),DATOS!Z:AA,2,0)),"",VLOOKUP(CONCATENATE($EL$7,"-",MID(E40,1,100)),DATOS!Z:AA,2,0))</f>
        <v/>
      </c>
      <c r="EM40" s="211" t="str">
        <f>IF(ISERROR(VLOOKUP(CONCATENATE($EM$7,"-",MID(E40,1,100)),DATOS!Z:AA,2,0)),"",VLOOKUP(CONCATENATE($EM$7,"-",MID(E40,1,100)),DATOS!Z:AA,2,0))</f>
        <v/>
      </c>
      <c r="EN40" s="211" t="str">
        <f>IF(ISERROR(VLOOKUP(CONCATENATE($EN$7,"-",MID(E40,1,100)),DATOS!Z:AA,2,0)),"",VLOOKUP(CONCATENATE($EN$7,"-",MID(E40,1,100)),DATOS!Z:AA,2,0))</f>
        <v/>
      </c>
      <c r="EO40" s="212" t="str">
        <f>IF(ISERROR(VLOOKUP(CONCATENATE($EO$7,"-",MID(E40,1,100)),DATOS!Z:AA,2,0)),"",VLOOKUP(CONCATENATE($EO$7,"-",MID(E40,1,100)),DATOS!Z:AA,2,0))</f>
        <v/>
      </c>
      <c r="EP40" s="175">
        <f t="shared" si="0"/>
        <v>2</v>
      </c>
      <c r="EQ40" s="159" t="str">
        <f t="shared" si="1"/>
        <v>CP5: Comprensión y expresión del idioma inglés-N3</v>
      </c>
    </row>
    <row r="41" spans="1:147" ht="17.25" hidden="1" customHeight="1">
      <c r="A41" s="148"/>
      <c r="B41" s="151" t="str">
        <f>IF('1.Fundamentos'!B63="","",'1.Fundamentos'!B63)</f>
        <v/>
      </c>
      <c r="C41" s="152" t="s">
        <v>78</v>
      </c>
      <c r="D41" s="153" t="str">
        <f>IF('1.Fundamentos'!F63="","",'1.Fundamentos'!F63)</f>
        <v/>
      </c>
      <c r="E41" s="154" t="str">
        <f t="shared" si="2"/>
        <v/>
      </c>
      <c r="F41" s="204" t="str">
        <f>IF(ISERROR(VLOOKUP(CONCATENATE($F$7,"-",MID(E41,1,100)),DATOS!Z:AA,2,0)),"",VLOOKUP(CONCATENATE($F$7,"-",MID(E41,1,100)),DATOS!Z:AA,2,0))</f>
        <v/>
      </c>
      <c r="G41" s="205" t="str">
        <f>IF(ISERROR(VLOOKUP(CONCATENATE($G$7,"-",MID(E41,1,100)),DATOS!Z:AA,2,0)),"",VLOOKUP(CONCATENATE($G$7,"-",MID(E41,1,100)),DATOS!Z:AA,2,0))</f>
        <v/>
      </c>
      <c r="H41" s="205" t="str">
        <f>IF(ISERROR(VLOOKUP(CONCATENATE($H$7,"-",MID(E41,1,100)),DATOS!Z:AA,2,0)),"",VLOOKUP(CONCATENATE($H$7,"-",MID(E41,1,100)),DATOS!Z:AA,2,0))</f>
        <v/>
      </c>
      <c r="I41" s="205" t="str">
        <f>IF(ISERROR(VLOOKUP(CONCATENATE($I$7,"-",MID(E41,1,100)),DATOS!Z:AA,2,0)),"",VLOOKUP(CONCATENATE($I$7,"-",MID(E41,1,100)),DATOS!Z:AA,2,0))</f>
        <v/>
      </c>
      <c r="J41" s="205" t="str">
        <f>IF(ISERROR(VLOOKUP(CONCATENATE($J$7,"-",MID(E41,1,100)),DATOS!Z:AA,2,0)),"",VLOOKUP(CONCATENATE($J$7,"-",MID(E41,1,100)),DATOS!Z:AA,2,0))</f>
        <v/>
      </c>
      <c r="K41" s="205" t="str">
        <f>IF(ISERROR(VLOOKUP(CONCATENATE($K$7,"-",MID(E41,1,100)),DATOS!Z:AA,2,0)),"",VLOOKUP(CONCATENATE($K$7,"-",MID(E41,1,100)),DATOS!Z:AA,2,0))</f>
        <v/>
      </c>
      <c r="L41" s="205" t="str">
        <f>IF(ISERROR(VLOOKUP(CONCATENATE($L$7,"-",MID(E41,1,100)),DATOS!Z:AA,2,0)),"",VLOOKUP(CONCATENATE($L$7,"-",MID(E41,1,100)),DATOS!Z:AA,2,0))</f>
        <v/>
      </c>
      <c r="M41" s="205" t="str">
        <f>IF(ISERROR(VLOOKUP(CONCATENATE($M$7,"-",MID(E41,1,100)),DATOS!Z:AA,2,0)),"",VLOOKUP(CONCATENATE($M$7,"-",MID(E41,1,100)),DATOS!Z:AA,2,0))</f>
        <v/>
      </c>
      <c r="N41" s="205" t="str">
        <f>IF(ISERROR(VLOOKUP(CONCATENATE($N$7,"-",MID(E41,1,100)),DATOS!Z:AA,2,0)),"",VLOOKUP(CONCATENATE($N$7,"-",MID(E41,1,100)),DATOS!Z:AA,2,0))</f>
        <v/>
      </c>
      <c r="O41" s="206" t="str">
        <f>IF(ISERROR(VLOOKUP(CONCATENATE($O$7,"-",MID(E41,1,100)),DATOS!Z:AA,2,0)),"",VLOOKUP(CONCATENATE($O$7,"-",MID(E41,1,100)),DATOS!Z:AA,2,0))</f>
        <v/>
      </c>
      <c r="P41" s="204" t="str">
        <f>IF(ISERROR(VLOOKUP(CONCATENATE($P$7,"-",MID(E41,1,100)),DATOS!Z:AA,2,0)),"",VLOOKUP(CONCATENATE($P$7,"-",MID(E41,1,100)),DATOS!Z:AA,2,0))</f>
        <v/>
      </c>
      <c r="Q41" s="205" t="str">
        <f>IF(ISERROR(VLOOKUP(CONCATENATE($Q$7,"-",MID(E41,1,100)),DATOS!Z:AA,2,0)),"",VLOOKUP(CONCATENATE($Q$7,"-",MID(E41,1,100)),DATOS!Z:AA,2,0))</f>
        <v/>
      </c>
      <c r="R41" s="205" t="str">
        <f>IF(ISERROR(VLOOKUP(CONCATENATE($R$7,"-",MID(E41,1,100)),DATOS!Z:AA,2,0)),"",VLOOKUP(CONCATENATE($R$7,"-",MID(E41,1,100)),DATOS!Z:AA,2,0))</f>
        <v/>
      </c>
      <c r="S41" s="205" t="str">
        <f>IF(ISERROR(VLOOKUP(CONCATENATE($S$7,"-",MID(E41,1,100)),DATOS!Z:AA,2,0)),"",VLOOKUP(CONCATENATE($S$7,"-",MID(E41,1,100)),DATOS!Z:AA,2,0))</f>
        <v/>
      </c>
      <c r="T41" s="205" t="str">
        <f>IF(ISERROR(VLOOKUP(CONCATENATE($T$7,"-",MID(E41,1,100)),DATOS!Z:AA,2,0)),"",VLOOKUP(CONCATENATE($T$7,"-",MID(E41,1,100)),DATOS!Z:AA,2,0))</f>
        <v/>
      </c>
      <c r="U41" s="205" t="str">
        <f>IF(ISERROR(VLOOKUP(CONCATENATE($U$7,"-",MID(E41,1,100)),DATOS!Z:AA,2,0)),"",VLOOKUP(CONCATENATE($U$7,"-",MID(E41,1,100)),DATOS!Z:AA,2,0))</f>
        <v/>
      </c>
      <c r="V41" s="205" t="str">
        <f>IF(ISERROR(VLOOKUP(CONCATENATE($V$7,"-",MID(E41,1,100)),DATOS!Z:AA,2,0)),"",VLOOKUP(CONCATENATE($V$7,"-",MID(E41,1,100)),DATOS!Z:AA,2,0))</f>
        <v/>
      </c>
      <c r="W41" s="205" t="str">
        <f>IF(ISERROR(VLOOKUP(CONCATENATE($W$7,"-",MID(E41,1,100)),DATOS!Z:AA,2,0)),"",VLOOKUP(CONCATENATE($W$7,"-",MID(E41,1,100)),DATOS!Z:AA,2,0))</f>
        <v/>
      </c>
      <c r="X41" s="205" t="str">
        <f>IF(ISERROR(VLOOKUP(CONCATENATE($X$7,"-",MID(E41,1,100)),DATOS!Z:AA,2,0)),"",VLOOKUP(CONCATENATE($X$7,"-",MID(E41,1,100)),DATOS!Z:AA,2,0))</f>
        <v/>
      </c>
      <c r="Y41" s="206" t="str">
        <f>IF(ISERROR(VLOOKUP(CONCATENATE($Y$7,"-",MID(E41,1,100)),DATOS!Z:AA,2,0)),"",VLOOKUP(CONCATENATE($Y$7,"-",MID(E41,1,100)),DATOS!Z:AA,2,0))</f>
        <v/>
      </c>
      <c r="Z41" s="204" t="str">
        <f>IF(ISERROR(VLOOKUP(CONCATENATE($Z$7,"-",MID(E41,1,100)),DATOS!Z:AA,2,0)),"",VLOOKUP(CONCATENATE($Z$7,"-",MID(E41,1,100)),DATOS!Z:AA,2,0))</f>
        <v/>
      </c>
      <c r="AA41" s="205" t="str">
        <f>IF(ISERROR(VLOOKUP(CONCATENATE($AA$7,"-",MID(E41,1,100)),DATOS!Z:AA,2,0)),"",VLOOKUP(CONCATENATE($AA$7,"-",MID(E41,1,100)),DATOS!Z:AA,2,0))</f>
        <v/>
      </c>
      <c r="AB41" s="205" t="str">
        <f>IF(ISERROR(VLOOKUP(CONCATENATE($AB$7,"-",MID(E41,1,100)),DATOS!Z:AA,2,0)),"",VLOOKUP(CONCATENATE($AB$7,"-",MID(E41,1,100)),DATOS!Z:AA,2,0))</f>
        <v/>
      </c>
      <c r="AC41" s="205" t="str">
        <f>IF(ISERROR(VLOOKUP(CONCATENATE($AC$7,"-",MID(E41,1,100)),DATOS!Z:AA,2,0)),"",VLOOKUP(CONCATENATE($AC$7,"-",MID(E41,1,100)),DATOS!Z:AA,2,0))</f>
        <v/>
      </c>
      <c r="AD41" s="205" t="str">
        <f>IF(ISERROR(VLOOKUP(CONCATENATE($AD$7,"-",MID(E41,1,100)),DATOS!Z:AA,2,0)),"",VLOOKUP(CONCATENATE($AD$7,"-",MID(E41,1,100)),DATOS!Z:AA,2,0))</f>
        <v/>
      </c>
      <c r="AE41" s="205" t="str">
        <f>IF(ISERROR(VLOOKUP(CONCATENATE($AE$7,"-",MID(E41,1,100)),DATOS!Z:AA,2,0)),"",VLOOKUP(CONCATENATE($AE$7,"-",MID(E41,1,100)),DATOS!Z:AA,2,0))</f>
        <v/>
      </c>
      <c r="AF41" s="205" t="str">
        <f>IF(ISERROR(VLOOKUP(CONCATENATE($AF$7,"-",MID(E41,1,100)),DATOS!Z:AA,2,0)),"",VLOOKUP(CONCATENATE($AF$7,"-",MID(E41,1,100)),DATOS!Z:AA,2,0))</f>
        <v/>
      </c>
      <c r="AG41" s="205" t="str">
        <f>IF(ISERROR(VLOOKUP(CONCATENATE($AG$7,"-",MID(E41,1,100)),DATOS!Z:AA,2,0)),"",VLOOKUP(CONCATENATE($AG$7,"-",MID(E41,1,100)),DATOS!Z:AA,2,0))</f>
        <v/>
      </c>
      <c r="AH41" s="205" t="str">
        <f>IF(ISERROR(VLOOKUP(CONCATENATE($AH$7,"-",MID(E41,1,100)),DATOS!Z:AA,2,0)),"",VLOOKUP(CONCATENATE($AH$7,"-",MID(E41,1,100)),DATOS!Z:AA,2,0))</f>
        <v/>
      </c>
      <c r="AI41" s="206" t="str">
        <f>IF(ISERROR(VLOOKUP(CONCATENATE($AI$7,"-",MID(E41,1,100)),DATOS!Z:AA,2,0)),"",VLOOKUP(CONCATENATE($AI$7,"-",MID(E41,1,100)),DATOS!Z:AA,2,0))</f>
        <v/>
      </c>
      <c r="AJ41" s="204" t="str">
        <f>IF(ISERROR(VLOOKUP(CONCATENATE($AJ$7,"-",MID(E41,1,100)),DATOS!Z:AA,2,0)),"",VLOOKUP(CONCATENATE($AJ$7,"-",MID(E41,1,100)),DATOS!Z:AA,2,0))</f>
        <v/>
      </c>
      <c r="AK41" s="205" t="str">
        <f>IF(ISERROR(VLOOKUP(CONCATENATE($AK$7,"-",MID(E41,1,100)),DATOS!Z:AA,2,0)),"",VLOOKUP(CONCATENATE($AK$7,"-",MID(E41,1,100)),DATOS!Z:AA,2,0))</f>
        <v/>
      </c>
      <c r="AL41" s="205" t="str">
        <f>IF(ISERROR(VLOOKUP(CONCATENATE($AL$7,"-",MID(E41,1,100)),DATOS!Z:AA,2,0)),"",VLOOKUP(CONCATENATE($AL$7,"-",MID(E41,1,100)),DATOS!Z:AA,2,0))</f>
        <v/>
      </c>
      <c r="AM41" s="205" t="str">
        <f>IF(ISERROR(VLOOKUP(CONCATENATE($AM$7,"-",MID(E41,1,100)),DATOS!Z:AA,2,0)),"",VLOOKUP(CONCATENATE($AM$7,"-",MID(E41,1,100)),DATOS!Z:AA,2,0))</f>
        <v/>
      </c>
      <c r="AN41" s="205" t="str">
        <f>IF(ISERROR(VLOOKUP(CONCATENATE($AN$7,"-",MID(E41,1,100)),DATOS!Z:AA,2,0)),"",VLOOKUP(CONCATENATE($AN$7,"-",MID(E41,1,100)),DATOS!Z:AA,2,0))</f>
        <v/>
      </c>
      <c r="AO41" s="205" t="str">
        <f>IF(ISERROR(VLOOKUP(CONCATENATE($AO$7,"-",MID(E41,1,100)),DATOS!Z:AA,2,0)),"",VLOOKUP(CONCATENATE($AO$7,"-",MID(E41,1,100)),DATOS!Z:AA,2,0))</f>
        <v/>
      </c>
      <c r="AP41" s="205" t="str">
        <f>IF(ISERROR(VLOOKUP(CONCATENATE($AP$7,"-",MID(E41,1,100)),DATOS!Z:AA,2,0)),"",VLOOKUP(CONCATENATE($AP$7,"-",MID(E41,1,100)),DATOS!Z:AA,2,0))</f>
        <v/>
      </c>
      <c r="AQ41" s="205" t="str">
        <f>IF(ISERROR(VLOOKUP(CONCATENATE($AQ$7,"-",MID(E41,1,100)),DATOS!Z:AA,2,0)),"",VLOOKUP(CONCATENATE($AQ$7,"-",MID(E41,1,100)),DATOS!Z:AA,2,0))</f>
        <v/>
      </c>
      <c r="AR41" s="205" t="str">
        <f>IF(ISERROR(VLOOKUP(CONCATENATE($AR$7,"-",MID(E41,1,100)),DATOS!Z:AA,2,0)),"",VLOOKUP(CONCATENATE($AR$7,"-",MID(E41,1,100)),DATOS!Z:AA,2,0))</f>
        <v/>
      </c>
      <c r="AS41" s="206" t="str">
        <f>IF(ISERROR(VLOOKUP(CONCATENATE($AS$7,"-",MID(E41,1,100)),DATOS!Z:AA,2,0)),"",VLOOKUP(CONCATENATE($AS$7,"-",MID(E41,1,100)),DATOS!Z:AA,2,0))</f>
        <v/>
      </c>
      <c r="AT41" s="155" t="str">
        <f>IF(ISERROR(VLOOKUP(CONCATENATE($AT$7,"-",MID(E41,1,100)),DATOS!Z:AA,2,0)),"",VLOOKUP(CONCATENATE($AT$7,"-",MID(E41,1,100)),DATOS!Z:AA,2,0))</f>
        <v/>
      </c>
      <c r="AU41" s="156" t="str">
        <f>IF(ISERROR(VLOOKUP(CONCATENATE($AU$7,"-",MID(E41,1,100)),DATOS!Z:AA,2,0)),"",VLOOKUP(CONCATENATE($AU$7,"-",MID(E41,1,100)),DATOS!Z:AA,2,0))</f>
        <v/>
      </c>
      <c r="AV41" s="156" t="str">
        <f>IF(ISERROR(VLOOKUP(CONCATENATE($AV$7,"-",MID(E41,1,100)),DATOS!Z:AA,2,0)),"",VLOOKUP(CONCATENATE($AV$7,"-",MID(E41,1,100)),DATOS!Z:AA,2,0))</f>
        <v/>
      </c>
      <c r="AW41" s="156" t="str">
        <f>IF(ISERROR(VLOOKUP(CONCATENATE($AW$7,"-",MID(E41,1,100)),DATOS!Z:AA,2,0)),"",VLOOKUP(CONCATENATE($AW$7,"-",MID(E41,1,100)),DATOS!Z:AA,2,0))</f>
        <v/>
      </c>
      <c r="AX41" s="156" t="str">
        <f>IF(ISERROR(VLOOKUP(CONCATENATE($AX$7,"-",MID(E41,1,100)),DATOS!Z:AA,2,0)),"",VLOOKUP(CONCATENATE($AX$7,"-",MID(E41,1,100)),DATOS!Z:AA,2,0))</f>
        <v/>
      </c>
      <c r="AY41" s="156" t="str">
        <f>IF(ISERROR(VLOOKUP(CONCATENATE($AY$7,"-",MID(E41,1,100)),DATOS!Z:AA,2,0)),"",VLOOKUP(CONCATENATE($AY$7,"-",MID(E41,1,100)),DATOS!Z:AA,2,0))</f>
        <v/>
      </c>
      <c r="AZ41" s="156" t="str">
        <f>IF(ISERROR(VLOOKUP(CONCATENATE($AZ$7,"-",MID(E41,1,100)),DATOS!Z:AA,2,0)),"",VLOOKUP(CONCATENATE($AZ$7,"-",MID(E41,1,100)),DATOS!Z:AA,2,0))</f>
        <v/>
      </c>
      <c r="BA41" s="156" t="str">
        <f>IF(ISERROR(VLOOKUP(CONCATENATE($BA$7,"-",MID(E41,1,100)),DATOS!Z:AA,2,0)),"",VLOOKUP(CONCATENATE($BA$7,"-",MID(E41,1,100)),DATOS!Z:AA,2,0))</f>
        <v/>
      </c>
      <c r="BB41" s="156" t="str">
        <f>IF(ISERROR(VLOOKUP(CONCATENATE($BB$7,"-",MID(E41,1,100)),DATOS!Z:AA,2,0)),"",VLOOKUP(CONCATENATE($BB$7,"-",MID(E41,1,100)),DATOS!Z:AA,2,0))</f>
        <v/>
      </c>
      <c r="BC41" s="157" t="str">
        <f>IF(ISERROR(VLOOKUP(CONCATENATE($BC$7,"-",MID(E41,1,100)),DATOS!Z:AA,2,0)),"",VLOOKUP(CONCATENATE($BC$7,"-",MID(E41,1,100)),DATOS!Z:AA,2,0))</f>
        <v/>
      </c>
      <c r="BD41" s="155" t="str">
        <f>IF(ISERROR(VLOOKUP(CONCATENATE($BD$7,"-",MID(E41,1,100)),DATOS!Z:AA,2,0)),"",VLOOKUP(CONCATENATE($BD$7,"-",MID(E41,1,100)),DATOS!Z:AA,2,0))</f>
        <v/>
      </c>
      <c r="BE41" s="156" t="str">
        <f>IF(ISERROR(VLOOKUP(CONCATENATE($BE$7,"-",MID(E41,1,100)),DATOS!Z:AA,2,0)),"",VLOOKUP(CONCATENATE($BE$7,"-",MID(E41,1,100)),DATOS!Z:AA,2,0))</f>
        <v/>
      </c>
      <c r="BF41" s="156" t="str">
        <f>IF(ISERROR(VLOOKUP(CONCATENATE($BF$7,"-",MID(E41,1,100)),DATOS!Z:AA,2,0)),"",VLOOKUP(CONCATENATE($BF$7,"-",MID(E41,1,100)),DATOS!Z:AA,2,0))</f>
        <v/>
      </c>
      <c r="BG41" s="156" t="str">
        <f>IF(ISERROR(VLOOKUP(CONCATENATE($BG$7,"-",MID(E41,1,100)),DATOS!Z:AA,2,0)),"",VLOOKUP(CONCATENATE($BG$7,"-",MID(E41,1,100)),DATOS!Z:AA,2,0))</f>
        <v/>
      </c>
      <c r="BH41" s="156" t="str">
        <f>IF(ISERROR(VLOOKUP(CONCATENATE($BH$7,"-",MID(E41,1,100)),DATOS!Z:AA,2,0)),"",VLOOKUP(CONCATENATE($BH$7,"-",MID(E41,1,100)),DATOS!Z:AA,2,0))</f>
        <v/>
      </c>
      <c r="BI41" s="156" t="str">
        <f>IF(ISERROR(VLOOKUP(CONCATENATE($BI$7,"-",MID(E41,1,100)),DATOS!Z:AA,2,0)),"",VLOOKUP(CONCATENATE($BI$7,"-",MID(E41,1,100)),DATOS!Z:AA,2,0))</f>
        <v/>
      </c>
      <c r="BJ41" s="156" t="str">
        <f>IF(ISERROR(VLOOKUP(CONCATENATE($BJ$7,"-",MID(E41,1,100)),DATOS!Z:AA,2,0)),"",VLOOKUP(CONCATENATE($BJ$7,"-",MID(E41,1,100)),DATOS!Z:AA,2,0))</f>
        <v/>
      </c>
      <c r="BK41" s="156" t="str">
        <f>IF(ISERROR(VLOOKUP(CONCATENATE($BK$7,"-",MID(E41,1,100)),DATOS!Z:AA,2,0)),"",VLOOKUP(CONCATENATE($BK$7,"-",MID(E41,1,100)),DATOS!Z:AA,2,0))</f>
        <v/>
      </c>
      <c r="BL41" s="156" t="str">
        <f>IF(ISERROR(VLOOKUP(CONCATENATE($BL$7,"-",MID(E41,1,100)),DATOS!Z:AA,2,0)),"",VLOOKUP(CONCATENATE($BL$7,"-",MID(E41,1,100)),DATOS!Z:AA,2,0))</f>
        <v/>
      </c>
      <c r="BM41" s="157" t="str">
        <f>IF(ISERROR(VLOOKUP(CONCATENATE($BM$7,"-",MID(E41,1,100)),DATOS!Z:AA,2,0)),"",VLOOKUP(CONCATENATE($BM$7,"-",MID(E41,1,100)),DATOS!Z:AA,2,0))</f>
        <v/>
      </c>
      <c r="BN41" s="155" t="str">
        <f>IF(ISERROR(VLOOKUP(CONCATENATE($BN$7,"-",MID(E41,1,100)),DATOS!Z:AA,2,0)),"",VLOOKUP(CONCATENATE($BN$7,"-",MID(E41,1,100)),DATOS!Z:AA,2,0))</f>
        <v/>
      </c>
      <c r="BO41" s="156" t="str">
        <f>IF(ISERROR(VLOOKUP(CONCATENATE($BO$7,"-",MID(E41,1,100)),DATOS!Z:AA,2,0)),"",VLOOKUP(CONCATENATE($BO$7,"-",MID(E41,1,100)),DATOS!Z:AA,2,0))</f>
        <v/>
      </c>
      <c r="BP41" s="156" t="str">
        <f>IF(ISERROR(VLOOKUP(CONCATENATE($BP$7,"-",MID(E41,1,100)),DATOS!Z:AA,2,0)),"",VLOOKUP(CONCATENATE($BP$7,"-",MID(E41,1,100)),DATOS!Z:AA,2,0))</f>
        <v/>
      </c>
      <c r="BQ41" s="156" t="str">
        <f>IF(ISERROR(VLOOKUP(CONCATENATE($BQ$7,"-",MID(E41,1,100)),DATOS!Z:AA,2,0)),"",VLOOKUP(CONCATENATE($BQ$7,"-",MID(E41,1,100)),DATOS!Z:AA,2,0))</f>
        <v/>
      </c>
      <c r="BR41" s="156" t="str">
        <f>IF(ISERROR(VLOOKUP(CONCATENATE($BR$7,"-",MID(E41,1,100)),DATOS!Z:AA,2,0)),"",VLOOKUP(CONCATENATE($BR$7,"-",MID(E41,1,100)),DATOS!Z:AA,2,0))</f>
        <v/>
      </c>
      <c r="BS41" s="156" t="str">
        <f>IF(ISERROR(VLOOKUP(CONCATENATE($BS$7,"-",MID(E41,1,100)),DATOS!Z:AA,2,0)),"",VLOOKUP(CONCATENATE($BS$7,"-",MID(E41,1,100)),DATOS!Z:AA,2,0))</f>
        <v/>
      </c>
      <c r="BT41" s="156" t="str">
        <f>IF(ISERROR(VLOOKUP(CONCATENATE($BT$7,"-",MID(E41,1,100)),DATOS!Z:AA,2,0)),"",VLOOKUP(CONCATENATE($BT$7,"-",MID(E41,1,100)),DATOS!Z:AA,2,0))</f>
        <v/>
      </c>
      <c r="BU41" s="156" t="str">
        <f>IF(ISERROR(VLOOKUP(CONCATENATE($BU$7,"-",MID(E41,1,100)),DATOS!Z:AA,2,0)),"",VLOOKUP(CONCATENATE($BU$7,"-",MID(E41,1,100)),DATOS!Z:AA,2,0))</f>
        <v/>
      </c>
      <c r="BV41" s="156" t="str">
        <f>IF(ISERROR(VLOOKUP(CONCATENATE($BV$7,"-",MID(E41,1,100)),DATOS!Z:AA,2,0)),"",VLOOKUP(CONCATENATE($BV$7,"-",MID(E41,1,100)),DATOS!Z:AA,2,0))</f>
        <v/>
      </c>
      <c r="BW41" s="157" t="str">
        <f>IF(ISERROR(VLOOKUP(CONCATENATE($BW$7,"-",MID(E41,1,100)),DATOS!Z:AA,2,0)),"",VLOOKUP(CONCATENATE($BW$7,"-",MID(E41,1,100)),DATOS!Z:AA,2,0))</f>
        <v/>
      </c>
      <c r="BX41" s="155" t="str">
        <f>IF(ISERROR(VLOOKUP(CONCATENATE($BX$7,"-",MID(E41,1,100)),DATOS!Z:AA,2,0)),"",VLOOKUP(CONCATENATE($BX$7,"-",MID(E41,1,100)),DATOS!Z:AA,2,0))</f>
        <v/>
      </c>
      <c r="BY41" s="156" t="str">
        <f>IF(ISERROR(VLOOKUP(CONCATENATE($BY$7,"-",MID(E41,1,100)),DATOS!Z:AA,2,0)),"",VLOOKUP(CONCATENATE($BY$7,"-",MID(E41,1,100)),DATOS!Z:AA,2,0))</f>
        <v/>
      </c>
      <c r="BZ41" s="156" t="str">
        <f>IF(ISERROR(VLOOKUP(CONCATENATE($BZ$7,"-",MID(E41,1,100)),DATOS!Z:AA,2,0)),"",VLOOKUP(CONCATENATE($BZ$7,"-",MID(E41,1,100)),DATOS!Z:AA,2,0))</f>
        <v/>
      </c>
      <c r="CA41" s="156" t="str">
        <f>IF(ISERROR(VLOOKUP(CONCATENATE($CA$7,"-",MID(E41,1,100)),DATOS!Z:AA,2,0)),"",VLOOKUP(CONCATENATE($CA$7,"-",MID(E41,1,100)),DATOS!Z:AA,2,0))</f>
        <v/>
      </c>
      <c r="CB41" s="156" t="str">
        <f>IF(ISERROR(VLOOKUP(CONCATENATE($CB$7,"-",MID(E41,1,100)),DATOS!Z:AA,2,0)),"",VLOOKUP(CONCATENATE($CB$7,"-",MID(E41,1,100)),DATOS!Z:AA,2,0))</f>
        <v/>
      </c>
      <c r="CC41" s="156" t="str">
        <f>IF(ISERROR(VLOOKUP(CONCATENATE($CC$7,"-",MID(E41,1,100)),DATOS!Z:AA,2,0)),"",VLOOKUP(CONCATENATE($CC$7,"-",MID(E41,1,100)),DATOS!Z:AA,2,0))</f>
        <v/>
      </c>
      <c r="CD41" s="156" t="str">
        <f>IF(ISERROR(VLOOKUP(CONCATENATE($CD$7,"-",MID(E41,1,100)),DATOS!Z:AA,2,0)),"",VLOOKUP(CONCATENATE($CD$7,"-",MID(E41,1,100)),DATOS!Z:AA,2,0))</f>
        <v/>
      </c>
      <c r="CE41" s="156" t="str">
        <f>IF(ISERROR(VLOOKUP(CONCATENATE($CE$7,"-",MID(E41,1,100)),DATOS!Z:AA,2,0)),"",VLOOKUP(CONCATENATE($CE$7,"-",MID(E41,1,100)),DATOS!Z:AA,2,0))</f>
        <v/>
      </c>
      <c r="CF41" s="156" t="str">
        <f>IF(ISERROR(VLOOKUP(CONCATENATE($CF$7,"-",MID(E41,1,100)),DATOS!Z:AA,2,0)),"",VLOOKUP(CONCATENATE($CF$7,"-",MID(E41,1,100)),DATOS!Z:AA,2,0))</f>
        <v/>
      </c>
      <c r="CG41" s="157" t="str">
        <f>IF(ISERROR(VLOOKUP(CONCATENATE($CG$7,"-",MID(E41,1,100)),DATOS!Z:AA,2,0)),"",VLOOKUP(CONCATENATE($CG$7,"-",MID(E41,1,100)),DATOS!Z:AA,2,0))</f>
        <v/>
      </c>
      <c r="CH41" s="155" t="str">
        <f>IF(ISERROR(VLOOKUP(CONCATENATE($CH$7,"-",MID(E41,1,100)),DATOS!Z:AA,2,0)),"",VLOOKUP(CONCATENATE($CH$7,"-",MID(E41,1,100)),DATOS!Z:AA,2,0))</f>
        <v/>
      </c>
      <c r="CI41" s="156" t="str">
        <f>IF(ISERROR(VLOOKUP(CONCATENATE($CI$7,"-",MID(E41,1,100)),DATOS!Z:AA,2,0)),"",VLOOKUP(CONCATENATE($CI$7,"-",MID(E41,1,100)),DATOS!Z:AA,2,0))</f>
        <v/>
      </c>
      <c r="CJ41" s="156" t="str">
        <f>IF(ISERROR(VLOOKUP(CONCATENATE($CJ$7,"-",MID(E41,1,100)),DATOS!Z:AA,2,0)),"",VLOOKUP(CONCATENATE($CJ$7,"-",MID(E41,1,100)),DATOS!Z:AA,2,0))</f>
        <v/>
      </c>
      <c r="CK41" s="156" t="str">
        <f>IF(ISERROR(VLOOKUP(CONCATENATE($CK$7,"-",MID(E41,1,100)),DATOS!Z:AA,2,0)),"",VLOOKUP(CONCATENATE($CK$7,"-",MID(E41,1,100)),DATOS!Z:AA,2,0))</f>
        <v/>
      </c>
      <c r="CL41" s="156" t="str">
        <f>IF(ISERROR(VLOOKUP(CONCATENATE($CL$7,"-",MID(E41,1,100)),DATOS!Z:AA,2,0)),"",VLOOKUP(CONCATENATE($CL$7,"-",MID(E41,1,100)),DATOS!Z:AA,2,0))</f>
        <v/>
      </c>
      <c r="CM41" s="156" t="str">
        <f>IF(ISERROR(VLOOKUP(CONCATENATE($CM$7,"-",MID(E41,1,100)),DATOS!Z:AA,2,0)),"",VLOOKUP(CONCATENATE($CM$7,"-",MID(E41,1,100)),DATOS!Z:AA,2,0))</f>
        <v/>
      </c>
      <c r="CN41" s="156" t="str">
        <f>IF(ISERROR(VLOOKUP(CONCATENATE($CN$7,"-",MID(E41,1,100)),DATOS!Z:AA,2,0)),"",VLOOKUP(CONCATENATE($CN$7,"-",MID(E41,1,100)),DATOS!Z:AA,2,0))</f>
        <v/>
      </c>
      <c r="CO41" s="156" t="str">
        <f>IF(ISERROR(VLOOKUP(CONCATENATE($CO$7,"-",MID(E41,1,100)),DATOS!Z:AA,2,0)),"",VLOOKUP(CONCATENATE($CO$7,"-",MID(E41,1,100)),DATOS!Z:AA,2,0))</f>
        <v/>
      </c>
      <c r="CP41" s="194" t="str">
        <f>IF(ISERROR(VLOOKUP(CONCATENATE($CP$7,"-",MID(E41,1,100)),DATOS!Z:AA,2,0)),"",VLOOKUP(CONCATENATE($CP$7,"-",MID(E41,1,100)),DATOS!Z:AA,2,0))</f>
        <v/>
      </c>
      <c r="CQ41" s="157" t="str">
        <f>IF(ISERROR(VLOOKUP(CONCATENATE($CQ$7,"-",MID(E41,1,100)),DATOS!Z:AA,2,0)),"",VLOOKUP(CONCATENATE($CQ$7,"-",MID(E41,1,100)),DATOS!Z:AA,2,0))</f>
        <v/>
      </c>
      <c r="CR41" s="155" t="str">
        <f>IF(ISERROR(VLOOKUP(CONCATENATE(CR$7,"-",MID($E41,1,100)),DATOS!$Z:$AA,2,0)),"",VLOOKUP(CONCATENATE(CR$7,"-",MID($E41,1,100)),DATOS!$Z:$AA,2,0))</f>
        <v/>
      </c>
      <c r="CS41" s="156" t="str">
        <f>IF(ISERROR(VLOOKUP(CONCATENATE(CS$7,"-",MID($E41,1,100)),DATOS!$Z:$AA,2,0)),"",VLOOKUP(CONCATENATE(CS$7,"-",MID($E41,1,100)),DATOS!$Z:$AA,2,0))</f>
        <v/>
      </c>
      <c r="CT41" s="156" t="str">
        <f>IF(ISERROR(VLOOKUP(CONCATENATE(CT$7,"-",MID($E41,1,100)),DATOS!$Z:$AA,2,0)),"",VLOOKUP(CONCATENATE(CT$7,"-",MID($E41,1,100)),DATOS!$Z:$AA,2,0))</f>
        <v/>
      </c>
      <c r="CU41" s="156" t="str">
        <f>IF(ISERROR(VLOOKUP(CONCATENATE(CU$7,"-",MID($E41,1,100)),DATOS!$Z:$AA,2,0)),"",VLOOKUP(CONCATENATE(CU$7,"-",MID($E41,1,100)),DATOS!$Z:$AA,2,0))</f>
        <v/>
      </c>
      <c r="CV41" s="156" t="str">
        <f>IF(ISERROR(VLOOKUP(CONCATENATE(CV$7,"-",MID($E41,1,100)),DATOS!$Z:$AA,2,0)),"",VLOOKUP(CONCATENATE(CV$7,"-",MID($E41,1,100)),DATOS!$Z:$AA,2,0))</f>
        <v/>
      </c>
      <c r="CW41" s="156" t="str">
        <f>IF(ISERROR(VLOOKUP(CONCATENATE(CW$7,"-",MID($E41,1,100)),DATOS!$Z:$AA,2,0)),"",VLOOKUP(CONCATENATE(CW$7,"-",MID($E41,1,100)),DATOS!$Z:$AA,2,0))</f>
        <v/>
      </c>
      <c r="CX41" s="156" t="str">
        <f>IF(ISERROR(VLOOKUP(CONCATENATE(CX$7,"-",MID($E41,1,100)),DATOS!$Z:$AA,2,0)),"",VLOOKUP(CONCATENATE(CX$7,"-",MID($E41,1,100)),DATOS!$Z:$AA,2,0))</f>
        <v/>
      </c>
      <c r="CY41" s="156" t="str">
        <f>IF(ISERROR(VLOOKUP(CONCATENATE(CY$7,"-",MID($E41,1,100)),DATOS!$Z:$AA,2,0)),"",VLOOKUP(CONCATENATE(CY$7,"-",MID($E41,1,100)),DATOS!$Z:$AA,2,0))</f>
        <v/>
      </c>
      <c r="CZ41" s="194" t="str">
        <f>IF(ISERROR(VLOOKUP(CONCATENATE(CZ$7,"-",MID($E41,1,100)),DATOS!$Z:$AA,2,0)),"",VLOOKUP(CONCATENATE(CZ$7,"-",MID($E41,1,100)),DATOS!$Z:$AA,2,0))</f>
        <v/>
      </c>
      <c r="DA41" s="157" t="str">
        <f>IF(ISERROR(VLOOKUP(CONCATENATE(DA$7,"-",MID($E41,1,100)),DATOS!$Z:$AA,2,0)),"",VLOOKUP(CONCATENATE(DA$7,"-",MID($E41,1,100)),DATOS!$Z:$AA,2,0))</f>
        <v/>
      </c>
      <c r="DB41" s="155" t="str">
        <f>IF(ISERROR(VLOOKUP(CONCATENATE(DB$7,"-",MID($E41,1,100)),DATOS!$Z:$AA,2,0)),"",VLOOKUP(CONCATENATE(DB$7,"-",MID($E41,1,100)),DATOS!$Z:$AA,2,0))</f>
        <v/>
      </c>
      <c r="DC41" s="156" t="str">
        <f>IF(ISERROR(VLOOKUP(CONCATENATE(DC$7,"-",MID($E41,1,100)),DATOS!$Z:$AA,2,0)),"",VLOOKUP(CONCATENATE(DC$7,"-",MID($E41,1,100)),DATOS!$Z:$AA,2,0))</f>
        <v/>
      </c>
      <c r="DD41" s="156" t="str">
        <f>IF(ISERROR(VLOOKUP(CONCATENATE(DD$7,"-",MID($E41,1,100)),DATOS!$Z:$AA,2,0)),"",VLOOKUP(CONCATENATE(DD$7,"-",MID($E41,1,100)),DATOS!$Z:$AA,2,0))</f>
        <v/>
      </c>
      <c r="DE41" s="156" t="str">
        <f>IF(ISERROR(VLOOKUP(CONCATENATE(DE$7,"-",MID($E41,1,100)),DATOS!$Z:$AA,2,0)),"",VLOOKUP(CONCATENATE(DE$7,"-",MID($E41,1,100)),DATOS!$Z:$AA,2,0))</f>
        <v/>
      </c>
      <c r="DF41" s="156" t="str">
        <f>IF(ISERROR(VLOOKUP(CONCATENATE(DF$7,"-",MID($E41,1,100)),DATOS!$Z:$AA,2,0)),"",VLOOKUP(CONCATENATE(DF$7,"-",MID($E41,1,100)),DATOS!$Z:$AA,2,0))</f>
        <v/>
      </c>
      <c r="DG41" s="156" t="str">
        <f>IF(ISERROR(VLOOKUP(CONCATENATE(DG$7,"-",MID($E41,1,100)),DATOS!$Z:$AA,2,0)),"",VLOOKUP(CONCATENATE(DG$7,"-",MID($E41,1,100)),DATOS!$Z:$AA,2,0))</f>
        <v/>
      </c>
      <c r="DH41" s="156" t="str">
        <f>IF(ISERROR(VLOOKUP(CONCATENATE(DH$7,"-",MID($E41,1,100)),DATOS!$Z:$AA,2,0)),"",VLOOKUP(CONCATENATE(DH$7,"-",MID($E41,1,100)),DATOS!$Z:$AA,2,0))</f>
        <v/>
      </c>
      <c r="DI41" s="156" t="str">
        <f>IF(ISERROR(VLOOKUP(CONCATENATE(DI$7,"-",MID($E41,1,100)),DATOS!$Z:$AA,2,0)),"",VLOOKUP(CONCATENATE(DI$7,"-",MID($E41,1,100)),DATOS!$Z:$AA,2,0))</f>
        <v/>
      </c>
      <c r="DJ41" s="194" t="str">
        <f>IF(ISERROR(VLOOKUP(CONCATENATE(DJ$7,"-",MID($E41,1,100)),DATOS!$Z:$AA,2,0)),"",VLOOKUP(CONCATENATE(DJ$7,"-",MID($E41,1,100)),DATOS!$Z:$AA,2,0))</f>
        <v/>
      </c>
      <c r="DK41" s="157" t="str">
        <f>IF(ISERROR(VLOOKUP(CONCATENATE(DK$7,"-",MID($E41,1,100)),DATOS!$Z:$AA,2,0)),"",VLOOKUP(CONCATENATE(DK$7,"-",MID($E41,1,100)),DATOS!$Z:$AA,2,0))</f>
        <v/>
      </c>
      <c r="DL41" s="155" t="str">
        <f>IF(ISERROR(VLOOKUP(CONCATENATE(DL$7,"-",MID($E41,1,100)),DATOS!$Z:$AA,2,0)),"",VLOOKUP(CONCATENATE(DL$7,"-",MID($E41,1,100)),DATOS!$Z:$AA,2,0))</f>
        <v/>
      </c>
      <c r="DM41" s="156" t="str">
        <f>IF(ISERROR(VLOOKUP(CONCATENATE(DM$7,"-",MID($E41,1,100)),DATOS!$Z:$AA,2,0)),"",VLOOKUP(CONCATENATE(DM$7,"-",MID($E41,1,100)),DATOS!$Z:$AA,2,0))</f>
        <v/>
      </c>
      <c r="DN41" s="156" t="str">
        <f>IF(ISERROR(VLOOKUP(CONCATENATE(DN$7,"-",MID($E41,1,100)),DATOS!$Z:$AA,2,0)),"",VLOOKUP(CONCATENATE(DN$7,"-",MID($E41,1,100)),DATOS!$Z:$AA,2,0))</f>
        <v/>
      </c>
      <c r="DO41" s="156" t="str">
        <f>IF(ISERROR(VLOOKUP(CONCATENATE(DO$7,"-",MID($E41,1,100)),DATOS!$Z:$AA,2,0)),"",VLOOKUP(CONCATENATE(DO$7,"-",MID($E41,1,100)),DATOS!$Z:$AA,2,0))</f>
        <v/>
      </c>
      <c r="DP41" s="156" t="str">
        <f>IF(ISERROR(VLOOKUP(CONCATENATE(DP$7,"-",MID($E41,1,100)),DATOS!$Z:$AA,2,0)),"",VLOOKUP(CONCATENATE(DP$7,"-",MID($E41,1,100)),DATOS!$Z:$AA,2,0))</f>
        <v/>
      </c>
      <c r="DQ41" s="156" t="str">
        <f>IF(ISERROR(VLOOKUP(CONCATENATE(DQ$7,"-",MID($E41,1,100)),DATOS!$Z:$AA,2,0)),"",VLOOKUP(CONCATENATE(DQ$7,"-",MID($E41,1,100)),DATOS!$Z:$AA,2,0))</f>
        <v/>
      </c>
      <c r="DR41" s="156" t="str">
        <f>IF(ISERROR(VLOOKUP(CONCATENATE(DR$7,"-",MID($E41,1,100)),DATOS!$Z:$AA,2,0)),"",VLOOKUP(CONCATENATE(DR$7,"-",MID($E41,1,100)),DATOS!$Z:$AA,2,0))</f>
        <v/>
      </c>
      <c r="DS41" s="156" t="str">
        <f>IF(ISERROR(VLOOKUP(CONCATENATE(DS$7,"-",MID($E41,1,100)),DATOS!$Z:$AA,2,0)),"",VLOOKUP(CONCATENATE(DS$7,"-",MID($E41,1,100)),DATOS!$Z:$AA,2,0))</f>
        <v/>
      </c>
      <c r="DT41" s="194" t="str">
        <f>IF(ISERROR(VLOOKUP(CONCATENATE(DT$7,"-",MID($E41,1,100)),DATOS!$Z:$AA,2,0)),"",VLOOKUP(CONCATENATE(DT$7,"-",MID($E41,1,100)),DATOS!$Z:$AA,2,0))</f>
        <v/>
      </c>
      <c r="DU41" s="157" t="str">
        <f>IF(ISERROR(VLOOKUP(CONCATENATE(DU$7,"-",MID($E41,1,100)),DATOS!$Z:$AA,2,0)),"",VLOOKUP(CONCATENATE(DU$7,"-",MID($E41,1,100)),DATOS!$Z:$AA,2,0))</f>
        <v/>
      </c>
      <c r="DV41" s="155" t="str">
        <f>IF(ISERROR(VLOOKUP(CONCATENATE(DV$7,"-",MID($E41,1,100)),DATOS!$Z:$AA,2,0)),"",VLOOKUP(CONCATENATE(DV$7,"-",MID($E41,1,100)),DATOS!$Z:$AA,2,0))</f>
        <v/>
      </c>
      <c r="DW41" s="156" t="str">
        <f>IF(ISERROR(VLOOKUP(CONCATENATE(DW$7,"-",MID($E41,1,100)),DATOS!$Z:$AA,2,0)),"",VLOOKUP(CONCATENATE(DW$7,"-",MID($E41,1,100)),DATOS!$Z:$AA,2,0))</f>
        <v/>
      </c>
      <c r="DX41" s="156" t="str">
        <f>IF(ISERROR(VLOOKUP(CONCATENATE(DX$7,"-",MID($E41,1,100)),DATOS!$Z:$AA,2,0)),"",VLOOKUP(CONCATENATE(DX$7,"-",MID($E41,1,100)),DATOS!$Z:$AA,2,0))</f>
        <v/>
      </c>
      <c r="DY41" s="156" t="str">
        <f>IF(ISERROR(VLOOKUP(CONCATENATE(DY$7,"-",MID($E41,1,100)),DATOS!$Z:$AA,2,0)),"",VLOOKUP(CONCATENATE(DY$7,"-",MID($E41,1,100)),DATOS!$Z:$AA,2,0))</f>
        <v/>
      </c>
      <c r="DZ41" s="156" t="str">
        <f>IF(ISERROR(VLOOKUP(CONCATENATE(DZ$7,"-",MID($E41,1,100)),DATOS!$Z:$AA,2,0)),"",VLOOKUP(CONCATENATE(DZ$7,"-",MID($E41,1,100)),DATOS!$Z:$AA,2,0))</f>
        <v/>
      </c>
      <c r="EA41" s="156" t="str">
        <f>IF(ISERROR(VLOOKUP(CONCATENATE(EA$7,"-",MID($E41,1,100)),DATOS!$Z:$AA,2,0)),"",VLOOKUP(CONCATENATE(EA$7,"-",MID($E41,1,100)),DATOS!$Z:$AA,2,0))</f>
        <v/>
      </c>
      <c r="EB41" s="156" t="str">
        <f>IF(ISERROR(VLOOKUP(CONCATENATE(EB$7,"-",MID($E41,1,100)),DATOS!$Z:$AA,2,0)),"",VLOOKUP(CONCATENATE(EB$7,"-",MID($E41,1,100)),DATOS!$Z:$AA,2,0))</f>
        <v/>
      </c>
      <c r="EC41" s="156" t="str">
        <f>IF(ISERROR(VLOOKUP(CONCATENATE(EC$7,"-",MID($E41,1,100)),DATOS!$Z:$AA,2,0)),"",VLOOKUP(CONCATENATE(EC$7,"-",MID($E41,1,100)),DATOS!$Z:$AA,2,0))</f>
        <v/>
      </c>
      <c r="ED41" s="194" t="str">
        <f>IF(ISERROR(VLOOKUP(CONCATENATE(ED$7,"-",MID($E41,1,100)),DATOS!$Z:$AA,2,0)),"",VLOOKUP(CONCATENATE(ED$7,"-",MID($E41,1,100)),DATOS!$Z:$AA,2,0))</f>
        <v/>
      </c>
      <c r="EE41" s="157" t="str">
        <f>IF(ISERROR(VLOOKUP(CONCATENATE(EE$7,"-",MID($E41,1,100)),DATOS!$Z:$AA,2,0)),"",VLOOKUP(CONCATENATE(EE$7,"-",MID($E41,1,100)),DATOS!$Z:$AA,2,0))</f>
        <v/>
      </c>
      <c r="EF41" s="155" t="str">
        <f>IF(ISERROR(VLOOKUP(CONCATENATE($EF$7,"-",MID(E41,1,100)),DATOS!Z:AA,2,0)),"",VLOOKUP(CONCATENATE($EF$7,"-",MID(E41,1,100)),DATOS!Z:AA,2,0))</f>
        <v/>
      </c>
      <c r="EG41" s="156" t="str">
        <f>IF(ISERROR(VLOOKUP(CONCATENATE($EG$7,"-",MID(E41,1,100)),DATOS!Z:AA,2,0)),"",VLOOKUP(CONCATENATE($EG$7,"-",MID(E41,1,100)),DATOS!Z:AA,2,0))</f>
        <v/>
      </c>
      <c r="EH41" s="156" t="str">
        <f>IF(ISERROR(VLOOKUP(CONCATENATE($EH$7,"-",MID(E41,1,100)),DATOS!Z:AA,2,0)),"",VLOOKUP(CONCATENATE($EH$7,"-",MID(E41,1,100)),DATOS!Z:AA,2,0))</f>
        <v/>
      </c>
      <c r="EI41" s="156" t="str">
        <f>IF(ISERROR(VLOOKUP(CONCATENATE($EI$7,"-",MID(E41,1,100)),DATOS!Z:AA,2,0)),"",VLOOKUP(CONCATENATE($EI$7,"-",MID(E41,1,100)),DATOS!Z:AA,2,0))</f>
        <v/>
      </c>
      <c r="EJ41" s="156" t="str">
        <f>IF(ISERROR(VLOOKUP(CONCATENATE($EJ$7,"-",MID(E41,1,100)),DATOS!Z:AA,2,0)),"",VLOOKUP(CONCATENATE($EJ$7,"-",MID(E41,1,100)),DATOS!Z:AA,2,0))</f>
        <v/>
      </c>
      <c r="EK41" s="156" t="str">
        <f>IF(ISERROR(VLOOKUP(CONCATENATE($EK$7,"-",MID(E41,1,100)),DATOS!Z:AA,2,0)),"",VLOOKUP(CONCATENATE($EK$7,"-",MID(E41,1,100)),DATOS!Z:AA,2,0))</f>
        <v/>
      </c>
      <c r="EL41" s="156" t="str">
        <f>IF(ISERROR(VLOOKUP(CONCATENATE($EL$7,"-",MID(E41,1,100)),DATOS!Z:AA,2,0)),"",VLOOKUP(CONCATENATE($EL$7,"-",MID(E41,1,100)),DATOS!Z:AA,2,0))</f>
        <v/>
      </c>
      <c r="EM41" s="156" t="str">
        <f>IF(ISERROR(VLOOKUP(CONCATENATE($EM$7,"-",MID(E41,1,100)),DATOS!Z:AA,2,0)),"",VLOOKUP(CONCATENATE($EM$7,"-",MID(E41,1,100)),DATOS!Z:AA,2,0))</f>
        <v/>
      </c>
      <c r="EN41" s="156" t="str">
        <f>IF(ISERROR(VLOOKUP(CONCATENATE($EN$7,"-",MID(E41,1,100)),DATOS!Z:AA,2,0)),"",VLOOKUP(CONCATENATE($EN$7,"-",MID(E41,1,100)),DATOS!Z:AA,2,0))</f>
        <v/>
      </c>
      <c r="EO41" s="157" t="str">
        <f>IF(ISERROR(VLOOKUP(CONCATENATE($EO$7,"-",MID(E41,1,100)),DATOS!Z:AA,2,0)),"",VLOOKUP(CONCATENATE($EO$7,"-",MID(E41,1,100)),DATOS!Z:AA,2,0))</f>
        <v/>
      </c>
      <c r="EP41" s="158">
        <f t="shared" si="0"/>
        <v>0</v>
      </c>
      <c r="EQ41" s="159" t="str">
        <f t="shared" si="1"/>
        <v>-N1</v>
      </c>
    </row>
    <row r="42" spans="1:147" ht="17.25" hidden="1" customHeight="1">
      <c r="A42" s="148"/>
      <c r="B42" s="160" t="str">
        <f>IF('1.Fundamentos'!B63="","",'1.Fundamentos'!B63)</f>
        <v/>
      </c>
      <c r="C42" s="161" t="s">
        <v>82</v>
      </c>
      <c r="D42" s="162" t="str">
        <f>IF('1.Fundamentos'!E63="","",'1.Fundamentos'!E63)</f>
        <v/>
      </c>
      <c r="E42" s="163" t="str">
        <f t="shared" si="2"/>
        <v/>
      </c>
      <c r="F42" s="164" t="str">
        <f>IF(ISERROR(VLOOKUP(CONCATENATE($F$7,"-",MID(E42,1,100)),DATOS!Z:AA,2,0)),"",VLOOKUP(CONCATENATE($F$7,"-",MID(E42,1,100)),DATOS!Z:AA,2,0))</f>
        <v/>
      </c>
      <c r="G42" s="165" t="str">
        <f>IF(ISERROR(VLOOKUP(CONCATENATE($G$7,"-",MID(E42,1,100)),DATOS!Z:AA,2,0)),"",VLOOKUP(CONCATENATE($G$7,"-",MID(E42,1,100)),DATOS!Z:AA,2,0))</f>
        <v/>
      </c>
      <c r="H42" s="165" t="str">
        <f>IF(ISERROR(VLOOKUP(CONCATENATE($H$7,"-",MID(E42,1,100)),DATOS!Z:AA,2,0)),"",VLOOKUP(CONCATENATE($H$7,"-",MID(E42,1,100)),DATOS!Z:AA,2,0))</f>
        <v/>
      </c>
      <c r="I42" s="165" t="str">
        <f>IF(ISERROR(VLOOKUP(CONCATENATE($I$7,"-",MID(E42,1,100)),DATOS!Z:AA,2,0)),"",VLOOKUP(CONCATENATE($I$7,"-",MID(E42,1,100)),DATOS!Z:AA,2,0))</f>
        <v/>
      </c>
      <c r="J42" s="165" t="str">
        <f>IF(ISERROR(VLOOKUP(CONCATENATE($J$7,"-",MID(E42,1,100)),DATOS!Z:AA,2,0)),"",VLOOKUP(CONCATENATE($J$7,"-",MID(E42,1,100)),DATOS!Z:AA,2,0))</f>
        <v/>
      </c>
      <c r="K42" s="165" t="str">
        <f>IF(ISERROR(VLOOKUP(CONCATENATE($K$7,"-",MID(E42,1,100)),DATOS!Z:AA,2,0)),"",VLOOKUP(CONCATENATE($K$7,"-",MID(E42,1,100)),DATOS!Z:AA,2,0))</f>
        <v/>
      </c>
      <c r="L42" s="165" t="str">
        <f>IF(ISERROR(VLOOKUP(CONCATENATE($L$7,"-",MID(E42,1,100)),DATOS!Z:AA,2,0)),"",VLOOKUP(CONCATENATE($L$7,"-",MID(E42,1,100)),DATOS!Z:AA,2,0))</f>
        <v/>
      </c>
      <c r="M42" s="165" t="str">
        <f>IF(ISERROR(VLOOKUP(CONCATENATE($M$7,"-",MID(E42,1,100)),DATOS!Z:AA,2,0)),"",VLOOKUP(CONCATENATE($M$7,"-",MID(E42,1,100)),DATOS!Z:AA,2,0))</f>
        <v/>
      </c>
      <c r="N42" s="165" t="str">
        <f>IF(ISERROR(VLOOKUP(CONCATENATE($N$7,"-",MID(E42,1,100)),DATOS!Z:AA,2,0)),"",VLOOKUP(CONCATENATE($N$7,"-",MID(E42,1,100)),DATOS!Z:AA,2,0))</f>
        <v/>
      </c>
      <c r="O42" s="166" t="str">
        <f>IF(ISERROR(VLOOKUP(CONCATENATE($O$7,"-",MID(E42,1,100)),DATOS!Z:AA,2,0)),"",VLOOKUP(CONCATENATE($O$7,"-",MID(E42,1,100)),DATOS!Z:AA,2,0))</f>
        <v/>
      </c>
      <c r="P42" s="164" t="str">
        <f>IF(ISERROR(VLOOKUP(CONCATENATE($P$7,"-",MID(E42,1,100)),DATOS!Z:AA,2,0)),"",VLOOKUP(CONCATENATE($P$7,"-",MID(E42,1,100)),DATOS!Z:AA,2,0))</f>
        <v/>
      </c>
      <c r="Q42" s="165" t="str">
        <f>IF(ISERROR(VLOOKUP(CONCATENATE($Q$7,"-",MID(E42,1,100)),DATOS!Z:AA,2,0)),"",VLOOKUP(CONCATENATE($Q$7,"-",MID(E42,1,100)),DATOS!Z:AA,2,0))</f>
        <v/>
      </c>
      <c r="R42" s="165" t="str">
        <f>IF(ISERROR(VLOOKUP(CONCATENATE($R$7,"-",MID(E42,1,100)),DATOS!Z:AA,2,0)),"",VLOOKUP(CONCATENATE($R$7,"-",MID(E42,1,100)),DATOS!Z:AA,2,0))</f>
        <v/>
      </c>
      <c r="S42" s="165" t="str">
        <f>IF(ISERROR(VLOOKUP(CONCATENATE($S$7,"-",MID(E42,1,100)),DATOS!Z:AA,2,0)),"",VLOOKUP(CONCATENATE($S$7,"-",MID(E42,1,100)),DATOS!Z:AA,2,0))</f>
        <v/>
      </c>
      <c r="T42" s="165" t="str">
        <f>IF(ISERROR(VLOOKUP(CONCATENATE($T$7,"-",MID(E42,1,100)),DATOS!Z:AA,2,0)),"",VLOOKUP(CONCATENATE($T$7,"-",MID(E42,1,100)),DATOS!Z:AA,2,0))</f>
        <v/>
      </c>
      <c r="U42" s="165" t="str">
        <f>IF(ISERROR(VLOOKUP(CONCATENATE($U$7,"-",MID(E42,1,100)),DATOS!Z:AA,2,0)),"",VLOOKUP(CONCATENATE($U$7,"-",MID(E42,1,100)),DATOS!Z:AA,2,0))</f>
        <v/>
      </c>
      <c r="V42" s="165" t="str">
        <f>IF(ISERROR(VLOOKUP(CONCATENATE($V$7,"-",MID(E42,1,100)),DATOS!Z:AA,2,0)),"",VLOOKUP(CONCATENATE($V$7,"-",MID(E42,1,100)),DATOS!Z:AA,2,0))</f>
        <v/>
      </c>
      <c r="W42" s="165" t="str">
        <f>IF(ISERROR(VLOOKUP(CONCATENATE($W$7,"-",MID(E42,1,100)),DATOS!Z:AA,2,0)),"",VLOOKUP(CONCATENATE($W$7,"-",MID(E42,1,100)),DATOS!Z:AA,2,0))</f>
        <v/>
      </c>
      <c r="X42" s="165" t="str">
        <f>IF(ISERROR(VLOOKUP(CONCATENATE($X$7,"-",MID(E42,1,100)),DATOS!Z:AA,2,0)),"",VLOOKUP(CONCATENATE($X$7,"-",MID(E42,1,100)),DATOS!Z:AA,2,0))</f>
        <v/>
      </c>
      <c r="Y42" s="166" t="str">
        <f>IF(ISERROR(VLOOKUP(CONCATENATE($Y$7,"-",MID(E42,1,100)),DATOS!Z:AA,2,0)),"",VLOOKUP(CONCATENATE($Y$7,"-",MID(E42,1,100)),DATOS!Z:AA,2,0))</f>
        <v/>
      </c>
      <c r="Z42" s="164" t="str">
        <f>IF(ISERROR(VLOOKUP(CONCATENATE($Z$7,"-",MID(E42,1,100)),DATOS!Z:AA,2,0)),"",VLOOKUP(CONCATENATE($Z$7,"-",MID(E42,1,100)),DATOS!Z:AA,2,0))</f>
        <v/>
      </c>
      <c r="AA42" s="165" t="str">
        <f>IF(ISERROR(VLOOKUP(CONCATENATE($AA$7,"-",MID(E42,1,100)),DATOS!Z:AA,2,0)),"",VLOOKUP(CONCATENATE($AA$7,"-",MID(E42,1,100)),DATOS!Z:AA,2,0))</f>
        <v/>
      </c>
      <c r="AB42" s="165" t="str">
        <f>IF(ISERROR(VLOOKUP(CONCATENATE($AB$7,"-",MID(E42,1,100)),DATOS!Z:AA,2,0)),"",VLOOKUP(CONCATENATE($AB$7,"-",MID(E42,1,100)),DATOS!Z:AA,2,0))</f>
        <v/>
      </c>
      <c r="AC42" s="165" t="str">
        <f>IF(ISERROR(VLOOKUP(CONCATENATE($AC$7,"-",MID(E42,1,100)),DATOS!Z:AA,2,0)),"",VLOOKUP(CONCATENATE($AC$7,"-",MID(E42,1,100)),DATOS!Z:AA,2,0))</f>
        <v/>
      </c>
      <c r="AD42" s="165" t="str">
        <f>IF(ISERROR(VLOOKUP(CONCATENATE($AD$7,"-",MID(E42,1,100)),DATOS!Z:AA,2,0)),"",VLOOKUP(CONCATENATE($AD$7,"-",MID(E42,1,100)),DATOS!Z:AA,2,0))</f>
        <v/>
      </c>
      <c r="AE42" s="165" t="str">
        <f>IF(ISERROR(VLOOKUP(CONCATENATE($AE$7,"-",MID(E42,1,100)),DATOS!Z:AA,2,0)),"",VLOOKUP(CONCATENATE($AE$7,"-",MID(E42,1,100)),DATOS!Z:AA,2,0))</f>
        <v/>
      </c>
      <c r="AF42" s="165" t="str">
        <f>IF(ISERROR(VLOOKUP(CONCATENATE($AF$7,"-",MID(E42,1,100)),DATOS!Z:AA,2,0)),"",VLOOKUP(CONCATENATE($AF$7,"-",MID(E42,1,100)),DATOS!Z:AA,2,0))</f>
        <v/>
      </c>
      <c r="AG42" s="165" t="str">
        <f>IF(ISERROR(VLOOKUP(CONCATENATE($AG$7,"-",MID(E42,1,100)),DATOS!Z:AA,2,0)),"",VLOOKUP(CONCATENATE($AG$7,"-",MID(E42,1,100)),DATOS!Z:AA,2,0))</f>
        <v/>
      </c>
      <c r="AH42" s="165" t="str">
        <f>IF(ISERROR(VLOOKUP(CONCATENATE($AH$7,"-",MID(E42,1,100)),DATOS!Z:AA,2,0)),"",VLOOKUP(CONCATENATE($AH$7,"-",MID(E42,1,100)),DATOS!Z:AA,2,0))</f>
        <v/>
      </c>
      <c r="AI42" s="166" t="str">
        <f>IF(ISERROR(VLOOKUP(CONCATENATE($AI$7,"-",MID(E42,1,100)),DATOS!Z:AA,2,0)),"",VLOOKUP(CONCATENATE($AI$7,"-",MID(E42,1,100)),DATOS!Z:AA,2,0))</f>
        <v/>
      </c>
      <c r="AJ42" s="164" t="str">
        <f>IF(ISERROR(VLOOKUP(CONCATENATE($AJ$7,"-",MID(E42,1,100)),DATOS!Z:AA,2,0)),"",VLOOKUP(CONCATENATE($AJ$7,"-",MID(E42,1,100)),DATOS!Z:AA,2,0))</f>
        <v/>
      </c>
      <c r="AK42" s="165" t="str">
        <f>IF(ISERROR(VLOOKUP(CONCATENATE($AK$7,"-",MID(E42,1,100)),DATOS!Z:AA,2,0)),"",VLOOKUP(CONCATENATE($AK$7,"-",MID(E42,1,100)),DATOS!Z:AA,2,0))</f>
        <v/>
      </c>
      <c r="AL42" s="165" t="str">
        <f>IF(ISERROR(VLOOKUP(CONCATENATE($AL$7,"-",MID(E42,1,100)),DATOS!Z:AA,2,0)),"",VLOOKUP(CONCATENATE($AL$7,"-",MID(E42,1,100)),DATOS!Z:AA,2,0))</f>
        <v/>
      </c>
      <c r="AM42" s="165" t="str">
        <f>IF(ISERROR(VLOOKUP(CONCATENATE($AM$7,"-",MID(E42,1,100)),DATOS!Z:AA,2,0)),"",VLOOKUP(CONCATENATE($AM$7,"-",MID(E42,1,100)),DATOS!Z:AA,2,0))</f>
        <v/>
      </c>
      <c r="AN42" s="165" t="str">
        <f>IF(ISERROR(VLOOKUP(CONCATENATE($AN$7,"-",MID(E42,1,100)),DATOS!Z:AA,2,0)),"",VLOOKUP(CONCATENATE($AN$7,"-",MID(E42,1,100)),DATOS!Z:AA,2,0))</f>
        <v/>
      </c>
      <c r="AO42" s="165" t="str">
        <f>IF(ISERROR(VLOOKUP(CONCATENATE($AO$7,"-",MID(E42,1,100)),DATOS!Z:AA,2,0)),"",VLOOKUP(CONCATENATE($AO$7,"-",MID(E42,1,100)),DATOS!Z:AA,2,0))</f>
        <v/>
      </c>
      <c r="AP42" s="165" t="str">
        <f>IF(ISERROR(VLOOKUP(CONCATENATE($AP$7,"-",MID(E42,1,100)),DATOS!Z:AA,2,0)),"",VLOOKUP(CONCATENATE($AP$7,"-",MID(E42,1,100)),DATOS!Z:AA,2,0))</f>
        <v/>
      </c>
      <c r="AQ42" s="165" t="str">
        <f>IF(ISERROR(VLOOKUP(CONCATENATE($AQ$7,"-",MID(E42,1,100)),DATOS!Z:AA,2,0)),"",VLOOKUP(CONCATENATE($AQ$7,"-",MID(E42,1,100)),DATOS!Z:AA,2,0))</f>
        <v/>
      </c>
      <c r="AR42" s="165" t="str">
        <f>IF(ISERROR(VLOOKUP(CONCATENATE($AR$7,"-",MID(E42,1,100)),DATOS!Z:AA,2,0)),"",VLOOKUP(CONCATENATE($AR$7,"-",MID(E42,1,100)),DATOS!Z:AA,2,0))</f>
        <v/>
      </c>
      <c r="AS42" s="166" t="str">
        <f>IF(ISERROR(VLOOKUP(CONCATENATE($AS$7,"-",MID(E42,1,100)),DATOS!Z:AA,2,0)),"",VLOOKUP(CONCATENATE($AS$7,"-",MID(E42,1,100)),DATOS!Z:AA,2,0))</f>
        <v/>
      </c>
      <c r="AT42" s="207" t="str">
        <f>IF(ISERROR(VLOOKUP(CONCATENATE($AT$7,"-",MID(E42,1,100)),DATOS!Z:AA,2,0)),"",VLOOKUP(CONCATENATE($AT$7,"-",MID(E42,1,100)),DATOS!Z:AA,2,0))</f>
        <v/>
      </c>
      <c r="AU42" s="208" t="str">
        <f>IF(ISERROR(VLOOKUP(CONCATENATE($AU$7,"-",MID(E42,1,100)),DATOS!Z:AA,2,0)),"",VLOOKUP(CONCATENATE($AU$7,"-",MID(E42,1,100)),DATOS!Z:AA,2,0))</f>
        <v/>
      </c>
      <c r="AV42" s="208" t="str">
        <f>IF(ISERROR(VLOOKUP(CONCATENATE($AV$7,"-",MID(E42,1,100)),DATOS!Z:AA,2,0)),"",VLOOKUP(CONCATENATE($AV$7,"-",MID(E42,1,100)),DATOS!Z:AA,2,0))</f>
        <v/>
      </c>
      <c r="AW42" s="208" t="str">
        <f>IF(ISERROR(VLOOKUP(CONCATENATE($AW$7,"-",MID(E42,1,100)),DATOS!Z:AA,2,0)),"",VLOOKUP(CONCATENATE($AW$7,"-",MID(E42,1,100)),DATOS!Z:AA,2,0))</f>
        <v/>
      </c>
      <c r="AX42" s="208" t="str">
        <f>IF(ISERROR(VLOOKUP(CONCATENATE($AX$7,"-",MID(E42,1,100)),DATOS!Z:AA,2,0)),"",VLOOKUP(CONCATENATE($AX$7,"-",MID(E42,1,100)),DATOS!Z:AA,2,0))</f>
        <v/>
      </c>
      <c r="AY42" s="208" t="str">
        <f>IF(ISERROR(VLOOKUP(CONCATENATE($AY$7,"-",MID(E42,1,100)),DATOS!Z:AA,2,0)),"",VLOOKUP(CONCATENATE($AY$7,"-",MID(E42,1,100)),DATOS!Z:AA,2,0))</f>
        <v/>
      </c>
      <c r="AZ42" s="208" t="str">
        <f>IF(ISERROR(VLOOKUP(CONCATENATE($AZ$7,"-",MID(E42,1,100)),DATOS!Z:AA,2,0)),"",VLOOKUP(CONCATENATE($AZ$7,"-",MID(E42,1,100)),DATOS!Z:AA,2,0))</f>
        <v/>
      </c>
      <c r="BA42" s="208" t="str">
        <f>IF(ISERROR(VLOOKUP(CONCATENATE($BA$7,"-",MID(E42,1,100)),DATOS!Z:AA,2,0)),"",VLOOKUP(CONCATENATE($BA$7,"-",MID(E42,1,100)),DATOS!Z:AA,2,0))</f>
        <v/>
      </c>
      <c r="BB42" s="208" t="str">
        <f>IF(ISERROR(VLOOKUP(CONCATENATE($BB$7,"-",MID(E42,1,100)),DATOS!Z:AA,2,0)),"",VLOOKUP(CONCATENATE($BB$7,"-",MID(E42,1,100)),DATOS!Z:AA,2,0))</f>
        <v/>
      </c>
      <c r="BC42" s="209" t="str">
        <f>IF(ISERROR(VLOOKUP(CONCATENATE($BC$7,"-",MID(E42,1,100)),DATOS!Z:AA,2,0)),"",VLOOKUP(CONCATENATE($BC$7,"-",MID(E42,1,100)),DATOS!Z:AA,2,0))</f>
        <v/>
      </c>
      <c r="BD42" s="207" t="str">
        <f>IF(ISERROR(VLOOKUP(CONCATENATE($BD$7,"-",MID(E42,1,100)),DATOS!Z:AA,2,0)),"",VLOOKUP(CONCATENATE($BD$7,"-",MID(E42,1,100)),DATOS!Z:AA,2,0))</f>
        <v/>
      </c>
      <c r="BE42" s="208" t="str">
        <f>IF(ISERROR(VLOOKUP(CONCATENATE($BE$7,"-",MID(E42,1,100)),DATOS!Z:AA,2,0)),"",VLOOKUP(CONCATENATE($BE$7,"-",MID(E42,1,100)),DATOS!Z:AA,2,0))</f>
        <v/>
      </c>
      <c r="BF42" s="208" t="str">
        <f>IF(ISERROR(VLOOKUP(CONCATENATE($BF$7,"-",MID(E42,1,100)),DATOS!Z:AA,2,0)),"",VLOOKUP(CONCATENATE($BF$7,"-",MID(E42,1,100)),DATOS!Z:AA,2,0))</f>
        <v/>
      </c>
      <c r="BG42" s="208" t="str">
        <f>IF(ISERROR(VLOOKUP(CONCATENATE($BG$7,"-",MID(E42,1,100)),DATOS!Z:AA,2,0)),"",VLOOKUP(CONCATENATE($BG$7,"-",MID(E42,1,100)),DATOS!Z:AA,2,0))</f>
        <v/>
      </c>
      <c r="BH42" s="208" t="str">
        <f>IF(ISERROR(VLOOKUP(CONCATENATE($BH$7,"-",MID(E42,1,100)),DATOS!Z:AA,2,0)),"",VLOOKUP(CONCATENATE($BH$7,"-",MID(E42,1,100)),DATOS!Z:AA,2,0))</f>
        <v/>
      </c>
      <c r="BI42" s="208" t="str">
        <f>IF(ISERROR(VLOOKUP(CONCATENATE($BI$7,"-",MID(E42,1,100)),DATOS!Z:AA,2,0)),"",VLOOKUP(CONCATENATE($BI$7,"-",MID(E42,1,100)),DATOS!Z:AA,2,0))</f>
        <v/>
      </c>
      <c r="BJ42" s="208" t="str">
        <f>IF(ISERROR(VLOOKUP(CONCATENATE($BJ$7,"-",MID(E42,1,100)),DATOS!Z:AA,2,0)),"",VLOOKUP(CONCATENATE($BJ$7,"-",MID(E42,1,100)),DATOS!Z:AA,2,0))</f>
        <v/>
      </c>
      <c r="BK42" s="208" t="str">
        <f>IF(ISERROR(VLOOKUP(CONCATENATE($BK$7,"-",MID(E42,1,100)),DATOS!Z:AA,2,0)),"",VLOOKUP(CONCATENATE($BK$7,"-",MID(E42,1,100)),DATOS!Z:AA,2,0))</f>
        <v/>
      </c>
      <c r="BL42" s="208" t="str">
        <f>IF(ISERROR(VLOOKUP(CONCATENATE($BL$7,"-",MID(E42,1,100)),DATOS!Z:AA,2,0)),"",VLOOKUP(CONCATENATE($BL$7,"-",MID(E42,1,100)),DATOS!Z:AA,2,0))</f>
        <v/>
      </c>
      <c r="BM42" s="209" t="str">
        <f>IF(ISERROR(VLOOKUP(CONCATENATE($BM$7,"-",MID(E42,1,100)),DATOS!Z:AA,2,0)),"",VLOOKUP(CONCATENATE($BM$7,"-",MID(E42,1,100)),DATOS!Z:AA,2,0))</f>
        <v/>
      </c>
      <c r="BN42" s="207" t="str">
        <f>IF(ISERROR(VLOOKUP(CONCATENATE($BN$7,"-",MID(E42,1,100)),DATOS!Z:AA,2,0)),"",VLOOKUP(CONCATENATE($BN$7,"-",MID(E42,1,100)),DATOS!Z:AA,2,0))</f>
        <v/>
      </c>
      <c r="BO42" s="208" t="str">
        <f>IF(ISERROR(VLOOKUP(CONCATENATE($BO$7,"-",MID(E42,1,100)),DATOS!Z:AA,2,0)),"",VLOOKUP(CONCATENATE($BO$7,"-",MID(E42,1,100)),DATOS!Z:AA,2,0))</f>
        <v/>
      </c>
      <c r="BP42" s="208" t="str">
        <f>IF(ISERROR(VLOOKUP(CONCATENATE($BP$7,"-",MID(E42,1,100)),DATOS!Z:AA,2,0)),"",VLOOKUP(CONCATENATE($BP$7,"-",MID(E42,1,100)),DATOS!Z:AA,2,0))</f>
        <v/>
      </c>
      <c r="BQ42" s="208" t="str">
        <f>IF(ISERROR(VLOOKUP(CONCATENATE($BQ$7,"-",MID(E42,1,100)),DATOS!Z:AA,2,0)),"",VLOOKUP(CONCATENATE($BQ$7,"-",MID(E42,1,100)),DATOS!Z:AA,2,0))</f>
        <v/>
      </c>
      <c r="BR42" s="208" t="str">
        <f>IF(ISERROR(VLOOKUP(CONCATENATE($BR$7,"-",MID(E42,1,100)),DATOS!Z:AA,2,0)),"",VLOOKUP(CONCATENATE($BR$7,"-",MID(E42,1,100)),DATOS!Z:AA,2,0))</f>
        <v/>
      </c>
      <c r="BS42" s="208" t="str">
        <f>IF(ISERROR(VLOOKUP(CONCATENATE($BS$7,"-",MID(E42,1,100)),DATOS!Z:AA,2,0)),"",VLOOKUP(CONCATENATE($BS$7,"-",MID(E42,1,100)),DATOS!Z:AA,2,0))</f>
        <v/>
      </c>
      <c r="BT42" s="208" t="str">
        <f>IF(ISERROR(VLOOKUP(CONCATENATE($BT$7,"-",MID(E42,1,100)),DATOS!Z:AA,2,0)),"",VLOOKUP(CONCATENATE($BT$7,"-",MID(E42,1,100)),DATOS!Z:AA,2,0))</f>
        <v/>
      </c>
      <c r="BU42" s="208" t="str">
        <f>IF(ISERROR(VLOOKUP(CONCATENATE($BU$7,"-",MID(E42,1,100)),DATOS!Z:AA,2,0)),"",VLOOKUP(CONCATENATE($BU$7,"-",MID(E42,1,100)),DATOS!Z:AA,2,0))</f>
        <v/>
      </c>
      <c r="BV42" s="208" t="str">
        <f>IF(ISERROR(VLOOKUP(CONCATENATE($BV$7,"-",MID(E42,1,100)),DATOS!Z:AA,2,0)),"",VLOOKUP(CONCATENATE($BV$7,"-",MID(E42,1,100)),DATOS!Z:AA,2,0))</f>
        <v/>
      </c>
      <c r="BW42" s="209" t="str">
        <f>IF(ISERROR(VLOOKUP(CONCATENATE($BW$7,"-",MID(E42,1,100)),DATOS!Z:AA,2,0)),"",VLOOKUP(CONCATENATE($BW$7,"-",MID(E42,1,100)),DATOS!Z:AA,2,0))</f>
        <v/>
      </c>
      <c r="BX42" s="164" t="str">
        <f>IF(ISERROR(VLOOKUP(CONCATENATE($BX$7,"-",MID(E42,1,100)),DATOS!Z:AA,2,0)),"",VLOOKUP(CONCATENATE($BX$7,"-",MID(E42,1,100)),DATOS!Z:AA,2,0))</f>
        <v/>
      </c>
      <c r="BY42" s="165" t="str">
        <f>IF(ISERROR(VLOOKUP(CONCATENATE($BY$7,"-",MID(E42,1,100)),DATOS!Z:AA,2,0)),"",VLOOKUP(CONCATENATE($BY$7,"-",MID(E42,1,100)),DATOS!Z:AA,2,0))</f>
        <v/>
      </c>
      <c r="BZ42" s="165" t="str">
        <f>IF(ISERROR(VLOOKUP(CONCATENATE($BZ$7,"-",MID(E42,1,100)),DATOS!Z:AA,2,0)),"",VLOOKUP(CONCATENATE($BZ$7,"-",MID(E42,1,100)),DATOS!Z:AA,2,0))</f>
        <v/>
      </c>
      <c r="CA42" s="165" t="str">
        <f>IF(ISERROR(VLOOKUP(CONCATENATE($CA$7,"-",MID(E42,1,100)),DATOS!Z:AA,2,0)),"",VLOOKUP(CONCATENATE($CA$7,"-",MID(E42,1,100)),DATOS!Z:AA,2,0))</f>
        <v/>
      </c>
      <c r="CB42" s="165" t="str">
        <f>IF(ISERROR(VLOOKUP(CONCATENATE($CB$7,"-",MID(E42,1,100)),DATOS!Z:AA,2,0)),"",VLOOKUP(CONCATENATE($CB$7,"-",MID(E42,1,100)),DATOS!Z:AA,2,0))</f>
        <v/>
      </c>
      <c r="CC42" s="165" t="str">
        <f>IF(ISERROR(VLOOKUP(CONCATENATE($CC$7,"-",MID(E42,1,100)),DATOS!Z:AA,2,0)),"",VLOOKUP(CONCATENATE($CC$7,"-",MID(E42,1,100)),DATOS!Z:AA,2,0))</f>
        <v/>
      </c>
      <c r="CD42" s="165" t="str">
        <f>IF(ISERROR(VLOOKUP(CONCATENATE($CD$7,"-",MID(E42,1,100)),DATOS!Z:AA,2,0)),"",VLOOKUP(CONCATENATE($CD$7,"-",MID(E42,1,100)),DATOS!Z:AA,2,0))</f>
        <v/>
      </c>
      <c r="CE42" s="165" t="str">
        <f>IF(ISERROR(VLOOKUP(CONCATENATE($CE$7,"-",MID(E42,1,100)),DATOS!Z:AA,2,0)),"",VLOOKUP(CONCATENATE($CE$7,"-",MID(E42,1,100)),DATOS!Z:AA,2,0))</f>
        <v/>
      </c>
      <c r="CF42" s="165" t="str">
        <f>IF(ISERROR(VLOOKUP(CONCATENATE($CF$7,"-",MID(E42,1,100)),DATOS!Z:AA,2,0)),"",VLOOKUP(CONCATENATE($CF$7,"-",MID(E42,1,100)),DATOS!Z:AA,2,0))</f>
        <v/>
      </c>
      <c r="CG42" s="166" t="str">
        <f>IF(ISERROR(VLOOKUP(CONCATENATE($CG$7,"-",MID(E42,1,100)),DATOS!Z:AA,2,0)),"",VLOOKUP(CONCATENATE($CG$7,"-",MID(E42,1,100)),DATOS!Z:AA,2,0))</f>
        <v/>
      </c>
      <c r="CH42" s="164" t="str">
        <f>IF(ISERROR(VLOOKUP(CONCATENATE($CH$7,"-",MID(E42,1,100)),DATOS!Z:AA,2,0)),"",VLOOKUP(CONCATENATE($CH$7,"-",MID(E42,1,100)),DATOS!Z:AA,2,0))</f>
        <v/>
      </c>
      <c r="CI42" s="165" t="str">
        <f>IF(ISERROR(VLOOKUP(CONCATENATE($CI$7,"-",MID(E42,1,100)),DATOS!Z:AA,2,0)),"",VLOOKUP(CONCATENATE($CI$7,"-",MID(E42,1,100)),DATOS!Z:AA,2,0))</f>
        <v/>
      </c>
      <c r="CJ42" s="165" t="str">
        <f>IF(ISERROR(VLOOKUP(CONCATENATE($CJ$7,"-",MID(E42,1,100)),DATOS!Z:AA,2,0)),"",VLOOKUP(CONCATENATE($CJ$7,"-",MID(E42,1,100)),DATOS!Z:AA,2,0))</f>
        <v/>
      </c>
      <c r="CK42" s="165" t="str">
        <f>IF(ISERROR(VLOOKUP(CONCATENATE($CK$7,"-",MID(E42,1,100)),DATOS!Z:AA,2,0)),"",VLOOKUP(CONCATENATE($CK$7,"-",MID(E42,1,100)),DATOS!Z:AA,2,0))</f>
        <v/>
      </c>
      <c r="CL42" s="165" t="str">
        <f>IF(ISERROR(VLOOKUP(CONCATENATE($CL$7,"-",MID(E42,1,100)),DATOS!Z:AA,2,0)),"",VLOOKUP(CONCATENATE($CL$7,"-",MID(E42,1,100)),DATOS!Z:AA,2,0))</f>
        <v/>
      </c>
      <c r="CM42" s="165" t="str">
        <f>IF(ISERROR(VLOOKUP(CONCATENATE($CM$7,"-",MID(E42,1,100)),DATOS!Z:AA,2,0)),"",VLOOKUP(CONCATENATE($CM$7,"-",MID(E42,1,100)),DATOS!Z:AA,2,0))</f>
        <v/>
      </c>
      <c r="CN42" s="165" t="str">
        <f>IF(ISERROR(VLOOKUP(CONCATENATE($CN$7,"-",MID(E42,1,100)),DATOS!Z:AA,2,0)),"",VLOOKUP(CONCATENATE($CN$7,"-",MID(E42,1,100)),DATOS!Z:AA,2,0))</f>
        <v/>
      </c>
      <c r="CO42" s="165" t="str">
        <f>IF(ISERROR(VLOOKUP(CONCATENATE($CO$7,"-",MID(E42,1,100)),DATOS!Z:AA,2,0)),"",VLOOKUP(CONCATENATE($CO$7,"-",MID(E42,1,100)),DATOS!Z:AA,2,0))</f>
        <v/>
      </c>
      <c r="CP42" s="195" t="str">
        <f>IF(ISERROR(VLOOKUP(CONCATENATE($CP$7,"-",MID(E42,1,100)),DATOS!Z:AA,2,0)),"",VLOOKUP(CONCATENATE($CP$7,"-",MID(E42,1,100)),DATOS!Z:AA,2,0))</f>
        <v/>
      </c>
      <c r="CQ42" s="166" t="str">
        <f>IF(ISERROR(VLOOKUP(CONCATENATE($CQ$7,"-",MID(E42,1,100)),DATOS!Z:AA,2,0)),"",VLOOKUP(CONCATENATE($CQ$7,"-",MID(E42,1,100)),DATOS!Z:AA,2,0))</f>
        <v/>
      </c>
      <c r="CR42" s="164" t="str">
        <f>IF(ISERROR(VLOOKUP(CONCATENATE(CR$7,"-",MID($E42,1,100)),DATOS!$Z:$AA,2,0)),"",VLOOKUP(CONCATENATE(CR$7,"-",MID($E42,1,100)),DATOS!$Z:$AA,2,0))</f>
        <v/>
      </c>
      <c r="CS42" s="165" t="str">
        <f>IF(ISERROR(VLOOKUP(CONCATENATE(CS$7,"-",MID($E42,1,100)),DATOS!$Z:$AA,2,0)),"",VLOOKUP(CONCATENATE(CS$7,"-",MID($E42,1,100)),DATOS!$Z:$AA,2,0))</f>
        <v/>
      </c>
      <c r="CT42" s="165" t="str">
        <f>IF(ISERROR(VLOOKUP(CONCATENATE(CT$7,"-",MID($E42,1,100)),DATOS!$Z:$AA,2,0)),"",VLOOKUP(CONCATENATE(CT$7,"-",MID($E42,1,100)),DATOS!$Z:$AA,2,0))</f>
        <v/>
      </c>
      <c r="CU42" s="165" t="str">
        <f>IF(ISERROR(VLOOKUP(CONCATENATE(CU$7,"-",MID($E42,1,100)),DATOS!$Z:$AA,2,0)),"",VLOOKUP(CONCATENATE(CU$7,"-",MID($E42,1,100)),DATOS!$Z:$AA,2,0))</f>
        <v/>
      </c>
      <c r="CV42" s="165" t="str">
        <f>IF(ISERROR(VLOOKUP(CONCATENATE(CV$7,"-",MID($E42,1,100)),DATOS!$Z:$AA,2,0)),"",VLOOKUP(CONCATENATE(CV$7,"-",MID($E42,1,100)),DATOS!$Z:$AA,2,0))</f>
        <v/>
      </c>
      <c r="CW42" s="165" t="str">
        <f>IF(ISERROR(VLOOKUP(CONCATENATE(CW$7,"-",MID($E42,1,100)),DATOS!$Z:$AA,2,0)),"",VLOOKUP(CONCATENATE(CW$7,"-",MID($E42,1,100)),DATOS!$Z:$AA,2,0))</f>
        <v/>
      </c>
      <c r="CX42" s="165" t="str">
        <f>IF(ISERROR(VLOOKUP(CONCATENATE(CX$7,"-",MID($E42,1,100)),DATOS!$Z:$AA,2,0)),"",VLOOKUP(CONCATENATE(CX$7,"-",MID($E42,1,100)),DATOS!$Z:$AA,2,0))</f>
        <v/>
      </c>
      <c r="CY42" s="165" t="str">
        <f>IF(ISERROR(VLOOKUP(CONCATENATE(CY$7,"-",MID($E42,1,100)),DATOS!$Z:$AA,2,0)),"",VLOOKUP(CONCATENATE(CY$7,"-",MID($E42,1,100)),DATOS!$Z:$AA,2,0))</f>
        <v/>
      </c>
      <c r="CZ42" s="195" t="str">
        <f>IF(ISERROR(VLOOKUP(CONCATENATE(CZ$7,"-",MID($E42,1,100)),DATOS!$Z:$AA,2,0)),"",VLOOKUP(CONCATENATE(CZ$7,"-",MID($E42,1,100)),DATOS!$Z:$AA,2,0))</f>
        <v/>
      </c>
      <c r="DA42" s="166" t="str">
        <f>IF(ISERROR(VLOOKUP(CONCATENATE(DA$7,"-",MID($E42,1,100)),DATOS!$Z:$AA,2,0)),"",VLOOKUP(CONCATENATE(DA$7,"-",MID($E42,1,100)),DATOS!$Z:$AA,2,0))</f>
        <v/>
      </c>
      <c r="DB42" s="164" t="str">
        <f>IF(ISERROR(VLOOKUP(CONCATENATE(DB$7,"-",MID($E42,1,100)),DATOS!$Z:$AA,2,0)),"",VLOOKUP(CONCATENATE(DB$7,"-",MID($E42,1,100)),DATOS!$Z:$AA,2,0))</f>
        <v/>
      </c>
      <c r="DC42" s="165" t="str">
        <f>IF(ISERROR(VLOOKUP(CONCATENATE(DC$7,"-",MID($E42,1,100)),DATOS!$Z:$AA,2,0)),"",VLOOKUP(CONCATENATE(DC$7,"-",MID($E42,1,100)),DATOS!$Z:$AA,2,0))</f>
        <v/>
      </c>
      <c r="DD42" s="165" t="str">
        <f>IF(ISERROR(VLOOKUP(CONCATENATE(DD$7,"-",MID($E42,1,100)),DATOS!$Z:$AA,2,0)),"",VLOOKUP(CONCATENATE(DD$7,"-",MID($E42,1,100)),DATOS!$Z:$AA,2,0))</f>
        <v/>
      </c>
      <c r="DE42" s="165" t="str">
        <f>IF(ISERROR(VLOOKUP(CONCATENATE(DE$7,"-",MID($E42,1,100)),DATOS!$Z:$AA,2,0)),"",VLOOKUP(CONCATENATE(DE$7,"-",MID($E42,1,100)),DATOS!$Z:$AA,2,0))</f>
        <v/>
      </c>
      <c r="DF42" s="165" t="str">
        <f>IF(ISERROR(VLOOKUP(CONCATENATE(DF$7,"-",MID($E42,1,100)),DATOS!$Z:$AA,2,0)),"",VLOOKUP(CONCATENATE(DF$7,"-",MID($E42,1,100)),DATOS!$Z:$AA,2,0))</f>
        <v/>
      </c>
      <c r="DG42" s="165" t="str">
        <f>IF(ISERROR(VLOOKUP(CONCATENATE(DG$7,"-",MID($E42,1,100)),DATOS!$Z:$AA,2,0)),"",VLOOKUP(CONCATENATE(DG$7,"-",MID($E42,1,100)),DATOS!$Z:$AA,2,0))</f>
        <v/>
      </c>
      <c r="DH42" s="165" t="str">
        <f>IF(ISERROR(VLOOKUP(CONCATENATE(DH$7,"-",MID($E42,1,100)),DATOS!$Z:$AA,2,0)),"",VLOOKUP(CONCATENATE(DH$7,"-",MID($E42,1,100)),DATOS!$Z:$AA,2,0))</f>
        <v/>
      </c>
      <c r="DI42" s="165" t="str">
        <f>IF(ISERROR(VLOOKUP(CONCATENATE(DI$7,"-",MID($E42,1,100)),DATOS!$Z:$AA,2,0)),"",VLOOKUP(CONCATENATE(DI$7,"-",MID($E42,1,100)),DATOS!$Z:$AA,2,0))</f>
        <v/>
      </c>
      <c r="DJ42" s="195" t="str">
        <f>IF(ISERROR(VLOOKUP(CONCATENATE(DJ$7,"-",MID($E42,1,100)),DATOS!$Z:$AA,2,0)),"",VLOOKUP(CONCATENATE(DJ$7,"-",MID($E42,1,100)),DATOS!$Z:$AA,2,0))</f>
        <v/>
      </c>
      <c r="DK42" s="166" t="str">
        <f>IF(ISERROR(VLOOKUP(CONCATENATE(DK$7,"-",MID($E42,1,100)),DATOS!$Z:$AA,2,0)),"",VLOOKUP(CONCATENATE(DK$7,"-",MID($E42,1,100)),DATOS!$Z:$AA,2,0))</f>
        <v/>
      </c>
      <c r="DL42" s="164" t="str">
        <f>IF(ISERROR(VLOOKUP(CONCATENATE(DL$7,"-",MID($E42,1,100)),DATOS!$Z:$AA,2,0)),"",VLOOKUP(CONCATENATE(DL$7,"-",MID($E42,1,100)),DATOS!$Z:$AA,2,0))</f>
        <v/>
      </c>
      <c r="DM42" s="165" t="str">
        <f>IF(ISERROR(VLOOKUP(CONCATENATE(DM$7,"-",MID($E42,1,100)),DATOS!$Z:$AA,2,0)),"",VLOOKUP(CONCATENATE(DM$7,"-",MID($E42,1,100)),DATOS!$Z:$AA,2,0))</f>
        <v/>
      </c>
      <c r="DN42" s="165" t="str">
        <f>IF(ISERROR(VLOOKUP(CONCATENATE(DN$7,"-",MID($E42,1,100)),DATOS!$Z:$AA,2,0)),"",VLOOKUP(CONCATENATE(DN$7,"-",MID($E42,1,100)),DATOS!$Z:$AA,2,0))</f>
        <v/>
      </c>
      <c r="DO42" s="165" t="str">
        <f>IF(ISERROR(VLOOKUP(CONCATENATE(DO$7,"-",MID($E42,1,100)),DATOS!$Z:$AA,2,0)),"",VLOOKUP(CONCATENATE(DO$7,"-",MID($E42,1,100)),DATOS!$Z:$AA,2,0))</f>
        <v/>
      </c>
      <c r="DP42" s="165" t="str">
        <f>IF(ISERROR(VLOOKUP(CONCATENATE(DP$7,"-",MID($E42,1,100)),DATOS!$Z:$AA,2,0)),"",VLOOKUP(CONCATENATE(DP$7,"-",MID($E42,1,100)),DATOS!$Z:$AA,2,0))</f>
        <v/>
      </c>
      <c r="DQ42" s="165" t="str">
        <f>IF(ISERROR(VLOOKUP(CONCATENATE(DQ$7,"-",MID($E42,1,100)),DATOS!$Z:$AA,2,0)),"",VLOOKUP(CONCATENATE(DQ$7,"-",MID($E42,1,100)),DATOS!$Z:$AA,2,0))</f>
        <v/>
      </c>
      <c r="DR42" s="165" t="str">
        <f>IF(ISERROR(VLOOKUP(CONCATENATE(DR$7,"-",MID($E42,1,100)),DATOS!$Z:$AA,2,0)),"",VLOOKUP(CONCATENATE(DR$7,"-",MID($E42,1,100)),DATOS!$Z:$AA,2,0))</f>
        <v/>
      </c>
      <c r="DS42" s="165" t="str">
        <f>IF(ISERROR(VLOOKUP(CONCATENATE(DS$7,"-",MID($E42,1,100)),DATOS!$Z:$AA,2,0)),"",VLOOKUP(CONCATENATE(DS$7,"-",MID($E42,1,100)),DATOS!$Z:$AA,2,0))</f>
        <v/>
      </c>
      <c r="DT42" s="195" t="str">
        <f>IF(ISERROR(VLOOKUP(CONCATENATE(DT$7,"-",MID($E42,1,100)),DATOS!$Z:$AA,2,0)),"",VLOOKUP(CONCATENATE(DT$7,"-",MID($E42,1,100)),DATOS!$Z:$AA,2,0))</f>
        <v/>
      </c>
      <c r="DU42" s="166" t="str">
        <f>IF(ISERROR(VLOOKUP(CONCATENATE(DU$7,"-",MID($E42,1,100)),DATOS!$Z:$AA,2,0)),"",VLOOKUP(CONCATENATE(DU$7,"-",MID($E42,1,100)),DATOS!$Z:$AA,2,0))</f>
        <v/>
      </c>
      <c r="DV42" s="164" t="str">
        <f>IF(ISERROR(VLOOKUP(CONCATENATE(DV$7,"-",MID($E42,1,100)),DATOS!$Z:$AA,2,0)),"",VLOOKUP(CONCATENATE(DV$7,"-",MID($E42,1,100)),DATOS!$Z:$AA,2,0))</f>
        <v/>
      </c>
      <c r="DW42" s="165" t="str">
        <f>IF(ISERROR(VLOOKUP(CONCATENATE(DW$7,"-",MID($E42,1,100)),DATOS!$Z:$AA,2,0)),"",VLOOKUP(CONCATENATE(DW$7,"-",MID($E42,1,100)),DATOS!$Z:$AA,2,0))</f>
        <v/>
      </c>
      <c r="DX42" s="165" t="str">
        <f>IF(ISERROR(VLOOKUP(CONCATENATE(DX$7,"-",MID($E42,1,100)),DATOS!$Z:$AA,2,0)),"",VLOOKUP(CONCATENATE(DX$7,"-",MID($E42,1,100)),DATOS!$Z:$AA,2,0))</f>
        <v/>
      </c>
      <c r="DY42" s="165" t="str">
        <f>IF(ISERROR(VLOOKUP(CONCATENATE(DY$7,"-",MID($E42,1,100)),DATOS!$Z:$AA,2,0)),"",VLOOKUP(CONCATENATE(DY$7,"-",MID($E42,1,100)),DATOS!$Z:$AA,2,0))</f>
        <v/>
      </c>
      <c r="DZ42" s="165" t="str">
        <f>IF(ISERROR(VLOOKUP(CONCATENATE(DZ$7,"-",MID($E42,1,100)),DATOS!$Z:$AA,2,0)),"",VLOOKUP(CONCATENATE(DZ$7,"-",MID($E42,1,100)),DATOS!$Z:$AA,2,0))</f>
        <v/>
      </c>
      <c r="EA42" s="165" t="str">
        <f>IF(ISERROR(VLOOKUP(CONCATENATE(EA$7,"-",MID($E42,1,100)),DATOS!$Z:$AA,2,0)),"",VLOOKUP(CONCATENATE(EA$7,"-",MID($E42,1,100)),DATOS!$Z:$AA,2,0))</f>
        <v/>
      </c>
      <c r="EB42" s="165" t="str">
        <f>IF(ISERROR(VLOOKUP(CONCATENATE(EB$7,"-",MID($E42,1,100)),DATOS!$Z:$AA,2,0)),"",VLOOKUP(CONCATENATE(EB$7,"-",MID($E42,1,100)),DATOS!$Z:$AA,2,0))</f>
        <v/>
      </c>
      <c r="EC42" s="165" t="str">
        <f>IF(ISERROR(VLOOKUP(CONCATENATE(EC$7,"-",MID($E42,1,100)),DATOS!$Z:$AA,2,0)),"",VLOOKUP(CONCATENATE(EC$7,"-",MID($E42,1,100)),DATOS!$Z:$AA,2,0))</f>
        <v/>
      </c>
      <c r="ED42" s="195" t="str">
        <f>IF(ISERROR(VLOOKUP(CONCATENATE(ED$7,"-",MID($E42,1,100)),DATOS!$Z:$AA,2,0)),"",VLOOKUP(CONCATENATE(ED$7,"-",MID($E42,1,100)),DATOS!$Z:$AA,2,0))</f>
        <v/>
      </c>
      <c r="EE42" s="166" t="str">
        <f>IF(ISERROR(VLOOKUP(CONCATENATE(EE$7,"-",MID($E42,1,100)),DATOS!$Z:$AA,2,0)),"",VLOOKUP(CONCATENATE(EE$7,"-",MID($E42,1,100)),DATOS!$Z:$AA,2,0))</f>
        <v/>
      </c>
      <c r="EF42" s="164" t="str">
        <f>IF(ISERROR(VLOOKUP(CONCATENATE($EF$7,"-",MID(E42,1,100)),DATOS!Z:AA,2,0)),"",VLOOKUP(CONCATENATE($EF$7,"-",MID(E42,1,100)),DATOS!Z:AA,2,0))</f>
        <v/>
      </c>
      <c r="EG42" s="165" t="str">
        <f>IF(ISERROR(VLOOKUP(CONCATENATE($EG$7,"-",MID(E42,1,100)),DATOS!Z:AA,2,0)),"",VLOOKUP(CONCATENATE($EG$7,"-",MID(E42,1,100)),DATOS!Z:AA,2,0))</f>
        <v/>
      </c>
      <c r="EH42" s="165" t="str">
        <f>IF(ISERROR(VLOOKUP(CONCATENATE($EH$7,"-",MID(E42,1,100)),DATOS!Z:AA,2,0)),"",VLOOKUP(CONCATENATE($EH$7,"-",MID(E42,1,100)),DATOS!Z:AA,2,0))</f>
        <v/>
      </c>
      <c r="EI42" s="165" t="str">
        <f>IF(ISERROR(VLOOKUP(CONCATENATE($EI$7,"-",MID(E42,1,100)),DATOS!Z:AA,2,0)),"",VLOOKUP(CONCATENATE($EI$7,"-",MID(E42,1,100)),DATOS!Z:AA,2,0))</f>
        <v/>
      </c>
      <c r="EJ42" s="165" t="str">
        <f>IF(ISERROR(VLOOKUP(CONCATENATE($EJ$7,"-",MID(E42,1,100)),DATOS!Z:AA,2,0)),"",VLOOKUP(CONCATENATE($EJ$7,"-",MID(E42,1,100)),DATOS!Z:AA,2,0))</f>
        <v/>
      </c>
      <c r="EK42" s="165" t="str">
        <f>IF(ISERROR(VLOOKUP(CONCATENATE($EK$7,"-",MID(E42,1,100)),DATOS!Z:AA,2,0)),"",VLOOKUP(CONCATENATE($EK$7,"-",MID(E42,1,100)),DATOS!Z:AA,2,0))</f>
        <v/>
      </c>
      <c r="EL42" s="165" t="str">
        <f>IF(ISERROR(VLOOKUP(CONCATENATE($EL$7,"-",MID(E42,1,100)),DATOS!Z:AA,2,0)),"",VLOOKUP(CONCATENATE($EL$7,"-",MID(E42,1,100)),DATOS!Z:AA,2,0))</f>
        <v/>
      </c>
      <c r="EM42" s="165" t="str">
        <f>IF(ISERROR(VLOOKUP(CONCATENATE($EM$7,"-",MID(E42,1,100)),DATOS!Z:AA,2,0)),"",VLOOKUP(CONCATENATE($EM$7,"-",MID(E42,1,100)),DATOS!Z:AA,2,0))</f>
        <v/>
      </c>
      <c r="EN42" s="165" t="str">
        <f>IF(ISERROR(VLOOKUP(CONCATENATE($EN$7,"-",MID(E42,1,100)),DATOS!Z:AA,2,0)),"",VLOOKUP(CONCATENATE($EN$7,"-",MID(E42,1,100)),DATOS!Z:AA,2,0))</f>
        <v/>
      </c>
      <c r="EO42" s="166" t="str">
        <f>IF(ISERROR(VLOOKUP(CONCATENATE($EO$7,"-",MID(E42,1,100)),DATOS!Z:AA,2,0)),"",VLOOKUP(CONCATENATE($EO$7,"-",MID(E42,1,100)),DATOS!Z:AA,2,0))</f>
        <v/>
      </c>
      <c r="EP42" s="167">
        <f t="shared" si="0"/>
        <v>0</v>
      </c>
      <c r="EQ42" s="159" t="str">
        <f t="shared" si="1"/>
        <v>-N2</v>
      </c>
    </row>
    <row r="43" spans="1:147" ht="17.25" hidden="1" customHeight="1" thickBot="1">
      <c r="A43" s="148"/>
      <c r="B43" s="168" t="str">
        <f>IF('1.Fundamentos'!B63="","",'1.Fundamentos'!B63)</f>
        <v/>
      </c>
      <c r="C43" s="169" t="s">
        <v>84</v>
      </c>
      <c r="D43" s="170" t="str">
        <f>IF('1.Fundamentos'!D63="","",'1.Fundamentos'!D63)</f>
        <v/>
      </c>
      <c r="E43" s="171" t="str">
        <f>IF(D43="","",CONCATENATE(B43,":",C43," ",D43))</f>
        <v/>
      </c>
      <c r="F43" s="172" t="str">
        <f>IF(ISERROR(VLOOKUP(CONCATENATE($F$7,"-",MID(E43,1,100)),DATOS!Z:AA,2,0)),"",VLOOKUP(CONCATENATE($F$7,"-",MID(E43,1,100)),DATOS!Z:AA,2,0))</f>
        <v/>
      </c>
      <c r="G43" s="173" t="str">
        <f>IF(ISERROR(VLOOKUP(CONCATENATE($G$7,"-",MID(E43,1,100)),DATOS!Z:AA,2,0)),"",VLOOKUP(CONCATENATE($G$7,"-",MID(E43,1,100)),DATOS!Z:AA,2,0))</f>
        <v/>
      </c>
      <c r="H43" s="173" t="str">
        <f>IF(ISERROR(VLOOKUP(CONCATENATE($H$7,"-",MID(E43,1,100)),DATOS!Z:AA,2,0)),"",VLOOKUP(CONCATENATE($H$7,"-",MID(E43,1,100)),DATOS!Z:AA,2,0))</f>
        <v/>
      </c>
      <c r="I43" s="173" t="str">
        <f>IF(ISERROR(VLOOKUP(CONCATENATE($I$7,"-",MID(E43,1,100)),DATOS!Z:AA,2,0)),"",VLOOKUP(CONCATENATE($I$7,"-",MID(E43,1,100)),DATOS!Z:AA,2,0))</f>
        <v/>
      </c>
      <c r="J43" s="173" t="str">
        <f>IF(ISERROR(VLOOKUP(CONCATENATE($J$7,"-",MID(E43,1,100)),DATOS!Z:AA,2,0)),"",VLOOKUP(CONCATENATE($J$7,"-",MID(E43,1,100)),DATOS!Z:AA,2,0))</f>
        <v/>
      </c>
      <c r="K43" s="173" t="str">
        <f>IF(ISERROR(VLOOKUP(CONCATENATE($K$7,"-",MID(E43,1,100)),DATOS!Z:AA,2,0)),"",VLOOKUP(CONCATENATE($K$7,"-",MID(E43,1,100)),DATOS!Z:AA,2,0))</f>
        <v/>
      </c>
      <c r="L43" s="173" t="str">
        <f>IF(ISERROR(VLOOKUP(CONCATENATE($L$7,"-",MID(E43,1,100)),DATOS!Z:AA,2,0)),"",VLOOKUP(CONCATENATE($L$7,"-",MID(E43,1,100)),DATOS!Z:AA,2,0))</f>
        <v/>
      </c>
      <c r="M43" s="173" t="str">
        <f>IF(ISERROR(VLOOKUP(CONCATENATE($M$7,"-",MID(E43,1,100)),DATOS!Z:AA,2,0)),"",VLOOKUP(CONCATENATE($M$7,"-",MID(E43,1,100)),DATOS!Z:AA,2,0))</f>
        <v/>
      </c>
      <c r="N43" s="173" t="str">
        <f>IF(ISERROR(VLOOKUP(CONCATENATE($N$7,"-",MID(E43,1,100)),DATOS!Z:AA,2,0)),"",VLOOKUP(CONCATENATE($N$7,"-",MID(E43,1,100)),DATOS!Z:AA,2,0))</f>
        <v/>
      </c>
      <c r="O43" s="174" t="str">
        <f>IF(ISERROR(VLOOKUP(CONCATENATE($O$7,"-",MID(E43,1,100)),DATOS!Z:AA,2,0)),"",VLOOKUP(CONCATENATE($O$7,"-",MID(E43,1,100)),DATOS!Z:AA,2,0))</f>
        <v/>
      </c>
      <c r="P43" s="172" t="str">
        <f>IF(ISERROR(VLOOKUP(CONCATENATE($P$7,"-",MID(E43,1,100)),DATOS!Z:AA,2,0)),"",VLOOKUP(CONCATENATE($P$7,"-",MID(E43,1,100)),DATOS!Z:AA,2,0))</f>
        <v/>
      </c>
      <c r="Q43" s="173" t="str">
        <f>IF(ISERROR(VLOOKUP(CONCATENATE($Q$7,"-",MID(E43,1,100)),DATOS!Z:AA,2,0)),"",VLOOKUP(CONCATENATE($Q$7,"-",MID(E43,1,100)),DATOS!Z:AA,2,0))</f>
        <v/>
      </c>
      <c r="R43" s="173" t="str">
        <f>IF(ISERROR(VLOOKUP(CONCATENATE($R$7,"-",MID(E43,1,100)),DATOS!Z:AA,2,0)),"",VLOOKUP(CONCATENATE($R$7,"-",MID(E43,1,100)),DATOS!Z:AA,2,0))</f>
        <v/>
      </c>
      <c r="S43" s="173" t="str">
        <f>IF(ISERROR(VLOOKUP(CONCATENATE($S$7,"-",MID(E43,1,100)),DATOS!Z:AA,2,0)),"",VLOOKUP(CONCATENATE($S$7,"-",MID(E43,1,100)),DATOS!Z:AA,2,0))</f>
        <v/>
      </c>
      <c r="T43" s="173" t="str">
        <f>IF(ISERROR(VLOOKUP(CONCATENATE($T$7,"-",MID(E43,1,100)),DATOS!Z:AA,2,0)),"",VLOOKUP(CONCATENATE($T$7,"-",MID(E43,1,100)),DATOS!Z:AA,2,0))</f>
        <v/>
      </c>
      <c r="U43" s="173" t="str">
        <f>IF(ISERROR(VLOOKUP(CONCATENATE($U$7,"-",MID(E43,1,100)),DATOS!Z:AA,2,0)),"",VLOOKUP(CONCATENATE($U$7,"-",MID(E43,1,100)),DATOS!Z:AA,2,0))</f>
        <v/>
      </c>
      <c r="V43" s="173" t="str">
        <f>IF(ISERROR(VLOOKUP(CONCATENATE($V$7,"-",MID(E43,1,100)),DATOS!Z:AA,2,0)),"",VLOOKUP(CONCATENATE($V$7,"-",MID(E43,1,100)),DATOS!Z:AA,2,0))</f>
        <v/>
      </c>
      <c r="W43" s="173" t="str">
        <f>IF(ISERROR(VLOOKUP(CONCATENATE($W$7,"-",MID(E43,1,100)),DATOS!Z:AA,2,0)),"",VLOOKUP(CONCATENATE($W$7,"-",MID(E43,1,100)),DATOS!Z:AA,2,0))</f>
        <v/>
      </c>
      <c r="X43" s="173" t="str">
        <f>IF(ISERROR(VLOOKUP(CONCATENATE($X$7,"-",MID(E43,1,100)),DATOS!Z:AA,2,0)),"",VLOOKUP(CONCATENATE($X$7,"-",MID(E43,1,100)),DATOS!Z:AA,2,0))</f>
        <v/>
      </c>
      <c r="Y43" s="174" t="str">
        <f>IF(ISERROR(VLOOKUP(CONCATENATE($Y$7,"-",MID(E43,1,100)),DATOS!Z:AA,2,0)),"",VLOOKUP(CONCATENATE($Y$7,"-",MID(E43,1,100)),DATOS!Z:AA,2,0))</f>
        <v/>
      </c>
      <c r="Z43" s="172" t="str">
        <f>IF(ISERROR(VLOOKUP(CONCATENATE($Z$7,"-",MID(E43,1,100)),DATOS!Z:AA,2,0)),"",VLOOKUP(CONCATENATE($Z$7,"-",MID(E43,1,100)),DATOS!Z:AA,2,0))</f>
        <v/>
      </c>
      <c r="AA43" s="173" t="str">
        <f>IF(ISERROR(VLOOKUP(CONCATENATE($AA$7,"-",MID(E43,1,100)),DATOS!Z:AA,2,0)),"",VLOOKUP(CONCATENATE($AA$7,"-",MID(E43,1,100)),DATOS!Z:AA,2,0))</f>
        <v/>
      </c>
      <c r="AB43" s="173" t="str">
        <f>IF(ISERROR(VLOOKUP(CONCATENATE($AB$7,"-",MID(E43,1,100)),DATOS!Z:AA,2,0)),"",VLOOKUP(CONCATENATE($AB$7,"-",MID(E43,1,100)),DATOS!Z:AA,2,0))</f>
        <v/>
      </c>
      <c r="AC43" s="173" t="str">
        <f>IF(ISERROR(VLOOKUP(CONCATENATE($AC$7,"-",MID(E43,1,100)),DATOS!Z:AA,2,0)),"",VLOOKUP(CONCATENATE($AC$7,"-",MID(E43,1,100)),DATOS!Z:AA,2,0))</f>
        <v/>
      </c>
      <c r="AD43" s="173" t="str">
        <f>IF(ISERROR(VLOOKUP(CONCATENATE($AD$7,"-",MID(E43,1,100)),DATOS!Z:AA,2,0)),"",VLOOKUP(CONCATENATE($AD$7,"-",MID(E43,1,100)),DATOS!Z:AA,2,0))</f>
        <v/>
      </c>
      <c r="AE43" s="173" t="str">
        <f>IF(ISERROR(VLOOKUP(CONCATENATE($AE$7,"-",MID(E43,1,100)),DATOS!Z:AA,2,0)),"",VLOOKUP(CONCATENATE($AE$7,"-",MID(E43,1,100)),DATOS!Z:AA,2,0))</f>
        <v/>
      </c>
      <c r="AF43" s="173" t="str">
        <f>IF(ISERROR(VLOOKUP(CONCATENATE($AF$7,"-",MID(E43,1,100)),DATOS!Z:AA,2,0)),"",VLOOKUP(CONCATENATE($AF$7,"-",MID(E43,1,100)),DATOS!Z:AA,2,0))</f>
        <v/>
      </c>
      <c r="AG43" s="173" t="str">
        <f>IF(ISERROR(VLOOKUP(CONCATENATE($AG$7,"-",MID(E43,1,100)),DATOS!Z:AA,2,0)),"",VLOOKUP(CONCATENATE($AG$7,"-",MID(E43,1,100)),DATOS!Z:AA,2,0))</f>
        <v/>
      </c>
      <c r="AH43" s="173" t="str">
        <f>IF(ISERROR(VLOOKUP(CONCATENATE($AH$7,"-",MID(E43,1,100)),DATOS!Z:AA,2,0)),"",VLOOKUP(CONCATENATE($AH$7,"-",MID(E43,1,100)),DATOS!Z:AA,2,0))</f>
        <v/>
      </c>
      <c r="AI43" s="174" t="str">
        <f>IF(ISERROR(VLOOKUP(CONCATENATE($AI$7,"-",MID(E43,1,100)),DATOS!Z:AA,2,0)),"",VLOOKUP(CONCATENATE($AI$7,"-",MID(E43,1,100)),DATOS!Z:AA,2,0))</f>
        <v/>
      </c>
      <c r="AJ43" s="172" t="str">
        <f>IF(ISERROR(VLOOKUP(CONCATENATE($AJ$7,"-",MID(E43,1,100)),DATOS!Z:AA,2,0)),"",VLOOKUP(CONCATENATE($AJ$7,"-",MID(E43,1,100)),DATOS!Z:AA,2,0))</f>
        <v/>
      </c>
      <c r="AK43" s="173" t="str">
        <f>IF(ISERROR(VLOOKUP(CONCATENATE($AK$7,"-",MID(E43,1,100)),DATOS!Z:AA,2,0)),"",VLOOKUP(CONCATENATE($AK$7,"-",MID(E43,1,100)),DATOS!Z:AA,2,0))</f>
        <v/>
      </c>
      <c r="AL43" s="173" t="str">
        <f>IF(ISERROR(VLOOKUP(CONCATENATE($AL$7,"-",MID(E43,1,100)),DATOS!Z:AA,2,0)),"",VLOOKUP(CONCATENATE($AL$7,"-",MID(E43,1,100)),DATOS!Z:AA,2,0))</f>
        <v/>
      </c>
      <c r="AM43" s="173" t="str">
        <f>IF(ISERROR(VLOOKUP(CONCATENATE($AM$7,"-",MID(E43,1,100)),DATOS!Z:AA,2,0)),"",VLOOKUP(CONCATENATE($AM$7,"-",MID(E43,1,100)),DATOS!Z:AA,2,0))</f>
        <v/>
      </c>
      <c r="AN43" s="173" t="str">
        <f>IF(ISERROR(VLOOKUP(CONCATENATE($AN$7,"-",MID(E43,1,100)),DATOS!Z:AA,2,0)),"",VLOOKUP(CONCATENATE($AN$7,"-",MID(E43,1,100)),DATOS!Z:AA,2,0))</f>
        <v/>
      </c>
      <c r="AO43" s="173" t="str">
        <f>IF(ISERROR(VLOOKUP(CONCATENATE($AO$7,"-",MID(E43,1,100)),DATOS!Z:AA,2,0)),"",VLOOKUP(CONCATENATE($AO$7,"-",MID(E43,1,100)),DATOS!Z:AA,2,0))</f>
        <v/>
      </c>
      <c r="AP43" s="173" t="str">
        <f>IF(ISERROR(VLOOKUP(CONCATENATE($AP$7,"-",MID(E43,1,100)),DATOS!Z:AA,2,0)),"",VLOOKUP(CONCATENATE($AP$7,"-",MID(E43,1,100)),DATOS!Z:AA,2,0))</f>
        <v/>
      </c>
      <c r="AQ43" s="173" t="str">
        <f>IF(ISERROR(VLOOKUP(CONCATENATE($AQ$7,"-",MID(E43,1,100)),DATOS!Z:AA,2,0)),"",VLOOKUP(CONCATENATE($AQ$7,"-",MID(E43,1,100)),DATOS!Z:AA,2,0))</f>
        <v/>
      </c>
      <c r="AR43" s="173" t="str">
        <f>IF(ISERROR(VLOOKUP(CONCATENATE($AR$7,"-",MID(E43,1,100)),DATOS!Z:AA,2,0)),"",VLOOKUP(CONCATENATE($AR$7,"-",MID(E43,1,100)),DATOS!Z:AA,2,0))</f>
        <v/>
      </c>
      <c r="AS43" s="174" t="str">
        <f>IF(ISERROR(VLOOKUP(CONCATENATE($AS$7,"-",MID(E43,1,100)),DATOS!Z:AA,2,0)),"",VLOOKUP(CONCATENATE($AS$7,"-",MID(E43,1,100)),DATOS!Z:AA,2,0))</f>
        <v/>
      </c>
      <c r="AT43" s="172" t="str">
        <f>IF(ISERROR(VLOOKUP(CONCATENATE($AT$7,"-",MID(E43,1,100)),DATOS!Z:AA,2,0)),"",VLOOKUP(CONCATENATE($AT$7,"-",MID(E43,1,100)),DATOS!Z:AA,2,0))</f>
        <v/>
      </c>
      <c r="AU43" s="173" t="str">
        <f>IF(ISERROR(VLOOKUP(CONCATENATE($AU$7,"-",MID(E43,1,100)),DATOS!Z:AA,2,0)),"",VLOOKUP(CONCATENATE($AU$7,"-",MID(E43,1,100)),DATOS!Z:AA,2,0))</f>
        <v/>
      </c>
      <c r="AV43" s="173" t="str">
        <f>IF(ISERROR(VLOOKUP(CONCATENATE($AV$7,"-",MID(E43,1,100)),DATOS!Z:AA,2,0)),"",VLOOKUP(CONCATENATE($AV$7,"-",MID(E43,1,100)),DATOS!Z:AA,2,0))</f>
        <v/>
      </c>
      <c r="AW43" s="173" t="str">
        <f>IF(ISERROR(VLOOKUP(CONCATENATE($AW$7,"-",MID(E43,1,100)),DATOS!Z:AA,2,0)),"",VLOOKUP(CONCATENATE($AW$7,"-",MID(E43,1,100)),DATOS!Z:AA,2,0))</f>
        <v/>
      </c>
      <c r="AX43" s="173" t="str">
        <f>IF(ISERROR(VLOOKUP(CONCATENATE($AX$7,"-",MID(E43,1,100)),DATOS!Z:AA,2,0)),"",VLOOKUP(CONCATENATE($AX$7,"-",MID(E43,1,100)),DATOS!Z:AA,2,0))</f>
        <v/>
      </c>
      <c r="AY43" s="173" t="str">
        <f>IF(ISERROR(VLOOKUP(CONCATENATE($AY$7,"-",MID(E43,1,100)),DATOS!Z:AA,2,0)),"",VLOOKUP(CONCATENATE($AY$7,"-",MID(E43,1,100)),DATOS!Z:AA,2,0))</f>
        <v/>
      </c>
      <c r="AZ43" s="173" t="str">
        <f>IF(ISERROR(VLOOKUP(CONCATENATE($AZ$7,"-",MID(E43,1,100)),DATOS!Z:AA,2,0)),"",VLOOKUP(CONCATENATE($AZ$7,"-",MID(E43,1,100)),DATOS!Z:AA,2,0))</f>
        <v/>
      </c>
      <c r="BA43" s="173" t="str">
        <f>IF(ISERROR(VLOOKUP(CONCATENATE($BA$7,"-",MID(E43,1,100)),DATOS!Z:AA,2,0)),"",VLOOKUP(CONCATENATE($BA$7,"-",MID(E43,1,100)),DATOS!Z:AA,2,0))</f>
        <v/>
      </c>
      <c r="BB43" s="173" t="str">
        <f>IF(ISERROR(VLOOKUP(CONCATENATE($BB$7,"-",MID(E43,1,100)),DATOS!Z:AA,2,0)),"",VLOOKUP(CONCATENATE($BB$7,"-",MID(E43,1,100)),DATOS!Z:AA,2,0))</f>
        <v/>
      </c>
      <c r="BC43" s="174" t="str">
        <f>IF(ISERROR(VLOOKUP(CONCATENATE($BC$7,"-",MID(E43,1,100)),DATOS!Z:AA,2,0)),"",VLOOKUP(CONCATENATE($BC$7,"-",MID(E43,1,100)),DATOS!Z:AA,2,0))</f>
        <v/>
      </c>
      <c r="BD43" s="172" t="str">
        <f>IF(ISERROR(VLOOKUP(CONCATENATE($BD$7,"-",MID(E43,1,100)),DATOS!Z:AA,2,0)),"",VLOOKUP(CONCATENATE($BD$7,"-",MID(E43,1,100)),DATOS!Z:AA,2,0))</f>
        <v/>
      </c>
      <c r="BE43" s="173" t="str">
        <f>IF(ISERROR(VLOOKUP(CONCATENATE($BE$7,"-",MID(E43,1,100)),DATOS!Z:AA,2,0)),"",VLOOKUP(CONCATENATE($BE$7,"-",MID(E43,1,100)),DATOS!Z:AA,2,0))</f>
        <v/>
      </c>
      <c r="BF43" s="173" t="str">
        <f>IF(ISERROR(VLOOKUP(CONCATENATE($BF$7,"-",MID(E43,1,100)),DATOS!Z:AA,2,0)),"",VLOOKUP(CONCATENATE($BF$7,"-",MID(E43,1,100)),DATOS!Z:AA,2,0))</f>
        <v/>
      </c>
      <c r="BG43" s="173" t="str">
        <f>IF(ISERROR(VLOOKUP(CONCATENATE($BG$7,"-",MID(E43,1,100)),DATOS!Z:AA,2,0)),"",VLOOKUP(CONCATENATE($BG$7,"-",MID(E43,1,100)),DATOS!Z:AA,2,0))</f>
        <v/>
      </c>
      <c r="BH43" s="173" t="str">
        <f>IF(ISERROR(VLOOKUP(CONCATENATE($BH$7,"-",MID(E43,1,100)),DATOS!Z:AA,2,0)),"",VLOOKUP(CONCATENATE($BH$7,"-",MID(E43,1,100)),DATOS!Z:AA,2,0))</f>
        <v/>
      </c>
      <c r="BI43" s="173" t="str">
        <f>IF(ISERROR(VLOOKUP(CONCATENATE($BI$7,"-",MID(E43,1,100)),DATOS!Z:AA,2,0)),"",VLOOKUP(CONCATENATE($BI$7,"-",MID(E43,1,100)),DATOS!Z:AA,2,0))</f>
        <v/>
      </c>
      <c r="BJ43" s="173" t="str">
        <f>IF(ISERROR(VLOOKUP(CONCATENATE($BJ$7,"-",MID(E43,1,100)),DATOS!Z:AA,2,0)),"",VLOOKUP(CONCATENATE($BJ$7,"-",MID(E43,1,100)),DATOS!Z:AA,2,0))</f>
        <v/>
      </c>
      <c r="BK43" s="173" t="str">
        <f>IF(ISERROR(VLOOKUP(CONCATENATE($BK$7,"-",MID(E43,1,100)),DATOS!Z:AA,2,0)),"",VLOOKUP(CONCATENATE($BK$7,"-",MID(E43,1,100)),DATOS!Z:AA,2,0))</f>
        <v/>
      </c>
      <c r="BL43" s="173" t="str">
        <f>IF(ISERROR(VLOOKUP(CONCATENATE($BL$7,"-",MID(E43,1,100)),DATOS!Z:AA,2,0)),"",VLOOKUP(CONCATENATE($BL$7,"-",MID(E43,1,100)),DATOS!Z:AA,2,0))</f>
        <v/>
      </c>
      <c r="BM43" s="174" t="str">
        <f>IF(ISERROR(VLOOKUP(CONCATENATE($BM$7,"-",MID(E43,1,100)),DATOS!Z:AA,2,0)),"",VLOOKUP(CONCATENATE($BM$7,"-",MID(E43,1,100)),DATOS!Z:AA,2,0))</f>
        <v/>
      </c>
      <c r="BN43" s="172" t="str">
        <f>IF(ISERROR(VLOOKUP(CONCATENATE($BN$7,"-",MID(E43,1,100)),DATOS!Z:AA,2,0)),"",VLOOKUP(CONCATENATE($BN$7,"-",MID(E43,1,100)),DATOS!Z:AA,2,0))</f>
        <v/>
      </c>
      <c r="BO43" s="173" t="str">
        <f>IF(ISERROR(VLOOKUP(CONCATENATE($BO$7,"-",MID(E43,1,100)),DATOS!Z:AA,2,0)),"",VLOOKUP(CONCATENATE($BO$7,"-",MID(E43,1,100)),DATOS!Z:AA,2,0))</f>
        <v/>
      </c>
      <c r="BP43" s="173" t="str">
        <f>IF(ISERROR(VLOOKUP(CONCATENATE($BP$7,"-",MID(E43,1,100)),DATOS!Z:AA,2,0)),"",VLOOKUP(CONCATENATE($BP$7,"-",MID(E43,1,100)),DATOS!Z:AA,2,0))</f>
        <v/>
      </c>
      <c r="BQ43" s="173" t="str">
        <f>IF(ISERROR(VLOOKUP(CONCATENATE($BQ$7,"-",MID(E43,1,100)),DATOS!Z:AA,2,0)),"",VLOOKUP(CONCATENATE($BQ$7,"-",MID(E43,1,100)),DATOS!Z:AA,2,0))</f>
        <v/>
      </c>
      <c r="BR43" s="173" t="str">
        <f>IF(ISERROR(VLOOKUP(CONCATENATE($BR$7,"-",MID(E43,1,100)),DATOS!Z:AA,2,0)),"",VLOOKUP(CONCATENATE($BR$7,"-",MID(E43,1,100)),DATOS!Z:AA,2,0))</f>
        <v/>
      </c>
      <c r="BS43" s="173" t="str">
        <f>IF(ISERROR(VLOOKUP(CONCATENATE($BS$7,"-",MID(E43,1,100)),DATOS!Z:AA,2,0)),"",VLOOKUP(CONCATENATE($BS$7,"-",MID(E43,1,100)),DATOS!Z:AA,2,0))</f>
        <v/>
      </c>
      <c r="BT43" s="173" t="str">
        <f>IF(ISERROR(VLOOKUP(CONCATENATE($BT$7,"-",MID(E43,1,100)),DATOS!Z:AA,2,0)),"",VLOOKUP(CONCATENATE($BT$7,"-",MID(E43,1,100)),DATOS!Z:AA,2,0))</f>
        <v/>
      </c>
      <c r="BU43" s="173" t="str">
        <f>IF(ISERROR(VLOOKUP(CONCATENATE($BU$7,"-",MID(E43,1,100)),DATOS!Z:AA,2,0)),"",VLOOKUP(CONCATENATE($BU$7,"-",MID(E43,1,100)),DATOS!Z:AA,2,0))</f>
        <v/>
      </c>
      <c r="BV43" s="173" t="str">
        <f>IF(ISERROR(VLOOKUP(CONCATENATE($BV$7,"-",MID(E43,1,100)),DATOS!Z:AA,2,0)),"",VLOOKUP(CONCATENATE($BV$7,"-",MID(E43,1,100)),DATOS!Z:AA,2,0))</f>
        <v/>
      </c>
      <c r="BW43" s="174" t="str">
        <f>IF(ISERROR(VLOOKUP(CONCATENATE($BW$7,"-",MID(E43,1,100)),DATOS!Z:AA,2,0)),"",VLOOKUP(CONCATENATE($BW$7,"-",MID(E43,1,100)),DATOS!Z:AA,2,0))</f>
        <v/>
      </c>
      <c r="BX43" s="210" t="str">
        <f>IF(ISERROR(VLOOKUP(CONCATENATE($BX$7,"-",MID(E43,1,100)),DATOS!Z:AA,2,0)),"",VLOOKUP(CONCATENATE($BX$7,"-",MID(E43,1,100)),DATOS!Z:AA,2,0))</f>
        <v/>
      </c>
      <c r="BY43" s="211" t="str">
        <f>IF(ISERROR(VLOOKUP(CONCATENATE($BY$7,"-",MID(E43,1,100)),DATOS!Z:AA,2,0)),"",VLOOKUP(CONCATENATE($BY$7,"-",MID(E43,1,100)),DATOS!Z:AA,2,0))</f>
        <v/>
      </c>
      <c r="BZ43" s="211" t="str">
        <f>IF(ISERROR(VLOOKUP(CONCATENATE($BZ$7,"-",MID(E43,1,100)),DATOS!Z:AA,2,0)),"",VLOOKUP(CONCATENATE($BZ$7,"-",MID(E43,1,100)),DATOS!Z:AA,2,0))</f>
        <v/>
      </c>
      <c r="CA43" s="211" t="str">
        <f>IF(ISERROR(VLOOKUP(CONCATENATE($CA$7,"-",MID(E43,1,100)),DATOS!Z:AA,2,0)),"",VLOOKUP(CONCATENATE($CA$7,"-",MID(E43,1,100)),DATOS!Z:AA,2,0))</f>
        <v/>
      </c>
      <c r="CB43" s="211" t="str">
        <f>IF(ISERROR(VLOOKUP(CONCATENATE($CB$7,"-",MID(E43,1,100)),DATOS!Z:AA,2,0)),"",VLOOKUP(CONCATENATE($CB$7,"-",MID(E43,1,100)),DATOS!Z:AA,2,0))</f>
        <v/>
      </c>
      <c r="CC43" s="211" t="str">
        <f>IF(ISERROR(VLOOKUP(CONCATENATE($CC$7,"-",MID(E43,1,100)),DATOS!Z:AA,2,0)),"",VLOOKUP(CONCATENATE($CC$7,"-",MID(E43,1,100)),DATOS!Z:AA,2,0))</f>
        <v/>
      </c>
      <c r="CD43" s="211" t="str">
        <f>IF(ISERROR(VLOOKUP(CONCATENATE($CD$7,"-",MID(E43,1,100)),DATOS!Z:AA,2,0)),"",VLOOKUP(CONCATENATE($CD$7,"-",MID(E43,1,100)),DATOS!Z:AA,2,0))</f>
        <v/>
      </c>
      <c r="CE43" s="211" t="str">
        <f>IF(ISERROR(VLOOKUP(CONCATENATE($CE$7,"-",MID(E43,1,100)),DATOS!Z:AA,2,0)),"",VLOOKUP(CONCATENATE($CE$7,"-",MID(E43,1,100)),DATOS!Z:AA,2,0))</f>
        <v/>
      </c>
      <c r="CF43" s="211" t="str">
        <f>IF(ISERROR(VLOOKUP(CONCATENATE($CF$7,"-",MID(E43,1,100)),DATOS!Z:AA,2,0)),"",VLOOKUP(CONCATENATE($CF$7,"-",MID(E43,1,100)),DATOS!Z:AA,2,0))</f>
        <v/>
      </c>
      <c r="CG43" s="212" t="str">
        <f>IF(ISERROR(VLOOKUP(CONCATENATE($CG$7,"-",MID(E43,1,100)),DATOS!Z:AA,2,0)),"",VLOOKUP(CONCATENATE($CG$7,"-",MID(E43,1,100)),DATOS!Z:AA,2,0))</f>
        <v/>
      </c>
      <c r="CH43" s="210" t="str">
        <f>IF(ISERROR(VLOOKUP(CONCATENATE($CH$7,"-",MID(E43,1,100)),DATOS!Z:AA,2,0)),"",VLOOKUP(CONCATENATE($CH$7,"-",MID(E43,1,100)),DATOS!Z:AA,2,0))</f>
        <v/>
      </c>
      <c r="CI43" s="211" t="str">
        <f>IF(ISERROR(VLOOKUP(CONCATENATE($CI$7,"-",MID(E43,1,100)),DATOS!Z:AA,2,0)),"",VLOOKUP(CONCATENATE($CI$7,"-",MID(E43,1,100)),DATOS!Z:AA,2,0))</f>
        <v/>
      </c>
      <c r="CJ43" s="211" t="str">
        <f>IF(ISERROR(VLOOKUP(CONCATENATE($CJ$7,"-",MID(E43,1,100)),DATOS!Z:AA,2,0)),"",VLOOKUP(CONCATENATE($CJ$7,"-",MID(E43,1,100)),DATOS!Z:AA,2,0))</f>
        <v/>
      </c>
      <c r="CK43" s="211" t="str">
        <f>IF(ISERROR(VLOOKUP(CONCATENATE($CK$7,"-",MID(E43,1,100)),DATOS!Z:AA,2,0)),"",VLOOKUP(CONCATENATE($CK$7,"-",MID(E43,1,100)),DATOS!Z:AA,2,0))</f>
        <v/>
      </c>
      <c r="CL43" s="211" t="str">
        <f>IF(ISERROR(VLOOKUP(CONCATENATE($CL$7,"-",MID(E43,1,100)),DATOS!Z:AA,2,0)),"",VLOOKUP(CONCATENATE($CL$7,"-",MID(E43,1,100)),DATOS!Z:AA,2,0))</f>
        <v/>
      </c>
      <c r="CM43" s="211" t="str">
        <f>IF(ISERROR(VLOOKUP(CONCATENATE($CM$7,"-",MID(E43,1,100)),DATOS!Z:AA,2,0)),"",VLOOKUP(CONCATENATE($CM$7,"-",MID(E43,1,100)),DATOS!Z:AA,2,0))</f>
        <v/>
      </c>
      <c r="CN43" s="211" t="str">
        <f>IF(ISERROR(VLOOKUP(CONCATENATE($CN$7,"-",MID(E43,1,100)),DATOS!Z:AA,2,0)),"",VLOOKUP(CONCATENATE($CN$7,"-",MID(E43,1,100)),DATOS!Z:AA,2,0))</f>
        <v/>
      </c>
      <c r="CO43" s="211" t="str">
        <f>IF(ISERROR(VLOOKUP(CONCATENATE($CO$7,"-",MID(E43,1,100)),DATOS!Z:AA,2,0)),"",VLOOKUP(CONCATENATE($CO$7,"-",MID(E43,1,100)),DATOS!Z:AA,2,0))</f>
        <v/>
      </c>
      <c r="CP43" s="213" t="str">
        <f>IF(ISERROR(VLOOKUP(CONCATENATE($CP$7,"-",MID(E43,1,100)),DATOS!Z:AA,2,0)),"",VLOOKUP(CONCATENATE($CP$7,"-",MID(E43,1,100)),DATOS!Z:AA,2,0))</f>
        <v/>
      </c>
      <c r="CQ43" s="212" t="str">
        <f>IF(ISERROR(VLOOKUP(CONCATENATE($CQ$7,"-",MID(E43,1,100)),DATOS!Z:AA,2,0)),"",VLOOKUP(CONCATENATE($CQ$7,"-",MID(E43,1,100)),DATOS!Z:AA,2,0))</f>
        <v/>
      </c>
      <c r="CR43" s="210" t="str">
        <f>IF(ISERROR(VLOOKUP(CONCATENATE(CR$7,"-",MID($E43,1,100)),DATOS!$Z:$AA,2,0)),"",VLOOKUP(CONCATENATE(CR$7,"-",MID($E43,1,100)),DATOS!$Z:$AA,2,0))</f>
        <v/>
      </c>
      <c r="CS43" s="211" t="str">
        <f>IF(ISERROR(VLOOKUP(CONCATENATE(CS$7,"-",MID($E43,1,100)),DATOS!$Z:$AA,2,0)),"",VLOOKUP(CONCATENATE(CS$7,"-",MID($E43,1,100)),DATOS!$Z:$AA,2,0))</f>
        <v/>
      </c>
      <c r="CT43" s="211" t="str">
        <f>IF(ISERROR(VLOOKUP(CONCATENATE(CT$7,"-",MID($E43,1,100)),DATOS!$Z:$AA,2,0)),"",VLOOKUP(CONCATENATE(CT$7,"-",MID($E43,1,100)),DATOS!$Z:$AA,2,0))</f>
        <v/>
      </c>
      <c r="CU43" s="211" t="str">
        <f>IF(ISERROR(VLOOKUP(CONCATENATE(CU$7,"-",MID($E43,1,100)),DATOS!$Z:$AA,2,0)),"",VLOOKUP(CONCATENATE(CU$7,"-",MID($E43,1,100)),DATOS!$Z:$AA,2,0))</f>
        <v/>
      </c>
      <c r="CV43" s="211" t="str">
        <f>IF(ISERROR(VLOOKUP(CONCATENATE(CV$7,"-",MID($E43,1,100)),DATOS!$Z:$AA,2,0)),"",VLOOKUP(CONCATENATE(CV$7,"-",MID($E43,1,100)),DATOS!$Z:$AA,2,0))</f>
        <v/>
      </c>
      <c r="CW43" s="211" t="str">
        <f>IF(ISERROR(VLOOKUP(CONCATENATE(CW$7,"-",MID($E43,1,100)),DATOS!$Z:$AA,2,0)),"",VLOOKUP(CONCATENATE(CW$7,"-",MID($E43,1,100)),DATOS!$Z:$AA,2,0))</f>
        <v/>
      </c>
      <c r="CX43" s="211" t="str">
        <f>IF(ISERROR(VLOOKUP(CONCATENATE(CX$7,"-",MID($E43,1,100)),DATOS!$Z:$AA,2,0)),"",VLOOKUP(CONCATENATE(CX$7,"-",MID($E43,1,100)),DATOS!$Z:$AA,2,0))</f>
        <v/>
      </c>
      <c r="CY43" s="211" t="str">
        <f>IF(ISERROR(VLOOKUP(CONCATENATE(CY$7,"-",MID($E43,1,100)),DATOS!$Z:$AA,2,0)),"",VLOOKUP(CONCATENATE(CY$7,"-",MID($E43,1,100)),DATOS!$Z:$AA,2,0))</f>
        <v/>
      </c>
      <c r="CZ43" s="213" t="str">
        <f>IF(ISERROR(VLOOKUP(CONCATENATE(CZ$7,"-",MID($E43,1,100)),DATOS!$Z:$AA,2,0)),"",VLOOKUP(CONCATENATE(CZ$7,"-",MID($E43,1,100)),DATOS!$Z:$AA,2,0))</f>
        <v/>
      </c>
      <c r="DA43" s="212" t="str">
        <f>IF(ISERROR(VLOOKUP(CONCATENATE(DA$7,"-",MID($E43,1,100)),DATOS!$Z:$AA,2,0)),"",VLOOKUP(CONCATENATE(DA$7,"-",MID($E43,1,100)),DATOS!$Z:$AA,2,0))</f>
        <v/>
      </c>
      <c r="DB43" s="210" t="str">
        <f>IF(ISERROR(VLOOKUP(CONCATENATE(DB$7,"-",MID($E43,1,100)),DATOS!$Z:$AA,2,0)),"",VLOOKUP(CONCATENATE(DB$7,"-",MID($E43,1,100)),DATOS!$Z:$AA,2,0))</f>
        <v/>
      </c>
      <c r="DC43" s="211" t="str">
        <f>IF(ISERROR(VLOOKUP(CONCATENATE(DC$7,"-",MID($E43,1,100)),DATOS!$Z:$AA,2,0)),"",VLOOKUP(CONCATENATE(DC$7,"-",MID($E43,1,100)),DATOS!$Z:$AA,2,0))</f>
        <v/>
      </c>
      <c r="DD43" s="211" t="str">
        <f>IF(ISERROR(VLOOKUP(CONCATENATE(DD$7,"-",MID($E43,1,100)),DATOS!$Z:$AA,2,0)),"",VLOOKUP(CONCATENATE(DD$7,"-",MID($E43,1,100)),DATOS!$Z:$AA,2,0))</f>
        <v/>
      </c>
      <c r="DE43" s="211" t="str">
        <f>IF(ISERROR(VLOOKUP(CONCATENATE(DE$7,"-",MID($E43,1,100)),DATOS!$Z:$AA,2,0)),"",VLOOKUP(CONCATENATE(DE$7,"-",MID($E43,1,100)),DATOS!$Z:$AA,2,0))</f>
        <v/>
      </c>
      <c r="DF43" s="211" t="str">
        <f>IF(ISERROR(VLOOKUP(CONCATENATE(DF$7,"-",MID($E43,1,100)),DATOS!$Z:$AA,2,0)),"",VLOOKUP(CONCATENATE(DF$7,"-",MID($E43,1,100)),DATOS!$Z:$AA,2,0))</f>
        <v/>
      </c>
      <c r="DG43" s="211" t="str">
        <f>IF(ISERROR(VLOOKUP(CONCATENATE(DG$7,"-",MID($E43,1,100)),DATOS!$Z:$AA,2,0)),"",VLOOKUP(CONCATENATE(DG$7,"-",MID($E43,1,100)),DATOS!$Z:$AA,2,0))</f>
        <v/>
      </c>
      <c r="DH43" s="211" t="str">
        <f>IF(ISERROR(VLOOKUP(CONCATENATE(DH$7,"-",MID($E43,1,100)),DATOS!$Z:$AA,2,0)),"",VLOOKUP(CONCATENATE(DH$7,"-",MID($E43,1,100)),DATOS!$Z:$AA,2,0))</f>
        <v/>
      </c>
      <c r="DI43" s="211" t="str">
        <f>IF(ISERROR(VLOOKUP(CONCATENATE(DI$7,"-",MID($E43,1,100)),DATOS!$Z:$AA,2,0)),"",VLOOKUP(CONCATENATE(DI$7,"-",MID($E43,1,100)),DATOS!$Z:$AA,2,0))</f>
        <v/>
      </c>
      <c r="DJ43" s="213" t="str">
        <f>IF(ISERROR(VLOOKUP(CONCATENATE(DJ$7,"-",MID($E43,1,100)),DATOS!$Z:$AA,2,0)),"",VLOOKUP(CONCATENATE(DJ$7,"-",MID($E43,1,100)),DATOS!$Z:$AA,2,0))</f>
        <v/>
      </c>
      <c r="DK43" s="212" t="str">
        <f>IF(ISERROR(VLOOKUP(CONCATENATE(DK$7,"-",MID($E43,1,100)),DATOS!$Z:$AA,2,0)),"",VLOOKUP(CONCATENATE(DK$7,"-",MID($E43,1,100)),DATOS!$Z:$AA,2,0))</f>
        <v/>
      </c>
      <c r="DL43" s="210" t="str">
        <f>IF(ISERROR(VLOOKUP(CONCATENATE(DL$7,"-",MID($E43,1,100)),DATOS!$Z:$AA,2,0)),"",VLOOKUP(CONCATENATE(DL$7,"-",MID($E43,1,100)),DATOS!$Z:$AA,2,0))</f>
        <v/>
      </c>
      <c r="DM43" s="211" t="str">
        <f>IF(ISERROR(VLOOKUP(CONCATENATE(DM$7,"-",MID($E43,1,100)),DATOS!$Z:$AA,2,0)),"",VLOOKUP(CONCATENATE(DM$7,"-",MID($E43,1,100)),DATOS!$Z:$AA,2,0))</f>
        <v/>
      </c>
      <c r="DN43" s="211" t="str">
        <f>IF(ISERROR(VLOOKUP(CONCATENATE(DN$7,"-",MID($E43,1,100)),DATOS!$Z:$AA,2,0)),"",VLOOKUP(CONCATENATE(DN$7,"-",MID($E43,1,100)),DATOS!$Z:$AA,2,0))</f>
        <v/>
      </c>
      <c r="DO43" s="211" t="str">
        <f>IF(ISERROR(VLOOKUP(CONCATENATE(DO$7,"-",MID($E43,1,100)),DATOS!$Z:$AA,2,0)),"",VLOOKUP(CONCATENATE(DO$7,"-",MID($E43,1,100)),DATOS!$Z:$AA,2,0))</f>
        <v/>
      </c>
      <c r="DP43" s="211" t="str">
        <f>IF(ISERROR(VLOOKUP(CONCATENATE(DP$7,"-",MID($E43,1,100)),DATOS!$Z:$AA,2,0)),"",VLOOKUP(CONCATENATE(DP$7,"-",MID($E43,1,100)),DATOS!$Z:$AA,2,0))</f>
        <v/>
      </c>
      <c r="DQ43" s="211" t="str">
        <f>IF(ISERROR(VLOOKUP(CONCATENATE(DQ$7,"-",MID($E43,1,100)),DATOS!$Z:$AA,2,0)),"",VLOOKUP(CONCATENATE(DQ$7,"-",MID($E43,1,100)),DATOS!$Z:$AA,2,0))</f>
        <v/>
      </c>
      <c r="DR43" s="211" t="str">
        <f>IF(ISERROR(VLOOKUP(CONCATENATE(DR$7,"-",MID($E43,1,100)),DATOS!$Z:$AA,2,0)),"",VLOOKUP(CONCATENATE(DR$7,"-",MID($E43,1,100)),DATOS!$Z:$AA,2,0))</f>
        <v/>
      </c>
      <c r="DS43" s="211" t="str">
        <f>IF(ISERROR(VLOOKUP(CONCATENATE(DS$7,"-",MID($E43,1,100)),DATOS!$Z:$AA,2,0)),"",VLOOKUP(CONCATENATE(DS$7,"-",MID($E43,1,100)),DATOS!$Z:$AA,2,0))</f>
        <v/>
      </c>
      <c r="DT43" s="213" t="str">
        <f>IF(ISERROR(VLOOKUP(CONCATENATE(DT$7,"-",MID($E43,1,100)),DATOS!$Z:$AA,2,0)),"",VLOOKUP(CONCATENATE(DT$7,"-",MID($E43,1,100)),DATOS!$Z:$AA,2,0))</f>
        <v/>
      </c>
      <c r="DU43" s="212" t="str">
        <f>IF(ISERROR(VLOOKUP(CONCATENATE(DU$7,"-",MID($E43,1,100)),DATOS!$Z:$AA,2,0)),"",VLOOKUP(CONCATENATE(DU$7,"-",MID($E43,1,100)),DATOS!$Z:$AA,2,0))</f>
        <v/>
      </c>
      <c r="DV43" s="210" t="str">
        <f>IF(ISERROR(VLOOKUP(CONCATENATE(DV$7,"-",MID($E43,1,100)),DATOS!$Z:$AA,2,0)),"",VLOOKUP(CONCATENATE(DV$7,"-",MID($E43,1,100)),DATOS!$Z:$AA,2,0))</f>
        <v/>
      </c>
      <c r="DW43" s="211" t="str">
        <f>IF(ISERROR(VLOOKUP(CONCATENATE(DW$7,"-",MID($E43,1,100)),DATOS!$Z:$AA,2,0)),"",VLOOKUP(CONCATENATE(DW$7,"-",MID($E43,1,100)),DATOS!$Z:$AA,2,0))</f>
        <v/>
      </c>
      <c r="DX43" s="211" t="str">
        <f>IF(ISERROR(VLOOKUP(CONCATENATE(DX$7,"-",MID($E43,1,100)),DATOS!$Z:$AA,2,0)),"",VLOOKUP(CONCATENATE(DX$7,"-",MID($E43,1,100)),DATOS!$Z:$AA,2,0))</f>
        <v/>
      </c>
      <c r="DY43" s="211" t="str">
        <f>IF(ISERROR(VLOOKUP(CONCATENATE(DY$7,"-",MID($E43,1,100)),DATOS!$Z:$AA,2,0)),"",VLOOKUP(CONCATENATE(DY$7,"-",MID($E43,1,100)),DATOS!$Z:$AA,2,0))</f>
        <v/>
      </c>
      <c r="DZ43" s="211" t="str">
        <f>IF(ISERROR(VLOOKUP(CONCATENATE(DZ$7,"-",MID($E43,1,100)),DATOS!$Z:$AA,2,0)),"",VLOOKUP(CONCATENATE(DZ$7,"-",MID($E43,1,100)),DATOS!$Z:$AA,2,0))</f>
        <v/>
      </c>
      <c r="EA43" s="211" t="str">
        <f>IF(ISERROR(VLOOKUP(CONCATENATE(EA$7,"-",MID($E43,1,100)),DATOS!$Z:$AA,2,0)),"",VLOOKUP(CONCATENATE(EA$7,"-",MID($E43,1,100)),DATOS!$Z:$AA,2,0))</f>
        <v/>
      </c>
      <c r="EB43" s="211" t="str">
        <f>IF(ISERROR(VLOOKUP(CONCATENATE(EB$7,"-",MID($E43,1,100)),DATOS!$Z:$AA,2,0)),"",VLOOKUP(CONCATENATE(EB$7,"-",MID($E43,1,100)),DATOS!$Z:$AA,2,0))</f>
        <v/>
      </c>
      <c r="EC43" s="211" t="str">
        <f>IF(ISERROR(VLOOKUP(CONCATENATE(EC$7,"-",MID($E43,1,100)),DATOS!$Z:$AA,2,0)),"",VLOOKUP(CONCATENATE(EC$7,"-",MID($E43,1,100)),DATOS!$Z:$AA,2,0))</f>
        <v/>
      </c>
      <c r="ED43" s="213" t="str">
        <f>IF(ISERROR(VLOOKUP(CONCATENATE(ED$7,"-",MID($E43,1,100)),DATOS!$Z:$AA,2,0)),"",VLOOKUP(CONCATENATE(ED$7,"-",MID($E43,1,100)),DATOS!$Z:$AA,2,0))</f>
        <v/>
      </c>
      <c r="EE43" s="212" t="str">
        <f>IF(ISERROR(VLOOKUP(CONCATENATE(EE$7,"-",MID($E43,1,100)),DATOS!$Z:$AA,2,0)),"",VLOOKUP(CONCATENATE(EE$7,"-",MID($E43,1,100)),DATOS!$Z:$AA,2,0))</f>
        <v/>
      </c>
      <c r="EF43" s="210" t="str">
        <f>IF(ISERROR(VLOOKUP(CONCATENATE($EF$7,"-",MID(E43,1,100)),DATOS!Z:AA,2,0)),"",VLOOKUP(CONCATENATE($EF$7,"-",MID(E43,1,100)),DATOS!Z:AA,2,0))</f>
        <v/>
      </c>
      <c r="EG43" s="211" t="str">
        <f>IF(ISERROR(VLOOKUP(CONCATENATE($EG$7,"-",MID(E43,1,100)),DATOS!Z:AA,2,0)),"",VLOOKUP(CONCATENATE($EG$7,"-",MID(E43,1,100)),DATOS!Z:AA,2,0))</f>
        <v/>
      </c>
      <c r="EH43" s="211" t="str">
        <f>IF(ISERROR(VLOOKUP(CONCATENATE($EH$7,"-",MID(E43,1,100)),DATOS!Z:AA,2,0)),"",VLOOKUP(CONCATENATE($EH$7,"-",MID(E43,1,100)),DATOS!Z:AA,2,0))</f>
        <v/>
      </c>
      <c r="EI43" s="211" t="str">
        <f>IF(ISERROR(VLOOKUP(CONCATENATE($EI$7,"-",MID(E43,1,100)),DATOS!Z:AA,2,0)),"",VLOOKUP(CONCATENATE($EI$7,"-",MID(E43,1,100)),DATOS!Z:AA,2,0))</f>
        <v/>
      </c>
      <c r="EJ43" s="211" t="str">
        <f>IF(ISERROR(VLOOKUP(CONCATENATE($EJ$7,"-",MID(E43,1,100)),DATOS!Z:AA,2,0)),"",VLOOKUP(CONCATENATE($EJ$7,"-",MID(E43,1,100)),DATOS!Z:AA,2,0))</f>
        <v/>
      </c>
      <c r="EK43" s="211" t="str">
        <f>IF(ISERROR(VLOOKUP(CONCATENATE($EK$7,"-",MID(E43,1,100)),DATOS!Z:AA,2,0)),"",VLOOKUP(CONCATENATE($EK$7,"-",MID(E43,1,100)),DATOS!Z:AA,2,0))</f>
        <v/>
      </c>
      <c r="EL43" s="211" t="str">
        <f>IF(ISERROR(VLOOKUP(CONCATENATE($EL$7,"-",MID(E43,1,100)),DATOS!Z:AA,2,0)),"",VLOOKUP(CONCATENATE($EL$7,"-",MID(E43,1,100)),DATOS!Z:AA,2,0))</f>
        <v/>
      </c>
      <c r="EM43" s="211" t="str">
        <f>IF(ISERROR(VLOOKUP(CONCATENATE($EM$7,"-",MID(E43,1,100)),DATOS!Z:AA,2,0)),"",VLOOKUP(CONCATENATE($EM$7,"-",MID(E43,1,100)),DATOS!Z:AA,2,0))</f>
        <v/>
      </c>
      <c r="EN43" s="211" t="str">
        <f>IF(ISERROR(VLOOKUP(CONCATENATE($EN$7,"-",MID(E43,1,100)),DATOS!Z:AA,2,0)),"",VLOOKUP(CONCATENATE($EN$7,"-",MID(E43,1,100)),DATOS!Z:AA,2,0))</f>
        <v/>
      </c>
      <c r="EO43" s="212" t="str">
        <f>IF(ISERROR(VLOOKUP(CONCATENATE($EO$7,"-",MID(E43,1,100)),DATOS!Z:AA,2,0)),"",VLOOKUP(CONCATENATE($EO$7,"-",MID(E43,1,100)),DATOS!Z:AA,2,0))</f>
        <v/>
      </c>
      <c r="EP43" s="175">
        <f t="shared" si="0"/>
        <v>0</v>
      </c>
      <c r="EQ43" s="159" t="str">
        <f t="shared" si="1"/>
        <v>-N3</v>
      </c>
    </row>
    <row r="44" spans="1:147" ht="16.5" customHeight="1" thickTop="1">
      <c r="B44" s="820" t="s">
        <v>458</v>
      </c>
      <c r="C44" s="821"/>
      <c r="D44" s="821"/>
      <c r="E44" s="822"/>
      <c r="F44" s="176">
        <f t="shared" ref="F44:AK44" si="3">IF(F7="","",COUNTIF(F8:F43,"a"))</f>
        <v>1</v>
      </c>
      <c r="G44" s="177">
        <f t="shared" si="3"/>
        <v>1</v>
      </c>
      <c r="H44" s="177">
        <f t="shared" si="3"/>
        <v>1</v>
      </c>
      <c r="I44" s="177">
        <f t="shared" si="3"/>
        <v>1</v>
      </c>
      <c r="J44" s="177">
        <f t="shared" si="3"/>
        <v>1</v>
      </c>
      <c r="K44" s="177" t="str">
        <f t="shared" si="3"/>
        <v/>
      </c>
      <c r="L44" s="177" t="str">
        <f t="shared" si="3"/>
        <v/>
      </c>
      <c r="M44" s="177" t="str">
        <f t="shared" si="3"/>
        <v/>
      </c>
      <c r="N44" s="177" t="str">
        <f t="shared" si="3"/>
        <v/>
      </c>
      <c r="O44" s="191" t="str">
        <f t="shared" si="3"/>
        <v/>
      </c>
      <c r="P44" s="176">
        <f t="shared" si="3"/>
        <v>1</v>
      </c>
      <c r="Q44" s="177">
        <f t="shared" si="3"/>
        <v>1</v>
      </c>
      <c r="R44" s="177">
        <f t="shared" si="3"/>
        <v>1</v>
      </c>
      <c r="S44" s="177">
        <f t="shared" si="3"/>
        <v>1</v>
      </c>
      <c r="T44" s="177">
        <f t="shared" si="3"/>
        <v>1</v>
      </c>
      <c r="U44" s="177">
        <f t="shared" si="3"/>
        <v>1</v>
      </c>
      <c r="V44" s="177" t="str">
        <f t="shared" si="3"/>
        <v/>
      </c>
      <c r="W44" s="177" t="str">
        <f t="shared" si="3"/>
        <v/>
      </c>
      <c r="X44" s="177" t="str">
        <f t="shared" si="3"/>
        <v/>
      </c>
      <c r="Y44" s="191" t="str">
        <f t="shared" si="3"/>
        <v/>
      </c>
      <c r="Z44" s="176">
        <f t="shared" si="3"/>
        <v>1</v>
      </c>
      <c r="AA44" s="177">
        <f t="shared" si="3"/>
        <v>1</v>
      </c>
      <c r="AB44" s="177">
        <f t="shared" si="3"/>
        <v>2</v>
      </c>
      <c r="AC44" s="177">
        <f t="shared" si="3"/>
        <v>1</v>
      </c>
      <c r="AD44" s="177">
        <f t="shared" si="3"/>
        <v>2</v>
      </c>
      <c r="AE44" s="177">
        <f t="shared" si="3"/>
        <v>1</v>
      </c>
      <c r="AF44" s="177" t="str">
        <f t="shared" si="3"/>
        <v/>
      </c>
      <c r="AG44" s="177" t="str">
        <f t="shared" si="3"/>
        <v/>
      </c>
      <c r="AH44" s="177" t="str">
        <f t="shared" si="3"/>
        <v/>
      </c>
      <c r="AI44" s="191" t="str">
        <f t="shared" si="3"/>
        <v/>
      </c>
      <c r="AJ44" s="176">
        <f t="shared" si="3"/>
        <v>2</v>
      </c>
      <c r="AK44" s="177">
        <f t="shared" si="3"/>
        <v>1</v>
      </c>
      <c r="AL44" s="177">
        <f t="shared" ref="AL44:BQ44" si="4">IF(AL7="","",COUNTIF(AL8:AL43,"a"))</f>
        <v>1</v>
      </c>
      <c r="AM44" s="177">
        <f t="shared" si="4"/>
        <v>2</v>
      </c>
      <c r="AN44" s="177">
        <f t="shared" si="4"/>
        <v>1</v>
      </c>
      <c r="AO44" s="177" t="str">
        <f t="shared" si="4"/>
        <v/>
      </c>
      <c r="AP44" s="177" t="str">
        <f t="shared" si="4"/>
        <v/>
      </c>
      <c r="AQ44" s="177" t="str">
        <f t="shared" si="4"/>
        <v/>
      </c>
      <c r="AR44" s="177" t="str">
        <f t="shared" si="4"/>
        <v/>
      </c>
      <c r="AS44" s="191" t="str">
        <f t="shared" si="4"/>
        <v/>
      </c>
      <c r="AT44" s="176">
        <f t="shared" si="4"/>
        <v>1</v>
      </c>
      <c r="AU44" s="177">
        <f t="shared" si="4"/>
        <v>1</v>
      </c>
      <c r="AV44" s="177">
        <f t="shared" si="4"/>
        <v>1</v>
      </c>
      <c r="AW44" s="177">
        <f t="shared" si="4"/>
        <v>1</v>
      </c>
      <c r="AX44" s="177">
        <f t="shared" si="4"/>
        <v>1</v>
      </c>
      <c r="AY44" s="177">
        <f t="shared" si="4"/>
        <v>2</v>
      </c>
      <c r="AZ44" s="177" t="str">
        <f t="shared" si="4"/>
        <v/>
      </c>
      <c r="BA44" s="177" t="str">
        <f t="shared" si="4"/>
        <v/>
      </c>
      <c r="BB44" s="177" t="str">
        <f t="shared" si="4"/>
        <v/>
      </c>
      <c r="BC44" s="191" t="str">
        <f t="shared" si="4"/>
        <v/>
      </c>
      <c r="BD44" s="176">
        <f t="shared" si="4"/>
        <v>1</v>
      </c>
      <c r="BE44" s="177">
        <f t="shared" si="4"/>
        <v>1</v>
      </c>
      <c r="BF44" s="177">
        <f t="shared" si="4"/>
        <v>2</v>
      </c>
      <c r="BG44" s="177">
        <f t="shared" si="4"/>
        <v>1</v>
      </c>
      <c r="BH44" s="177">
        <f t="shared" si="4"/>
        <v>2</v>
      </c>
      <c r="BI44" s="177">
        <f t="shared" si="4"/>
        <v>1</v>
      </c>
      <c r="BJ44" s="177" t="str">
        <f t="shared" si="4"/>
        <v/>
      </c>
      <c r="BK44" s="177" t="str">
        <f t="shared" si="4"/>
        <v/>
      </c>
      <c r="BL44" s="177" t="str">
        <f t="shared" si="4"/>
        <v/>
      </c>
      <c r="BM44" s="191" t="str">
        <f t="shared" si="4"/>
        <v/>
      </c>
      <c r="BN44" s="176">
        <f t="shared" si="4"/>
        <v>2</v>
      </c>
      <c r="BO44" s="177">
        <f t="shared" si="4"/>
        <v>2</v>
      </c>
      <c r="BP44" s="177">
        <f t="shared" si="4"/>
        <v>2</v>
      </c>
      <c r="BQ44" s="177">
        <f t="shared" si="4"/>
        <v>1</v>
      </c>
      <c r="BR44" s="177">
        <f t="shared" ref="BR44:EK44" si="5">IF(BR7="","",COUNTIF(BR8:BR43,"a"))</f>
        <v>0</v>
      </c>
      <c r="BS44" s="177" t="str">
        <f t="shared" si="5"/>
        <v/>
      </c>
      <c r="BT44" s="177" t="str">
        <f t="shared" si="5"/>
        <v/>
      </c>
      <c r="BU44" s="177" t="str">
        <f t="shared" si="5"/>
        <v/>
      </c>
      <c r="BV44" s="177" t="str">
        <f t="shared" si="5"/>
        <v/>
      </c>
      <c r="BW44" s="191" t="str">
        <f t="shared" si="5"/>
        <v/>
      </c>
      <c r="BX44" s="176">
        <f t="shared" si="5"/>
        <v>1</v>
      </c>
      <c r="BY44" s="177">
        <f t="shared" si="5"/>
        <v>2</v>
      </c>
      <c r="BZ44" s="177">
        <f t="shared" si="5"/>
        <v>2</v>
      </c>
      <c r="CA44" s="177">
        <f t="shared" si="5"/>
        <v>2</v>
      </c>
      <c r="CB44" s="177">
        <f t="shared" si="5"/>
        <v>0</v>
      </c>
      <c r="CC44" s="177" t="str">
        <f t="shared" si="5"/>
        <v/>
      </c>
      <c r="CD44" s="177" t="str">
        <f t="shared" si="5"/>
        <v/>
      </c>
      <c r="CE44" s="177" t="str">
        <f t="shared" si="5"/>
        <v/>
      </c>
      <c r="CF44" s="177" t="str">
        <f t="shared" si="5"/>
        <v/>
      </c>
      <c r="CG44" s="177" t="str">
        <f t="shared" si="5"/>
        <v/>
      </c>
      <c r="CH44" s="176">
        <f t="shared" si="5"/>
        <v>2</v>
      </c>
      <c r="CI44" s="177">
        <f t="shared" si="5"/>
        <v>2</v>
      </c>
      <c r="CJ44" s="177">
        <f t="shared" si="5"/>
        <v>1</v>
      </c>
      <c r="CK44" s="177">
        <f t="shared" si="5"/>
        <v>1</v>
      </c>
      <c r="CL44" s="177">
        <f t="shared" si="5"/>
        <v>3</v>
      </c>
      <c r="CM44" s="177">
        <f t="shared" si="5"/>
        <v>0</v>
      </c>
      <c r="CN44" s="177" t="str">
        <f t="shared" si="5"/>
        <v/>
      </c>
      <c r="CO44" s="177" t="str">
        <f t="shared" si="5"/>
        <v/>
      </c>
      <c r="CP44" s="177" t="str">
        <f t="shared" si="5"/>
        <v/>
      </c>
      <c r="CQ44" s="274" t="str">
        <f>IF(CQ7="","",COUNTIF(CQ8:CQ43,"a"))</f>
        <v/>
      </c>
      <c r="CR44" s="176">
        <f t="shared" ref="CR44:DA44" si="6">IF(CR7="","",COUNTIF(CR8:CR43,"a"))</f>
        <v>2</v>
      </c>
      <c r="CS44" s="177">
        <f t="shared" si="6"/>
        <v>2</v>
      </c>
      <c r="CT44" s="177">
        <f t="shared" si="6"/>
        <v>1</v>
      </c>
      <c r="CU44" s="177">
        <f t="shared" si="6"/>
        <v>1</v>
      </c>
      <c r="CV44" s="177">
        <f t="shared" si="6"/>
        <v>0</v>
      </c>
      <c r="CW44" s="177" t="str">
        <f t="shared" si="6"/>
        <v/>
      </c>
      <c r="CX44" s="177" t="str">
        <f t="shared" si="6"/>
        <v/>
      </c>
      <c r="CY44" s="177" t="str">
        <f t="shared" si="6"/>
        <v/>
      </c>
      <c r="CZ44" s="177" t="str">
        <f t="shared" si="6"/>
        <v/>
      </c>
      <c r="DA44" s="274" t="str">
        <f t="shared" si="6"/>
        <v/>
      </c>
      <c r="DB44" s="176" t="str">
        <f t="shared" ref="DB44" si="7">IF(DB7="","",COUNTIF(DB8:DB43,"a"))</f>
        <v/>
      </c>
      <c r="DC44" s="177" t="str">
        <f t="shared" ref="DC44" si="8">IF(DC7="","",COUNTIF(DC8:DC43,"a"))</f>
        <v/>
      </c>
      <c r="DD44" s="177" t="str">
        <f t="shared" ref="DD44" si="9">IF(DD7="","",COUNTIF(DD8:DD43,"a"))</f>
        <v/>
      </c>
      <c r="DE44" s="177" t="str">
        <f t="shared" ref="DE44" si="10">IF(DE7="","",COUNTIF(DE8:DE43,"a"))</f>
        <v/>
      </c>
      <c r="DF44" s="177" t="str">
        <f t="shared" ref="DF44" si="11">IF(DF7="","",COUNTIF(DF8:DF43,"a"))</f>
        <v/>
      </c>
      <c r="DG44" s="177" t="str">
        <f t="shared" ref="DG44" si="12">IF(DG7="","",COUNTIF(DG8:DG43,"a"))</f>
        <v/>
      </c>
      <c r="DH44" s="177" t="str">
        <f t="shared" ref="DH44" si="13">IF(DH7="","",COUNTIF(DH8:DH43,"a"))</f>
        <v/>
      </c>
      <c r="DI44" s="177" t="str">
        <f t="shared" ref="DI44" si="14">IF(DI7="","",COUNTIF(DI8:DI43,"a"))</f>
        <v/>
      </c>
      <c r="DJ44" s="177" t="str">
        <f t="shared" ref="DJ44" si="15">IF(DJ7="","",COUNTIF(DJ8:DJ43,"a"))</f>
        <v/>
      </c>
      <c r="DK44" s="274" t="str">
        <f t="shared" ref="DK44" si="16">IF(DK7="","",COUNTIF(DK8:DK43,"a"))</f>
        <v/>
      </c>
      <c r="DL44" s="176" t="str">
        <f t="shared" ref="DL44" si="17">IF(DL7="","",COUNTIF(DL8:DL43,"a"))</f>
        <v/>
      </c>
      <c r="DM44" s="177" t="str">
        <f t="shared" ref="DM44" si="18">IF(DM7="","",COUNTIF(DM8:DM43,"a"))</f>
        <v/>
      </c>
      <c r="DN44" s="177" t="str">
        <f t="shared" ref="DN44" si="19">IF(DN7="","",COUNTIF(DN8:DN43,"a"))</f>
        <v/>
      </c>
      <c r="DO44" s="177" t="str">
        <f t="shared" ref="DO44" si="20">IF(DO7="","",COUNTIF(DO8:DO43,"a"))</f>
        <v/>
      </c>
      <c r="DP44" s="177" t="str">
        <f t="shared" ref="DP44" si="21">IF(DP7="","",COUNTIF(DP8:DP43,"a"))</f>
        <v/>
      </c>
      <c r="DQ44" s="177" t="str">
        <f t="shared" ref="DQ44" si="22">IF(DQ7="","",COUNTIF(DQ8:DQ43,"a"))</f>
        <v/>
      </c>
      <c r="DR44" s="177" t="str">
        <f t="shared" ref="DR44" si="23">IF(DR7="","",COUNTIF(DR8:DR43,"a"))</f>
        <v/>
      </c>
      <c r="DS44" s="177" t="str">
        <f t="shared" ref="DS44" si="24">IF(DS7="","",COUNTIF(DS8:DS43,"a"))</f>
        <v/>
      </c>
      <c r="DT44" s="177" t="str">
        <f t="shared" ref="DT44" si="25">IF(DT7="","",COUNTIF(DT8:DT43,"a"))</f>
        <v/>
      </c>
      <c r="DU44" s="274" t="str">
        <f t="shared" ref="DU44" si="26">IF(DU7="","",COUNTIF(DU8:DU43,"a"))</f>
        <v/>
      </c>
      <c r="DV44" s="176" t="str">
        <f t="shared" ref="DV44" si="27">IF(DV7="","",COUNTIF(DV8:DV43,"a"))</f>
        <v/>
      </c>
      <c r="DW44" s="177" t="str">
        <f t="shared" ref="DW44" si="28">IF(DW7="","",COUNTIF(DW8:DW43,"a"))</f>
        <v/>
      </c>
      <c r="DX44" s="177" t="str">
        <f t="shared" ref="DX44" si="29">IF(DX7="","",COUNTIF(DX8:DX43,"a"))</f>
        <v/>
      </c>
      <c r="DY44" s="177" t="str">
        <f t="shared" ref="DY44" si="30">IF(DY7="","",COUNTIF(DY8:DY43,"a"))</f>
        <v/>
      </c>
      <c r="DZ44" s="177" t="str">
        <f t="shared" ref="DZ44" si="31">IF(DZ7="","",COUNTIF(DZ8:DZ43,"a"))</f>
        <v/>
      </c>
      <c r="EA44" s="177" t="str">
        <f t="shared" ref="EA44" si="32">IF(EA7="","",COUNTIF(EA8:EA43,"a"))</f>
        <v/>
      </c>
      <c r="EB44" s="177" t="str">
        <f t="shared" ref="EB44" si="33">IF(EB7="","",COUNTIF(EB8:EB43,"a"))</f>
        <v/>
      </c>
      <c r="EC44" s="177" t="str">
        <f t="shared" ref="EC44" si="34">IF(EC7="","",COUNTIF(EC8:EC43,"a"))</f>
        <v/>
      </c>
      <c r="ED44" s="177" t="str">
        <f t="shared" ref="ED44" si="35">IF(ED7="","",COUNTIF(ED8:ED43,"a"))</f>
        <v/>
      </c>
      <c r="EE44" s="177" t="str">
        <f t="shared" ref="EE44" si="36">IF(EE7="","",COUNTIF(EE8:EE43,"a"))</f>
        <v/>
      </c>
      <c r="EF44" s="176" t="str">
        <f t="shared" si="5"/>
        <v/>
      </c>
      <c r="EG44" s="177" t="str">
        <f t="shared" si="5"/>
        <v/>
      </c>
      <c r="EH44" s="177" t="str">
        <f t="shared" si="5"/>
        <v/>
      </c>
      <c r="EI44" s="177" t="str">
        <f t="shared" si="5"/>
        <v/>
      </c>
      <c r="EJ44" s="177" t="str">
        <f t="shared" si="5"/>
        <v/>
      </c>
      <c r="EK44" s="177" t="str">
        <f t="shared" si="5"/>
        <v/>
      </c>
      <c r="EL44" s="177" t="str">
        <f t="shared" ref="EL44:EO44" si="37">IF(EL7="","",COUNTIF(EL8:EL43,"a"))</f>
        <v/>
      </c>
      <c r="EM44" s="177" t="str">
        <f t="shared" si="37"/>
        <v/>
      </c>
      <c r="EN44" s="177" t="str">
        <f t="shared" si="37"/>
        <v/>
      </c>
      <c r="EO44" s="274" t="str">
        <f t="shared" si="37"/>
        <v/>
      </c>
      <c r="EP44" s="275"/>
      <c r="EQ44" s="178"/>
    </row>
    <row r="45" spans="1:147">
      <c r="B45" s="8" t="s">
        <v>459</v>
      </c>
    </row>
    <row r="46" spans="1:147">
      <c r="B46" s="8" t="s">
        <v>460</v>
      </c>
    </row>
  </sheetData>
  <sheetProtection formatCells="0" formatColumns="0" formatRows="0" insertColumns="0" insertRows="0" insertHyperlinks="0" deleteColumns="0" deleteRows="0" sort="0" autoFilter="0" pivotTables="0"/>
  <mergeCells count="21">
    <mergeCell ref="B44:E44"/>
    <mergeCell ref="F6:O6"/>
    <mergeCell ref="P6:Y6"/>
    <mergeCell ref="Z6:AI6"/>
    <mergeCell ref="AJ6:AS6"/>
    <mergeCell ref="B7:D7"/>
    <mergeCell ref="EF6:EO6"/>
    <mergeCell ref="CR6:DA6"/>
    <mergeCell ref="B2:EP2"/>
    <mergeCell ref="DB6:DK6"/>
    <mergeCell ref="DL6:DU6"/>
    <mergeCell ref="DV6:EE6"/>
    <mergeCell ref="AT6:BC6"/>
    <mergeCell ref="BD6:BM6"/>
    <mergeCell ref="BN6:BW6"/>
    <mergeCell ref="BX6:CG6"/>
    <mergeCell ref="CH6:CQ6"/>
    <mergeCell ref="G4:R4"/>
    <mergeCell ref="S4:Z4"/>
    <mergeCell ref="AC4:AL4"/>
    <mergeCell ref="AM4:AU4"/>
  </mergeCells>
  <phoneticPr fontId="24" type="noConversion"/>
  <conditionalFormatting sqref="D8:D40">
    <cfRule type="expression" dxfId="682" priority="90">
      <formula>IF(D8="","",EP8=0)</formula>
    </cfRule>
  </conditionalFormatting>
  <conditionalFormatting sqref="D41">
    <cfRule type="expression" dxfId="681" priority="89">
      <formula>IF(D41="","",EP41=0)</formula>
    </cfRule>
  </conditionalFormatting>
  <conditionalFormatting sqref="D42:D43">
    <cfRule type="expression" dxfId="680" priority="87">
      <formula>IF(D42="","",EP42=0)</formula>
    </cfRule>
  </conditionalFormatting>
  <conditionalFormatting sqref="F7">
    <cfRule type="expression" dxfId="679" priority="189">
      <formula>$F$44=0</formula>
    </cfRule>
  </conditionalFormatting>
  <conditionalFormatting sqref="G7">
    <cfRule type="expression" dxfId="678" priority="188">
      <formula>$G$44=0</formula>
    </cfRule>
  </conditionalFormatting>
  <conditionalFormatting sqref="H7">
    <cfRule type="expression" dxfId="677" priority="187">
      <formula>$H$44=0</formula>
    </cfRule>
  </conditionalFormatting>
  <conditionalFormatting sqref="I7">
    <cfRule type="expression" dxfId="676" priority="186">
      <formula>$I$44=0</formula>
    </cfRule>
  </conditionalFormatting>
  <conditionalFormatting sqref="J7:N7">
    <cfRule type="expression" dxfId="675" priority="69">
      <formula>J44=0</formula>
    </cfRule>
  </conditionalFormatting>
  <conditionalFormatting sqref="O7">
    <cfRule type="expression" dxfId="674" priority="184">
      <formula>$O$44=0</formula>
    </cfRule>
  </conditionalFormatting>
  <conditionalFormatting sqref="P7">
    <cfRule type="expression" dxfId="673" priority="183">
      <formula>$P$44=0</formula>
    </cfRule>
  </conditionalFormatting>
  <conditionalFormatting sqref="Q7">
    <cfRule type="expression" dxfId="672" priority="182">
      <formula>$Q$44=0</formula>
    </cfRule>
  </conditionalFormatting>
  <conditionalFormatting sqref="R7">
    <cfRule type="expression" dxfId="671" priority="181">
      <formula>$R$44=0</formula>
    </cfRule>
  </conditionalFormatting>
  <conditionalFormatting sqref="S7">
    <cfRule type="expression" dxfId="670" priority="180">
      <formula>$S$44=0</formula>
    </cfRule>
  </conditionalFormatting>
  <conditionalFormatting sqref="T7:X7">
    <cfRule type="expression" dxfId="669" priority="66">
      <formula>T44=0</formula>
    </cfRule>
  </conditionalFormatting>
  <conditionalFormatting sqref="Y7">
    <cfRule type="expression" dxfId="668" priority="178">
      <formula>$Y$44=0</formula>
    </cfRule>
  </conditionalFormatting>
  <conditionalFormatting sqref="Z7">
    <cfRule type="expression" dxfId="667" priority="177">
      <formula>$Z$44=0</formula>
    </cfRule>
  </conditionalFormatting>
  <conditionalFormatting sqref="AA7">
    <cfRule type="expression" dxfId="666" priority="176">
      <formula>$AA$44=0</formula>
    </cfRule>
  </conditionalFormatting>
  <conditionalFormatting sqref="AB7">
    <cfRule type="expression" dxfId="665" priority="175">
      <formula>$AB$44=0</formula>
    </cfRule>
  </conditionalFormatting>
  <conditionalFormatting sqref="AC7">
    <cfRule type="expression" dxfId="664" priority="174">
      <formula>$AC$44=0</formula>
    </cfRule>
  </conditionalFormatting>
  <conditionalFormatting sqref="AD7:AH7">
    <cfRule type="expression" dxfId="663" priority="63">
      <formula>AD44=0</formula>
    </cfRule>
  </conditionalFormatting>
  <conditionalFormatting sqref="AI7">
    <cfRule type="expression" dxfId="662" priority="172">
      <formula>$AI$44=0</formula>
    </cfRule>
  </conditionalFormatting>
  <conditionalFormatting sqref="AJ7">
    <cfRule type="expression" dxfId="661" priority="171">
      <formula>$AJ$44=0</formula>
    </cfRule>
  </conditionalFormatting>
  <conditionalFormatting sqref="AK7">
    <cfRule type="expression" dxfId="660" priority="170">
      <formula>$AK$44=0</formula>
    </cfRule>
  </conditionalFormatting>
  <conditionalFormatting sqref="AL7">
    <cfRule type="expression" dxfId="659" priority="169">
      <formula>$AL$44=0</formula>
    </cfRule>
  </conditionalFormatting>
  <conditionalFormatting sqref="AM7">
    <cfRule type="expression" dxfId="658" priority="168">
      <formula>$AM$44=0</formula>
    </cfRule>
  </conditionalFormatting>
  <conditionalFormatting sqref="AN7">
    <cfRule type="expression" dxfId="657" priority="83">
      <formula>$AN$44=0</formula>
    </cfRule>
  </conditionalFormatting>
  <conditionalFormatting sqref="AO7">
    <cfRule type="expression" dxfId="656" priority="82">
      <formula>$AO$44=0</formula>
    </cfRule>
  </conditionalFormatting>
  <conditionalFormatting sqref="AP7:AR7">
    <cfRule type="expression" dxfId="655" priority="60">
      <formula>AP44=0</formula>
    </cfRule>
  </conditionalFormatting>
  <conditionalFormatting sqref="AS7">
    <cfRule type="expression" dxfId="654" priority="166">
      <formula>$AS$44=0</formula>
    </cfRule>
  </conditionalFormatting>
  <conditionalFormatting sqref="AT7">
    <cfRule type="expression" dxfId="653" priority="165">
      <formula>$AT$44=0</formula>
    </cfRule>
  </conditionalFormatting>
  <conditionalFormatting sqref="AU7">
    <cfRule type="expression" dxfId="652" priority="164">
      <formula>$AU$44=0</formula>
    </cfRule>
  </conditionalFormatting>
  <conditionalFormatting sqref="AV7">
    <cfRule type="expression" dxfId="651" priority="163">
      <formula>$AV$44=0</formula>
    </cfRule>
  </conditionalFormatting>
  <conditionalFormatting sqref="AW7">
    <cfRule type="expression" dxfId="650" priority="162">
      <formula>$AW$44=0</formula>
    </cfRule>
  </conditionalFormatting>
  <conditionalFormatting sqref="AX7">
    <cfRule type="expression" dxfId="649" priority="161">
      <formula>$AX$44=0</formula>
    </cfRule>
  </conditionalFormatting>
  <conditionalFormatting sqref="AY7">
    <cfRule type="expression" dxfId="648" priority="81">
      <formula>$AY$44=0</formula>
    </cfRule>
  </conditionalFormatting>
  <conditionalFormatting sqref="AZ7:BB7">
    <cfRule type="expression" dxfId="647" priority="57">
      <formula>AZ44=0</formula>
    </cfRule>
  </conditionalFormatting>
  <conditionalFormatting sqref="BC7">
    <cfRule type="expression" dxfId="646" priority="160">
      <formula>$BC$44=0</formula>
    </cfRule>
  </conditionalFormatting>
  <conditionalFormatting sqref="BD7">
    <cfRule type="expression" dxfId="645" priority="159">
      <formula>$BD$44=0</formula>
    </cfRule>
  </conditionalFormatting>
  <conditionalFormatting sqref="BE7">
    <cfRule type="expression" dxfId="644" priority="158">
      <formula>$BE$44=0</formula>
    </cfRule>
  </conditionalFormatting>
  <conditionalFormatting sqref="BF7">
    <cfRule type="expression" dxfId="643" priority="157">
      <formula>$BF$44=0</formula>
    </cfRule>
  </conditionalFormatting>
  <conditionalFormatting sqref="BG7">
    <cfRule type="expression" dxfId="642" priority="156">
      <formula>$BG$44=0</formula>
    </cfRule>
  </conditionalFormatting>
  <conditionalFormatting sqref="BH7">
    <cfRule type="expression" dxfId="641" priority="155">
      <formula>$BH$44=0</formula>
    </cfRule>
  </conditionalFormatting>
  <conditionalFormatting sqref="BI7">
    <cfRule type="expression" dxfId="640" priority="80">
      <formula>$BI$44=0</formula>
    </cfRule>
  </conditionalFormatting>
  <conditionalFormatting sqref="BJ7:BL7">
    <cfRule type="expression" dxfId="639" priority="54">
      <formula>BJ44=0</formula>
    </cfRule>
  </conditionalFormatting>
  <conditionalFormatting sqref="BM7">
    <cfRule type="expression" dxfId="638" priority="154">
      <formula>$BM$44=0</formula>
    </cfRule>
  </conditionalFormatting>
  <conditionalFormatting sqref="BN7">
    <cfRule type="expression" dxfId="637" priority="153">
      <formula>$BN$44=0</formula>
    </cfRule>
  </conditionalFormatting>
  <conditionalFormatting sqref="BO7">
    <cfRule type="expression" dxfId="636" priority="152">
      <formula>$BO$44=0</formula>
    </cfRule>
  </conditionalFormatting>
  <conditionalFormatting sqref="BP7">
    <cfRule type="expression" dxfId="635" priority="151">
      <formula>$BP$44=0</formula>
    </cfRule>
  </conditionalFormatting>
  <conditionalFormatting sqref="BQ7">
    <cfRule type="expression" dxfId="634" priority="150">
      <formula>$BQ$44=0</formula>
    </cfRule>
  </conditionalFormatting>
  <conditionalFormatting sqref="BR7">
    <cfRule type="expression" dxfId="633" priority="149">
      <formula>$BR$44=0</formula>
    </cfRule>
  </conditionalFormatting>
  <conditionalFormatting sqref="BS7">
    <cfRule type="expression" dxfId="632" priority="79">
      <formula>$BS$44=0</formula>
    </cfRule>
  </conditionalFormatting>
  <conditionalFormatting sqref="BT7:BV7">
    <cfRule type="expression" dxfId="631" priority="51">
      <formula>BT44=0</formula>
    </cfRule>
  </conditionalFormatting>
  <conditionalFormatting sqref="BW7">
    <cfRule type="expression" dxfId="630" priority="148">
      <formula>$BW$44=0</formula>
    </cfRule>
  </conditionalFormatting>
  <conditionalFormatting sqref="BX7">
    <cfRule type="expression" dxfId="629" priority="147">
      <formula>$BX$44=0</formula>
    </cfRule>
  </conditionalFormatting>
  <conditionalFormatting sqref="BY7">
    <cfRule type="expression" dxfId="628" priority="146">
      <formula>$BY$44=0</formula>
    </cfRule>
  </conditionalFormatting>
  <conditionalFormatting sqref="BZ7">
    <cfRule type="expression" dxfId="627" priority="145">
      <formula>$BZ$44=0</formula>
    </cfRule>
  </conditionalFormatting>
  <conditionalFormatting sqref="CA7">
    <cfRule type="expression" dxfId="626" priority="144">
      <formula>$CA$44=0</formula>
    </cfRule>
  </conditionalFormatting>
  <conditionalFormatting sqref="CB7">
    <cfRule type="expression" dxfId="625" priority="143">
      <formula>$CB$44=0</formula>
    </cfRule>
  </conditionalFormatting>
  <conditionalFormatting sqref="CC7">
    <cfRule type="expression" dxfId="624" priority="78">
      <formula>$CC$44=0</formula>
    </cfRule>
  </conditionalFormatting>
  <conditionalFormatting sqref="CD7:CF7">
    <cfRule type="expression" dxfId="623" priority="48">
      <formula>CD44=0</formula>
    </cfRule>
  </conditionalFormatting>
  <conditionalFormatting sqref="CG7">
    <cfRule type="expression" dxfId="622" priority="142">
      <formula>$CG$44=0</formula>
    </cfRule>
  </conditionalFormatting>
  <conditionalFormatting sqref="CH7">
    <cfRule type="expression" dxfId="621" priority="141">
      <formula>$CH$44=0</formula>
    </cfRule>
  </conditionalFormatting>
  <conditionalFormatting sqref="CI7">
    <cfRule type="expression" dxfId="620" priority="140">
      <formula>$CI$44=0</formula>
    </cfRule>
  </conditionalFormatting>
  <conditionalFormatting sqref="CJ7">
    <cfRule type="expression" dxfId="619" priority="139">
      <formula>$CJ$44=0</formula>
    </cfRule>
  </conditionalFormatting>
  <conditionalFormatting sqref="CK7">
    <cfRule type="expression" dxfId="618" priority="138">
      <formula>$CK$44=0</formula>
    </cfRule>
  </conditionalFormatting>
  <conditionalFormatting sqref="CL7">
    <cfRule type="expression" dxfId="617" priority="137">
      <formula>$CL$44=0</formula>
    </cfRule>
  </conditionalFormatting>
  <conditionalFormatting sqref="CM7">
    <cfRule type="expression" dxfId="616" priority="77">
      <formula>$CM$44=0</formula>
    </cfRule>
  </conditionalFormatting>
  <conditionalFormatting sqref="CN7:CP7">
    <cfRule type="expression" dxfId="615" priority="45">
      <formula>CN44=0</formula>
    </cfRule>
  </conditionalFormatting>
  <conditionalFormatting sqref="CQ7">
    <cfRule type="expression" dxfId="614" priority="136">
      <formula>$CQ$44=0</formula>
    </cfRule>
  </conditionalFormatting>
  <conditionalFormatting sqref="CR7">
    <cfRule type="expression" dxfId="613" priority="41">
      <formula>$CR$44=0</formula>
    </cfRule>
  </conditionalFormatting>
  <conditionalFormatting sqref="CS7">
    <cfRule type="expression" dxfId="612" priority="40">
      <formula>$CS$44=0</formula>
    </cfRule>
  </conditionalFormatting>
  <conditionalFormatting sqref="CT7">
    <cfRule type="expression" dxfId="611" priority="39">
      <formula>$CT$44=0</formula>
    </cfRule>
  </conditionalFormatting>
  <conditionalFormatting sqref="CU7">
    <cfRule type="expression" dxfId="610" priority="38">
      <formula>$CU$44=0</formula>
    </cfRule>
  </conditionalFormatting>
  <conditionalFormatting sqref="CV7">
    <cfRule type="expression" dxfId="609" priority="37">
      <formula>$CV$44=0</formula>
    </cfRule>
  </conditionalFormatting>
  <conditionalFormatting sqref="CW7">
    <cfRule type="expression" dxfId="608" priority="36">
      <formula>$CW$44=0</formula>
    </cfRule>
  </conditionalFormatting>
  <conditionalFormatting sqref="CX7">
    <cfRule type="expression" dxfId="607" priority="35">
      <formula>$CX$44=0</formula>
    </cfRule>
  </conditionalFormatting>
  <conditionalFormatting sqref="CY7">
    <cfRule type="expression" dxfId="606" priority="34">
      <formula>$CY$44=0</formula>
    </cfRule>
  </conditionalFormatting>
  <conditionalFormatting sqref="CZ7">
    <cfRule type="expression" dxfId="605" priority="5">
      <formula>$CZ$44=0</formula>
    </cfRule>
  </conditionalFormatting>
  <conditionalFormatting sqref="DA7">
    <cfRule type="expression" dxfId="604" priority="33">
      <formula>$DA$44=0</formula>
    </cfRule>
  </conditionalFormatting>
  <conditionalFormatting sqref="DB7">
    <cfRule type="expression" dxfId="603" priority="32">
      <formula>$DB$44=0</formula>
    </cfRule>
  </conditionalFormatting>
  <conditionalFormatting sqref="DC7">
    <cfRule type="expression" dxfId="602" priority="31">
      <formula>$DC$44=0</formula>
    </cfRule>
  </conditionalFormatting>
  <conditionalFormatting sqref="DD7">
    <cfRule type="expression" dxfId="601" priority="30">
      <formula>$DD$44=0</formula>
    </cfRule>
  </conditionalFormatting>
  <conditionalFormatting sqref="DE7">
    <cfRule type="expression" dxfId="600" priority="29">
      <formula>$DE$44=0</formula>
    </cfRule>
  </conditionalFormatting>
  <conditionalFormatting sqref="DF7">
    <cfRule type="expression" dxfId="599" priority="28">
      <formula>$DF$44=0</formula>
    </cfRule>
  </conditionalFormatting>
  <conditionalFormatting sqref="DG7">
    <cfRule type="expression" dxfId="598" priority="27">
      <formula>$DG$44=0</formula>
    </cfRule>
  </conditionalFormatting>
  <conditionalFormatting sqref="DH7">
    <cfRule type="expression" dxfId="597" priority="26">
      <formula>$DH$44=0</formula>
    </cfRule>
  </conditionalFormatting>
  <conditionalFormatting sqref="DI7">
    <cfRule type="expression" dxfId="596" priority="25">
      <formula>$DI$44=0</formula>
    </cfRule>
  </conditionalFormatting>
  <conditionalFormatting sqref="DJ7">
    <cfRule type="expression" dxfId="595" priority="24">
      <formula>$DJ$44=0</formula>
    </cfRule>
  </conditionalFormatting>
  <conditionalFormatting sqref="DK7">
    <cfRule type="expression" dxfId="594" priority="4">
      <formula>$DK$44=0</formula>
    </cfRule>
  </conditionalFormatting>
  <conditionalFormatting sqref="DL7">
    <cfRule type="expression" dxfId="593" priority="23">
      <formula>$DL$44=0</formula>
    </cfRule>
  </conditionalFormatting>
  <conditionalFormatting sqref="DM7">
    <cfRule type="expression" dxfId="592" priority="22">
      <formula>$DM$44=0</formula>
    </cfRule>
  </conditionalFormatting>
  <conditionalFormatting sqref="DN7">
    <cfRule type="expression" dxfId="591" priority="21">
      <formula>$DN$44=0</formula>
    </cfRule>
  </conditionalFormatting>
  <conditionalFormatting sqref="DO7">
    <cfRule type="expression" dxfId="590" priority="20">
      <formula>$DO$44=0</formula>
    </cfRule>
  </conditionalFormatting>
  <conditionalFormatting sqref="DP7">
    <cfRule type="expression" dxfId="589" priority="19">
      <formula>$DP$44=0</formula>
    </cfRule>
  </conditionalFormatting>
  <conditionalFormatting sqref="DQ7">
    <cfRule type="expression" dxfId="588" priority="18">
      <formula>$DQ$44=0</formula>
    </cfRule>
  </conditionalFormatting>
  <conditionalFormatting sqref="DR7">
    <cfRule type="expression" dxfId="587" priority="17">
      <formula>$DR$44=0</formula>
    </cfRule>
  </conditionalFormatting>
  <conditionalFormatting sqref="DS7">
    <cfRule type="expression" dxfId="586" priority="16">
      <formula>$DS$44=0</formula>
    </cfRule>
  </conditionalFormatting>
  <conditionalFormatting sqref="DT7">
    <cfRule type="expression" dxfId="585" priority="15">
      <formula>$DT$44=0</formula>
    </cfRule>
  </conditionalFormatting>
  <conditionalFormatting sqref="DU7">
    <cfRule type="expression" dxfId="584" priority="2">
      <formula>$DU$44=0</formula>
    </cfRule>
  </conditionalFormatting>
  <conditionalFormatting sqref="DV7">
    <cfRule type="expression" dxfId="583" priority="14">
      <formula>$DV$44=0</formula>
    </cfRule>
  </conditionalFormatting>
  <conditionalFormatting sqref="DW7">
    <cfRule type="expression" dxfId="582" priority="13">
      <formula>$DW$44=0</formula>
    </cfRule>
  </conditionalFormatting>
  <conditionalFormatting sqref="DX7">
    <cfRule type="expression" dxfId="581" priority="12">
      <formula>$DX$44=0</formula>
    </cfRule>
  </conditionalFormatting>
  <conditionalFormatting sqref="DY7">
    <cfRule type="expression" dxfId="580" priority="11">
      <formula>$DY$44=0</formula>
    </cfRule>
  </conditionalFormatting>
  <conditionalFormatting sqref="DZ7">
    <cfRule type="expression" dxfId="579" priority="10">
      <formula>$DZ$44=0</formula>
    </cfRule>
  </conditionalFormatting>
  <conditionalFormatting sqref="EA7">
    <cfRule type="expression" dxfId="578" priority="9">
      <formula>$EA$44=0</formula>
    </cfRule>
  </conditionalFormatting>
  <conditionalFormatting sqref="EB7">
    <cfRule type="expression" dxfId="577" priority="8">
      <formula>$EB$44=0</formula>
    </cfRule>
  </conditionalFormatting>
  <conditionalFormatting sqref="EC7">
    <cfRule type="expression" dxfId="576" priority="7">
      <formula>$EC$44=0</formula>
    </cfRule>
  </conditionalFormatting>
  <conditionalFormatting sqref="ED7">
    <cfRule type="expression" dxfId="575" priority="1">
      <formula>ED44=0</formula>
    </cfRule>
  </conditionalFormatting>
  <conditionalFormatting sqref="EE7">
    <cfRule type="expression" dxfId="574" priority="6">
      <formula>$EE$44=0</formula>
    </cfRule>
  </conditionalFormatting>
  <conditionalFormatting sqref="EF7">
    <cfRule type="expression" dxfId="573" priority="135">
      <formula>$EF$44=0</formula>
    </cfRule>
  </conditionalFormatting>
  <conditionalFormatting sqref="EG7">
    <cfRule type="expression" dxfId="572" priority="134">
      <formula>$EG$44=0</formula>
    </cfRule>
  </conditionalFormatting>
  <conditionalFormatting sqref="EH7">
    <cfRule type="expression" dxfId="571" priority="133">
      <formula>$EH$44=0</formula>
    </cfRule>
  </conditionalFormatting>
  <conditionalFormatting sqref="EI7">
    <cfRule type="expression" dxfId="570" priority="132">
      <formula>$EI$44=0</formula>
    </cfRule>
  </conditionalFormatting>
  <conditionalFormatting sqref="EJ7">
    <cfRule type="expression" dxfId="569" priority="131">
      <formula>$EJ$44=0</formula>
    </cfRule>
  </conditionalFormatting>
  <conditionalFormatting sqref="EK7">
    <cfRule type="expression" dxfId="568" priority="76">
      <formula>$EK$44=0</formula>
    </cfRule>
  </conditionalFormatting>
  <conditionalFormatting sqref="EL7">
    <cfRule type="expression" dxfId="567" priority="44">
      <formula>$EL$44=0</formula>
    </cfRule>
  </conditionalFormatting>
  <conditionalFormatting sqref="EM7">
    <cfRule type="expression" dxfId="566" priority="43">
      <formula>$EM$44=0</formula>
    </cfRule>
  </conditionalFormatting>
  <conditionalFormatting sqref="EN7">
    <cfRule type="expression" dxfId="565" priority="42">
      <formula>$EN$44=0</formula>
    </cfRule>
  </conditionalFormatting>
  <conditionalFormatting sqref="EO7">
    <cfRule type="expression" dxfId="564" priority="128">
      <formula>$EO$44=0</formula>
    </cfRule>
  </conditionalFormatting>
  <pageMargins left="0.23622047244094491" right="0.23622047244094491" top="0.74803149606299213" bottom="0.74803149606299213" header="0.31496062992125984" footer="0.31496062992125984"/>
  <pageSetup paperSize="9" scale="31" fitToHeight="0" orientation="landscape" r:id="rId1"/>
  <colBreaks count="1" manualBreakCount="1">
    <brk id="148" max="57" man="1"/>
  </colBreaks>
  <ignoredErrors>
    <ignoredError sqref="E41:E42 E34 E8 E9 E10 E11 E12 E13 E14 E15 E16 E17 E18 E19 E20 E21 E22 E23 E24 E25 E26 E27 E28 E29 E30 E31 E32 E33 E38:E40 D4 S4 AM4" unlockedFormula="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pageSetUpPr fitToPage="1"/>
  </sheetPr>
  <dimension ref="B1:AC28"/>
  <sheetViews>
    <sheetView showGridLines="0" zoomScale="85" zoomScaleNormal="85" workbookViewId="0">
      <selection activeCell="H1" sqref="H1"/>
    </sheetView>
  </sheetViews>
  <sheetFormatPr defaultColWidth="11.5703125" defaultRowHeight="15"/>
  <cols>
    <col min="1" max="1" width="2.7109375" style="8" customWidth="1"/>
    <col min="2" max="2" width="20.7109375" style="8" customWidth="1"/>
    <col min="3" max="3" width="1.5703125" style="8" customWidth="1"/>
    <col min="4" max="4" width="20.7109375" style="8" customWidth="1"/>
    <col min="5" max="5" width="1.7109375" style="8" customWidth="1"/>
    <col min="6" max="6" width="20.7109375" style="8" customWidth="1"/>
    <col min="7" max="7" width="1.7109375" style="8" customWidth="1"/>
    <col min="8" max="8" width="20.7109375" style="8" customWidth="1"/>
    <col min="9" max="9" width="1.7109375" style="8" customWidth="1"/>
    <col min="10" max="10" width="20.7109375" style="8" customWidth="1"/>
    <col min="11" max="11" width="1.7109375" style="8" customWidth="1"/>
    <col min="12" max="12" width="20.7109375" style="8" customWidth="1"/>
    <col min="13" max="13" width="1.7109375" style="8" customWidth="1"/>
    <col min="14" max="14" width="20.7109375" style="8" customWidth="1"/>
    <col min="15" max="15" width="1.7109375" style="8" customWidth="1"/>
    <col min="16" max="16" width="20.7109375" style="8" customWidth="1"/>
    <col min="17" max="17" width="1.7109375" style="8" customWidth="1"/>
    <col min="18" max="18" width="20.7109375" style="8" customWidth="1"/>
    <col min="19" max="19" width="1.7109375" style="8" customWidth="1"/>
    <col min="20" max="20" width="20.7109375" style="8" customWidth="1"/>
    <col min="21" max="21" width="1.7109375" style="8" hidden="1" customWidth="1"/>
    <col min="22" max="22" width="20.7109375" style="8" hidden="1" customWidth="1"/>
    <col min="23" max="23" width="1.7109375" style="8" hidden="1" customWidth="1"/>
    <col min="24" max="24" width="20.7109375" style="8" hidden="1" customWidth="1"/>
    <col min="25" max="25" width="1.7109375" style="8" hidden="1" customWidth="1"/>
    <col min="26" max="26" width="20.7109375" style="8" hidden="1" customWidth="1"/>
    <col min="27" max="27" width="1.7109375" style="8" hidden="1" customWidth="1"/>
    <col min="28" max="28" width="20.7109375" style="8" hidden="1" customWidth="1"/>
    <col min="29" max="29" width="4.140625" style="8" hidden="1" customWidth="1"/>
    <col min="30" max="16384" width="11.5703125" style="8"/>
  </cols>
  <sheetData>
    <row r="1" spans="2:29" ht="49.5" customHeight="1"/>
    <row r="2" spans="2:29" s="2" customFormat="1" ht="18.75" customHeight="1">
      <c r="B2" s="617" t="str">
        <f>CONCATENATE("19. MALLA CURRICULAR DEL PROGRAMA DE ESTUDIOS DE: ",'1.Fundamentos'!F6)</f>
        <v>19. MALLA CURRICULAR DEL PROGRAMA DE ESTUDIOS DE: EDUCACIÓN SECUNDARIA CON ESPECIALIDAD EN INGLÉS</v>
      </c>
      <c r="C2" s="617"/>
      <c r="D2" s="617"/>
      <c r="E2" s="617"/>
      <c r="F2" s="617"/>
      <c r="G2" s="617"/>
      <c r="H2" s="617"/>
      <c r="I2" s="617"/>
      <c r="J2" s="617"/>
      <c r="K2" s="617"/>
      <c r="L2" s="617"/>
      <c r="M2" s="617"/>
      <c r="N2" s="617"/>
      <c r="O2" s="617"/>
      <c r="P2" s="617"/>
      <c r="Q2" s="617"/>
      <c r="R2" s="617"/>
      <c r="S2" s="617"/>
      <c r="T2" s="617"/>
      <c r="U2" s="617"/>
      <c r="V2" s="617"/>
      <c r="W2" s="617"/>
      <c r="X2" s="617"/>
      <c r="Y2" s="617"/>
      <c r="Z2" s="617"/>
      <c r="AA2" s="617"/>
      <c r="AB2" s="617"/>
      <c r="AC2" s="617"/>
    </row>
    <row r="3" spans="2:29" ht="12" customHeight="1"/>
    <row r="4" spans="2:29">
      <c r="B4" s="63" t="s">
        <v>442</v>
      </c>
      <c r="C4" s="63"/>
      <c r="D4" s="63" t="s">
        <v>443</v>
      </c>
      <c r="E4" s="63"/>
      <c r="F4" s="63" t="s">
        <v>461</v>
      </c>
      <c r="G4" s="63"/>
      <c r="H4" s="63" t="s">
        <v>445</v>
      </c>
      <c r="I4" s="63"/>
      <c r="J4" s="63" t="s">
        <v>462</v>
      </c>
      <c r="K4" s="63"/>
      <c r="L4" s="63" t="s">
        <v>447</v>
      </c>
      <c r="M4" s="63"/>
      <c r="N4" s="63" t="s">
        <v>448</v>
      </c>
      <c r="O4" s="63"/>
      <c r="P4" s="63" t="s">
        <v>449</v>
      </c>
      <c r="Q4" s="63"/>
      <c r="R4" s="63" t="s">
        <v>450</v>
      </c>
      <c r="S4" s="63"/>
      <c r="T4" s="63" t="s">
        <v>451</v>
      </c>
      <c r="U4" s="63"/>
      <c r="V4" s="63" t="s">
        <v>452</v>
      </c>
      <c r="W4" s="63"/>
      <c r="X4" s="63" t="s">
        <v>453</v>
      </c>
      <c r="Y4" s="63"/>
      <c r="Z4" s="63" t="s">
        <v>463</v>
      </c>
      <c r="AA4" s="63"/>
      <c r="AB4" s="63" t="s">
        <v>455</v>
      </c>
      <c r="AC4" s="63"/>
    </row>
    <row r="5" spans="2:29" ht="6" customHeight="1"/>
    <row r="6" spans="2:29" ht="69.95" customHeight="1">
      <c r="B6" s="62" t="str">
        <f>IF('3.Plan de Estudios'!E19="","",'3.Plan de Estudios'!E19)</f>
        <v>ADMINISTRACIÓN PARA LOS NEGOCIOS</v>
      </c>
      <c r="C6" s="64"/>
      <c r="D6" s="62" t="str">
        <f>IF('3.Plan de Estudios'!E30="","",'3.Plan de Estudios'!E30)</f>
        <v>CULTURA POLÍTICA Y REALIDAD DE LA EDUCACIÓN PERUANA</v>
      </c>
      <c r="E6" s="64"/>
      <c r="F6" s="62" t="str">
        <f>IF('3.Plan de Estudios'!E41="","",'3.Plan de Estudios'!E41)</f>
        <v>ENGLISH III</v>
      </c>
      <c r="G6" s="64"/>
      <c r="H6" s="62" t="str">
        <f>IF('3.Plan de Estudios'!E52="","",'3.Plan de Estudios'!E52)</f>
        <v>DISEÑO Y PROGRAMACIÓN CURRICULAR</v>
      </c>
      <c r="I6" s="64"/>
      <c r="J6" s="62" t="str">
        <f>IF('3.Plan de Estudios'!E63="","",'3.Plan de Estudios'!E63)</f>
        <v>ENGLISH V</v>
      </c>
      <c r="K6" s="64"/>
      <c r="L6" s="62" t="str">
        <f>IF('3.Plan de Estudios'!E74="","",'3.Plan de Estudios'!E74)</f>
        <v>ENGLISH LANGUAGE PHONETICS</v>
      </c>
      <c r="M6" s="64"/>
      <c r="N6" s="62" t="str">
        <f>IF('3.Plan de Estudios'!E85="","",'3.Plan de Estudios'!E85)</f>
        <v>ENGLISH COMPOSITION</v>
      </c>
      <c r="O6" s="64"/>
      <c r="P6" s="62" t="str">
        <f>IF('3.Plan de Estudios'!E96="","",'3.Plan de Estudios'!E96)</f>
        <v>ESL: LEARNER STRATEGIES</v>
      </c>
      <c r="Q6" s="64"/>
      <c r="R6" s="62" t="str">
        <f>IF('3.Plan de Estudios'!E107="","",'3.Plan de Estudios'!E107)</f>
        <v>MICROCOMPUTERS &amp; MEDIA IN THE ESL CLASSROOM</v>
      </c>
      <c r="S6" s="64"/>
      <c r="T6" s="62" t="str">
        <f>IF('3.Plan de Estudios'!E118="","",'3.Plan de Estudios'!E118)</f>
        <v>COACHING EDUCATIVO</v>
      </c>
      <c r="U6" s="64"/>
      <c r="V6" s="62" t="str">
        <f>IF('3.Plan de Estudios'!E129="","",'3.Plan de Estudios'!E129)</f>
        <v/>
      </c>
      <c r="W6" s="64"/>
      <c r="X6" s="62" t="str">
        <f>IF('3.Plan de Estudios'!E140="","",'3.Plan de Estudios'!E140)</f>
        <v/>
      </c>
      <c r="Y6" s="64"/>
      <c r="Z6" s="62" t="str">
        <f>IF('3.Plan de Estudios'!E151="","",'3.Plan de Estudios'!E151)</f>
        <v/>
      </c>
      <c r="AA6" s="64"/>
      <c r="AB6" s="62" t="str">
        <f>IF('3.Plan de Estudios'!E162="","",'3.Plan de Estudios'!E162)</f>
        <v/>
      </c>
    </row>
    <row r="7" spans="2:29" ht="6.6" customHeight="1">
      <c r="B7" s="64"/>
      <c r="C7" s="64"/>
      <c r="D7" s="64"/>
      <c r="E7" s="64"/>
      <c r="F7" s="64"/>
      <c r="G7" s="64"/>
      <c r="H7" s="64"/>
      <c r="I7" s="64"/>
      <c r="J7" s="64"/>
      <c r="K7" s="64"/>
      <c r="L7" s="64"/>
      <c r="M7" s="64"/>
      <c r="N7" s="64"/>
      <c r="O7" s="64"/>
      <c r="P7" s="64"/>
      <c r="Q7" s="64"/>
      <c r="R7" s="64"/>
      <c r="S7" s="64"/>
      <c r="T7" s="64"/>
      <c r="U7" s="64"/>
      <c r="V7" s="64"/>
      <c r="W7" s="64"/>
      <c r="X7" s="64"/>
      <c r="Y7" s="64"/>
      <c r="Z7" s="64"/>
      <c r="AA7" s="64"/>
      <c r="AB7" s="64"/>
      <c r="AC7" s="64"/>
    </row>
    <row r="8" spans="2:29" ht="69.95" customHeight="1">
      <c r="B8" s="62" t="str">
        <f>IF('3.Plan de Estudios'!E20="","",'3.Plan de Estudios'!E20)</f>
        <v>DESARROLLO HUMANO</v>
      </c>
      <c r="C8" s="64"/>
      <c r="D8" s="62" t="str">
        <f>IF('3.Plan de Estudios'!E31="","",'3.Plan de Estudios'!E31)</f>
        <v>ENGLISH II</v>
      </c>
      <c r="E8" s="64"/>
      <c r="F8" s="62" t="str">
        <f>IF('3.Plan de Estudios'!E42="","",'3.Plan de Estudios'!E42)</f>
        <v>ESTADÍSTICA GENERAL</v>
      </c>
      <c r="G8" s="64"/>
      <c r="H8" s="62" t="str">
        <f>IF('3.Plan de Estudios'!E53="","",'3.Plan de Estudios'!E53)</f>
        <v>ENGLISH IV</v>
      </c>
      <c r="I8" s="64"/>
      <c r="J8" s="62" t="str">
        <f>IF('3.Plan de Estudios'!E64="","",'3.Plan de Estudios'!E64)</f>
        <v>ESTRATEGIAS DE ENSEÑANZA APRENDIZAJE</v>
      </c>
      <c r="K8" s="64"/>
      <c r="L8" s="62" t="str">
        <f>IF('3.Plan de Estudios'!E75="","",'3.Plan de Estudios'!E75)</f>
        <v>ENGLISH VI: RREL</v>
      </c>
      <c r="M8" s="64"/>
      <c r="N8" s="62" t="str">
        <f>IF('3.Plan de Estudios'!E86="","",'3.Plan de Estudios'!E86)</f>
        <v>INVESTIGACIÓN EDUCACIONAL</v>
      </c>
      <c r="O8" s="64"/>
      <c r="P8" s="62" t="str">
        <f>IF('3.Plan de Estudios'!E97="","",'3.Plan de Estudios'!E97)</f>
        <v>LISTENING COMPREHENSION</v>
      </c>
      <c r="Q8" s="64"/>
      <c r="R8" s="62" t="str">
        <f>IF('3.Plan de Estudios'!E108="","",'3.Plan de Estudios'!E108)</f>
        <v>PLANIFICACIÓN DE CLASES Y ACTIVIDADES</v>
      </c>
      <c r="S8" s="64"/>
      <c r="T8" s="62" t="str">
        <f>IF('3.Plan de Estudios'!E119="","",'3.Plan de Estudios'!E119)</f>
        <v>INFORME Y SUSTENTACIÓN DEL PROYECTO DE INVESTIGACIÓN</v>
      </c>
      <c r="U8" s="64"/>
      <c r="V8" s="62" t="str">
        <f>IF('3.Plan de Estudios'!E130="","",'3.Plan de Estudios'!E130)</f>
        <v/>
      </c>
      <c r="W8" s="64"/>
      <c r="X8" s="62" t="str">
        <f>IF('3.Plan de Estudios'!E141="","",'3.Plan de Estudios'!E141)</f>
        <v/>
      </c>
      <c r="Y8" s="64"/>
      <c r="Z8" s="62" t="str">
        <f>IF('3.Plan de Estudios'!E152="","",'3.Plan de Estudios'!E152)</f>
        <v/>
      </c>
      <c r="AA8" s="64"/>
      <c r="AB8" s="62" t="str">
        <f>IF('3.Plan de Estudios'!E163="","",'3.Plan de Estudios'!E163)</f>
        <v/>
      </c>
    </row>
    <row r="9" spans="2:29" ht="6.6" customHeight="1">
      <c r="B9" s="64"/>
      <c r="C9" s="64"/>
      <c r="D9" s="64"/>
      <c r="E9" s="64"/>
      <c r="F9" s="64"/>
      <c r="G9" s="64"/>
      <c r="H9" s="64"/>
      <c r="I9" s="64"/>
      <c r="J9" s="64"/>
      <c r="K9" s="64"/>
      <c r="L9" s="64"/>
      <c r="M9" s="64"/>
      <c r="N9" s="64"/>
      <c r="O9" s="64"/>
      <c r="P9" s="64"/>
      <c r="Q9" s="64"/>
      <c r="R9" s="64"/>
      <c r="S9" s="64"/>
      <c r="T9" s="64"/>
      <c r="U9" s="64"/>
      <c r="V9" s="64"/>
      <c r="W9" s="64"/>
      <c r="X9" s="64"/>
      <c r="Y9" s="64"/>
      <c r="Z9" s="64"/>
      <c r="AA9" s="64"/>
      <c r="AB9" s="64"/>
      <c r="AC9" s="64"/>
    </row>
    <row r="10" spans="2:29" ht="69.95" customHeight="1">
      <c r="B10" s="62" t="str">
        <f>IF('3.Plan de Estudios'!E21="","",'3.Plan de Estudios'!E21)</f>
        <v>ENGLISH I</v>
      </c>
      <c r="C10" s="64"/>
      <c r="D10" s="62" t="str">
        <f>IF('3.Plan de Estudios'!E32="","",'3.Plan de Estudios'!E32)</f>
        <v>HISTORIA Y FILOSOFÍA DE LA EDUCACIÓN</v>
      </c>
      <c r="E10" s="64"/>
      <c r="F10" s="62" t="str">
        <f>IF('3.Plan de Estudios'!E43="","",'3.Plan de Estudios'!E43)</f>
        <v>INFORMÁTICA APLICADA A LA EDUCACIÓN</v>
      </c>
      <c r="G10" s="64"/>
      <c r="H10" s="62" t="str">
        <f>IF('3.Plan de Estudios'!E54="","",'3.Plan de Estudios'!E54)</f>
        <v>ENGLISH VOCABULARY</v>
      </c>
      <c r="I10" s="64"/>
      <c r="J10" s="62" t="str">
        <f>IF('3.Plan de Estudios'!E65="","",'3.Plan de Estudios'!E65)</f>
        <v>ÉTICA Y CIUDADANÍA</v>
      </c>
      <c r="K10" s="64"/>
      <c r="L10" s="62" t="str">
        <f>IF('3.Plan de Estudios'!E76="","",'3.Plan de Estudios'!E76)</f>
        <v>GERENCIA DE INSTITUCIONES EDUCATIVAS</v>
      </c>
      <c r="M10" s="64"/>
      <c r="N10" s="62" t="str">
        <f>IF('3.Plan de Estudios'!E87="","",'3.Plan de Estudios'!E87)</f>
        <v>PROYECTO INTEGRADOR</v>
      </c>
      <c r="O10" s="64"/>
      <c r="P10" s="62" t="str">
        <f>IF('3.Plan de Estudios'!E98="","",'3.Plan de Estudios'!E98)</f>
        <v>ORGANIZACIÓN DE LA INFORMACIÓN</v>
      </c>
      <c r="Q10" s="64"/>
      <c r="R10" s="62" t="str">
        <f>IF('3.Plan de Estudios'!E109="","",'3.Plan de Estudios'!E109)</f>
        <v>PRÁCTICA PRE-PROFESIONAL INTERMEDIA</v>
      </c>
      <c r="S10" s="64"/>
      <c r="T10" s="62" t="str">
        <f>IF('3.Plan de Estudios'!E120="","",'3.Plan de Estudios'!E120)</f>
        <v>LEGISLACIÓN EDUCATIVA</v>
      </c>
      <c r="U10" s="64"/>
      <c r="V10" s="62" t="str">
        <f>IF('3.Plan de Estudios'!E131="","",'3.Plan de Estudios'!E131)</f>
        <v/>
      </c>
      <c r="W10" s="64"/>
      <c r="X10" s="62" t="str">
        <f>IF('3.Plan de Estudios'!E142="","",'3.Plan de Estudios'!E142)</f>
        <v/>
      </c>
      <c r="Y10" s="64"/>
      <c r="Z10" s="62" t="str">
        <f>IF('3.Plan de Estudios'!E153="","",'3.Plan de Estudios'!E153)</f>
        <v/>
      </c>
      <c r="AA10" s="64"/>
      <c r="AB10" s="62" t="str">
        <f>IF('3.Plan de Estudios'!E164="","",'3.Plan de Estudios'!E164)</f>
        <v/>
      </c>
    </row>
    <row r="11" spans="2:29" ht="6.6" customHeight="1">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row>
    <row r="12" spans="2:29" ht="69.95" customHeight="1">
      <c r="B12" s="62" t="str">
        <f>IF('3.Plan de Estudios'!E22="","",'3.Plan de Estudios'!E22)</f>
        <v>LENGUAJE I</v>
      </c>
      <c r="C12" s="64"/>
      <c r="D12" s="62" t="str">
        <f>IF('3.Plan de Estudios'!E33="","",'3.Plan de Estudios'!E33)</f>
        <v>LENGUAJE II</v>
      </c>
      <c r="E12" s="64"/>
      <c r="F12" s="62" t="str">
        <f>IF('3.Plan de Estudios'!E44="","",'3.Plan de Estudios'!E44)</f>
        <v>INTERPRETACIÓN DE TEXTOS</v>
      </c>
      <c r="G12" s="64"/>
      <c r="H12" s="62" t="str">
        <f>IF('3.Plan de Estudios'!E55="","",'3.Plan de Estudios'!E55)</f>
        <v>METODOLOGÍA DE LA INVESTIGACIÓN</v>
      </c>
      <c r="I12" s="64"/>
      <c r="J12" s="62" t="str">
        <f>IF('3.Plan de Estudios'!E66="","",'3.Plan de Estudios'!E66)</f>
        <v>FOUNDATIONS OF GENERAL LINGUISTICS</v>
      </c>
      <c r="K12" s="64"/>
      <c r="L12" s="62" t="str">
        <f>IF('3.Plan de Estudios'!E77="","",'3.Plan de Estudios'!E77)</f>
        <v>PUBLIC SPEAKING</v>
      </c>
      <c r="M12" s="64"/>
      <c r="N12" s="62" t="str">
        <f>IF('3.Plan de Estudios'!E88="","",'3.Plan de Estudios'!E88)</f>
        <v>TEACHING ENGLISH AS SECOND LANGUAGE: METHODS &amp; S. II</v>
      </c>
      <c r="O12" s="64"/>
      <c r="P12" s="62" t="str">
        <f>IF('3.Plan de Estudios'!E99="","",'3.Plan de Estudios'!E99)</f>
        <v>PRÁCTICA PRE-PROFESIONAL INICIAL</v>
      </c>
      <c r="Q12" s="64"/>
      <c r="R12" s="62" t="str">
        <f>IF('3.Plan de Estudios'!E110="","",'3.Plan de Estudios'!E110)</f>
        <v xml:space="preserve">PROJECTS IN THE CLASSROOM </v>
      </c>
      <c r="S12" s="64"/>
      <c r="T12" s="62" t="str">
        <f>IF('3.Plan de Estudios'!E121="","",'3.Plan de Estudios'!E121)</f>
        <v>PRÁCTICA PRE-PROFESIONAL INTENSIVA</v>
      </c>
      <c r="U12" s="64"/>
      <c r="V12" s="62" t="str">
        <f>IF('3.Plan de Estudios'!E132="","",'3.Plan de Estudios'!E132)</f>
        <v/>
      </c>
      <c r="W12" s="64"/>
      <c r="X12" s="62" t="str">
        <f>IF('3.Plan de Estudios'!E143="","",'3.Plan de Estudios'!E143)</f>
        <v/>
      </c>
      <c r="Y12" s="64"/>
      <c r="Z12" s="62" t="str">
        <f>IF('3.Plan de Estudios'!E154="","",'3.Plan de Estudios'!E154)</f>
        <v/>
      </c>
      <c r="AA12" s="64"/>
      <c r="AB12" s="62" t="str">
        <f>IF('3.Plan de Estudios'!E165="","",'3.Plan de Estudios'!E165)</f>
        <v/>
      </c>
    </row>
    <row r="13" spans="2:29" ht="6.6" customHeight="1">
      <c r="B13" s="64"/>
      <c r="C13" s="64"/>
      <c r="D13" s="64"/>
      <c r="E13" s="64"/>
      <c r="F13" s="64"/>
      <c r="G13" s="64"/>
      <c r="H13" s="64"/>
      <c r="I13" s="64"/>
      <c r="J13" s="64"/>
      <c r="K13" s="64"/>
      <c r="L13" s="64"/>
      <c r="M13" s="64"/>
      <c r="N13" s="64"/>
      <c r="O13" s="64"/>
      <c r="P13" s="64"/>
      <c r="Q13" s="64"/>
      <c r="R13" s="64"/>
      <c r="S13" s="64"/>
      <c r="T13" s="64"/>
      <c r="U13" s="64"/>
      <c r="V13" s="64"/>
      <c r="W13" s="64"/>
      <c r="X13" s="64"/>
      <c r="Y13" s="64"/>
      <c r="Z13" s="64"/>
      <c r="AA13" s="64"/>
      <c r="AB13" s="64"/>
      <c r="AC13" s="64"/>
    </row>
    <row r="14" spans="2:29" ht="69.95" customHeight="1">
      <c r="B14" s="62" t="str">
        <f>IF('3.Plan de Estudios'!E23="","",'3.Plan de Estudios'!E23)</f>
        <v>MATEMÁTICA</v>
      </c>
      <c r="C14" s="64"/>
      <c r="D14" s="62" t="str">
        <f>IF('3.Plan de Estudios'!E34="","",'3.Plan de Estudios'!E34)</f>
        <v>MARKETING</v>
      </c>
      <c r="E14" s="64"/>
      <c r="F14" s="62" t="str">
        <f>IF('3.Plan de Estudios'!E45="","",'3.Plan de Estudios'!E45)</f>
        <v>REALIDAD NACIONAL Y GLOBALIZACIÓN</v>
      </c>
      <c r="G14" s="64"/>
      <c r="H14" s="62" t="str">
        <f>IF('3.Plan de Estudios'!E56="","",'3.Plan de Estudios'!E56)</f>
        <v>PRINCIPIOS DE ECONOMÍA</v>
      </c>
      <c r="I14" s="64"/>
      <c r="J14" s="62" t="str">
        <f>IF('3.Plan de Estudios'!E67="","",'3.Plan de Estudios'!E67)</f>
        <v>FUNDAMENTOS DE LAS FINANZAS</v>
      </c>
      <c r="K14" s="64"/>
      <c r="L14" s="62" t="str">
        <f>IF('3.Plan de Estudios'!E78="","",'3.Plan de Estudios'!E78)</f>
        <v>SOFTWARE EDUCATIVO</v>
      </c>
      <c r="M14" s="64"/>
      <c r="N14" s="62" t="str">
        <f>IF('3.Plan de Estudios'!E89="","",'3.Plan de Estudios'!E89)</f>
        <v>ELECTIVO 1</v>
      </c>
      <c r="O14" s="64"/>
      <c r="P14" s="62" t="str">
        <f>IF('3.Plan de Estudios'!E100="","",'3.Plan de Estudios'!E100)</f>
        <v>ELECTIVO 2</v>
      </c>
      <c r="Q14" s="64"/>
      <c r="R14" s="62" t="str">
        <f>IF('3.Plan de Estudios'!E111="","",'3.Plan de Estudios'!E111)</f>
        <v>SISTEMATIZACIÓN DE LA INFORMACIÓN</v>
      </c>
      <c r="S14" s="64"/>
      <c r="T14" s="62" t="str">
        <f>IF('3.Plan de Estudios'!E122="","",'3.Plan de Estudios'!E122)</f>
        <v>ELECTIVO 4</v>
      </c>
      <c r="U14" s="64"/>
      <c r="V14" s="62" t="str">
        <f>IF('3.Plan de Estudios'!E133="","",'3.Plan de Estudios'!E133)</f>
        <v/>
      </c>
      <c r="W14" s="64"/>
      <c r="X14" s="62" t="str">
        <f>IF('3.Plan de Estudios'!E144="","",'3.Plan de Estudios'!E144)</f>
        <v/>
      </c>
      <c r="Y14" s="64"/>
      <c r="Z14" s="62" t="str">
        <f>IF('3.Plan de Estudios'!E155="","",'3.Plan de Estudios'!E155)</f>
        <v/>
      </c>
      <c r="AA14" s="64"/>
      <c r="AB14" s="62" t="str">
        <f>IF('3.Plan de Estudios'!E166="","",'3.Plan de Estudios'!E166)</f>
        <v/>
      </c>
    </row>
    <row r="15" spans="2:29" ht="6" customHeight="1"/>
    <row r="16" spans="2:29" ht="69.95" customHeight="1">
      <c r="B16" s="62" t="str">
        <f>IF('3.Plan de Estudios'!E24="","",'3.Plan de Estudios'!E24)</f>
        <v/>
      </c>
      <c r="C16" s="64"/>
      <c r="D16" s="62" t="str">
        <f>IF('3.Plan de Estudios'!E35="","",'3.Plan de Estudios'!E35)</f>
        <v>PSICOLOGÍA GENERAL</v>
      </c>
      <c r="E16" s="64"/>
      <c r="F16" s="62" t="str">
        <f>IF('3.Plan de Estudios'!E46="","",'3.Plan de Estudios'!E46)</f>
        <v>TEORÍA DE LA EDUCACIÓN</v>
      </c>
      <c r="G16" s="64"/>
      <c r="H16" s="62" t="str">
        <f>IF('3.Plan de Estudios'!E57="","",'3.Plan de Estudios'!E57)</f>
        <v/>
      </c>
      <c r="I16" s="64"/>
      <c r="J16" s="62" t="str">
        <f>IF('3.Plan de Estudios'!E68="","",'3.Plan de Estudios'!E68)</f>
        <v>PSICOLOGÍA EVOLUTIVA PARA EDUCACIÓN</v>
      </c>
      <c r="K16" s="64"/>
      <c r="L16" s="62" t="str">
        <f>IF('3.Plan de Estudios'!E79="","",'3.Plan de Estudios'!E79)</f>
        <v>TEACHING ENGLISH AS SECOND LANGUAGE: METHODS &amp; S. I</v>
      </c>
      <c r="M16" s="64"/>
      <c r="N16" s="62" t="str">
        <f>IF('3.Plan de Estudios'!E90="","",'3.Plan de Estudios'!E90)</f>
        <v/>
      </c>
      <c r="O16" s="64"/>
      <c r="P16" s="62" t="str">
        <f>IF('3.Plan de Estudios'!E101="","",'3.Plan de Estudios'!E101)</f>
        <v/>
      </c>
      <c r="Q16" s="64"/>
      <c r="R16" s="62" t="str">
        <f>IF('3.Plan de Estudios'!E112="","",'3.Plan de Estudios'!E112)</f>
        <v>ELECTIVO 3</v>
      </c>
      <c r="S16" s="64"/>
      <c r="T16" s="62" t="str">
        <f>IF('3.Plan de Estudios'!E123="","",'3.Plan de Estudios'!E123)</f>
        <v/>
      </c>
      <c r="U16" s="64"/>
      <c r="V16" s="62" t="str">
        <f>IF('3.Plan de Estudios'!E134="","",'3.Plan de Estudios'!E134)</f>
        <v/>
      </c>
      <c r="W16" s="64"/>
      <c r="X16" s="62" t="str">
        <f>IF('3.Plan de Estudios'!E145="","",'3.Plan de Estudios'!E145)</f>
        <v/>
      </c>
      <c r="Y16" s="64"/>
      <c r="Z16" s="62" t="str">
        <f>IF('3.Plan de Estudios'!E156="","",'3.Plan de Estudios'!E156)</f>
        <v/>
      </c>
      <c r="AA16" s="64"/>
      <c r="AB16" s="62" t="str">
        <f>IF('3.Plan de Estudios'!E167="","",'3.Plan de Estudios'!E167)</f>
        <v/>
      </c>
    </row>
    <row r="17" spans="2:29" ht="6.6" customHeight="1">
      <c r="B17" s="64"/>
      <c r="C17" s="64"/>
      <c r="D17" s="64"/>
      <c r="E17" s="64"/>
      <c r="F17" s="64"/>
      <c r="G17" s="64"/>
      <c r="H17" s="64"/>
      <c r="I17" s="64"/>
      <c r="J17" s="64"/>
      <c r="K17" s="64"/>
      <c r="L17" s="64"/>
      <c r="M17" s="64"/>
      <c r="N17" s="64"/>
      <c r="O17" s="64"/>
      <c r="P17" s="64"/>
      <c r="Q17" s="64"/>
      <c r="R17" s="64"/>
      <c r="S17" s="64"/>
      <c r="T17" s="64"/>
      <c r="U17" s="64"/>
      <c r="V17" s="64"/>
      <c r="W17" s="64"/>
      <c r="X17" s="64"/>
      <c r="Y17" s="64"/>
      <c r="Z17" s="64"/>
      <c r="AA17" s="64"/>
      <c r="AB17" s="64"/>
      <c r="AC17" s="64"/>
    </row>
    <row r="18" spans="2:29" ht="69.95" hidden="1" customHeight="1">
      <c r="B18" s="62" t="str">
        <f>IF('3.Plan de Estudios'!E25="","",'3.Plan de Estudios'!E25)</f>
        <v/>
      </c>
      <c r="C18" s="64"/>
      <c r="D18" s="62" t="str">
        <f>IF('3.Plan de Estudios'!E36="","",'3.Plan de Estudios'!E36)</f>
        <v/>
      </c>
      <c r="E18" s="64"/>
      <c r="F18" s="62" t="str">
        <f>IF('3.Plan de Estudios'!E47="","",'3.Plan de Estudios'!E47)</f>
        <v/>
      </c>
      <c r="G18" s="64"/>
      <c r="H18" s="62" t="str">
        <f>IF('3.Plan de Estudios'!E58="","",'3.Plan de Estudios'!E58)</f>
        <v/>
      </c>
      <c r="I18" s="64"/>
      <c r="J18" s="62" t="str">
        <f>IF('3.Plan de Estudios'!E69="","",'3.Plan de Estudios'!E69)</f>
        <v/>
      </c>
      <c r="K18" s="64"/>
      <c r="L18" s="62" t="str">
        <f>IF('3.Plan de Estudios'!E80="","",'3.Plan de Estudios'!E80)</f>
        <v/>
      </c>
      <c r="M18" s="64"/>
      <c r="N18" s="62" t="str">
        <f>IF('3.Plan de Estudios'!E91="","",'3.Plan de Estudios'!E91)</f>
        <v/>
      </c>
      <c r="O18" s="64"/>
      <c r="P18" s="62" t="str">
        <f>IF('3.Plan de Estudios'!E102="","",'3.Plan de Estudios'!E102)</f>
        <v/>
      </c>
      <c r="Q18" s="64"/>
      <c r="R18" s="62" t="str">
        <f>IF('3.Plan de Estudios'!E113="","",'3.Plan de Estudios'!E113)</f>
        <v/>
      </c>
      <c r="S18" s="64"/>
      <c r="T18" s="62" t="str">
        <f>IF('3.Plan de Estudios'!E124="","",'3.Plan de Estudios'!E124)</f>
        <v/>
      </c>
      <c r="U18" s="64"/>
      <c r="V18" s="62" t="str">
        <f>IF('3.Plan de Estudios'!E135="","",'3.Plan de Estudios'!E135)</f>
        <v/>
      </c>
      <c r="W18" s="64"/>
      <c r="X18" s="62" t="str">
        <f>IF('3.Plan de Estudios'!E146="","",'3.Plan de Estudios'!E146)</f>
        <v/>
      </c>
      <c r="Y18" s="64"/>
      <c r="Z18" s="62" t="str">
        <f>IF('3.Plan de Estudios'!E157="","",'3.Plan de Estudios'!E157)</f>
        <v/>
      </c>
      <c r="AA18" s="64"/>
      <c r="AB18" s="62" t="str">
        <f>IF('3.Plan de Estudios'!E168="","",'3.Plan de Estudios'!E168)</f>
        <v/>
      </c>
    </row>
    <row r="19" spans="2:29" ht="6" customHeight="1"/>
    <row r="20" spans="2:29" ht="69.75" hidden="1" customHeight="1">
      <c r="B20" s="62" t="str">
        <f>IF('3.Plan de Estudios'!E26="","",'3.Plan de Estudios'!E26)</f>
        <v/>
      </c>
      <c r="D20" s="62" t="str">
        <f>IF('3.Plan de Estudios'!E37="","",'3.Plan de Estudios'!E37)</f>
        <v/>
      </c>
      <c r="F20" s="62" t="str">
        <f>IF('3.Plan de Estudios'!E48="","",'3.Plan de Estudios'!E48)</f>
        <v/>
      </c>
      <c r="H20" s="62" t="str">
        <f>IF('3.Plan de Estudios'!E59="","",'3.Plan de Estudios'!E59)</f>
        <v/>
      </c>
      <c r="J20" s="62" t="str">
        <f>IF('3.Plan de Estudios'!E70="","",'3.Plan de Estudios'!E70)</f>
        <v/>
      </c>
      <c r="L20" s="62" t="str">
        <f>IF('3.Plan de Estudios'!E81="","",'3.Plan de Estudios'!E81)</f>
        <v/>
      </c>
      <c r="N20" s="62" t="str">
        <f>IF('3.Plan de Estudios'!E92="","",'3.Plan de Estudios'!E92)</f>
        <v/>
      </c>
      <c r="P20" s="62" t="str">
        <f>IF('3.Plan de Estudios'!E103="","",'3.Plan de Estudios'!E103)</f>
        <v/>
      </c>
      <c r="R20" s="62" t="str">
        <f>IF('3.Plan de Estudios'!E114="","",'3.Plan de Estudios'!E114)</f>
        <v/>
      </c>
      <c r="T20" s="62" t="str">
        <f>IF('3.Plan de Estudios'!E125="","",'3.Plan de Estudios'!E125)</f>
        <v/>
      </c>
      <c r="V20" s="62" t="str">
        <f>IF('3.Plan de Estudios'!E136="","",'3.Plan de Estudios'!E136)</f>
        <v/>
      </c>
      <c r="X20" s="62" t="str">
        <f>IF('3.Plan de Estudios'!E147="","",'3.Plan de Estudios'!E147)</f>
        <v/>
      </c>
      <c r="Z20" s="62" t="str">
        <f>IF('3.Plan de Estudios'!E158="","",'3.Plan de Estudios'!E158)</f>
        <v/>
      </c>
      <c r="AB20" s="62" t="str">
        <f>IF('3.Plan de Estudios'!E169="","",'3.Plan de Estudios'!E169)</f>
        <v/>
      </c>
    </row>
    <row r="21" spans="2:29" ht="6" hidden="1" customHeight="1"/>
    <row r="22" spans="2:29" ht="69.75" hidden="1" customHeight="1">
      <c r="B22" s="62" t="str">
        <f>IF('3.Plan de Estudios'!E27="","",'3.Plan de Estudios'!E27)</f>
        <v/>
      </c>
      <c r="D22" s="62" t="str">
        <f>IF('3.Plan de Estudios'!E38="","",'3.Plan de Estudios'!E38)</f>
        <v/>
      </c>
      <c r="F22" s="62" t="str">
        <f>IF('3.Plan de Estudios'!E49="","",'3.Plan de Estudios'!E49)</f>
        <v/>
      </c>
      <c r="H22" s="62" t="str">
        <f>IF('3.Plan de Estudios'!E60="","",'3.Plan de Estudios'!E60)</f>
        <v/>
      </c>
      <c r="J22" s="62" t="str">
        <f>IF('3.Plan de Estudios'!E71="","",'3.Plan de Estudios'!E71)</f>
        <v/>
      </c>
      <c r="L22" s="62" t="str">
        <f>IF('3.Plan de Estudios'!E82="","",'3.Plan de Estudios'!E82)</f>
        <v/>
      </c>
      <c r="N22" s="62" t="str">
        <f>IF('3.Plan de Estudios'!E93="","",'3.Plan de Estudios'!E93)</f>
        <v/>
      </c>
      <c r="P22" s="62" t="str">
        <f>IF('3.Plan de Estudios'!E104="","",'3.Plan de Estudios'!E104)</f>
        <v/>
      </c>
      <c r="R22" s="62" t="str">
        <f>IF('3.Plan de Estudios'!E115="","",'3.Plan de Estudios'!E115)</f>
        <v/>
      </c>
      <c r="T22" s="62" t="str">
        <f>IF('3.Plan de Estudios'!E126="","",'3.Plan de Estudios'!E126)</f>
        <v/>
      </c>
      <c r="V22" s="62" t="str">
        <f>IF('3.Plan de Estudios'!E137="","",'3.Plan de Estudios'!E137)</f>
        <v/>
      </c>
      <c r="X22" s="62" t="str">
        <f>IF('3.Plan de Estudios'!E148="","",'3.Plan de Estudios'!E148)</f>
        <v/>
      </c>
      <c r="Z22" s="62" t="str">
        <f>IF('3.Plan de Estudios'!E159="","",'3.Plan de Estudios'!E159)</f>
        <v/>
      </c>
      <c r="AB22" s="62" t="str">
        <f>IF('3.Plan de Estudios'!E170="","",'3.Plan de Estudios'!E170)</f>
        <v/>
      </c>
    </row>
    <row r="23" spans="2:29" ht="6" hidden="1" customHeight="1"/>
    <row r="24" spans="2:29" ht="69.75" hidden="1" customHeight="1">
      <c r="B24" s="62" t="str">
        <f>IF('3.Plan de Estudios'!E28="","",'3.Plan de Estudios'!E28)</f>
        <v/>
      </c>
      <c r="D24" s="62" t="str">
        <f>IF('3.Plan de Estudios'!E39="","",'3.Plan de Estudios'!E39)</f>
        <v/>
      </c>
      <c r="F24" s="62" t="str">
        <f>IF('3.Plan de Estudios'!E50="","",'3.Plan de Estudios'!E50)</f>
        <v/>
      </c>
      <c r="H24" s="62" t="str">
        <f>IF('3.Plan de Estudios'!E61="","",'3.Plan de Estudios'!E61)</f>
        <v/>
      </c>
      <c r="J24" s="62" t="str">
        <f>IF('3.Plan de Estudios'!E72="","",'3.Plan de Estudios'!E72)</f>
        <v/>
      </c>
      <c r="L24" s="62" t="str">
        <f>IF('3.Plan de Estudios'!E83="","",'3.Plan de Estudios'!E83)</f>
        <v/>
      </c>
      <c r="N24" s="62" t="str">
        <f>IF('3.Plan de Estudios'!E94="","",'3.Plan de Estudios'!E94)</f>
        <v/>
      </c>
      <c r="P24" s="62" t="str">
        <f>IF('3.Plan de Estudios'!E105="","",'3.Plan de Estudios'!E105)</f>
        <v/>
      </c>
      <c r="R24" s="62" t="str">
        <f>IF('3.Plan de Estudios'!E116="","",'3.Plan de Estudios'!E116)</f>
        <v/>
      </c>
      <c r="T24" s="62" t="str">
        <f>IF('3.Plan de Estudios'!E127="","",'3.Plan de Estudios'!E127)</f>
        <v/>
      </c>
      <c r="V24" s="62" t="str">
        <f>IF('3.Plan de Estudios'!E138="","",'3.Plan de Estudios'!E138)</f>
        <v/>
      </c>
      <c r="X24" s="62" t="str">
        <f>IF('3.Plan de Estudios'!E149="","",'3.Plan de Estudios'!E149)</f>
        <v/>
      </c>
      <c r="Z24" s="62" t="str">
        <f>IF('3.Plan de Estudios'!E160="","",'3.Plan de Estudios'!E160)</f>
        <v/>
      </c>
      <c r="AB24" s="62" t="str">
        <f>IF('3.Plan de Estudios'!E171="","",'3.Plan de Estudios'!E171)</f>
        <v/>
      </c>
    </row>
    <row r="25" spans="2:29" ht="16.5" hidden="1" customHeight="1"/>
    <row r="26" spans="2:29" ht="32.25" customHeight="1">
      <c r="B26" s="826" t="s">
        <v>464</v>
      </c>
      <c r="C26" s="826"/>
      <c r="D26" s="826"/>
    </row>
    <row r="27" spans="2:29" ht="30" customHeight="1">
      <c r="B27" s="826" t="s">
        <v>465</v>
      </c>
      <c r="C27" s="826"/>
      <c r="D27" s="826"/>
    </row>
    <row r="28" spans="2:29" ht="35.25" customHeight="1">
      <c r="B28" s="826" t="s">
        <v>466</v>
      </c>
      <c r="C28" s="826"/>
      <c r="D28" s="826"/>
      <c r="E28" s="64"/>
    </row>
  </sheetData>
  <sheetProtection formatCells="0" formatColumns="0" formatRows="0" insertColumns="0" insertRows="0" insertHyperlinks="0" deleteColumns="0" deleteRows="0" sort="0" autoFilter="0" pivotTables="0"/>
  <mergeCells count="4">
    <mergeCell ref="B26:D26"/>
    <mergeCell ref="B27:D27"/>
    <mergeCell ref="B28:D28"/>
    <mergeCell ref="B2:AC2"/>
  </mergeCells>
  <pageMargins left="0.25" right="0.25" top="0.75" bottom="0.75" header="0.3" footer="0.3"/>
  <pageSetup paperSize="9" scale="63" orientation="landscape" r:id="rId1"/>
  <drawing r:id="rId2"/>
  <legacyDrawing r:id="rId3"/>
  <controls>
    <mc:AlternateContent xmlns:mc="http://schemas.openxmlformats.org/markup-compatibility/2006">
      <mc:Choice Requires="x14">
        <control shapeId="5121" r:id="rId4" name="CommandButton1">
          <controlPr defaultSize="0" autoLine="0" r:id="rId5">
            <anchor moveWithCells="1">
              <from>
                <xdr:col>3</xdr:col>
                <xdr:colOff>304800</xdr:colOff>
                <xdr:row>0</xdr:row>
                <xdr:rowOff>104775</xdr:rowOff>
              </from>
              <to>
                <xdr:col>5</xdr:col>
                <xdr:colOff>276225</xdr:colOff>
                <xdr:row>0</xdr:row>
                <xdr:rowOff>552450</xdr:rowOff>
              </to>
            </anchor>
          </controlPr>
        </control>
      </mc:Choice>
      <mc:Fallback>
        <control shapeId="5121" r:id="rId4"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152" id="{E8D64922-85B8-4EA7-A689-92E055B26793}">
            <xm:f>VLOOKUP($B$6,'3.Plan de Estudios'!$E$19:$G$171,3,0)=""</xm:f>
            <x14:dxf>
              <border>
                <left/>
                <right/>
                <top/>
                <bottom/>
                <vertical/>
                <horizontal/>
              </border>
            </x14:dxf>
          </x14:cfRule>
          <x14:cfRule type="expression" priority="4153" id="{A3FE0888-2A95-439A-BFCE-34B894F86A8C}">
            <xm:f>VLOOKUP($B$6,'3.Plan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54" id="{F5BC1D0F-723B-4A29-B6B6-6A07548D2EEC}">
            <xm:f>VLOOKUP($B$6,'3.Plan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55" id="{7C69AB10-0113-491B-8E75-CFADF005E49A}">
            <xm:f>VLOOKUP($B$6,'3.Plan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B6</xm:sqref>
        </x14:conditionalFormatting>
        <x14:conditionalFormatting xmlns:xm="http://schemas.microsoft.com/office/excel/2006/main">
          <x14:cfRule type="expression" priority="4160" id="{83DEB987-23FD-459B-ACAA-6DEBA9364E4A}">
            <xm:f>VLOOKUP($B$8,'3.Plan de Estudios'!$E$19:$G$171,3,0)=""</xm:f>
            <x14:dxf>
              <border>
                <left/>
                <right/>
                <top/>
                <bottom/>
                <vertical/>
                <horizontal/>
              </border>
            </x14:dxf>
          </x14:cfRule>
          <x14:cfRule type="expression" priority="4161" id="{32505F3D-0199-44C3-AA14-F28383B9AFA1}">
            <xm:f>VLOOKUP($B$8,'3.Plan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62" id="{1F8AD7CF-A743-49BE-A639-7BB6843744E3}">
            <xm:f>VLOOKUP($B$8,'3.Plan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63" id="{CEBFF613-9844-49E6-9C75-FEEA880140DD}">
            <xm:f>VLOOKUP($B$8,'3.Plan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B8</xm:sqref>
        </x14:conditionalFormatting>
        <x14:conditionalFormatting xmlns:xm="http://schemas.microsoft.com/office/excel/2006/main">
          <x14:cfRule type="expression" priority="4164" id="{A03D581E-9AAA-4EB0-A6FB-D4E197C3751E}">
            <xm:f>VLOOKUP($B$10,'3.Plan de Estudios'!$E$19:$G$171,3,0)=""</xm:f>
            <x14:dxf>
              <border>
                <left/>
                <right/>
                <top/>
                <bottom/>
                <vertical/>
                <horizontal/>
              </border>
            </x14:dxf>
          </x14:cfRule>
          <x14:cfRule type="expression" priority="4165" id="{AE32F8B7-8455-41F3-8B41-C070827DEDBD}">
            <xm:f>VLOOKUP($B$10,'3.Plan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66" id="{EE029378-D48E-405B-844D-EAEB2D6DD7A8}">
            <xm:f>VLOOKUP($B$10,'3.Plan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67" id="{94A984D9-6AE1-4E3B-945B-E956F168F903}">
            <xm:f>VLOOKUP($B$10,'3.Plan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B10</xm:sqref>
        </x14:conditionalFormatting>
        <x14:conditionalFormatting xmlns:xm="http://schemas.microsoft.com/office/excel/2006/main">
          <x14:cfRule type="expression" priority="4168" id="{3FCBAD00-1122-47DF-8764-BD40AB345241}">
            <xm:f>VLOOKUP($B$12,'3.Plan de Estudios'!$E$19:$G$171,3,0)=""</xm:f>
            <x14:dxf>
              <border>
                <left/>
                <right/>
                <top/>
                <bottom/>
                <vertical/>
                <horizontal/>
              </border>
            </x14:dxf>
          </x14:cfRule>
          <x14:cfRule type="expression" priority="4169" id="{BBFD5747-4485-4C74-807B-01E6EFB06135}">
            <xm:f>VLOOKUP($B$12,'3.Plan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70" id="{E3360610-7943-4693-A501-1A38593D5E1C}">
            <xm:f>VLOOKUP($B$12,'3.Plan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71" id="{19A3E243-4338-45DC-AF71-6F7DFED4E1D9}">
            <xm:f>VLOOKUP($B$12,'3.Plan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B12</xm:sqref>
        </x14:conditionalFormatting>
        <x14:conditionalFormatting xmlns:xm="http://schemas.microsoft.com/office/excel/2006/main">
          <x14:cfRule type="expression" priority="4188" id="{619AA5C0-4BC1-4849-80EE-5189E1D1F043}">
            <xm:f>VLOOKUP(B14,'3.Plan de Estudios'!$E$19:$G$171,3,0)=""</xm:f>
            <x14:dxf>
              <border>
                <left/>
                <right/>
                <top/>
                <bottom/>
                <vertical/>
                <horizontal/>
              </border>
            </x14:dxf>
          </x14:cfRule>
          <x14:cfRule type="expression" priority="4189" id="{BB1764B4-5AB4-4BB8-961B-BFDA702D5514}">
            <xm:f>VLOOKUP(B14,'3.Plan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90" id="{3093C0B9-0135-42AA-BA92-3F429FD6D96B}">
            <xm:f>VLOOKUP(B14,'3.Plan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91" id="{CD33DEAF-36C8-4DB3-87BA-3EB4F75BAC59}">
            <xm:f>VLOOKUP(B14,'3.Plan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B14 D14 B16 D16</xm:sqref>
        </x14:conditionalFormatting>
        <x14:conditionalFormatting xmlns:xm="http://schemas.microsoft.com/office/excel/2006/main">
          <x14:cfRule type="expression" priority="4156" id="{8362421A-B890-43CE-A4B0-B44777FC5235}">
            <xm:f>VLOOKUP($B$18,'3.Plan de Estudios'!$E$19:$G$171,3,0)=""</xm:f>
            <x14:dxf>
              <border>
                <left/>
                <right/>
                <top/>
                <bottom/>
                <vertical/>
                <horizontal/>
              </border>
            </x14:dxf>
          </x14:cfRule>
          <x14:cfRule type="expression" priority="4157" id="{CB66B1AA-9B3C-4C83-8B5D-04589531A60A}">
            <xm:f>VLOOKUP($B$18,'3.Plan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58" id="{23F4E409-B15C-416A-B7F6-17E83502BE5A}">
            <xm:f>VLOOKUP($B$18,'3.Plan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59" id="{6999CA09-20AD-42CE-AB23-26B75141ADDE}">
            <xm:f>VLOOKUP($B$18,'3.Plan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B18</xm:sqref>
        </x14:conditionalFormatting>
        <x14:conditionalFormatting xmlns:xm="http://schemas.microsoft.com/office/excel/2006/main">
          <x14:cfRule type="expression" priority="4432" id="{D8E49E71-0EC7-44EB-B604-AB49A9BA063A}">
            <xm:f>VLOOKUP($B$20,'3.Plan de Estudios'!$E$19:$G$171,3,0)=""</xm:f>
            <x14:dxf>
              <border>
                <left/>
                <right/>
                <top/>
                <bottom/>
                <vertical/>
                <horizontal/>
              </border>
            </x14:dxf>
          </x14:cfRule>
          <x14:cfRule type="expression" priority="4433" id="{F8CE8A0E-24AF-4053-9B9C-494B7C660AF8}">
            <xm:f>VLOOKUP($B$20,'3.Plan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34" id="{99A5A46F-81DF-4C48-9957-3D42DD61E0DE}">
            <xm:f>VLOOKUP($B$20,'3.Plan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35" id="{BE59AC96-3835-47AB-8B20-B2B77F7D7236}">
            <xm:f>VLOOKUP($B$20,'3.Plan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B20</xm:sqref>
        </x14:conditionalFormatting>
        <x14:conditionalFormatting xmlns:xm="http://schemas.microsoft.com/office/excel/2006/main">
          <x14:cfRule type="expression" priority="4436" id="{3A996EEB-E385-4598-9B73-BF24F009A13E}">
            <xm:f>VLOOKUP($B$22,'3.Plan de Estudios'!$E$19:$G$171,3,0)=""</xm:f>
            <x14:dxf>
              <border>
                <left/>
                <right/>
                <top/>
                <bottom/>
                <vertical/>
                <horizontal/>
              </border>
            </x14:dxf>
          </x14:cfRule>
          <x14:cfRule type="expression" priority="4437" id="{E0B5C4D0-62C0-4271-899F-13490D6BC62F}">
            <xm:f>VLOOKUP($B$22,'3.Plan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38" id="{16064921-5F57-4A69-A7CB-826D3D0D8FD5}">
            <xm:f>VLOOKUP($B$22,'3.Plan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39" id="{13833EDE-DF42-41CC-91AD-D1A044533F6E}">
            <xm:f>VLOOKUP($B$22,'3.Plan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B22</xm:sqref>
        </x14:conditionalFormatting>
        <x14:conditionalFormatting xmlns:xm="http://schemas.microsoft.com/office/excel/2006/main">
          <x14:cfRule type="expression" priority="4440" id="{236B10AE-9D57-4F90-9399-92335834E9E0}">
            <xm:f>VLOOKUP($B$24,'3.Plan de Estudios'!$E$19:$G$171,3,0)=""</xm:f>
            <x14:dxf>
              <border>
                <left/>
                <right/>
                <top/>
                <bottom/>
                <vertical/>
                <horizontal/>
              </border>
            </x14:dxf>
          </x14:cfRule>
          <x14:cfRule type="expression" priority="4441" id="{BC6769EC-9C19-4D21-B5DC-EDC8883013EC}">
            <xm:f>VLOOKUP($B$24,'3.Plan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42" id="{7CE19285-B5C3-4018-9CAC-50F1527F69BA}">
            <xm:f>VLOOKUP($B$24,'3.Plan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43" id="{5EA3AC27-A96A-4C5F-A176-ABD365849D3D}">
            <xm:f>VLOOKUP($B$24,'3.Plan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B24</xm:sqref>
        </x14:conditionalFormatting>
        <x14:conditionalFormatting xmlns:xm="http://schemas.microsoft.com/office/excel/2006/main">
          <x14:cfRule type="expression" priority="4172" id="{7E3F759A-472B-4326-A696-7298CFB38CFD}">
            <xm:f>VLOOKUP($D$6,'3.Plan de Estudios'!$E$19:$G$171,3,0)=""</xm:f>
            <x14:dxf>
              <border>
                <left/>
                <right/>
                <top/>
                <bottom/>
                <vertical/>
                <horizontal/>
              </border>
            </x14:dxf>
          </x14:cfRule>
          <x14:cfRule type="expression" priority="4173" id="{A3DEBE6C-DD8B-4796-B31C-2CB013FD3DB7}">
            <xm:f>VLOOKUP($D$6,'3.Plan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74" id="{3D1BEB1B-6FA3-4C86-A6FD-E202E2C321BD}">
            <xm:f>VLOOKUP($D$6,'3.Plan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75" id="{AAD20126-7D56-4BE6-9A32-46FF19D8300C}">
            <xm:f>VLOOKUP($D$6,'3.Plan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D6</xm:sqref>
        </x14:conditionalFormatting>
        <x14:conditionalFormatting xmlns:xm="http://schemas.microsoft.com/office/excel/2006/main">
          <x14:cfRule type="expression" priority="4176" id="{F95B6EE1-2107-4436-BA39-968A8CFFF8EC}">
            <xm:f>VLOOKUP($D$8,'3.Plan de Estudios'!$E$19:$G$171,3,0)=""</xm:f>
            <x14:dxf>
              <border>
                <left/>
                <right/>
                <top/>
                <bottom/>
                <vertical/>
                <horizontal/>
              </border>
            </x14:dxf>
          </x14:cfRule>
          <x14:cfRule type="expression" priority="4177" id="{8C6C8975-8469-4AF9-BA8E-79FEEC8F55BD}">
            <xm:f>VLOOKUP($D$8,'3.Plan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78" id="{DBCCA766-E7CE-48B0-85D9-23548EC6616F}">
            <xm:f>VLOOKUP($D$8,'3.Plan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79" id="{04D548E6-F1E4-4F55-A1EE-E3DD92413BB4}">
            <xm:f>VLOOKUP($D$8,'3.Plan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D8</xm:sqref>
        </x14:conditionalFormatting>
        <x14:conditionalFormatting xmlns:xm="http://schemas.microsoft.com/office/excel/2006/main">
          <x14:cfRule type="expression" priority="4180" id="{D9CC120B-A3FC-40ED-B9C3-A61435DC3C83}">
            <xm:f>VLOOKUP($D$10,'3.Plan de Estudios'!$E$19:$G$171,3,0)=""</xm:f>
            <x14:dxf>
              <border>
                <left/>
                <right/>
                <top/>
                <bottom/>
                <vertical/>
                <horizontal/>
              </border>
            </x14:dxf>
          </x14:cfRule>
          <x14:cfRule type="expression" priority="4181" id="{F8DCBA40-87B8-4E41-B614-A861C0E63500}">
            <xm:f>VLOOKUP($D$10,'3.Plan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82" id="{3AE3A7FC-7103-4A1C-BA27-B9645DBD01B0}">
            <xm:f>VLOOKUP($D$10,'3.Plan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83" id="{210E4339-AA30-41E3-8613-431FF705E979}">
            <xm:f>VLOOKUP($D$10,'3.Plan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D10</xm:sqref>
        </x14:conditionalFormatting>
        <x14:conditionalFormatting xmlns:xm="http://schemas.microsoft.com/office/excel/2006/main">
          <x14:cfRule type="expression" priority="4184" id="{431E36BF-8BD7-4BB2-8444-1D4DBF562150}">
            <xm:f>VLOOKUP($D$12,'3.Plan de Estudios'!$E$19:$G$171,3,0)=""</xm:f>
            <x14:dxf>
              <border>
                <left/>
                <right/>
                <top/>
                <bottom/>
                <vertical/>
                <horizontal/>
              </border>
            </x14:dxf>
          </x14:cfRule>
          <x14:cfRule type="expression" priority="4185" id="{E75FF594-FA45-4E2E-985E-57C95AB1AEA5}">
            <xm:f>VLOOKUP($D$12,'3.Plan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86" id="{434968E5-AF38-44B4-883A-2A7993CFC41A}">
            <xm:f>VLOOKUP($D$12,'3.Plan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87" id="{864ED1D9-BADE-4856-9506-71601B8B2682}">
            <xm:f>VLOOKUP($D$12,'3.Plan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D12</xm:sqref>
        </x14:conditionalFormatting>
        <x14:conditionalFormatting xmlns:xm="http://schemas.microsoft.com/office/excel/2006/main">
          <x14:cfRule type="expression" priority="4196" id="{B6B47E02-5630-4704-9492-42721DEBD8A9}">
            <xm:f>VLOOKUP($D$18,'3.Plan de Estudios'!$E$19:$G$171,3,0)=""</xm:f>
            <x14:dxf>
              <border>
                <left/>
                <right/>
                <top/>
                <bottom/>
                <vertical/>
                <horizontal/>
              </border>
            </x14:dxf>
          </x14:cfRule>
          <x14:cfRule type="expression" priority="4197" id="{D26E762B-AB4E-442C-8E10-F08A63F1C2B1}">
            <xm:f>VLOOKUP($D$18,'3.Plan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98" id="{691F5DE9-2C46-48E6-9273-00EEAA194F9A}">
            <xm:f>VLOOKUP($D$18,'3.Plan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99" id="{EDB5A7D2-0AB1-40A7-B4FF-51B9713042AA}">
            <xm:f>VLOOKUP($D$18,'3.Plan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D18</xm:sqref>
        </x14:conditionalFormatting>
        <x14:conditionalFormatting xmlns:xm="http://schemas.microsoft.com/office/excel/2006/main">
          <x14:cfRule type="expression" priority="281" id="{2CC18022-613D-470F-A6C4-90676E4778CC}">
            <xm:f>VLOOKUP($D$20,'3.Plan de Estudios'!$E$19:$G$171,3,0)=""</xm:f>
            <x14:dxf>
              <border>
                <left/>
                <right/>
                <top/>
                <bottom/>
                <vertical/>
                <horizontal/>
              </border>
            </x14:dxf>
          </x14:cfRule>
          <x14:cfRule type="expression" priority="282" id="{002A0229-B022-49B8-98DD-D1C7111B89D6}">
            <xm:f>VLOOKUP($D$20,'3.Plan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83" id="{F32F3C9C-7A80-441A-AF7D-F272E7B22E4B}">
            <xm:f>VLOOKUP($D$20,'3.Plan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84" id="{30E7421C-D684-43AB-93D5-5A5A56B41DD3}">
            <xm:f>VLOOKUP($D$20,'3.Plan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D20</xm:sqref>
        </x14:conditionalFormatting>
        <x14:conditionalFormatting xmlns:xm="http://schemas.microsoft.com/office/excel/2006/main">
          <x14:cfRule type="expression" priority="277" id="{82D7984E-A5D5-4B5B-9E71-3A4BB99ED3BB}">
            <xm:f>VLOOKUP($D$22,'3.Plan de Estudios'!$E$19:$G$171,3,0)=""</xm:f>
            <x14:dxf>
              <border>
                <left/>
                <right/>
                <top/>
                <bottom/>
                <vertical/>
                <horizontal/>
              </border>
            </x14:dxf>
          </x14:cfRule>
          <x14:cfRule type="expression" priority="278" id="{FE4F93C0-2545-4BF6-85D1-E1142914DD13}">
            <xm:f>VLOOKUP($D$22,'3.Plan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79" id="{9B6D9CB1-1EF8-4DB4-9D1B-E84F44976A2D}">
            <xm:f>VLOOKUP($D$22,'3.Plan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80" id="{53F3C63E-6485-4BFF-8F16-5794D364DEF9}">
            <xm:f>VLOOKUP($D$22,'3.Plan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D22</xm:sqref>
        </x14:conditionalFormatting>
        <x14:conditionalFormatting xmlns:xm="http://schemas.microsoft.com/office/excel/2006/main">
          <x14:cfRule type="expression" priority="273" id="{D3DED629-F490-4022-AD0F-49B7B6153F35}">
            <xm:f>VLOOKUP($D$24,'3.Plan de Estudios'!$E$19:$G$171,3,0)=""</xm:f>
            <x14:dxf>
              <border>
                <left/>
                <right/>
                <top/>
                <bottom/>
                <vertical/>
                <horizontal/>
              </border>
            </x14:dxf>
          </x14:cfRule>
          <x14:cfRule type="expression" priority="274" id="{08C19AA3-37E2-489F-86E0-9CAD10891F12}">
            <xm:f>VLOOKUP($D$24,'3.Plan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75" id="{938FC35A-89AC-49A7-BB00-131A43E1647A}">
            <xm:f>VLOOKUP($D$24,'3.Plan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76" id="{82E58517-2295-4EE8-81DF-0E081A62D89F}">
            <xm:f>VLOOKUP($D$24,'3.Plan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D24</xm:sqref>
        </x14:conditionalFormatting>
        <x14:conditionalFormatting xmlns:xm="http://schemas.microsoft.com/office/excel/2006/main">
          <x14:cfRule type="expression" priority="4200" id="{3FB7312B-6AF4-4241-A4E3-8E768C501F6E}">
            <xm:f>VLOOKUP($F$6,'3.Plan de Estudios'!$E$19:$G$171,3,0)=""</xm:f>
            <x14:dxf>
              <border>
                <left/>
                <right/>
                <top/>
                <bottom/>
                <vertical/>
                <horizontal/>
              </border>
            </x14:dxf>
          </x14:cfRule>
          <x14:cfRule type="expression" priority="4201" id="{82DAB786-8390-4008-8AC5-72499260943A}">
            <xm:f>VLOOKUP($F$6,'3.Plan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02" id="{F5D4BC6F-774D-4128-947B-39700C4AD7C6}">
            <xm:f>VLOOKUP($F$6,'3.Plan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03" id="{9FC171AB-1D4A-4EA3-BE8B-0EB94332EB4B}">
            <xm:f>VLOOKUP($F$6,'3.Plan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F6</xm:sqref>
        </x14:conditionalFormatting>
        <x14:conditionalFormatting xmlns:xm="http://schemas.microsoft.com/office/excel/2006/main">
          <x14:cfRule type="expression" priority="4204" id="{119C688D-EDBC-4E1F-BA69-B3C30D62294C}">
            <xm:f>VLOOKUP($F$8,'3.Plan de Estudios'!$E$19:$G$171,3,0)=""</xm:f>
            <x14:dxf>
              <border>
                <left/>
                <right/>
                <top/>
                <bottom/>
                <vertical/>
                <horizontal/>
              </border>
            </x14:dxf>
          </x14:cfRule>
          <x14:cfRule type="expression" priority="4205" id="{CBF43A03-53A0-4233-84E7-24A40D5C653F}">
            <xm:f>VLOOKUP($F$8,'3.Plan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06" id="{09559FF4-992E-4C63-B742-8F45CF4989C6}">
            <xm:f>VLOOKUP($F$8,'3.Plan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07" id="{23E5B032-C379-4C7B-A719-8DB5095DE05A}">
            <xm:f>VLOOKUP($F$8,'3.Plan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F8</xm:sqref>
        </x14:conditionalFormatting>
        <x14:conditionalFormatting xmlns:xm="http://schemas.microsoft.com/office/excel/2006/main">
          <x14:cfRule type="expression" priority="4208" id="{8DAF5C2C-757D-4A11-A3EE-22F19C53E80E}">
            <xm:f>VLOOKUP($F$10,'3.Plan de Estudios'!$E$19:$G$171,3,0)=""</xm:f>
            <x14:dxf>
              <border>
                <left/>
                <right/>
                <top/>
                <bottom/>
                <vertical/>
                <horizontal/>
              </border>
            </x14:dxf>
          </x14:cfRule>
          <x14:cfRule type="expression" priority="4209" id="{4327FCEF-036C-4C39-9D55-D7194912B1FA}">
            <xm:f>VLOOKUP($F$10,'3.Plan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10" id="{11275B46-07E5-4FD6-9586-5833F83ED5D0}">
            <xm:f>VLOOKUP($F$10,'3.Plan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11" id="{ED94B166-ADE7-4D6D-83F5-328FB60B8A4A}">
            <xm:f>VLOOKUP($F$10,'3.Plan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F10</xm:sqref>
        </x14:conditionalFormatting>
        <x14:conditionalFormatting xmlns:xm="http://schemas.microsoft.com/office/excel/2006/main">
          <x14:cfRule type="expression" priority="4212" id="{12CF33DC-72F1-4E70-84F2-1A549E1A9354}">
            <xm:f>VLOOKUP($F$12,'3.Plan de Estudios'!$E$19:$G$171,3,0)=""</xm:f>
            <x14:dxf>
              <border>
                <left/>
                <right/>
                <top/>
                <bottom/>
                <vertical/>
                <horizontal/>
              </border>
            </x14:dxf>
          </x14:cfRule>
          <x14:cfRule type="expression" priority="4213" id="{60F98D47-BA9F-431B-AB2F-C316F97008A9}">
            <xm:f>VLOOKUP($F$12,'3.Plan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14" id="{BAA3ABB9-8D4E-49F3-AFE1-09A380FBE03A}">
            <xm:f>VLOOKUP($F$12,'3.Plan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15" id="{F06289CD-501D-4935-8B74-616EE4A1F689}">
            <xm:f>VLOOKUP($F$12,'3.Plan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F12</xm:sqref>
        </x14:conditionalFormatting>
        <x14:conditionalFormatting xmlns:xm="http://schemas.microsoft.com/office/excel/2006/main">
          <x14:cfRule type="expression" priority="4396" id="{29CF6AEB-8423-46CC-8411-D2DA540BB7BE}">
            <xm:f>VLOOKUP($F$14,'3.Plan de Estudios'!$E$19:$G$171,3,0)=""</xm:f>
            <x14:dxf>
              <border>
                <left/>
                <right/>
                <top/>
                <bottom/>
                <vertical/>
                <horizontal/>
              </border>
            </x14:dxf>
          </x14:cfRule>
          <x14:cfRule type="expression" priority="4397" id="{9893656D-6FEE-4D45-BDE1-CB24482E2122}">
            <xm:f>VLOOKUP($F$14,'3.Plan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98" id="{4E31F510-61CF-40AB-B506-60F478ED7D81}">
            <xm:f>VLOOKUP($F$14,'3.Plan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99" id="{44621DEC-6192-4A83-8479-1D63854C8DB0}">
            <xm:f>VLOOKUP($F$14,'3.Plan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F14</xm:sqref>
        </x14:conditionalFormatting>
        <x14:conditionalFormatting xmlns:xm="http://schemas.microsoft.com/office/excel/2006/main">
          <x14:cfRule type="expression" priority="4400" id="{F327199B-2F81-437F-B28F-01B95CC85492}">
            <xm:f>VLOOKUP($F$16,'3.Plan de Estudios'!$E$19:$G$171,3,0)=""</xm:f>
            <x14:dxf>
              <border>
                <left/>
                <right/>
                <top/>
                <bottom/>
                <vertical/>
                <horizontal/>
              </border>
            </x14:dxf>
          </x14:cfRule>
          <x14:cfRule type="expression" priority="4401" id="{DA2D6246-9028-4A48-AC44-55D6E669D3DC}">
            <xm:f>VLOOKUP($F$16,'3.Plan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02" id="{830F2B96-8CD2-4DAA-9A23-0A055283B1E5}">
            <xm:f>VLOOKUP($F$16,'3.Plan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03" id="{6D42BD23-6007-43D8-9832-6E675155A494}">
            <xm:f>VLOOKUP($F$16,'3.Plan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F16</xm:sqref>
        </x14:conditionalFormatting>
        <x14:conditionalFormatting xmlns:xm="http://schemas.microsoft.com/office/excel/2006/main">
          <x14:cfRule type="expression" priority="4216" id="{E358A412-26EE-443B-9665-52474327F344}">
            <xm:f>VLOOKUP($F$18,'3.Plan de Estudios'!$E$19:$G$171,3,0)=""</xm:f>
            <x14:dxf>
              <border>
                <left/>
                <right/>
                <top/>
                <bottom/>
                <vertical/>
                <horizontal/>
              </border>
            </x14:dxf>
          </x14:cfRule>
          <x14:cfRule type="expression" priority="4217" id="{E177FF34-AFD7-47BA-9207-07E0478C227C}">
            <xm:f>VLOOKUP($F$18,'3.Plan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18" id="{49BD1040-3036-484D-9656-B60D249D06D5}">
            <xm:f>VLOOKUP($F$18,'3.Plan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19" id="{EA507E72-8139-40EA-9C64-8435264BD531}">
            <xm:f>VLOOKUP($F$18,'3.Plan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F18</xm:sqref>
        </x14:conditionalFormatting>
        <x14:conditionalFormatting xmlns:xm="http://schemas.microsoft.com/office/excel/2006/main">
          <x14:cfRule type="expression" priority="269" id="{DCAA7106-2A87-41E6-B367-81F8E527F708}">
            <xm:f>VLOOKUP($F$20,'3.Plan de Estudios'!$E$19:$G$171,3,0)=""</xm:f>
            <x14:dxf>
              <border>
                <left/>
                <right/>
                <top/>
                <bottom/>
                <vertical/>
                <horizontal/>
              </border>
            </x14:dxf>
          </x14:cfRule>
          <x14:cfRule type="expression" priority="270" id="{78BCE202-432D-40F7-9836-C61099B5C5FB}">
            <xm:f>VLOOKUP($F$20,'3.Plan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71" id="{C380C5AA-8821-4D8F-B074-8926C93F9270}">
            <xm:f>VLOOKUP($F$20,'3.Plan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72" id="{5E4A2763-7F67-45A1-A207-2CF6020BCD5B}">
            <xm:f>VLOOKUP($F$20,'3.Plan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F20</xm:sqref>
        </x14:conditionalFormatting>
        <x14:conditionalFormatting xmlns:xm="http://schemas.microsoft.com/office/excel/2006/main">
          <x14:cfRule type="expression" priority="265" id="{904D0B6A-ADF7-4219-9360-641945DE116F}">
            <xm:f>VLOOKUP($F$22,'3.Plan de Estudios'!$E$19:$G$171,3,0)=""</xm:f>
            <x14:dxf>
              <border>
                <left/>
                <right/>
                <top/>
                <bottom/>
                <vertical/>
                <horizontal/>
              </border>
            </x14:dxf>
          </x14:cfRule>
          <x14:cfRule type="expression" priority="266" id="{BF03EC8D-97B8-4F1A-BECD-21D587EAA529}">
            <xm:f>VLOOKUP($F$22,'3.Plan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67" id="{CFBEA8EF-C6F3-402E-9C76-56FD2F789CFD}">
            <xm:f>VLOOKUP($F$22,'3.Plan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68" id="{07D42D55-8217-4792-9398-884DDA46299C}">
            <xm:f>VLOOKUP($F$22,'3.Plan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F22</xm:sqref>
        </x14:conditionalFormatting>
        <x14:conditionalFormatting xmlns:xm="http://schemas.microsoft.com/office/excel/2006/main">
          <x14:cfRule type="expression" priority="261" id="{6050CACE-08EC-46E5-926A-8373E9D7F327}">
            <xm:f>VLOOKUP($F$24,'3.Plan de Estudios'!$E$19:$G$171,3,0)=""</xm:f>
            <x14:dxf>
              <border>
                <left/>
                <right/>
                <top/>
                <bottom/>
                <vertical/>
                <horizontal/>
              </border>
            </x14:dxf>
          </x14:cfRule>
          <x14:cfRule type="expression" priority="262" id="{68C344CA-57DE-478F-8248-54A79E2C8DFC}">
            <xm:f>VLOOKUP($F$24,'3.Plan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63" id="{FD0CA244-E935-480C-98AB-4A53AD5B4F85}">
            <xm:f>VLOOKUP($F$24,'3.Plan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64" id="{21B2B9A4-E68D-4DDE-B7EF-18D16A3FD2FD}">
            <xm:f>VLOOKUP($F$24,'3.Plan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F24</xm:sqref>
        </x14:conditionalFormatting>
        <x14:conditionalFormatting xmlns:xm="http://schemas.microsoft.com/office/excel/2006/main">
          <x14:cfRule type="expression" priority="4220" id="{9FDB59AB-49C9-4399-AF20-9F0E1BA1B2E3}">
            <xm:f>VLOOKUP($H$6,'3.Plan de Estudios'!$E$19:$G$171,3,0)=""</xm:f>
            <x14:dxf>
              <border>
                <left/>
                <right/>
                <top/>
                <bottom/>
                <vertical/>
                <horizontal/>
              </border>
            </x14:dxf>
          </x14:cfRule>
          <x14:cfRule type="expression" priority="4221" id="{6EC48ECF-F7B4-49D9-8EBC-105C13456233}">
            <xm:f>VLOOKUP($H$6,'3.Plan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22" id="{293FF8DF-2A48-4027-8C06-89B01C934FF5}">
            <xm:f>VLOOKUP($H$6,'3.Plan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23" id="{C570586A-DFBA-4C49-94EB-294C9CD7E6D0}">
            <xm:f>VLOOKUP($H$6,'3.Plan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H6</xm:sqref>
        </x14:conditionalFormatting>
        <x14:conditionalFormatting xmlns:xm="http://schemas.microsoft.com/office/excel/2006/main">
          <x14:cfRule type="expression" priority="4224" id="{FC4C886C-6355-4E3D-8A87-6C759D3DE042}">
            <xm:f>VLOOKUP($H$8,'3.Plan de Estudios'!$E$19:$G$171,3,0)=""</xm:f>
            <x14:dxf>
              <border>
                <left/>
                <right/>
                <top/>
                <bottom/>
                <vertical/>
                <horizontal/>
              </border>
            </x14:dxf>
          </x14:cfRule>
          <x14:cfRule type="expression" priority="4225" id="{3926262C-C18A-41EE-8AC4-7DD404A6326B}">
            <xm:f>VLOOKUP($H$8,'3.Plan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26" id="{96599461-BA02-4785-A2CE-6CD2CE57F029}">
            <xm:f>VLOOKUP($H$8,'3.Plan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27" id="{F0730EEC-5FAB-44C0-AAA7-E7744F5A3A08}">
            <xm:f>VLOOKUP($H$8,'3.Plan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H8</xm:sqref>
        </x14:conditionalFormatting>
        <x14:conditionalFormatting xmlns:xm="http://schemas.microsoft.com/office/excel/2006/main">
          <x14:cfRule type="expression" priority="4228" id="{0B8091E2-4591-4077-85AD-B81F9986540A}">
            <xm:f>VLOOKUP($H$10,'3.Plan de Estudios'!$E$19:$G$171,3,0)=""</xm:f>
            <x14:dxf>
              <border>
                <left/>
                <right/>
                <top/>
                <bottom/>
                <vertical/>
                <horizontal/>
              </border>
            </x14:dxf>
          </x14:cfRule>
          <x14:cfRule type="expression" priority="4229" id="{4171BEAD-71B1-4291-83EB-9C255FE9CF71}">
            <xm:f>VLOOKUP($H$10,'3.Plan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30" id="{CB410C31-AEF7-442A-92B9-BEE029B10044}">
            <xm:f>VLOOKUP($H$10,'3.Plan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31" id="{FB89379A-32B9-4878-868F-5ADB2228E050}">
            <xm:f>VLOOKUP($H$10,'3.Plan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H10</xm:sqref>
        </x14:conditionalFormatting>
        <x14:conditionalFormatting xmlns:xm="http://schemas.microsoft.com/office/excel/2006/main">
          <x14:cfRule type="expression" priority="4232" id="{FBB3D64E-0E78-4B85-8DAF-97E2D8290B88}">
            <xm:f>VLOOKUP($H$12,'3.Plan de Estudios'!$E$19:$G$171,3,0)=""</xm:f>
            <x14:dxf>
              <border>
                <left/>
                <right/>
                <top/>
                <bottom/>
                <vertical/>
                <horizontal/>
              </border>
            </x14:dxf>
          </x14:cfRule>
          <x14:cfRule type="expression" priority="4233" id="{3B69AFE8-468C-4026-9CE6-90D91B5932F7}">
            <xm:f>VLOOKUP($H$12,'3.Plan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34" id="{FB136072-7459-4942-A3E4-742E101DF443}">
            <xm:f>VLOOKUP($H$12,'3.Plan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35" id="{F4583405-7C58-46BD-8AF4-B4151DEB0D8E}">
            <xm:f>VLOOKUP($H$12,'3.Plan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H12</xm:sqref>
        </x14:conditionalFormatting>
        <x14:conditionalFormatting xmlns:xm="http://schemas.microsoft.com/office/excel/2006/main">
          <x14:cfRule type="expression" priority="4236" id="{A6F28BF4-1A92-4FF8-A8EC-F3B1A1B9E3BD}">
            <xm:f>VLOOKUP($H$14,'3.Plan de Estudios'!$E$19:$G$171,3,0)=""</xm:f>
            <x14:dxf>
              <border>
                <left/>
                <right/>
                <top/>
                <bottom/>
                <vertical/>
                <horizontal/>
              </border>
            </x14:dxf>
          </x14:cfRule>
          <x14:cfRule type="expression" priority="4237" id="{B6CE17AE-0067-44C4-92C4-65EBFA814D66}">
            <xm:f>VLOOKUP($H$14,'3.Plan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38" id="{153919AB-2B48-407C-B326-AD9873D6DE2A}">
            <xm:f>VLOOKUP($H$14,'3.Plan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39" id="{0B9F385C-1810-4919-A472-28496CB14976}">
            <xm:f>VLOOKUP($H$14,'3.Plan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H14</xm:sqref>
        </x14:conditionalFormatting>
        <x14:conditionalFormatting xmlns:xm="http://schemas.microsoft.com/office/excel/2006/main">
          <x14:cfRule type="expression" priority="4404" id="{4B0D2A89-E7AF-4685-B845-284D809CD16F}">
            <xm:f>VLOOKUP($H$16,'3.Plan de Estudios'!$E$19:$G$171,3,0)=""</xm:f>
            <x14:dxf>
              <border>
                <left/>
                <right/>
                <top/>
                <bottom/>
                <vertical/>
                <horizontal/>
              </border>
            </x14:dxf>
          </x14:cfRule>
          <x14:cfRule type="expression" priority="4405" id="{3C5D67AE-449F-45C3-8BAA-B33ACFACD57D}">
            <xm:f>VLOOKUP($H$16,'3.Plan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06" id="{0C23C09B-7DB2-41A9-99D8-7EA779F0DB59}">
            <xm:f>VLOOKUP($H$16,'3.Plan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07" id="{38E6DEA5-9FD7-45E8-B987-35D85EDDA8CF}">
            <xm:f>VLOOKUP($H$16,'3.Plan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H16</xm:sqref>
        </x14:conditionalFormatting>
        <x14:conditionalFormatting xmlns:xm="http://schemas.microsoft.com/office/excel/2006/main">
          <x14:cfRule type="expression" priority="4240" id="{B73C3CD9-97AA-4F21-9A43-A04E2C38827E}">
            <xm:f>VLOOKUP($H$18,'3.Plan de Estudios'!$E$19:$G$171,3,0)=""</xm:f>
            <x14:dxf>
              <border>
                <left/>
                <right/>
                <top/>
                <bottom/>
                <vertical/>
                <horizontal/>
              </border>
            </x14:dxf>
          </x14:cfRule>
          <x14:cfRule type="expression" priority="4241" id="{B0423237-02AE-418B-91F8-E4A97FF75C8F}">
            <xm:f>VLOOKUP($H$18,'3.Plan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42" id="{7FBB17EC-8021-47DE-A9CA-9C55E1AA12B4}">
            <xm:f>VLOOKUP($H$18,'3.Plan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43" id="{246AB6ED-01BD-4FCF-9C1D-73D2FCD2B9AA}">
            <xm:f>VLOOKUP($H$18,'3.Plan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H18</xm:sqref>
        </x14:conditionalFormatting>
        <x14:conditionalFormatting xmlns:xm="http://schemas.microsoft.com/office/excel/2006/main">
          <x14:cfRule type="expression" priority="257" id="{0943F173-5170-4EA2-9A13-990F7F19F07A}">
            <xm:f>VLOOKUP($H$20,'3.Plan de Estudios'!$E$19:$G$171,3,0)=""</xm:f>
            <x14:dxf>
              <border>
                <left/>
                <right/>
                <top/>
                <bottom/>
                <vertical/>
                <horizontal/>
              </border>
            </x14:dxf>
          </x14:cfRule>
          <x14:cfRule type="expression" priority="258" id="{22BAB518-0AD9-4354-BD64-34046CF202CB}">
            <xm:f>VLOOKUP($H$20,'3.Plan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59" id="{D4E13048-1756-4C1A-A22B-D3FD211FF78F}">
            <xm:f>VLOOKUP($H$20,'3.Plan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60" id="{5B6FC67D-B86D-443C-A04F-99B5D92F63CD}">
            <xm:f>VLOOKUP($H$20,'3.Plan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H20</xm:sqref>
        </x14:conditionalFormatting>
        <x14:conditionalFormatting xmlns:xm="http://schemas.microsoft.com/office/excel/2006/main">
          <x14:cfRule type="expression" priority="253" id="{1706A400-392D-487C-8645-698C9EDABC11}">
            <xm:f>VLOOKUP($H$22,'3.Plan de Estudios'!$E$19:$G$171,3,0)=""</xm:f>
            <x14:dxf>
              <border>
                <left/>
                <right/>
                <top/>
                <bottom/>
                <vertical/>
                <horizontal/>
              </border>
            </x14:dxf>
          </x14:cfRule>
          <x14:cfRule type="expression" priority="254" id="{6EB3F7F8-58BA-4310-9C5B-90F80DD92AFF}">
            <xm:f>VLOOKUP($H$22,'3.Plan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55" id="{81300657-B704-4991-82CF-9B446D288B91}">
            <xm:f>VLOOKUP($H$22,'3.Plan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56" id="{EE605373-3AB3-4C87-A491-DED7934D4219}">
            <xm:f>VLOOKUP($H$22,'3.Plan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H22</xm:sqref>
        </x14:conditionalFormatting>
        <x14:conditionalFormatting xmlns:xm="http://schemas.microsoft.com/office/excel/2006/main">
          <x14:cfRule type="expression" priority="249" id="{707DE53C-F11C-4779-98D5-0655FA0BCE37}">
            <xm:f>VLOOKUP($H$24,'3.Plan de Estudios'!$E$19:$G$171,3,0)=""</xm:f>
            <x14:dxf>
              <border>
                <left/>
                <right/>
                <top/>
                <bottom/>
                <vertical/>
                <horizontal/>
              </border>
            </x14:dxf>
          </x14:cfRule>
          <x14:cfRule type="expression" priority="250" id="{2C7F8CB6-6790-4781-AB5F-647F0694CE89}">
            <xm:f>VLOOKUP($H$24,'3.Plan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51" id="{83E690E2-D3AF-4476-8AD4-ABE317A2EF07}">
            <xm:f>VLOOKUP($H$24,'3.Plan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52" id="{49F8E4A6-19F8-4A09-BC2C-73B0A62CCF44}">
            <xm:f>VLOOKUP($H$24,'3.Plan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H24</xm:sqref>
        </x14:conditionalFormatting>
        <x14:conditionalFormatting xmlns:xm="http://schemas.microsoft.com/office/excel/2006/main">
          <x14:cfRule type="expression" priority="4244" id="{A373E927-B062-4CDF-9759-EFF7D841C57E}">
            <xm:f>VLOOKUP($J$6,'3.Plan de Estudios'!$E$19:$G$171,3,0)=""</xm:f>
            <x14:dxf>
              <border>
                <left/>
                <right/>
                <top/>
                <bottom/>
                <vertical/>
                <horizontal/>
              </border>
            </x14:dxf>
          </x14:cfRule>
          <x14:cfRule type="expression" priority="4245" id="{027906B4-056D-4398-95E8-6CA446AA821D}">
            <xm:f>VLOOKUP($J$6,'3.Plan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46" id="{77BE0D5A-4360-4A09-B632-E524B7C84FD8}">
            <xm:f>VLOOKUP($J$6,'3.Plan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47" id="{336CB7EE-820A-43AF-A1B9-8411FF693E6B}">
            <xm:f>VLOOKUP($J$6,'3.Plan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J6</xm:sqref>
        </x14:conditionalFormatting>
        <x14:conditionalFormatting xmlns:xm="http://schemas.microsoft.com/office/excel/2006/main">
          <x14:cfRule type="expression" priority="4248" id="{FA0592E3-B37E-4BF0-B56C-62D089A089A1}">
            <xm:f>VLOOKUP($J$8,'3.Plan de Estudios'!$E$19:$G$171,3,0)=""</xm:f>
            <x14:dxf>
              <border>
                <left/>
                <right/>
                <top/>
                <bottom/>
                <vertical/>
                <horizontal/>
              </border>
            </x14:dxf>
          </x14:cfRule>
          <x14:cfRule type="expression" priority="4249" id="{05E3FD7C-4672-43CC-8877-B5EC1E5A8D40}">
            <xm:f>VLOOKUP($J$8,'3.Plan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50" id="{52DF8AFE-8775-42F0-937E-C2E234FD1423}">
            <xm:f>VLOOKUP($J$8,'3.Plan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51" id="{6C0E5A88-7508-43C8-966A-AC6ABDCC03C4}">
            <xm:f>VLOOKUP($J$8,'3.Plan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J8</xm:sqref>
        </x14:conditionalFormatting>
        <x14:conditionalFormatting xmlns:xm="http://schemas.microsoft.com/office/excel/2006/main">
          <x14:cfRule type="expression" priority="4252" id="{138509FB-9EAF-45E4-88BD-1ECE25B7126A}">
            <xm:f>VLOOKUP($J$10,'3.Plan de Estudios'!$E$19:$G$171,3,0)=""</xm:f>
            <x14:dxf>
              <border>
                <left/>
                <right/>
                <top/>
                <bottom/>
                <vertical/>
                <horizontal/>
              </border>
            </x14:dxf>
          </x14:cfRule>
          <x14:cfRule type="expression" priority="4253" id="{5EEEEF2A-D5F3-4CCF-85F0-5F2ABFC2CBAA}">
            <xm:f>VLOOKUP($J$10,'3.Plan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54" id="{7F9FD27B-636B-45C5-AD07-409991129B4C}">
            <xm:f>VLOOKUP($J$10,'3.Plan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55" id="{2D68FE6A-8757-4CDC-ACE3-42709260E96B}">
            <xm:f>VLOOKUP($J$10,'3.Plan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J10</xm:sqref>
        </x14:conditionalFormatting>
        <x14:conditionalFormatting xmlns:xm="http://schemas.microsoft.com/office/excel/2006/main">
          <x14:cfRule type="expression" priority="4256" id="{01806E1D-DB6B-4A3A-A7D6-A37E879FC746}">
            <xm:f>VLOOKUP($J$12,'3.Plan de Estudios'!$E$19:$G$171,3,0)=""</xm:f>
            <x14:dxf>
              <border>
                <left/>
                <right/>
                <top/>
                <bottom/>
                <vertical/>
                <horizontal/>
              </border>
            </x14:dxf>
          </x14:cfRule>
          <x14:cfRule type="expression" priority="4257" id="{99982206-FEB4-4454-A776-3E6CD20697FC}">
            <xm:f>VLOOKUP($J$12,'3.Plan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58" id="{0E911483-63EE-4357-AA07-4577FA74C115}">
            <xm:f>VLOOKUP($J$12,'3.Plan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59" id="{C44ABC4D-7BF1-4665-8CAE-3917BD28241E}">
            <xm:f>VLOOKUP($J$12,'3.Plan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J12</xm:sqref>
        </x14:conditionalFormatting>
        <x14:conditionalFormatting xmlns:xm="http://schemas.microsoft.com/office/excel/2006/main">
          <x14:cfRule type="expression" priority="4260" id="{4B3F0F06-6074-44CF-8853-09087E92B192}">
            <xm:f>VLOOKUP($J$14,'3.Plan de Estudios'!$E$19:$G$171,3,0)=""</xm:f>
            <x14:dxf>
              <border>
                <left/>
                <right/>
                <top/>
                <bottom/>
                <vertical/>
                <horizontal/>
              </border>
            </x14:dxf>
          </x14:cfRule>
          <x14:cfRule type="expression" priority="4261" id="{3973101C-B721-4DB3-BB48-C4C5100E4E36}">
            <xm:f>VLOOKUP($J$14,'3.Plan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62" id="{BF8953BB-67C1-4103-BCFB-82DC024F1E0A}">
            <xm:f>VLOOKUP($J$14,'3.Plan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63" id="{3BDA7E34-5A66-4463-96D5-6E2839381C2C}">
            <xm:f>VLOOKUP($J$14,'3.Plan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J14</xm:sqref>
        </x14:conditionalFormatting>
        <x14:conditionalFormatting xmlns:xm="http://schemas.microsoft.com/office/excel/2006/main">
          <x14:cfRule type="expression" priority="4408" id="{3A76666D-2713-4BB7-9269-1CF7CFCE7BE8}">
            <xm:f>VLOOKUP($J$16,'3.Plan de Estudios'!$E$19:$G$171,3,0)=""</xm:f>
            <x14:dxf>
              <border>
                <left/>
                <right/>
                <top/>
                <bottom/>
                <vertical/>
                <horizontal/>
              </border>
            </x14:dxf>
          </x14:cfRule>
          <x14:cfRule type="expression" priority="4409" id="{2CD6336D-FD74-4F22-98B0-84C358A6ADF8}">
            <xm:f>VLOOKUP($J$16,'3.Plan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10" id="{BFC0AAC1-9946-4C86-A89D-73EF283F9AF6}">
            <xm:f>VLOOKUP($J$16,'3.Plan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11" id="{7B2F28AE-D99C-4C50-8CB9-E476F9DCE83C}">
            <xm:f>VLOOKUP($J$16,'3.Plan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J16</xm:sqref>
        </x14:conditionalFormatting>
        <x14:conditionalFormatting xmlns:xm="http://schemas.microsoft.com/office/excel/2006/main">
          <x14:cfRule type="expression" priority="4264" id="{D3286A67-D633-47E8-8496-1118DBD5F05F}">
            <xm:f>VLOOKUP($J$18,'3.Plan de Estudios'!$E$19:$G$171,3,0)=""</xm:f>
            <x14:dxf>
              <border>
                <left/>
                <right/>
                <top/>
                <bottom/>
                <vertical/>
                <horizontal/>
              </border>
            </x14:dxf>
          </x14:cfRule>
          <x14:cfRule type="expression" priority="4265" id="{2811E6BC-25BD-46CB-B7FD-B7E7C61BC3DF}">
            <xm:f>VLOOKUP($J$18,'3.Plan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66" id="{49E31CAC-DA06-4258-9593-FC6C66A0FAC5}">
            <xm:f>VLOOKUP($J$18,'3.Plan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67" id="{EC02A7B3-B96B-4097-AB97-7A40B343ED6C}">
            <xm:f>VLOOKUP($J$18,'3.Plan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J18</xm:sqref>
        </x14:conditionalFormatting>
        <x14:conditionalFormatting xmlns:xm="http://schemas.microsoft.com/office/excel/2006/main">
          <x14:cfRule type="expression" priority="245" id="{F5377BE5-4C8A-4F39-9D26-2D8175290547}">
            <xm:f>VLOOKUP($J$20,'3.Plan de Estudios'!$E$19:$G$171,3,0)=""</xm:f>
            <x14:dxf>
              <border>
                <left/>
                <right/>
                <top/>
                <bottom/>
                <vertical/>
                <horizontal/>
              </border>
            </x14:dxf>
          </x14:cfRule>
          <x14:cfRule type="expression" priority="246" id="{DBBF915A-1CDD-4160-9E18-A60EC1BE309A}">
            <xm:f>VLOOKUP($J$20,'3.Plan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47" id="{CB9750BC-560D-4977-A3E2-FB7903BBDC77}">
            <xm:f>VLOOKUP($J$20,'3.Plan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48" id="{9B118D24-0216-4ECA-98D9-982A9D2D5EF6}">
            <xm:f>VLOOKUP($J$20,'3.Plan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J20</xm:sqref>
        </x14:conditionalFormatting>
        <x14:conditionalFormatting xmlns:xm="http://schemas.microsoft.com/office/excel/2006/main">
          <x14:cfRule type="expression" priority="241" id="{D72CA539-1197-4E9A-9D9C-C6F62EB097CD}">
            <xm:f>VLOOKUP($J$22,'3.Plan de Estudios'!$E$19:$G$171,3,0)=""</xm:f>
            <x14:dxf>
              <border>
                <left/>
                <right/>
                <top/>
                <bottom/>
                <vertical/>
                <horizontal/>
              </border>
            </x14:dxf>
          </x14:cfRule>
          <x14:cfRule type="expression" priority="242" id="{30032167-8A3C-439A-8A50-73D824BED6B0}">
            <xm:f>VLOOKUP($J$22,'3.Plan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43" id="{F20FAB9D-66E4-4AEF-82EA-64023CBDB0C6}">
            <xm:f>VLOOKUP($J$22,'3.Plan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44" id="{7053F4B0-F96A-490A-83E8-4C036F5F36AF}">
            <xm:f>VLOOKUP($J$22,'3.Plan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237" id="{43AF58D1-70BD-48AA-970C-3B81A75621F5}">
            <xm:f>VLOOKUP($J$24,'3.Plan de Estudios'!$E$19:$G$171,3,0)=""</xm:f>
            <x14:dxf>
              <border>
                <left/>
                <right/>
                <top/>
                <bottom/>
                <vertical/>
                <horizontal/>
              </border>
            </x14:dxf>
          </x14:cfRule>
          <x14:cfRule type="expression" priority="238" id="{3B42FA38-959B-4C5E-AED4-AC8D3A4B4E7C}">
            <xm:f>VLOOKUP($J$24,'3.Plan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39" id="{7D8768AC-3F9C-4718-9128-C522E3927E72}">
            <xm:f>VLOOKUP($J$24,'3.Plan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40" id="{E2B7B3F8-4CE3-48FD-966F-DDAC618B5DF9}">
            <xm:f>VLOOKUP($J$24,'3.Plan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J24</xm:sqref>
        </x14:conditionalFormatting>
        <x14:conditionalFormatting xmlns:xm="http://schemas.microsoft.com/office/excel/2006/main">
          <x14:cfRule type="expression" priority="4268" id="{76DB5AAE-6BFD-4C18-98DC-D399BEC2717A}">
            <xm:f>VLOOKUP($L$6,'3.Plan de Estudios'!$E$19:$G$171,3,0)=""</xm:f>
            <x14:dxf>
              <border>
                <left/>
                <right/>
                <top/>
                <bottom/>
                <vertical/>
                <horizontal/>
              </border>
            </x14:dxf>
          </x14:cfRule>
          <x14:cfRule type="expression" priority="4269" id="{3E785BDA-7914-4AC2-BAC0-8DEAE953D7F3}">
            <xm:f>VLOOKUP($L$6,'3.Plan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70" id="{7E30699A-B795-4B41-ADF0-B246102063BB}">
            <xm:f>VLOOKUP($L$6,'3.Plan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71" id="{E30B1346-3BD5-4E69-9A29-7DAEE00415B8}">
            <xm:f>VLOOKUP($L$6,'3.Plan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L6</xm:sqref>
        </x14:conditionalFormatting>
        <x14:conditionalFormatting xmlns:xm="http://schemas.microsoft.com/office/excel/2006/main">
          <x14:cfRule type="expression" priority="4272" id="{BCD3F9C1-E23D-43A0-B9F3-5B24E2962EC8}">
            <xm:f>VLOOKUP($L$8,'3.Plan de Estudios'!$E$19:$G$171,3,0)=""</xm:f>
            <x14:dxf>
              <border>
                <left/>
                <right/>
                <top/>
                <bottom/>
                <vertical/>
                <horizontal/>
              </border>
            </x14:dxf>
          </x14:cfRule>
          <x14:cfRule type="expression" priority="4273" id="{05D9EAD7-0AB1-4E69-B386-8DCC354DD587}">
            <xm:f>VLOOKUP($L$8,'3.Plan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74" id="{5FA1523F-DFDC-4414-8F38-B8FF4F8C8678}">
            <xm:f>VLOOKUP($L$8,'3.Plan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75" id="{D55E189D-7C83-4E7A-9F9E-7034646CD21A}">
            <xm:f>VLOOKUP($L$8,'3.Plan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L8</xm:sqref>
        </x14:conditionalFormatting>
        <x14:conditionalFormatting xmlns:xm="http://schemas.microsoft.com/office/excel/2006/main">
          <x14:cfRule type="expression" priority="4276" id="{36F3B98F-FB03-481E-BBBD-C2188C46ADA7}">
            <xm:f>VLOOKUP($L$10,'3.Plan de Estudios'!$E$19:$G$171,3,0)=""</xm:f>
            <x14:dxf>
              <border>
                <left/>
                <right/>
                <top/>
                <bottom/>
                <vertical/>
                <horizontal/>
              </border>
            </x14:dxf>
          </x14:cfRule>
          <x14:cfRule type="expression" priority="4277" id="{32F4CF53-A5C3-4E74-89A2-317D002E0A30}">
            <xm:f>VLOOKUP($L$10,'3.Plan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78" id="{EB5C15DF-1FD6-443D-AAB6-7B4A65DC97DD}">
            <xm:f>VLOOKUP($L$10,'3.Plan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79" id="{9E1CBD41-EFDB-4E3A-AA9C-11C331C38682}">
            <xm:f>VLOOKUP($L$10,'3.Plan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L10</xm:sqref>
        </x14:conditionalFormatting>
        <x14:conditionalFormatting xmlns:xm="http://schemas.microsoft.com/office/excel/2006/main">
          <x14:cfRule type="expression" priority="4280" id="{AC23154E-4984-47B2-BBBA-C139BBE1E83E}">
            <xm:f>VLOOKUP($L$12,'3.Plan de Estudios'!$E$19:$G$171,3,0)=""</xm:f>
            <x14:dxf>
              <border>
                <left/>
                <right/>
                <top/>
                <bottom/>
                <vertical/>
                <horizontal/>
              </border>
            </x14:dxf>
          </x14:cfRule>
          <x14:cfRule type="expression" priority="4281" id="{F4CDD097-0661-4737-9DCC-8C7FC7358DE6}">
            <xm:f>VLOOKUP($L$12,'3.Plan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82" id="{07212ADF-B7E9-4976-AB79-E04E9FF7FB34}">
            <xm:f>VLOOKUP($L$12,'3.Plan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83" id="{36017FA8-E4EE-46BD-99F1-F81D2F4375A5}">
            <xm:f>VLOOKUP($L$12,'3.Plan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L12</xm:sqref>
        </x14:conditionalFormatting>
        <x14:conditionalFormatting xmlns:xm="http://schemas.microsoft.com/office/excel/2006/main">
          <x14:cfRule type="expression" priority="4284" id="{53C9772C-B9BC-47A8-9726-9A511674319C}">
            <xm:f>VLOOKUP($L$14,'3.Plan de Estudios'!$E$19:$G$171,3,0)=""</xm:f>
            <x14:dxf>
              <border>
                <left/>
                <right/>
                <top/>
                <bottom/>
                <vertical/>
                <horizontal/>
              </border>
            </x14:dxf>
          </x14:cfRule>
          <x14:cfRule type="expression" priority="4285" id="{42C2F9E5-A56D-456D-91F4-973CC672FD81}">
            <xm:f>VLOOKUP($L$14,'3.Plan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86" id="{66F5A2C5-70F0-4994-8E62-B19CBDEE865F}">
            <xm:f>VLOOKUP($L$14,'3.Plan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87" id="{2E680F59-6320-435C-8F53-F37986C784B7}">
            <xm:f>VLOOKUP($L$14,'3.Plan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L14</xm:sqref>
        </x14:conditionalFormatting>
        <x14:conditionalFormatting xmlns:xm="http://schemas.microsoft.com/office/excel/2006/main">
          <x14:cfRule type="expression" priority="4412" id="{34859EB7-3995-4BE7-BB9C-DDC1916D3BF3}">
            <xm:f>VLOOKUP($L$16,'3.Plan de Estudios'!$E$19:$G$171,3,0)=""</xm:f>
            <x14:dxf>
              <border>
                <left/>
                <right/>
                <top/>
                <bottom/>
                <vertical/>
                <horizontal/>
              </border>
            </x14:dxf>
          </x14:cfRule>
          <x14:cfRule type="expression" priority="4413" id="{3123CC43-D963-4081-9A9D-CE3E933DBBD4}">
            <xm:f>VLOOKUP($L$16,'3.Plan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14" id="{86831B61-A2FC-46D6-96EC-5719292F06EB}">
            <xm:f>VLOOKUP($L$16,'3.Plan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15" id="{EFEBD9CB-E5BA-479A-A22B-EB55F9F8B6C4}">
            <xm:f>VLOOKUP($L$16,'3.Plan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L16</xm:sqref>
        </x14:conditionalFormatting>
        <x14:conditionalFormatting xmlns:xm="http://schemas.microsoft.com/office/excel/2006/main">
          <x14:cfRule type="expression" priority="4288" id="{A4892545-468E-41B9-B929-D376CEDA520B}">
            <xm:f>VLOOKUP($L$18,'3.Plan de Estudios'!$E$19:$G$171,3,0)=""</xm:f>
            <x14:dxf>
              <border>
                <left/>
                <right/>
                <top/>
                <bottom/>
                <vertical/>
                <horizontal/>
              </border>
            </x14:dxf>
          </x14:cfRule>
          <x14:cfRule type="expression" priority="4289" id="{996E1427-EB7C-44D9-AD68-54CF85AEA098}">
            <xm:f>VLOOKUP($L$18,'3.Plan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90" id="{A7915F9C-47EE-47F8-B573-53CE6C1583CB}">
            <xm:f>VLOOKUP($L$18,'3.Plan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91" id="{57040746-1D2B-432D-8954-4B07BA681F65}">
            <xm:f>VLOOKUP($L$18,'3.Plan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L18</xm:sqref>
        </x14:conditionalFormatting>
        <x14:conditionalFormatting xmlns:xm="http://schemas.microsoft.com/office/excel/2006/main">
          <x14:cfRule type="expression" priority="233" id="{5897D1F6-13A4-4AD8-93D0-A173BD30F46C}">
            <xm:f>VLOOKUP($L$20,'3.Plan de Estudios'!$E$19:$G$171,3,0)=""</xm:f>
            <x14:dxf>
              <border>
                <left/>
                <right/>
                <top/>
                <bottom/>
                <vertical/>
                <horizontal/>
              </border>
            </x14:dxf>
          </x14:cfRule>
          <x14:cfRule type="expression" priority="234" id="{80D5137D-0CB9-4BEC-8D99-30C211D89C51}">
            <xm:f>VLOOKUP($L$20,'3.Plan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35" id="{9B0CF162-EC41-4886-A506-CC36CBEE1DF9}">
            <xm:f>VLOOKUP($L$20,'3.Plan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36" id="{7EE1EAC5-AD60-425D-AADE-26097AF8BE24}">
            <xm:f>VLOOKUP($L$20,'3.Plan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L20</xm:sqref>
        </x14:conditionalFormatting>
        <x14:conditionalFormatting xmlns:xm="http://schemas.microsoft.com/office/excel/2006/main">
          <x14:cfRule type="expression" priority="229" id="{8933EB56-34AB-4B09-A27C-603A7B247207}">
            <xm:f>VLOOKUP($L$22,'3.Plan de Estudios'!$E$19:$G$171,3,0)=""</xm:f>
            <x14:dxf>
              <border>
                <left/>
                <right/>
                <top/>
                <bottom/>
                <vertical/>
                <horizontal/>
              </border>
            </x14:dxf>
          </x14:cfRule>
          <x14:cfRule type="expression" priority="230" id="{9A072835-7CFF-4661-A02E-7E84ED3CAC31}">
            <xm:f>VLOOKUP($L$22,'3.Plan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31" id="{8742511E-EA70-4346-BE8C-AD482C3D48B0}">
            <xm:f>VLOOKUP($L$22,'3.Plan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32" id="{0DA81324-B8AF-4DC2-BEDA-1D2A7DEADB67}">
            <xm:f>VLOOKUP($L$22,'3.Plan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L22</xm:sqref>
        </x14:conditionalFormatting>
        <x14:conditionalFormatting xmlns:xm="http://schemas.microsoft.com/office/excel/2006/main">
          <x14:cfRule type="expression" priority="225" id="{EBC11725-651A-454F-BC19-DE562A30ED59}">
            <xm:f>VLOOKUP($L$24,'3.Plan de Estudios'!$E$19:$G$171,3,0)=""</xm:f>
            <x14:dxf>
              <border>
                <left/>
                <right/>
                <top/>
                <bottom/>
                <vertical/>
                <horizontal/>
              </border>
            </x14:dxf>
          </x14:cfRule>
          <x14:cfRule type="expression" priority="226" id="{38633C7C-0025-4CC6-891D-90A9928A81CC}">
            <xm:f>VLOOKUP($L$24,'3.Plan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27" id="{574DD7D1-43A0-41EF-AB72-7BC60A8B443E}">
            <xm:f>VLOOKUP($L$24,'3.Plan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28" id="{A0A84189-EF45-406B-81D3-B6BDE67CE472}">
            <xm:f>VLOOKUP($L$24,'3.Plan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L24</xm:sqref>
        </x14:conditionalFormatting>
        <x14:conditionalFormatting xmlns:xm="http://schemas.microsoft.com/office/excel/2006/main">
          <x14:cfRule type="expression" priority="4292" id="{D11D080D-C9EA-434C-A7B3-AF03F9F2F7A7}">
            <xm:f>VLOOKUP($N$6,'3.Plan de Estudios'!$E$19:$G$171,3,0)=""</xm:f>
            <x14:dxf>
              <border>
                <left/>
                <right/>
                <top/>
                <bottom/>
                <vertical/>
                <horizontal/>
              </border>
            </x14:dxf>
          </x14:cfRule>
          <x14:cfRule type="expression" priority="4293" id="{AC8D602B-E3E7-4389-BA66-073752B3EDDD}">
            <xm:f>VLOOKUP($N$6,'3.Plan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94" id="{E8F14A16-AA6D-4DFE-9863-77394A5B814F}">
            <xm:f>VLOOKUP($N$6,'3.Plan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95" id="{ECA1FB5F-C849-4EE1-B598-6E8D10616678}">
            <xm:f>VLOOKUP($N$6,'3.Plan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N6</xm:sqref>
        </x14:conditionalFormatting>
        <x14:conditionalFormatting xmlns:xm="http://schemas.microsoft.com/office/excel/2006/main">
          <x14:cfRule type="expression" priority="4296" id="{AA962DF5-3D0F-4C19-A512-F06D9CA5CCFD}">
            <xm:f>VLOOKUP($N$8,'3.Plan de Estudios'!$E$19:$G$171,3,0)=""</xm:f>
            <x14:dxf>
              <border>
                <left/>
                <right/>
                <top/>
                <bottom/>
                <vertical/>
                <horizontal/>
              </border>
            </x14:dxf>
          </x14:cfRule>
          <x14:cfRule type="expression" priority="4297" id="{2F0C2552-CE2B-470C-B25D-9B5455236FD0}">
            <xm:f>VLOOKUP($N$8,'3.Plan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98" id="{0FED71F1-5C6B-4B47-B547-799571E9701A}">
            <xm:f>VLOOKUP($N$8,'3.Plan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99" id="{98764CC1-8903-4B19-8F34-166175547E44}">
            <xm:f>VLOOKUP($N$8,'3.Plan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N8</xm:sqref>
        </x14:conditionalFormatting>
        <x14:conditionalFormatting xmlns:xm="http://schemas.microsoft.com/office/excel/2006/main">
          <x14:cfRule type="expression" priority="4300" id="{C90BD0E6-8D7E-4848-AF90-76D12814F9BF}">
            <xm:f>VLOOKUP($N$10,'3.Plan de Estudios'!$E$19:$G$171,3,0)=""</xm:f>
            <x14:dxf>
              <border>
                <left/>
                <right/>
                <top/>
                <bottom/>
                <vertical/>
                <horizontal/>
              </border>
            </x14:dxf>
          </x14:cfRule>
          <x14:cfRule type="expression" priority="4301" id="{7ED87529-6880-4CEA-B61D-5C3A6CFFC239}">
            <xm:f>VLOOKUP($N$10,'3.Plan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02" id="{80476C21-A995-4A90-84FF-28D7F24F89C3}">
            <xm:f>VLOOKUP($N$10,'3.Plan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03" id="{BD4CFF4E-2BA2-4FD4-9BD9-00BCC9D4ADB0}">
            <xm:f>VLOOKUP($N$10,'3.Plan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N10</xm:sqref>
        </x14:conditionalFormatting>
        <x14:conditionalFormatting xmlns:xm="http://schemas.microsoft.com/office/excel/2006/main">
          <x14:cfRule type="expression" priority="4304" id="{F6A9EB47-EDDA-490F-A7CC-B7BC3BB34E73}">
            <xm:f>VLOOKUP($N$12,'3.Plan de Estudios'!$E$19:$G$171,3,0)=""</xm:f>
            <x14:dxf>
              <border>
                <left/>
                <right/>
                <top/>
                <bottom/>
                <vertical/>
                <horizontal/>
              </border>
            </x14:dxf>
          </x14:cfRule>
          <x14:cfRule type="expression" priority="4305" id="{224AF8EA-FD1D-4F33-B67F-25E70D2633CD}">
            <xm:f>VLOOKUP($N$12,'3.Plan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06" id="{BE89FB0F-970C-4D79-B220-40B96FBE708B}">
            <xm:f>VLOOKUP($N$12,'3.Plan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07" id="{263DFE48-2089-47A7-BCDB-1AD4E69279E0}">
            <xm:f>VLOOKUP($N$12,'3.Plan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N12</xm:sqref>
        </x14:conditionalFormatting>
        <x14:conditionalFormatting xmlns:xm="http://schemas.microsoft.com/office/excel/2006/main">
          <x14:cfRule type="expression" priority="4308" id="{612D4712-CC6B-4CC9-9317-BEA96A5D45F9}">
            <xm:f>VLOOKUP($N$14,'3.Plan de Estudios'!$E$19:$G$171,3,0)=""</xm:f>
            <x14:dxf>
              <border>
                <left/>
                <right/>
                <top/>
                <bottom/>
                <vertical/>
                <horizontal/>
              </border>
            </x14:dxf>
          </x14:cfRule>
          <x14:cfRule type="expression" priority="4309" id="{C2A9A9F9-1391-4D34-ABA8-25DE26C8023C}">
            <xm:f>VLOOKUP($N$14,'3.Plan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10" id="{72D4CF71-A9BA-49A0-80C5-06F523BE5590}">
            <xm:f>VLOOKUP($N$14,'3.Plan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11" id="{92E1C9F9-932B-4679-9966-1ED9C9DE518A}">
            <xm:f>VLOOKUP($N$14,'3.Plan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N14</xm:sqref>
        </x14:conditionalFormatting>
        <x14:conditionalFormatting xmlns:xm="http://schemas.microsoft.com/office/excel/2006/main">
          <x14:cfRule type="expression" priority="4416" id="{C4AF229C-717C-4B9B-A848-AF389B65CD1E}">
            <xm:f>VLOOKUP($N$16,'3.Plan de Estudios'!$E$19:$G$171,3,0)=""</xm:f>
            <x14:dxf>
              <border>
                <left/>
                <right/>
                <top/>
                <bottom/>
                <vertical/>
                <horizontal/>
              </border>
            </x14:dxf>
          </x14:cfRule>
          <x14:cfRule type="expression" priority="4417" id="{A0209A0A-9D10-4B21-8D48-6A36DF5A0F56}">
            <xm:f>VLOOKUP($N$16,'3.Plan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18" id="{1DE37BB0-4A45-4840-A920-6295659F2501}">
            <xm:f>VLOOKUP($N$16,'3.Plan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19" id="{7DB1063E-0FBD-465A-9D72-D96DBC39BE10}">
            <xm:f>VLOOKUP($N$16,'3.Plan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N16</xm:sqref>
        </x14:conditionalFormatting>
        <x14:conditionalFormatting xmlns:xm="http://schemas.microsoft.com/office/excel/2006/main">
          <x14:cfRule type="expression" priority="4312" id="{B6D8AD56-76A6-4C69-BAFC-DD4EB75EA374}">
            <xm:f>VLOOKUP($N$18,'3.Plan de Estudios'!$E$19:$G$171,3,0)=""</xm:f>
            <x14:dxf>
              <border>
                <left/>
                <right/>
                <top/>
                <bottom/>
                <vertical/>
                <horizontal/>
              </border>
            </x14:dxf>
          </x14:cfRule>
          <x14:cfRule type="expression" priority="4313" id="{A95AAFAE-9D29-4DA0-A116-662C78C9C67F}">
            <xm:f>VLOOKUP($N$18,'3.Plan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14" id="{70F2BDEA-0E83-4F0E-99C0-E55836077577}">
            <xm:f>VLOOKUP($N$18,'3.Plan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15" id="{A3B2F7B5-0474-49AA-B3D9-4A7C607E8017}">
            <xm:f>VLOOKUP($N$18,'3.Plan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N18</xm:sqref>
        </x14:conditionalFormatting>
        <x14:conditionalFormatting xmlns:xm="http://schemas.microsoft.com/office/excel/2006/main">
          <x14:cfRule type="expression" priority="221" id="{60617118-C487-4340-B39A-B88BDA7EBB56}">
            <xm:f>VLOOKUP($N$20,'3.Plan de Estudios'!$E$19:$G$171,3,0)=""</xm:f>
            <x14:dxf>
              <border>
                <left/>
                <right/>
                <top/>
                <bottom/>
                <vertical/>
                <horizontal/>
              </border>
            </x14:dxf>
          </x14:cfRule>
          <x14:cfRule type="expression" priority="222" id="{64467D11-357E-4D4C-B2DF-18B753087562}">
            <xm:f>VLOOKUP($N$20,'3.Plan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23" id="{6397E504-B04F-4091-84B8-C164C12401D7}">
            <xm:f>VLOOKUP($N$20,'3.Plan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24" id="{778785BB-0AAD-47F8-8F62-D5D8DF78CBB0}">
            <xm:f>VLOOKUP($N$20,'3.Plan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N20</xm:sqref>
        </x14:conditionalFormatting>
        <x14:conditionalFormatting xmlns:xm="http://schemas.microsoft.com/office/excel/2006/main">
          <x14:cfRule type="expression" priority="217" id="{55EC58C1-8126-44BA-80A4-5999754F71FC}">
            <xm:f>VLOOKUP($N$22,'3.Plan de Estudios'!$E$19:$G$171,3,0)=""</xm:f>
            <x14:dxf>
              <border>
                <left/>
                <right/>
                <top/>
                <bottom/>
                <vertical/>
                <horizontal/>
              </border>
            </x14:dxf>
          </x14:cfRule>
          <x14:cfRule type="expression" priority="218" id="{5A6EA841-9739-4705-8754-A52DA499F57E}">
            <xm:f>VLOOKUP($N$22,'3.Plan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19" id="{2C986432-8752-4782-A4CD-2E3028969C0C}">
            <xm:f>VLOOKUP($N$22,'3.Plan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20" id="{5FB22F0B-08CC-4D17-811E-BD66A8152F6A}">
            <xm:f>VLOOKUP($N$22,'3.Plan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213" id="{1D92A35F-A477-49DA-B8DC-F0CCB55865DB}">
            <xm:f>VLOOKUP($N$24,'3.Plan de Estudios'!$E$19:$G$171,3,0)=""</xm:f>
            <x14:dxf>
              <border>
                <left/>
                <right/>
                <top/>
                <bottom/>
                <vertical/>
                <horizontal/>
              </border>
            </x14:dxf>
          </x14:cfRule>
          <x14:cfRule type="expression" priority="214" id="{396F5ED7-5220-4EF6-9A68-E52AFAC89AAD}">
            <xm:f>VLOOKUP($N$24,'3.Plan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15" id="{B99E43AC-74D8-4414-8F17-7838A7AE5D65}">
            <xm:f>VLOOKUP($N$24,'3.Plan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16" id="{BE1C4A29-E05F-41B1-BD86-995D4454E06B}">
            <xm:f>VLOOKUP($N$24,'3.Plan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N24</xm:sqref>
        </x14:conditionalFormatting>
        <x14:conditionalFormatting xmlns:xm="http://schemas.microsoft.com/office/excel/2006/main">
          <x14:cfRule type="expression" priority="4316" id="{28AD1290-4736-4B9E-983D-BFF822A598FA}">
            <xm:f>VLOOKUP($P$6,'3.Plan de Estudios'!$E$19:$G$171,3,0)=""</xm:f>
            <x14:dxf>
              <border>
                <left/>
                <right/>
                <top/>
                <bottom/>
                <vertical/>
                <horizontal/>
              </border>
            </x14:dxf>
          </x14:cfRule>
          <x14:cfRule type="expression" priority="4317" id="{B2182C03-04F1-46CB-897F-2E20B5A62C56}">
            <xm:f>VLOOKUP($P$6,'3.Plan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18" id="{A8F97097-6E9A-4FB1-98D3-F7290B2CFCE3}">
            <xm:f>VLOOKUP($P$6,'3.Plan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19" id="{E1BCD092-C3DE-4503-88B2-0724808EB82C}">
            <xm:f>VLOOKUP($P$6,'3.Plan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P6</xm:sqref>
        </x14:conditionalFormatting>
        <x14:conditionalFormatting xmlns:xm="http://schemas.microsoft.com/office/excel/2006/main">
          <x14:cfRule type="expression" priority="4320" id="{4A54E957-7FC2-4979-9D56-6CA1D03E0033}">
            <xm:f>VLOOKUP($P$8,'3.Plan de Estudios'!$E$19:$G$171,3,0)=""</xm:f>
            <x14:dxf>
              <border>
                <left/>
                <right/>
                <top/>
                <bottom/>
                <vertical/>
                <horizontal/>
              </border>
            </x14:dxf>
          </x14:cfRule>
          <x14:cfRule type="expression" priority="4321" id="{546FE26E-297E-4D8E-B3C4-BCCA8F2A3057}">
            <xm:f>VLOOKUP($P$8,'3.Plan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22" id="{F424B518-B475-4FCC-867E-A81B8AC0245A}">
            <xm:f>VLOOKUP($P$8,'3.Plan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23" id="{4362F809-C658-4A48-AF28-6D3BB5CA890E}">
            <xm:f>VLOOKUP($P$8,'3.Plan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P8</xm:sqref>
        </x14:conditionalFormatting>
        <x14:conditionalFormatting xmlns:xm="http://schemas.microsoft.com/office/excel/2006/main">
          <x14:cfRule type="expression" priority="4324" id="{1DE22DA8-1672-4F2B-95E3-C644F1BDE85D}">
            <xm:f>VLOOKUP($P$10,'3.Plan de Estudios'!$E$19:$G$171,3,0)=""</xm:f>
            <x14:dxf>
              <border>
                <left/>
                <right/>
                <top/>
                <bottom/>
                <vertical/>
                <horizontal/>
              </border>
            </x14:dxf>
          </x14:cfRule>
          <x14:cfRule type="expression" priority="4325" id="{984BF7A6-1D93-4B27-8DCE-B285D4F546FB}">
            <xm:f>VLOOKUP($P$10,'3.Plan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26" id="{1912A4DB-80E8-4CCF-8B63-853E19566743}">
            <xm:f>VLOOKUP($P$10,'3.Plan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27" id="{7B34CFDE-35C9-4491-A8B5-7369F05D075F}">
            <xm:f>VLOOKUP($P$10,'3.Plan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P10</xm:sqref>
        </x14:conditionalFormatting>
        <x14:conditionalFormatting xmlns:xm="http://schemas.microsoft.com/office/excel/2006/main">
          <x14:cfRule type="expression" priority="4328" id="{4B5B7415-0596-43FA-9DE6-72101E8A1D85}">
            <xm:f>VLOOKUP($P$12,'3.Plan de Estudios'!$E$19:$G$171,3,0)=""</xm:f>
            <x14:dxf>
              <border>
                <left/>
                <right/>
                <top/>
                <bottom/>
                <vertical/>
                <horizontal/>
              </border>
            </x14:dxf>
          </x14:cfRule>
          <x14:cfRule type="expression" priority="4329" id="{03D1AC6A-02E4-4161-BD97-78BAE18CB496}">
            <xm:f>VLOOKUP($P$12,'3.Plan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30" id="{ED601D91-BF28-4311-B8A2-D795C910E5C4}">
            <xm:f>VLOOKUP($P$12,'3.Plan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31" id="{2B3EE7AF-CC77-447D-A3FA-066B57D5B609}">
            <xm:f>VLOOKUP($P$12,'3.Plan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P12</xm:sqref>
        </x14:conditionalFormatting>
        <x14:conditionalFormatting xmlns:xm="http://schemas.microsoft.com/office/excel/2006/main">
          <x14:cfRule type="expression" priority="4332" id="{B6B0C1F8-E290-41FE-AFEA-B2761734413A}">
            <xm:f>VLOOKUP($P$14,'3.Plan de Estudios'!$E$19:$G$171,3,0)=""</xm:f>
            <x14:dxf>
              <border>
                <left/>
                <right/>
                <top/>
                <bottom/>
                <vertical/>
                <horizontal/>
              </border>
            </x14:dxf>
          </x14:cfRule>
          <x14:cfRule type="expression" priority="4333" id="{42BD34D4-91D6-48C2-AAF4-1FADD420C19D}">
            <xm:f>VLOOKUP($P$14,'3.Plan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34" id="{C07F7120-2B04-406B-BF0D-9092854C9069}">
            <xm:f>VLOOKUP($P$14,'3.Plan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35" id="{64C3BF65-9025-4413-9C2D-7A86C4A271DA}">
            <xm:f>VLOOKUP($P$14,'3.Plan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P14</xm:sqref>
        </x14:conditionalFormatting>
        <x14:conditionalFormatting xmlns:xm="http://schemas.microsoft.com/office/excel/2006/main">
          <x14:cfRule type="expression" priority="205" id="{53D1FA2B-F036-4821-AC4C-38B5E9CC5AE1}">
            <xm:f>VLOOKUP($P$16,'3.Plan de Estudios'!$E$19:$G$171,3,0)=""</xm:f>
            <x14:dxf>
              <border>
                <left/>
                <right/>
                <top/>
                <bottom/>
                <vertical/>
                <horizontal/>
              </border>
            </x14:dxf>
          </x14:cfRule>
          <x14:cfRule type="expression" priority="206" id="{E5F484D5-CEEF-4053-8D82-3132ACD05BA8}">
            <xm:f>VLOOKUP($P$16,'3.Plan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07" id="{3C6A83E8-90D3-44E1-8105-0BBFB1ED9E44}">
            <xm:f>VLOOKUP($P$16,'3.Plan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08" id="{27D519CF-0FA2-4E1C-94CD-04ADB948451D}">
            <xm:f>VLOOKUP($P$16,'3.Plan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P16</xm:sqref>
        </x14:conditionalFormatting>
        <x14:conditionalFormatting xmlns:xm="http://schemas.microsoft.com/office/excel/2006/main">
          <x14:cfRule type="expression" priority="4336" id="{7CD334B5-F85C-4097-B714-930CBA361648}">
            <xm:f>VLOOKUP($P$18,'3.Plan de Estudios'!$E$19:$G$171,3,0)=""</xm:f>
            <x14:dxf>
              <border>
                <left/>
                <right/>
                <top/>
                <bottom/>
                <vertical/>
                <horizontal/>
              </border>
            </x14:dxf>
          </x14:cfRule>
          <x14:cfRule type="expression" priority="4337" id="{F97CE0C3-9A26-4294-8D94-9BBB90D37637}">
            <xm:f>VLOOKUP($P$18,'3.Plan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38" id="{03FB6433-093B-440C-BF2A-FBB685DFEFC9}">
            <xm:f>VLOOKUP($P$18,'3.Plan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39" id="{86FA4277-89B6-41DE-8475-AAEF990499AE}">
            <xm:f>VLOOKUP($P$18,'3.Plan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P18</xm:sqref>
        </x14:conditionalFormatting>
        <x14:conditionalFormatting xmlns:xm="http://schemas.microsoft.com/office/excel/2006/main">
          <x14:cfRule type="expression" priority="201" id="{3BF5F1D1-6A52-4719-823E-CDDD44C85A56}">
            <xm:f>VLOOKUP($P$20,'3.Plan de Estudios'!$E$19:$G$171,3,0)=""</xm:f>
            <x14:dxf>
              <border>
                <left/>
                <right/>
                <top/>
                <bottom/>
                <vertical/>
                <horizontal/>
              </border>
            </x14:dxf>
          </x14:cfRule>
          <x14:cfRule type="expression" priority="202" id="{E0E910B0-E039-4F45-8711-62E86AABE292}">
            <xm:f>VLOOKUP($P$20,'3.Plan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03" id="{B341CD5D-497F-4711-A576-480EE4E722BC}">
            <xm:f>VLOOKUP($P$20,'3.Plan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04" id="{1E328A18-3CB2-49CF-BBF2-0DF835993357}">
            <xm:f>VLOOKUP($P$20,'3.Plan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P20</xm:sqref>
        </x14:conditionalFormatting>
        <x14:conditionalFormatting xmlns:xm="http://schemas.microsoft.com/office/excel/2006/main">
          <x14:cfRule type="expression" priority="197" id="{14D9E9B1-0770-4F7C-8614-76CAE2736228}">
            <xm:f>VLOOKUP($P$22,'3.Plan de Estudios'!$E$19:$G$171,3,0)=""</xm:f>
            <x14:dxf>
              <border>
                <left/>
                <right/>
                <top/>
                <bottom/>
                <vertical/>
                <horizontal/>
              </border>
            </x14:dxf>
          </x14:cfRule>
          <x14:cfRule type="expression" priority="198" id="{D5C9FA12-74F6-4AEF-84B3-EF61CC5FD58F}">
            <xm:f>VLOOKUP($P$22,'3.Plan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99" id="{E1D2C7B9-BAF0-4C74-A5D1-32C01BEFD43E}">
            <xm:f>VLOOKUP($P$22,'3.Plan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00" id="{D42F568C-FAD4-4F1E-893D-706106AA9B1D}">
            <xm:f>VLOOKUP($P$22,'3.Plan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P22</xm:sqref>
        </x14:conditionalFormatting>
        <x14:conditionalFormatting xmlns:xm="http://schemas.microsoft.com/office/excel/2006/main">
          <x14:cfRule type="expression" priority="193" id="{10B1ECED-1CA0-4C06-AB12-6D6F5268E35B}">
            <xm:f>VLOOKUP($P$24,'3.Plan de Estudios'!$E$19:$G$171,3,0)=""</xm:f>
            <x14:dxf>
              <border>
                <left/>
                <right/>
                <top/>
                <bottom/>
                <vertical/>
                <horizontal/>
              </border>
            </x14:dxf>
          </x14:cfRule>
          <x14:cfRule type="expression" priority="194" id="{B88FF114-F36C-4FC8-9E47-D19F209B1788}">
            <xm:f>VLOOKUP($P$24,'3.Plan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95" id="{09ABDB3A-617B-4473-9F59-1023308E94E9}">
            <xm:f>VLOOKUP($P$24,'3.Plan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96" id="{66D5F16D-81EE-44EF-8514-D1DF6E99460F}">
            <xm:f>VLOOKUP($P$24,'3.Plan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P24</xm:sqref>
        </x14:conditionalFormatting>
        <x14:conditionalFormatting xmlns:xm="http://schemas.microsoft.com/office/excel/2006/main">
          <x14:cfRule type="expression" priority="4340" id="{FD1ADFA0-5782-499A-AAF6-692B6E7A3378}">
            <xm:f>VLOOKUP($R$6,'3.Plan de Estudios'!$E$19:$G$171,3,0)=""</xm:f>
            <x14:dxf>
              <border>
                <left/>
                <right/>
                <top/>
                <bottom/>
                <vertical/>
                <horizontal/>
              </border>
            </x14:dxf>
          </x14:cfRule>
          <x14:cfRule type="expression" priority="4341" id="{05365C2D-DCA4-4793-AF82-2E3A9E2E57AB}">
            <xm:f>VLOOKUP($R$6,'3.Plan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42" id="{DEEEA28A-9B9E-49A6-AE13-1DDE41DBBD26}">
            <xm:f>VLOOKUP($R$6,'3.Plan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43" id="{B4C02AC5-432E-4C52-99B4-CE22FAC45B00}">
            <xm:f>VLOOKUP($R$6,'3.Plan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R6</xm:sqref>
        </x14:conditionalFormatting>
        <x14:conditionalFormatting xmlns:xm="http://schemas.microsoft.com/office/excel/2006/main">
          <x14:cfRule type="expression" priority="4344" id="{D459B6BE-4CD7-4FC4-A5F8-7F7526E9E051}">
            <xm:f>VLOOKUP($R$8,'3.Plan de Estudios'!$E$19:$G$171,3,0)=""</xm:f>
            <x14:dxf>
              <border>
                <left/>
                <right/>
                <top/>
                <bottom/>
                <vertical/>
                <horizontal/>
              </border>
            </x14:dxf>
          </x14:cfRule>
          <x14:cfRule type="expression" priority="4345" id="{EB1FFF96-7DEA-46A3-BD1D-0B9803D96996}">
            <xm:f>VLOOKUP($R$8,'3.Plan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46" id="{70B093A0-0609-47AF-A772-8BD36CE9C482}">
            <xm:f>VLOOKUP($R$8,'3.Plan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47" id="{C780326F-48F4-4E36-A4BC-8EF720D7FBA1}">
            <xm:f>VLOOKUP($R$8,'3.Plan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R8</xm:sqref>
        </x14:conditionalFormatting>
        <x14:conditionalFormatting xmlns:xm="http://schemas.microsoft.com/office/excel/2006/main">
          <x14:cfRule type="expression" priority="4348" id="{D062ED9B-8B63-45AF-863E-94EE07C26528}">
            <xm:f>VLOOKUP($R$10,'3.Plan de Estudios'!$E$19:$G$171,3,0)=""</xm:f>
            <x14:dxf>
              <border>
                <left/>
                <right/>
                <top/>
                <bottom/>
                <vertical/>
                <horizontal/>
              </border>
            </x14:dxf>
          </x14:cfRule>
          <x14:cfRule type="expression" priority="4349" id="{BEB7FF5B-8F79-409D-901F-2EB8A45F6BF6}">
            <xm:f>VLOOKUP($R$10,'3.Plan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50" id="{AD6AA96C-422D-43F0-BEA0-B8C3F9BFCF42}">
            <xm:f>VLOOKUP($R$10,'3.Plan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51" id="{81D2A97C-29F6-423B-9B01-1E2075A82A09}">
            <xm:f>VLOOKUP($R$10,'3.Plan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R10</xm:sqref>
        </x14:conditionalFormatting>
        <x14:conditionalFormatting xmlns:xm="http://schemas.microsoft.com/office/excel/2006/main">
          <x14:cfRule type="expression" priority="4352" id="{5B9125F6-6CFB-4656-9AFF-E18D623FFF6E}">
            <xm:f>VLOOKUP($R$12,'3.Plan de Estudios'!$E$19:$G$171,3,0)=""</xm:f>
            <x14:dxf>
              <border>
                <left/>
                <right/>
                <top/>
                <bottom/>
                <vertical/>
                <horizontal/>
              </border>
            </x14:dxf>
          </x14:cfRule>
          <x14:cfRule type="expression" priority="4353" id="{271E6F67-3FE5-4763-B414-91C4D48092B0}">
            <xm:f>VLOOKUP($R$12,'3.Plan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54" id="{1C983677-9BDF-4B86-BE60-37037F5302FF}">
            <xm:f>VLOOKUP($R$12,'3.Plan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55" id="{3EBEF445-D25A-4995-8625-A303AA298856}">
            <xm:f>VLOOKUP($R$12,'3.Plan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R12</xm:sqref>
        </x14:conditionalFormatting>
        <x14:conditionalFormatting xmlns:xm="http://schemas.microsoft.com/office/excel/2006/main">
          <x14:cfRule type="expression" priority="4356" id="{D5C67704-38E3-4FE8-BE8C-7322BE9A3798}">
            <xm:f>VLOOKUP($R$14,'3.Plan de Estudios'!$E$19:$G$171,3,0)=""</xm:f>
            <x14:dxf>
              <border>
                <left/>
                <right/>
                <top/>
                <bottom/>
                <vertical/>
                <horizontal/>
              </border>
            </x14:dxf>
          </x14:cfRule>
          <x14:cfRule type="expression" priority="4357" id="{624753CA-1ED6-43FE-844E-770C24CB64CA}">
            <xm:f>VLOOKUP($R$14,'3.Plan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58" id="{E90CE7C1-881B-4096-8702-96DFAA5FE425}">
            <xm:f>VLOOKUP($R$14,'3.Plan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59" id="{BB68EF94-7D0E-4D51-84D2-CCF537A6742F}">
            <xm:f>VLOOKUP($R$14,'3.Plan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R14</xm:sqref>
        </x14:conditionalFormatting>
        <x14:conditionalFormatting xmlns:xm="http://schemas.microsoft.com/office/excel/2006/main">
          <x14:cfRule type="expression" priority="4424" id="{76102A4F-A5D9-47CA-B39C-8BAC1BB14642}">
            <xm:f>VLOOKUP($R$16,'3.Plan de Estudios'!$E$19:$G$171,3,0)=""</xm:f>
            <x14:dxf>
              <border>
                <left/>
                <right/>
                <top/>
                <bottom/>
                <vertical/>
                <horizontal/>
              </border>
            </x14:dxf>
          </x14:cfRule>
          <x14:cfRule type="expression" priority="4425" id="{4266F243-7A52-4866-B2C4-B90926AE8150}">
            <xm:f>VLOOKUP($R$16,'3.Plan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26" id="{46B9707E-40B1-4A2C-A0D1-008E0BBB47E8}">
            <xm:f>VLOOKUP($R$16,'3.Plan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27" id="{143EFD39-2A12-46D5-8C54-4D327D408FF7}">
            <xm:f>VLOOKUP($R$16,'3.Plan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R16</xm:sqref>
        </x14:conditionalFormatting>
        <x14:conditionalFormatting xmlns:xm="http://schemas.microsoft.com/office/excel/2006/main">
          <x14:cfRule type="expression" priority="4360" id="{66B14CEC-635F-438C-941E-E66EEE1106A2}">
            <xm:f>VLOOKUP($R$18,'3.Plan de Estudios'!$E$19:$G$171,3,0)=""</xm:f>
            <x14:dxf>
              <border>
                <left/>
                <right/>
                <top/>
                <bottom/>
                <vertical/>
                <horizontal/>
              </border>
            </x14:dxf>
          </x14:cfRule>
          <x14:cfRule type="expression" priority="4361" id="{5DC89531-08E6-4367-AA10-046D17A431E5}">
            <xm:f>VLOOKUP($R$18,'3.Plan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62" id="{E01BB6CE-A347-4960-9865-90647FB6ED37}">
            <xm:f>VLOOKUP($R$18,'3.Plan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63" id="{515487CE-4FD4-40FB-8F11-AF443F88AD9E}">
            <xm:f>VLOOKUP($R$18,'3.Plan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R18</xm:sqref>
        </x14:conditionalFormatting>
        <x14:conditionalFormatting xmlns:xm="http://schemas.microsoft.com/office/excel/2006/main">
          <x14:cfRule type="expression" priority="189" id="{24EE1324-91E1-4232-ADC8-AE526893B595}">
            <xm:f>VLOOKUP($R$20,'3.Plan de Estudios'!$E$19:$G$171,3,0)=""</xm:f>
            <x14:dxf>
              <border>
                <left/>
                <right/>
                <top/>
                <bottom/>
                <vertical/>
                <horizontal/>
              </border>
            </x14:dxf>
          </x14:cfRule>
          <x14:cfRule type="expression" priority="190" id="{8CD7626F-E81B-4A2B-A8C3-2F6991B6A0D0}">
            <xm:f>VLOOKUP($R$20,'3.Plan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91" id="{9D1487F1-145B-4488-8550-4B1930AA9124}">
            <xm:f>VLOOKUP($R$20,'3.Plan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92" id="{A776B638-6DCF-4E17-90F3-50A62197024F}">
            <xm:f>VLOOKUP($R$20,'3.Plan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R20</xm:sqref>
        </x14:conditionalFormatting>
        <x14:conditionalFormatting xmlns:xm="http://schemas.microsoft.com/office/excel/2006/main">
          <x14:cfRule type="expression" priority="185" id="{AEA3C23F-3325-41F2-8EC5-8FFDCF448322}">
            <xm:f>VLOOKUP($R$22,'3.Plan de Estudios'!$E$19:$G$171,3,0)=""</xm:f>
            <x14:dxf>
              <border>
                <left/>
                <right/>
                <top/>
                <bottom/>
                <vertical/>
                <horizontal/>
              </border>
            </x14:dxf>
          </x14:cfRule>
          <x14:cfRule type="expression" priority="186" id="{2570F1D3-E353-47F0-BDAF-20C289B3ECFF}">
            <xm:f>VLOOKUP($R$22,'3.Plan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87" id="{DE48190C-AE71-4132-8FAE-47798E491E0C}">
            <xm:f>VLOOKUP($R$22,'3.Plan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88" id="{E2E954E3-B4B7-4641-8005-BAD5BA99042C}">
            <xm:f>VLOOKUP($R$22,'3.Plan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R22</xm:sqref>
        </x14:conditionalFormatting>
        <x14:conditionalFormatting xmlns:xm="http://schemas.microsoft.com/office/excel/2006/main">
          <x14:cfRule type="expression" priority="181" id="{C54AB393-5066-4F0F-8AA8-C7D2E621FB9C}">
            <xm:f>VLOOKUP($R$24,'3.Plan de Estudios'!$E$19:$G$171,3,0)=""</xm:f>
            <x14:dxf>
              <border>
                <left/>
                <right/>
                <top/>
                <bottom/>
                <vertical/>
                <horizontal/>
              </border>
            </x14:dxf>
          </x14:cfRule>
          <x14:cfRule type="expression" priority="182" id="{896A6E4C-4807-4297-B93D-767B3E6CCBEE}">
            <xm:f>VLOOKUP($R$24,'3.Plan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83" id="{2364B941-4F5F-4CF6-A6EA-D360B4C2E6AC}">
            <xm:f>VLOOKUP($R$24,'3.Plan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84" id="{3C5D4F13-DECB-40E0-89DC-5568D5A55730}">
            <xm:f>VLOOKUP($R$24,'3.Plan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R24</xm:sqref>
        </x14:conditionalFormatting>
        <x14:conditionalFormatting xmlns:xm="http://schemas.microsoft.com/office/excel/2006/main">
          <x14:cfRule type="expression" priority="157" id="{828506C8-5EBE-46E4-9445-9AB7BD28A441}">
            <xm:f>VLOOKUP($T$6,'3.Plan de Estudios'!$E$19:$G$171,3,0)=""</xm:f>
            <x14:dxf>
              <border>
                <left/>
                <right/>
                <top/>
                <bottom/>
                <vertical/>
                <horizontal/>
              </border>
            </x14:dxf>
          </x14:cfRule>
          <x14:cfRule type="expression" priority="158" id="{4C043037-4126-49E8-B3C3-D8B5A8F5F991}">
            <xm:f>VLOOKUP($T$6,'3.Plan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59" id="{4DD5B546-F00C-4619-8486-50431A1893B3}">
            <xm:f>VLOOKUP($T$6,'3.Plan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60" id="{46822D19-7124-470D-8A0F-0E9361A25AC1}">
            <xm:f>VLOOKUP($T$6,'3.Plan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T6</xm:sqref>
        </x14:conditionalFormatting>
        <x14:conditionalFormatting xmlns:xm="http://schemas.microsoft.com/office/excel/2006/main">
          <x14:cfRule type="expression" priority="153" id="{B3F015AD-8E2E-44B1-B39D-59D07930FF4D}">
            <xm:f>VLOOKUP($T$8,'3.Plan de Estudios'!$E$19:$G$171,3,0)=""</xm:f>
            <x14:dxf>
              <border>
                <left/>
                <right/>
                <top/>
                <bottom/>
                <vertical/>
                <horizontal/>
              </border>
            </x14:dxf>
          </x14:cfRule>
          <x14:cfRule type="expression" priority="154" id="{7E36B300-F30E-4FC5-A763-303010567050}">
            <xm:f>VLOOKUP($T$8,'3.Plan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55" id="{A1E1814C-FE56-4CE5-A42A-F8955F23EE25}">
            <xm:f>VLOOKUP($T$8,'3.Plan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56" id="{6BB04B91-2072-448E-B772-98C414C53E60}">
            <xm:f>VLOOKUP($T$8,'3.Plan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T8</xm:sqref>
        </x14:conditionalFormatting>
        <x14:conditionalFormatting xmlns:xm="http://schemas.microsoft.com/office/excel/2006/main">
          <x14:cfRule type="expression" priority="149" id="{707AA194-0DA5-4D1E-BC2C-9D14A038B79C}">
            <xm:f>VLOOKUP($T$10,'3.Plan de Estudios'!$E$19:$G$171,3,0)=""</xm:f>
            <x14:dxf>
              <border>
                <left/>
                <right/>
                <top/>
                <bottom/>
                <vertical/>
                <horizontal/>
              </border>
            </x14:dxf>
          </x14:cfRule>
          <x14:cfRule type="expression" priority="150" id="{8D29288A-6500-463B-9093-07E9EE40796E}">
            <xm:f>VLOOKUP($T$10,'3.Plan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51" id="{7EAE8BF2-B531-475C-B031-92434EDB41EC}">
            <xm:f>VLOOKUP($T$10,'3.Plan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52" id="{DA94D3E6-0326-4B89-8E42-5AF60C37D50A}">
            <xm:f>VLOOKUP($T$10,'3.Plan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T10</xm:sqref>
        </x14:conditionalFormatting>
        <x14:conditionalFormatting xmlns:xm="http://schemas.microsoft.com/office/excel/2006/main">
          <x14:cfRule type="expression" priority="145" id="{D9A65AF0-FC7D-43F0-ACA3-587DB87B85E8}">
            <xm:f>VLOOKUP($T$12,'3.Plan de Estudios'!$E$19:$G$171,3,0)=""</xm:f>
            <x14:dxf>
              <border>
                <left/>
                <right/>
                <top/>
                <bottom/>
                <vertical/>
                <horizontal/>
              </border>
            </x14:dxf>
          </x14:cfRule>
          <x14:cfRule type="expression" priority="146" id="{B10FF5C7-2A16-4B2C-8E6D-43058941EFF9}">
            <xm:f>VLOOKUP($T$12,'3.Plan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47" id="{ADA1FE89-3DE2-4CB0-BCEF-36FA096D7CE2}">
            <xm:f>VLOOKUP($T$12,'3.Plan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48" id="{A86840D1-6F1A-441B-9983-6273B5DF5DCF}">
            <xm:f>VLOOKUP($T$12,'3.Plan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T12</xm:sqref>
        </x14:conditionalFormatting>
        <x14:conditionalFormatting xmlns:xm="http://schemas.microsoft.com/office/excel/2006/main">
          <x14:cfRule type="expression" priority="141" id="{1475DD4F-890A-49A6-B2A4-A6D98098E3B5}">
            <xm:f>VLOOKUP($T$14,'3.Plan de Estudios'!$E$19:$G$171,3,0)=""</xm:f>
            <x14:dxf>
              <border>
                <left/>
                <right/>
                <top/>
                <bottom/>
                <vertical/>
                <horizontal/>
              </border>
            </x14:dxf>
          </x14:cfRule>
          <x14:cfRule type="expression" priority="142" id="{02778B5B-6570-4528-949C-CE0E6E32B90D}">
            <xm:f>VLOOKUP($T$14,'3.Plan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43" id="{0A47F845-6AAE-487D-AF39-4E5B099E3432}">
            <xm:f>VLOOKUP($T$14,'3.Plan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44" id="{C5848B44-18A5-453F-8BCE-EA157B8B9710}">
            <xm:f>VLOOKUP($T$14,'3.Plan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T14</xm:sqref>
        </x14:conditionalFormatting>
        <x14:conditionalFormatting xmlns:xm="http://schemas.microsoft.com/office/excel/2006/main">
          <x14:cfRule type="expression" priority="137" id="{D2F7EEA7-EDB4-4B3D-95B0-3B128E1981EF}">
            <xm:f>VLOOKUP($T$16,'3.Plan de Estudios'!$E$19:$G$171,3,0)=""</xm:f>
            <x14:dxf>
              <border>
                <left/>
                <right/>
                <top/>
                <bottom/>
                <vertical/>
                <horizontal/>
              </border>
            </x14:dxf>
          </x14:cfRule>
          <x14:cfRule type="expression" priority="138" id="{71B14333-29BE-445B-A888-B18B1459F7AF}">
            <xm:f>VLOOKUP($T$16,'3.Plan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39" id="{B47DA5E7-2045-4D50-9E13-D37495269076}">
            <xm:f>VLOOKUP($T$16,'3.Plan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40" id="{5668ECA2-AC90-411B-8F9E-EEA8B2D26D05}">
            <xm:f>VLOOKUP($T$16,'3.Plan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T16</xm:sqref>
        </x14:conditionalFormatting>
        <x14:conditionalFormatting xmlns:xm="http://schemas.microsoft.com/office/excel/2006/main">
          <x14:cfRule type="expression" priority="133" id="{AE8569B5-FC27-47EC-81D7-AA1B79F035D7}">
            <xm:f>VLOOKUP($T$18,'3.Plan de Estudios'!$E$19:$G$171,3,0)=""</xm:f>
            <x14:dxf>
              <border>
                <left/>
                <right/>
                <top/>
                <bottom/>
                <vertical/>
                <horizontal/>
              </border>
            </x14:dxf>
          </x14:cfRule>
          <x14:cfRule type="expression" priority="134" id="{5C020912-AA7C-4048-8005-A6F6E572FA2B}">
            <xm:f>VLOOKUP($T$18,'3.Plan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35" id="{2C6933A5-9FC8-4B2F-8EC2-66F9BCB8C940}">
            <xm:f>VLOOKUP($T$18,'3.Plan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36" id="{F44A20C9-0FCF-4417-8BC3-6729A30141A0}">
            <xm:f>VLOOKUP($T$18,'3.Plan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T18</xm:sqref>
        </x14:conditionalFormatting>
        <x14:conditionalFormatting xmlns:xm="http://schemas.microsoft.com/office/excel/2006/main">
          <x14:cfRule type="expression" priority="129" id="{829E50A1-B44C-42E0-89BD-D6DFF5071AEB}">
            <xm:f>VLOOKUP($T$20,'3.Plan de Estudios'!$E$19:$G$171,3,0)=""</xm:f>
            <x14:dxf>
              <border>
                <left/>
                <right/>
                <top/>
                <bottom/>
                <vertical/>
                <horizontal/>
              </border>
            </x14:dxf>
          </x14:cfRule>
          <x14:cfRule type="expression" priority="130" id="{7BB16DA1-B2FE-4104-A0F8-58D41EC27355}">
            <xm:f>VLOOKUP($T$20,'3.Plan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31" id="{2016A69B-67C5-49D2-A6AB-A531E857D5D0}">
            <xm:f>VLOOKUP($T$20,'3.Plan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32" id="{77EE5F9D-BC6C-475C-9ED7-09E461639063}">
            <xm:f>VLOOKUP($T$20,'3.Plan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T20</xm:sqref>
        </x14:conditionalFormatting>
        <x14:conditionalFormatting xmlns:xm="http://schemas.microsoft.com/office/excel/2006/main">
          <x14:cfRule type="expression" priority="125" id="{9BF99503-859E-4E98-881C-D490A39F41CB}">
            <xm:f>VLOOKUP($T$22,'3.Plan de Estudios'!$E$19:$G$171,3,0)=""</xm:f>
            <x14:dxf>
              <border>
                <left/>
                <right/>
                <top/>
                <bottom/>
                <vertical/>
                <horizontal/>
              </border>
            </x14:dxf>
          </x14:cfRule>
          <x14:cfRule type="expression" priority="126" id="{9B6E9C97-86ED-4034-A8E5-FBC789178575}">
            <xm:f>VLOOKUP($T$22,'3.Plan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27" id="{CD404D01-80B7-4716-8730-CFB48166B555}">
            <xm:f>VLOOKUP($T$22,'3.Plan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28" id="{D1DBBE1F-BCAE-4B1A-930B-2FB3C8033DC2}">
            <xm:f>VLOOKUP($T$22,'3.Plan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T22</xm:sqref>
        </x14:conditionalFormatting>
        <x14:conditionalFormatting xmlns:xm="http://schemas.microsoft.com/office/excel/2006/main">
          <x14:cfRule type="expression" priority="121" id="{674EF3AC-0A90-4E0A-946A-DBB6235403E5}">
            <xm:f>VLOOKUP($T$24,'3.Plan de Estudios'!$E$19:$G$171,3,0)=""</xm:f>
            <x14:dxf>
              <border>
                <left/>
                <right/>
                <top/>
                <bottom/>
                <vertical/>
                <horizontal/>
              </border>
            </x14:dxf>
          </x14:cfRule>
          <x14:cfRule type="expression" priority="122" id="{42E5BB9D-7D90-45E7-B392-EA0D9FDBD5F3}">
            <xm:f>VLOOKUP($T$24,'3.Plan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23" id="{7D8ABB4B-AABD-49B5-BBE9-5B712A2A1582}">
            <xm:f>VLOOKUP($T$24,'3.Plan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24" id="{F29566A2-7D69-4FB4-9D2A-BCDF56BE53DD}">
            <xm:f>VLOOKUP($T$24,'3.Plan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T24</xm:sqref>
        </x14:conditionalFormatting>
        <x14:conditionalFormatting xmlns:xm="http://schemas.microsoft.com/office/excel/2006/main">
          <x14:cfRule type="expression" priority="117" id="{9B8A142B-173B-4D75-9FCF-41E2B017C8E9}">
            <xm:f>VLOOKUP($V$6,'3.Plan de Estudios'!$E$19:$G$171,3,0)=""</xm:f>
            <x14:dxf>
              <border>
                <left/>
                <right/>
                <top/>
                <bottom/>
                <vertical/>
                <horizontal/>
              </border>
            </x14:dxf>
          </x14:cfRule>
          <x14:cfRule type="expression" priority="118" id="{C2E439C5-CF01-4963-B5EF-2E7C9C0463F8}">
            <xm:f>VLOOKUP($V$6,'3.Plan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19" id="{E4E11B1C-FB58-424F-BAF8-9B182FC29590}">
            <xm:f>VLOOKUP($V$6,'3.Plan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20" id="{A3CF0890-EA7C-43E0-AA74-6B6785A03D28}">
            <xm:f>VLOOKUP($V$6,'3.Plan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V6</xm:sqref>
        </x14:conditionalFormatting>
        <x14:conditionalFormatting xmlns:xm="http://schemas.microsoft.com/office/excel/2006/main">
          <x14:cfRule type="expression" priority="113" id="{D7701A1C-6B53-4B41-B0BB-8E844FB08745}">
            <xm:f>VLOOKUP($V$8,'3.Plan de Estudios'!$E$19:$G$171,3,0)=""</xm:f>
            <x14:dxf>
              <border>
                <left/>
                <right/>
                <top/>
                <bottom/>
                <vertical/>
                <horizontal/>
              </border>
            </x14:dxf>
          </x14:cfRule>
          <x14:cfRule type="expression" priority="114" id="{75DFD9A9-4F20-4132-A5F0-E7EDB8CEAA1C}">
            <xm:f>VLOOKUP($V$8,'3.Plan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15" id="{83237F80-127D-42D7-8F8C-723C63B4EC31}">
            <xm:f>VLOOKUP($V$8,'3.Plan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16" id="{E8AE2285-D08E-494F-923A-7306F7871728}">
            <xm:f>VLOOKUP($V$8,'3.Plan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V8</xm:sqref>
        </x14:conditionalFormatting>
        <x14:conditionalFormatting xmlns:xm="http://schemas.microsoft.com/office/excel/2006/main">
          <x14:cfRule type="expression" priority="109" id="{A9A80FE5-2C7B-45FB-9E17-36BEE833D118}">
            <xm:f>VLOOKUP($V$10,'3.Plan de Estudios'!$E$19:$G$171,3,0)=""</xm:f>
            <x14:dxf>
              <border>
                <left/>
                <right/>
                <top/>
                <bottom/>
                <vertical/>
                <horizontal/>
              </border>
            </x14:dxf>
          </x14:cfRule>
          <x14:cfRule type="expression" priority="110" id="{0F5A7BD6-81D2-4C25-951B-AE5F4BA01391}">
            <xm:f>VLOOKUP($V$10,'3.Plan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11" id="{A61C8BE6-B7DB-4B00-8EE2-71AA0CE3CD5C}">
            <xm:f>VLOOKUP($V$10,'3.Plan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12" id="{A46DBB82-9A7F-426B-BB65-11CBF863598F}">
            <xm:f>VLOOKUP($V$10,'3.Plan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V10</xm:sqref>
        </x14:conditionalFormatting>
        <x14:conditionalFormatting xmlns:xm="http://schemas.microsoft.com/office/excel/2006/main">
          <x14:cfRule type="expression" priority="105" id="{2C335D4D-FAFA-49BD-A362-5FDC671CE240}">
            <xm:f>VLOOKUP($V$12,'3.Plan de Estudios'!$E$19:$G$171,3,0)=""</xm:f>
            <x14:dxf>
              <border>
                <left/>
                <right/>
                <top/>
                <bottom/>
                <vertical/>
                <horizontal/>
              </border>
            </x14:dxf>
          </x14:cfRule>
          <x14:cfRule type="expression" priority="106" id="{A5EA6FA2-BCF6-4B19-8C82-318F768AF9A8}">
            <xm:f>VLOOKUP($V$12,'3.Plan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07" id="{E76D2607-2073-402D-A48C-5C70ACC0F92A}">
            <xm:f>VLOOKUP($V$12,'3.Plan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08" id="{DBD96DD3-D52B-4FB7-B8FC-C833E55DA21E}">
            <xm:f>VLOOKUP($V$12,'3.Plan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V12</xm:sqref>
        </x14:conditionalFormatting>
        <x14:conditionalFormatting xmlns:xm="http://schemas.microsoft.com/office/excel/2006/main">
          <x14:cfRule type="expression" priority="101" id="{EB4712FB-040D-4148-BAF7-848A0145B5BF}">
            <xm:f>VLOOKUP($V$14,'3.Plan de Estudios'!$E$19:$G$171,3,0)=""</xm:f>
            <x14:dxf>
              <border>
                <left/>
                <right/>
                <top/>
                <bottom/>
                <vertical/>
                <horizontal/>
              </border>
            </x14:dxf>
          </x14:cfRule>
          <x14:cfRule type="expression" priority="102" id="{57F104AE-9C6B-4AAB-A176-84151E96AA3C}">
            <xm:f>VLOOKUP($V$14,'3.Plan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03" id="{9661F58C-3473-4501-9427-01C37676D54D}">
            <xm:f>VLOOKUP($V$14,'3.Plan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04" id="{DB082FE6-7CD8-4FFF-B4BC-FD6A5B1C3717}">
            <xm:f>VLOOKUP($V$14,'3.Plan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V14</xm:sqref>
        </x14:conditionalFormatting>
        <x14:conditionalFormatting xmlns:xm="http://schemas.microsoft.com/office/excel/2006/main">
          <x14:cfRule type="expression" priority="97" id="{8598AFE0-E461-4921-B428-2FE45D57BBAA}">
            <xm:f>VLOOKUP($V$16,'3.Plan de Estudios'!$E$19:$G$171,3,0)=""</xm:f>
            <x14:dxf>
              <border>
                <left/>
                <right/>
                <top/>
                <bottom/>
                <vertical/>
                <horizontal/>
              </border>
            </x14:dxf>
          </x14:cfRule>
          <x14:cfRule type="expression" priority="98" id="{D5F597B0-84ED-438E-9130-4AC3C2966F96}">
            <xm:f>VLOOKUP($V$16,'3.Plan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99" id="{FD691390-04CE-4784-946A-C3C9CF870443}">
            <xm:f>VLOOKUP($V$16,'3.Plan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00" id="{C8E95AD7-C6C1-4577-96D8-37E523378476}">
            <xm:f>VLOOKUP($V$16,'3.Plan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V16</xm:sqref>
        </x14:conditionalFormatting>
        <x14:conditionalFormatting xmlns:xm="http://schemas.microsoft.com/office/excel/2006/main">
          <x14:cfRule type="expression" priority="93" id="{7B57BAF6-B21C-449C-80B6-E73A68D65969}">
            <xm:f>VLOOKUP($V$18,'3.Plan de Estudios'!$E$19:$G$171,3,0)=""</xm:f>
            <x14:dxf>
              <border>
                <left/>
                <right/>
                <top/>
                <bottom/>
                <vertical/>
                <horizontal/>
              </border>
            </x14:dxf>
          </x14:cfRule>
          <x14:cfRule type="expression" priority="94" id="{57A75E4B-3774-4A36-BB76-64F373271CA8}">
            <xm:f>VLOOKUP($V$18,'3.Plan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95" id="{BE5B05FC-DC59-4617-BDEE-142BFCA0EE68}">
            <xm:f>VLOOKUP($V$18,'3.Plan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96" id="{AEE35D0B-D682-40FD-8A52-55C5F0EBDBDB}">
            <xm:f>VLOOKUP($V$18,'3.Plan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V18</xm:sqref>
        </x14:conditionalFormatting>
        <x14:conditionalFormatting xmlns:xm="http://schemas.microsoft.com/office/excel/2006/main">
          <x14:cfRule type="expression" priority="89" id="{E6002FFC-7104-4BD1-ADB5-473058F619C7}">
            <xm:f>VLOOKUP($V$20,'3.Plan de Estudios'!$E$19:$G$171,3,0)=""</xm:f>
            <x14:dxf>
              <border>
                <left/>
                <right/>
                <top/>
                <bottom/>
                <vertical/>
                <horizontal/>
              </border>
            </x14:dxf>
          </x14:cfRule>
          <x14:cfRule type="expression" priority="90" id="{EB30A0FE-CD4D-47E4-B6F3-C3AAA222C047}">
            <xm:f>VLOOKUP($V$20,'3.Plan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91" id="{0E2F57D4-837E-47EE-9C81-78C2D8B728E1}">
            <xm:f>VLOOKUP($V$20,'3.Plan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92" id="{557804F4-1389-4FD4-B6F4-053DCCDF7806}">
            <xm:f>VLOOKUP($V$20,'3.Plan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V20</xm:sqref>
        </x14:conditionalFormatting>
        <x14:conditionalFormatting xmlns:xm="http://schemas.microsoft.com/office/excel/2006/main">
          <x14:cfRule type="expression" priority="85" id="{B5A5C672-1677-4B84-904D-469C20E9FC0D}">
            <xm:f>VLOOKUP($V$22,'3.Plan de Estudios'!$E$19:$G$171,3,0)=""</xm:f>
            <x14:dxf>
              <border>
                <left/>
                <right/>
                <top/>
                <bottom/>
                <vertical/>
                <horizontal/>
              </border>
            </x14:dxf>
          </x14:cfRule>
          <x14:cfRule type="expression" priority="86" id="{2A360165-A946-40F6-A658-3222FF64ADB6}">
            <xm:f>VLOOKUP($V$22,'3.Plan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87" id="{7FFB1606-319D-4F28-BE4B-50F2C15CC78F}">
            <xm:f>VLOOKUP($V$22,'3.Plan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88" id="{7EB85215-7799-49ED-ABC0-F72A689DD3F4}">
            <xm:f>VLOOKUP($V$22,'3.Plan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V22</xm:sqref>
        </x14:conditionalFormatting>
        <x14:conditionalFormatting xmlns:xm="http://schemas.microsoft.com/office/excel/2006/main">
          <x14:cfRule type="expression" priority="81" id="{E49BED7C-C008-4DEA-8913-22CA394A2FD4}">
            <xm:f>VLOOKUP($V$24,'3.Plan de Estudios'!$E$19:$G$171,3,0)=""</xm:f>
            <x14:dxf>
              <border>
                <left/>
                <right/>
                <top/>
                <bottom/>
                <vertical/>
                <horizontal/>
              </border>
            </x14:dxf>
          </x14:cfRule>
          <x14:cfRule type="expression" priority="82" id="{2DAA9913-D6D9-4D34-BE7D-D8BF900DE468}">
            <xm:f>VLOOKUP($V$24,'3.Plan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83" id="{DE3D1C28-E747-4E76-8D21-5DFB73534D26}">
            <xm:f>VLOOKUP($V$24,'3.Plan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84" id="{66303ED9-85AA-4E15-AA9D-CBCA8E37A6F3}">
            <xm:f>VLOOKUP($V$24,'3.Plan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V24</xm:sqref>
        </x14:conditionalFormatting>
        <x14:conditionalFormatting xmlns:xm="http://schemas.microsoft.com/office/excel/2006/main">
          <x14:cfRule type="expression" priority="77" id="{6252ADC0-CA8B-493C-A6B7-7956867258A4}">
            <xm:f>VLOOKUP($X$6,'3.Plan de Estudios'!$E$19:$G$171,3,0)=""</xm:f>
            <x14:dxf>
              <border>
                <left/>
                <right/>
                <top/>
                <bottom/>
                <vertical/>
                <horizontal/>
              </border>
            </x14:dxf>
          </x14:cfRule>
          <x14:cfRule type="expression" priority="78" id="{BD09915C-A5F4-4F0B-B853-8A59D7ADFCDA}">
            <xm:f>VLOOKUP($X$6,'3.Plan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79" id="{B04A12A4-2C32-48D1-81B5-12EDD1996279}">
            <xm:f>VLOOKUP($X$6,'3.Plan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80" id="{5D40014D-D86C-4C4A-8E8F-5F1A18D885F7}">
            <xm:f>VLOOKUP($X$6,'3.Plan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X6</xm:sqref>
        </x14:conditionalFormatting>
        <x14:conditionalFormatting xmlns:xm="http://schemas.microsoft.com/office/excel/2006/main">
          <x14:cfRule type="expression" priority="73" id="{FE737AEA-671B-4D71-A36A-3F936B3558E5}">
            <xm:f>VLOOKUP($X$8,'3.Plan de Estudios'!$E$19:$G$171,3,0)=""</xm:f>
            <x14:dxf>
              <border>
                <left/>
                <right/>
                <top/>
                <bottom/>
                <vertical/>
                <horizontal/>
              </border>
            </x14:dxf>
          </x14:cfRule>
          <x14:cfRule type="expression" priority="74" id="{FC888939-D27F-42E8-A273-C3FC7651C5C3}">
            <xm:f>VLOOKUP($X$8,'3.Plan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75" id="{980B5D52-FEF4-4FD7-B59D-CD9877BDD6F4}">
            <xm:f>VLOOKUP($X$8,'3.Plan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76" id="{5DEE1A93-EBD0-43CD-99F3-502AE81570BA}">
            <xm:f>VLOOKUP($X$8,'3.Plan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X8</xm:sqref>
        </x14:conditionalFormatting>
        <x14:conditionalFormatting xmlns:xm="http://schemas.microsoft.com/office/excel/2006/main">
          <x14:cfRule type="expression" priority="69" id="{0D0809B6-8137-4172-93BA-51C372C11B2F}">
            <xm:f>VLOOKUP($X$10,'3.Plan de Estudios'!$E$19:$G$171,3,0)=""</xm:f>
            <x14:dxf>
              <border>
                <left/>
                <right/>
                <top/>
                <bottom/>
                <vertical/>
                <horizontal/>
              </border>
            </x14:dxf>
          </x14:cfRule>
          <x14:cfRule type="expression" priority="70" id="{3EEF3298-8E8E-4C28-9E68-477B5EAB7CA8}">
            <xm:f>VLOOKUP($X$10,'3.Plan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71" id="{B538F92A-1E9D-4B2D-BC2B-6F9E6517964C}">
            <xm:f>VLOOKUP($X$10,'3.Plan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72" id="{77FD1FDA-4C14-4EB9-BA4F-F9CF3FF1AC4F}">
            <xm:f>VLOOKUP($X$10,'3.Plan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X10</xm:sqref>
        </x14:conditionalFormatting>
        <x14:conditionalFormatting xmlns:xm="http://schemas.microsoft.com/office/excel/2006/main">
          <x14:cfRule type="expression" priority="65" id="{27B1D184-BA1D-4FD2-BC0E-C3DEC200BD3C}">
            <xm:f>VLOOKUP($X$12,'3.Plan de Estudios'!$E$19:$G$171,3,0)=""</xm:f>
            <x14:dxf>
              <border>
                <left/>
                <right/>
                <top/>
                <bottom/>
                <vertical/>
                <horizontal/>
              </border>
            </x14:dxf>
          </x14:cfRule>
          <x14:cfRule type="expression" priority="66" id="{F3F00A81-9BDC-4CED-AF9F-4325ED488759}">
            <xm:f>VLOOKUP($X$12,'3.Plan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67" id="{4AC2A8B6-28F7-4717-96ED-5171E2848270}">
            <xm:f>VLOOKUP($X$12,'3.Plan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68" id="{BFFD5722-4B3E-4746-B2B1-F3882212642D}">
            <xm:f>VLOOKUP($X$12,'3.Plan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X12</xm:sqref>
        </x14:conditionalFormatting>
        <x14:conditionalFormatting xmlns:xm="http://schemas.microsoft.com/office/excel/2006/main">
          <x14:cfRule type="expression" priority="61" id="{9D608165-CAEE-476F-AD49-44F4747E6B91}">
            <xm:f>VLOOKUP($X$14,'3.Plan de Estudios'!$E$19:$G$171,3,0)=""</xm:f>
            <x14:dxf>
              <border>
                <left/>
                <right/>
                <top/>
                <bottom/>
                <vertical/>
                <horizontal/>
              </border>
            </x14:dxf>
          </x14:cfRule>
          <x14:cfRule type="expression" priority="62" id="{C46ACE38-C511-40D4-8896-215FBA047352}">
            <xm:f>VLOOKUP($X$14,'3.Plan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63" id="{31F829E7-973B-4FE2-BF36-C8FF5F2B1916}">
            <xm:f>VLOOKUP($X$14,'3.Plan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64" id="{156AF975-AF61-4C60-8221-34063CB4DEB4}">
            <xm:f>VLOOKUP($X$14,'3.Plan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X14</xm:sqref>
        </x14:conditionalFormatting>
        <x14:conditionalFormatting xmlns:xm="http://schemas.microsoft.com/office/excel/2006/main">
          <x14:cfRule type="expression" priority="57" id="{805D7BBB-526E-4E48-AF04-8BC36F35A6D8}">
            <xm:f>VLOOKUP($X$16,'3.Plan de Estudios'!$E$19:$G$171,3,0)=""</xm:f>
            <x14:dxf>
              <border>
                <left/>
                <right/>
                <top/>
                <bottom/>
                <vertical/>
                <horizontal/>
              </border>
            </x14:dxf>
          </x14:cfRule>
          <x14:cfRule type="expression" priority="58" id="{AA52FEC9-AF75-4671-9D97-026BBDF034FD}">
            <xm:f>VLOOKUP($X$16,'3.Plan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59" id="{CD0FCB78-BAF8-49FF-BAAD-F39FDEC2E59C}">
            <xm:f>VLOOKUP($X$16,'3.Plan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60" id="{52CE2765-9499-452B-B392-CF3E95708BCA}">
            <xm:f>VLOOKUP($X$16,'3.Plan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X16</xm:sqref>
        </x14:conditionalFormatting>
        <x14:conditionalFormatting xmlns:xm="http://schemas.microsoft.com/office/excel/2006/main">
          <x14:cfRule type="expression" priority="53" id="{263FC4DC-73DF-4611-9274-F9D2CBCF80AE}">
            <xm:f>VLOOKUP($X$18,'3.Plan de Estudios'!$E$19:$G$171,3,0)=""</xm:f>
            <x14:dxf>
              <border>
                <left/>
                <right/>
                <top/>
                <bottom/>
                <vertical/>
                <horizontal/>
              </border>
            </x14:dxf>
          </x14:cfRule>
          <x14:cfRule type="expression" priority="54" id="{7E254197-A923-43E3-B779-9B51F09D3A0D}">
            <xm:f>VLOOKUP($X$18,'3.Plan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55" id="{62C2DB7D-B7B4-4B24-AB70-DA68029B4231}">
            <xm:f>VLOOKUP($X$18,'3.Plan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56" id="{1BA5A5F8-4F4C-40FC-B71A-E7C75DE1E2B5}">
            <xm:f>VLOOKUP($X$18,'3.Plan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X18</xm:sqref>
        </x14:conditionalFormatting>
        <x14:conditionalFormatting xmlns:xm="http://schemas.microsoft.com/office/excel/2006/main">
          <x14:cfRule type="expression" priority="49" id="{401FC7AB-2873-4F05-839C-274AAF701583}">
            <xm:f>VLOOKUP($X$20,'3.Plan de Estudios'!$E$19:$G$171,3,0)=""</xm:f>
            <x14:dxf>
              <border>
                <left/>
                <right/>
                <top/>
                <bottom/>
                <vertical/>
                <horizontal/>
              </border>
            </x14:dxf>
          </x14:cfRule>
          <x14:cfRule type="expression" priority="50" id="{190DD257-32DA-4F62-BC47-5E10164E2EC1}">
            <xm:f>VLOOKUP($X$20,'3.Plan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51" id="{738B7052-4BA6-4C11-95CD-76D3F17D02F3}">
            <xm:f>VLOOKUP($X$20,'3.Plan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52" id="{A7F2123E-F985-483E-A575-B4AF107CFE03}">
            <xm:f>VLOOKUP($X$20,'3.Plan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X20</xm:sqref>
        </x14:conditionalFormatting>
        <x14:conditionalFormatting xmlns:xm="http://schemas.microsoft.com/office/excel/2006/main">
          <x14:cfRule type="expression" priority="45" id="{B38FAC6F-FD86-43F6-A4D8-AD4DD747CFE5}">
            <xm:f>VLOOKUP($X$22,'3.Plan de Estudios'!$E$19:$G$171,3,0)=""</xm:f>
            <x14:dxf>
              <border>
                <left/>
                <right/>
                <top/>
                <bottom/>
                <vertical/>
                <horizontal/>
              </border>
            </x14:dxf>
          </x14:cfRule>
          <x14:cfRule type="expression" priority="46" id="{B240D3E7-787B-40DD-AD58-1B93D22A785E}">
            <xm:f>VLOOKUP($X$22,'3.Plan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7" id="{7ECBC65B-4C5B-4B46-9E32-C175BA9FD5BA}">
            <xm:f>VLOOKUP($X$22,'3.Plan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8" id="{5C67C753-4400-4949-9AB1-36D9E3DEC8DA}">
            <xm:f>VLOOKUP($X$22,'3.Plan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X22</xm:sqref>
        </x14:conditionalFormatting>
        <x14:conditionalFormatting xmlns:xm="http://schemas.microsoft.com/office/excel/2006/main">
          <x14:cfRule type="expression" priority="41" id="{3E646321-9807-4434-888B-232B9AB72297}">
            <xm:f>VLOOKUP($X$24,'3.Plan de Estudios'!$E$19:$G$171,3,0)=""</xm:f>
            <x14:dxf>
              <border>
                <left/>
                <right/>
                <top/>
                <bottom/>
                <vertical/>
                <horizontal/>
              </border>
            </x14:dxf>
          </x14:cfRule>
          <x14:cfRule type="expression" priority="42" id="{70116A2D-48F5-4F66-BD56-3A0496B28A08}">
            <xm:f>VLOOKUP($X$24,'3.Plan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 id="{72987D0F-0002-46D5-BAB8-AEB2F2C718F2}">
            <xm:f>VLOOKUP($X$24,'3.Plan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 id="{BA425F2D-2A8C-464B-9E2D-1CB561533FB6}">
            <xm:f>VLOOKUP($X$24,'3.Plan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X24</xm:sqref>
        </x14:conditionalFormatting>
        <x14:conditionalFormatting xmlns:xm="http://schemas.microsoft.com/office/excel/2006/main">
          <x14:cfRule type="expression" priority="37" id="{2E78D686-9107-4049-A1F6-24328B7C70EE}">
            <xm:f>VLOOKUP($Z$6,'3.Plan de Estudios'!$E$19:$G$171,3,0)=""</xm:f>
            <x14:dxf>
              <border>
                <left/>
                <right/>
                <top/>
                <bottom/>
                <vertical/>
                <horizontal/>
              </border>
            </x14:dxf>
          </x14:cfRule>
          <x14:cfRule type="expression" priority="38" id="{E62AD347-55FB-4BAE-ABC1-2226595FE9CF}">
            <xm:f>VLOOKUP($Z$6,'3.Plan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39" id="{D1BB5CA5-E619-4612-BE97-FBA3792083DF}">
            <xm:f>VLOOKUP($Z$6,'3.Plan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0" id="{9508386E-9D56-4E24-A412-3C04B5849C95}">
            <xm:f>VLOOKUP($Z$6,'3.Plan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Z6</xm:sqref>
        </x14:conditionalFormatting>
        <x14:conditionalFormatting xmlns:xm="http://schemas.microsoft.com/office/excel/2006/main">
          <x14:cfRule type="expression" priority="33" id="{4184B3D0-9A63-4B5C-8C26-B562E4D8E8A9}">
            <xm:f>VLOOKUP($Z$8,'3.Plan de Estudios'!$E$19:$G$171,3,0)=""</xm:f>
            <x14:dxf>
              <border>
                <left/>
                <right/>
                <top/>
                <bottom/>
                <vertical/>
                <horizontal/>
              </border>
            </x14:dxf>
          </x14:cfRule>
          <x14:cfRule type="expression" priority="34" id="{640E508D-B734-48AE-9F86-EA473F1D1D74}">
            <xm:f>VLOOKUP($Z$8,'3.Plan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35" id="{740C2BFF-A719-4C84-9F2E-95CE6FB99D34}">
            <xm:f>VLOOKUP($Z$8,'3.Plan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36" id="{E0726C23-9BFF-4131-B20B-7AEBFC2E3B36}">
            <xm:f>VLOOKUP($Z$8,'3.Plan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Z8</xm:sqref>
        </x14:conditionalFormatting>
        <x14:conditionalFormatting xmlns:xm="http://schemas.microsoft.com/office/excel/2006/main">
          <x14:cfRule type="expression" priority="29" id="{A860496D-A80F-4FA1-8CC1-7CB5606EF194}">
            <xm:f>VLOOKUP($Z$10,'3.Plan de Estudios'!$E$19:$G$171,3,0)=""</xm:f>
            <x14:dxf>
              <border>
                <left/>
                <right/>
                <top/>
                <bottom/>
                <vertical/>
                <horizontal/>
              </border>
            </x14:dxf>
          </x14:cfRule>
          <x14:cfRule type="expression" priority="30" id="{129F8AD6-0922-4D5E-A1C5-595A0F827E3B}">
            <xm:f>VLOOKUP($Z$10,'3.Plan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31" id="{75AC90E0-C441-4B31-BF98-25AC256A726B}">
            <xm:f>VLOOKUP($Z$10,'3.Plan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32" id="{19FB07D1-245A-4AA3-925B-12EFE1F75CCA}">
            <xm:f>VLOOKUP($Z$10,'3.Plan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Z10</xm:sqref>
        </x14:conditionalFormatting>
        <x14:conditionalFormatting xmlns:xm="http://schemas.microsoft.com/office/excel/2006/main">
          <x14:cfRule type="expression" priority="25" id="{8B7013D4-F6FC-4FE1-8C19-EEDCDA98B10D}">
            <xm:f>VLOOKUP($Z$12,'3.Plan de Estudios'!$E$19:$G$171,3,0)=""</xm:f>
            <x14:dxf>
              <border>
                <left/>
                <right/>
                <top/>
                <bottom/>
                <vertical/>
                <horizontal/>
              </border>
            </x14:dxf>
          </x14:cfRule>
          <x14:cfRule type="expression" priority="26" id="{1166D872-3701-4C3A-AE8E-E785CB8CFE85}">
            <xm:f>VLOOKUP($Z$12,'3.Plan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7" id="{A8CF3B7A-52D5-4796-9475-F2CAB4D9CA2F}">
            <xm:f>VLOOKUP($Z$12,'3.Plan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8" id="{5992FD27-8FCC-4C12-8A6F-D20724450296}">
            <xm:f>VLOOKUP($Z$12,'3.Plan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Z12</xm:sqref>
        </x14:conditionalFormatting>
        <x14:conditionalFormatting xmlns:xm="http://schemas.microsoft.com/office/excel/2006/main">
          <x14:cfRule type="expression" priority="21" id="{15AE054C-49B9-45F5-81BB-1070482FF10F}">
            <xm:f>VLOOKUP($Z$14,'3.Plan de Estudios'!$E$19:$G$171,3,0)=""</xm:f>
            <x14:dxf>
              <border>
                <left/>
                <right/>
                <top/>
                <bottom/>
                <vertical/>
                <horizontal/>
              </border>
            </x14:dxf>
          </x14:cfRule>
          <x14:cfRule type="expression" priority="22" id="{9341091C-66FC-4F4B-A9A7-44DD99A4D37E}">
            <xm:f>VLOOKUP($Z$14,'3.Plan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3" id="{83E8123A-27F5-42A6-B79B-898A430221E0}">
            <xm:f>VLOOKUP($Z$14,'3.Plan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4" id="{5D01ACFE-BEFB-43EB-96EE-26C62C9D118D}">
            <xm:f>VLOOKUP($Z$14,'3.Plan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Z14</xm:sqref>
        </x14:conditionalFormatting>
        <x14:conditionalFormatting xmlns:xm="http://schemas.microsoft.com/office/excel/2006/main">
          <x14:cfRule type="expression" priority="17" id="{BBE58C17-A00D-42F0-8676-EF1DE42DEBCD}">
            <xm:f>VLOOKUP($Z$16,'3.Plan de Estudios'!$E$19:$G$171,3,0)=""</xm:f>
            <x14:dxf>
              <border>
                <left/>
                <right/>
                <top/>
                <bottom/>
                <vertical/>
                <horizontal/>
              </border>
            </x14:dxf>
          </x14:cfRule>
          <x14:cfRule type="expression" priority="18" id="{B068B399-0418-4B22-8248-86C1EF595C47}">
            <xm:f>VLOOKUP($Z$16,'3.Plan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9" id="{A36C0D4D-D975-4472-8072-B1E264EC1B71}">
            <xm:f>VLOOKUP($Z$16,'3.Plan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0" id="{18B6817E-3D02-4D8D-B754-C9BBC6ADD9CA}">
            <xm:f>VLOOKUP($Z$16,'3.Plan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Z16</xm:sqref>
        </x14:conditionalFormatting>
        <x14:conditionalFormatting xmlns:xm="http://schemas.microsoft.com/office/excel/2006/main">
          <x14:cfRule type="expression" priority="13" id="{04298840-EB32-4F2B-85A0-AA96816667C9}">
            <xm:f>VLOOKUP($Z$18,'3.Plan de Estudios'!$E$19:$G$171,3,0)=""</xm:f>
            <x14:dxf>
              <border>
                <left/>
                <right/>
                <top/>
                <bottom/>
                <vertical/>
                <horizontal/>
              </border>
            </x14:dxf>
          </x14:cfRule>
          <x14:cfRule type="expression" priority="14" id="{0CA8AA24-F985-4F41-8DA7-3AAAF0E2FC98}">
            <xm:f>VLOOKUP($Z$18,'3.Plan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5" id="{2C6C7168-3945-4638-9E0D-130C1F0CFEA7}">
            <xm:f>VLOOKUP($Z$18,'3.Plan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6" id="{5B4B1056-99B0-47E6-B6A5-3E78B1384641}">
            <xm:f>VLOOKUP($Z$18,'3.Plan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Z18</xm:sqref>
        </x14:conditionalFormatting>
        <x14:conditionalFormatting xmlns:xm="http://schemas.microsoft.com/office/excel/2006/main">
          <x14:cfRule type="expression" priority="9" id="{101787FD-F6E8-4381-A983-0AFB64953F16}">
            <xm:f>VLOOKUP($Z$20,'3.Plan de Estudios'!$E$19:$G$171,3,0)=""</xm:f>
            <x14:dxf>
              <border>
                <left/>
                <right/>
                <top/>
                <bottom/>
                <vertical/>
                <horizontal/>
              </border>
            </x14:dxf>
          </x14:cfRule>
          <x14:cfRule type="expression" priority="10" id="{116DF2D6-2212-481B-9198-AD715C3DB858}">
            <xm:f>VLOOKUP($Z$20,'3.Plan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1" id="{F7E8CF2B-2A71-4C7A-8A10-73ADA1511476}">
            <xm:f>VLOOKUP($Z$20,'3.Plan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2" id="{B0E96795-E1E6-45A0-975F-CC7D565C776D}">
            <xm:f>VLOOKUP($Z$20,'3.Plan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Z20</xm:sqref>
        </x14:conditionalFormatting>
        <x14:conditionalFormatting xmlns:xm="http://schemas.microsoft.com/office/excel/2006/main">
          <x14:cfRule type="expression" priority="5" id="{C6747A29-4BAE-410A-BCC7-B6DAE636AC85}">
            <xm:f>VLOOKUP($Z$22,'3.Plan de Estudios'!$E$19:$G$171,3,0)=""</xm:f>
            <x14:dxf>
              <border>
                <left/>
                <right/>
                <top/>
                <bottom/>
                <vertical/>
                <horizontal/>
              </border>
            </x14:dxf>
          </x14:cfRule>
          <x14:cfRule type="expression" priority="6" id="{DFDE0957-6025-4910-A8AA-AF062B9D2BBB}">
            <xm:f>VLOOKUP($Z$22,'3.Plan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7" id="{3AB25365-1477-4386-B110-DA0423D4374B}">
            <xm:f>VLOOKUP($Z$22,'3.Plan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8" id="{EE171824-FF4E-4856-B101-ECDDEDCAEA3E}">
            <xm:f>VLOOKUP($Z$22,'3.Plan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Z22</xm:sqref>
        </x14:conditionalFormatting>
        <x14:conditionalFormatting xmlns:xm="http://schemas.microsoft.com/office/excel/2006/main">
          <x14:cfRule type="expression" priority="1" id="{F3C27A00-05BF-4F74-820F-8797D0CEC88B}">
            <xm:f>VLOOKUP($Z$24,'3.Plan de Estudios'!$E$19:$G$171,3,0)=""</xm:f>
            <x14:dxf>
              <border>
                <left/>
                <right/>
                <top/>
                <bottom/>
                <vertical/>
                <horizontal/>
              </border>
            </x14:dxf>
          </x14:cfRule>
          <x14:cfRule type="expression" priority="2" id="{3DED6C0A-6276-4010-B9EF-D72FA063CCD7}">
            <xm:f>VLOOKUP($Z$24,'3.Plan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3" id="{8F586F5F-D318-42B2-B981-61AC78988C78}">
            <xm:f>VLOOKUP($Z$24,'3.Plan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 id="{4F3EAC25-AE83-41D7-888C-C9E87B9F4211}">
            <xm:f>VLOOKUP($Z$24,'3.Plan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Z24</xm:sqref>
        </x14:conditionalFormatting>
        <x14:conditionalFormatting xmlns:xm="http://schemas.microsoft.com/office/excel/2006/main">
          <x14:cfRule type="expression" priority="4364" id="{B1CFB9B2-23EC-46E9-B98E-4BE7886E6D6D}">
            <xm:f>VLOOKUP($AB$6,'3.Plan de Estudios'!$E$19:$G$171,3,0)=""</xm:f>
            <x14:dxf>
              <border>
                <left/>
                <right/>
                <top/>
                <bottom/>
                <vertical/>
                <horizontal/>
              </border>
            </x14:dxf>
          </x14:cfRule>
          <x14:cfRule type="expression" priority="4365" id="{F0416641-4AA2-480B-994F-B56A6A7A8F64}">
            <xm:f>VLOOKUP($AB$6,'3.Plan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66" id="{82107763-F0D3-4C0D-B3EF-88DEC56001FC}">
            <xm:f>VLOOKUP($AB$6,'3.Plan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67" id="{0BBA952F-A952-4B18-B682-F401248015C9}">
            <xm:f>VLOOKUP($AB$6,'3.Plan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AB6</xm:sqref>
        </x14:conditionalFormatting>
        <x14:conditionalFormatting xmlns:xm="http://schemas.microsoft.com/office/excel/2006/main">
          <x14:cfRule type="expression" priority="4368" id="{8DD43B00-2B16-4C17-8FFB-73044EFE54D1}">
            <xm:f>VLOOKUP($AB$8,'3.Plan de Estudios'!$E$19:$G$171,3,0)=""</xm:f>
            <x14:dxf>
              <border>
                <left/>
                <right/>
                <top/>
                <bottom/>
                <vertical/>
                <horizontal/>
              </border>
            </x14:dxf>
          </x14:cfRule>
          <x14:cfRule type="expression" priority="4369" id="{CF4658E6-E455-4F8E-972F-0D4F2B1167AC}">
            <xm:f>VLOOKUP($AB$8,'3.Plan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70" id="{0B7260E8-2D1B-46AA-A20A-F73E80521454}">
            <xm:f>VLOOKUP($AB$8,'3.Plan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71" id="{D9B978F4-D2F9-43A9-BC0D-540F24E4D40E}">
            <xm:f>VLOOKUP($AB$8,'3.Plan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AB8</xm:sqref>
        </x14:conditionalFormatting>
        <x14:conditionalFormatting xmlns:xm="http://schemas.microsoft.com/office/excel/2006/main">
          <x14:cfRule type="expression" priority="4372" id="{BF2CF3DD-C694-45BA-AE6D-11B22A675525}">
            <xm:f>VLOOKUP($AB$10,'3.Plan de Estudios'!$E$19:$G$171,3,0)=""</xm:f>
            <x14:dxf>
              <border>
                <left/>
                <right/>
                <top/>
                <bottom/>
                <vertical/>
                <horizontal/>
              </border>
            </x14:dxf>
          </x14:cfRule>
          <x14:cfRule type="expression" priority="4373" id="{3BC5C231-972C-4221-9B69-1A2534D081DE}">
            <xm:f>VLOOKUP($AB$10,'3.Plan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74" id="{E012708E-DF0C-44F2-BE77-1ADE33DA0EC8}">
            <xm:f>VLOOKUP($AB$10,'3.Plan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75" id="{758CB8C0-682C-4130-A012-826B8DC49049}">
            <xm:f>VLOOKUP($AB$10,'3.Plan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AB10</xm:sqref>
        </x14:conditionalFormatting>
        <x14:conditionalFormatting xmlns:xm="http://schemas.microsoft.com/office/excel/2006/main">
          <x14:cfRule type="expression" priority="4376" id="{05248C3F-8ED2-4384-BE61-4E7F56D9729F}">
            <xm:f>VLOOKUP($AB$12,'3.Plan de Estudios'!$E$19:$G$171,3,0)=""</xm:f>
            <x14:dxf>
              <border>
                <left/>
                <right/>
                <top/>
                <bottom/>
                <vertical/>
                <horizontal/>
              </border>
            </x14:dxf>
          </x14:cfRule>
          <x14:cfRule type="expression" priority="4377" id="{B9B74521-790A-4705-8C19-BF59A8AF4D75}">
            <xm:f>VLOOKUP($AB$12,'3.Plan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78" id="{5AB2578F-0BFE-467C-8A1A-BDE4451966A0}">
            <xm:f>VLOOKUP($AB$12,'3.Plan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79" id="{AF460EC6-DAD8-4A43-977B-29F8239BCDD4}">
            <xm:f>VLOOKUP($AB$12,'3.Plan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AB12</xm:sqref>
        </x14:conditionalFormatting>
        <x14:conditionalFormatting xmlns:xm="http://schemas.microsoft.com/office/excel/2006/main">
          <x14:cfRule type="expression" priority="4380" id="{F202CE44-25CA-4EE4-B127-9298897308B8}">
            <xm:f>VLOOKUP($AB$14,'3.Plan de Estudios'!$E$19:$G$171,3,0)=""</xm:f>
            <x14:dxf>
              <border>
                <left/>
                <right/>
                <top/>
                <bottom/>
                <vertical/>
                <horizontal/>
              </border>
            </x14:dxf>
          </x14:cfRule>
          <x14:cfRule type="expression" priority="4381" id="{8C62E1F5-8F16-4DEF-ABA4-D4B3D56E8F5C}">
            <xm:f>VLOOKUP($AB$14,'3.Plan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82" id="{7C094406-0B18-445D-B07E-718987AEE142}">
            <xm:f>VLOOKUP($AB$14,'3.Plan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83" id="{D60322B9-E3FF-4161-9E02-C14DF5DBC2F4}">
            <xm:f>VLOOKUP($AB$14,'3.Plan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AB14</xm:sqref>
        </x14:conditionalFormatting>
        <x14:conditionalFormatting xmlns:xm="http://schemas.microsoft.com/office/excel/2006/main">
          <x14:cfRule type="expression" priority="4428" id="{8954B323-AD11-45F0-AA15-5357A6C41EA4}">
            <xm:f>VLOOKUP($AB$16,'3.Plan de Estudios'!$E$19:$G$171,3,0)=""</xm:f>
            <x14:dxf>
              <border>
                <left/>
                <right/>
                <top/>
                <bottom/>
                <vertical/>
                <horizontal/>
              </border>
            </x14:dxf>
          </x14:cfRule>
          <x14:cfRule type="expression" priority="4429" id="{C955C53C-FD9E-4223-86BF-2262BB7E3F90}">
            <xm:f>VLOOKUP($AB$16,'3.Plan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30" id="{F9941D8A-24CE-4DD5-9C62-29747E4BF12D}">
            <xm:f>VLOOKUP($AB$16,'3.Plan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31" id="{9AC5BBD9-D9CA-43AD-9953-9F9AF41DCE2D}">
            <xm:f>VLOOKUP($AB$16,'3.Plan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AB16</xm:sqref>
        </x14:conditionalFormatting>
        <x14:conditionalFormatting xmlns:xm="http://schemas.microsoft.com/office/excel/2006/main">
          <x14:cfRule type="expression" priority="4384" id="{9D136AF8-E7A5-4562-ABA9-E64563257ED2}">
            <xm:f>VLOOKUP($AB$18,'3.Plan de Estudios'!$E$19:$G$171,3,0)=""</xm:f>
            <x14:dxf>
              <border>
                <left/>
                <right/>
                <top/>
                <bottom/>
                <vertical/>
                <horizontal/>
              </border>
            </x14:dxf>
          </x14:cfRule>
          <x14:cfRule type="expression" priority="4385" id="{2FB5B767-818B-4039-A99A-AAFC932DEF8B}">
            <xm:f>VLOOKUP($AB$18,'3.Plan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86" id="{A16BD968-C9D6-46C6-9122-11A22C0B220A}">
            <xm:f>VLOOKUP($AB$18,'3.Plan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87" id="{38C82CFD-8297-4106-AD85-2F76361B5053}">
            <xm:f>VLOOKUP($AB$18,'3.Plan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AB18</xm:sqref>
        </x14:conditionalFormatting>
        <x14:conditionalFormatting xmlns:xm="http://schemas.microsoft.com/office/excel/2006/main">
          <x14:cfRule type="expression" priority="177" id="{705C1305-EBF4-48C3-B522-A96E4D370F49}">
            <xm:f>VLOOKUP($AB$20,'3.Plan de Estudios'!$E$19:$G$171,3,0)=""</xm:f>
            <x14:dxf>
              <border>
                <left/>
                <right/>
                <top/>
                <bottom/>
                <vertical/>
                <horizontal/>
              </border>
            </x14:dxf>
          </x14:cfRule>
          <x14:cfRule type="expression" priority="178" id="{ECF30C2C-047E-46B1-A013-6523CF3AA258}">
            <xm:f>VLOOKUP($AB$20,'3.Plan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79" id="{D207E874-A286-44F0-9C85-4FC310888F19}">
            <xm:f>VLOOKUP($AB$20,'3.Plan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80" id="{69173FAC-9E89-413B-81DA-7024564644E5}">
            <xm:f>VLOOKUP($AB$20,'3.Plan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AB20</xm:sqref>
        </x14:conditionalFormatting>
        <x14:conditionalFormatting xmlns:xm="http://schemas.microsoft.com/office/excel/2006/main">
          <x14:cfRule type="expression" priority="173" id="{4072E6FA-12B3-4473-B40B-76F114DB4746}">
            <xm:f>VLOOKUP($AB$22,'3.Plan de Estudios'!$E$19:$G$171,3,0)=""</xm:f>
            <x14:dxf>
              <border>
                <left/>
                <right/>
                <top/>
                <bottom/>
                <vertical/>
                <horizontal/>
              </border>
            </x14:dxf>
          </x14:cfRule>
          <x14:cfRule type="expression" priority="174" id="{D3A872B0-23F1-4410-B6D2-D444FC098CE6}">
            <xm:f>VLOOKUP($AB$22,'3.Plan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75" id="{3064D364-D44C-4B8E-B3EB-959E5C0B0D2F}">
            <xm:f>VLOOKUP($AB$22,'3.Plan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76" id="{C113FAE8-14FA-414D-84C1-4F775B6933D8}">
            <xm:f>VLOOKUP($AB$22,'3.Plan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AB22</xm:sqref>
        </x14:conditionalFormatting>
        <x14:conditionalFormatting xmlns:xm="http://schemas.microsoft.com/office/excel/2006/main">
          <x14:cfRule type="expression" priority="169" id="{30430B72-6662-43A6-B41A-B1C085AD4074}">
            <xm:f>VLOOKUP($AB$24,'3.Plan de Estudios'!$E$19:$G$171,3,0)=""</xm:f>
            <x14:dxf>
              <border>
                <left/>
                <right/>
                <top/>
                <bottom/>
                <vertical/>
                <horizontal/>
              </border>
            </x14:dxf>
          </x14:cfRule>
          <x14:cfRule type="expression" priority="170" id="{EE6C5248-0B87-4590-941E-C9E6A17A7409}">
            <xm:f>VLOOKUP($AB$24,'3.Plan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71" id="{77C97479-72DC-40FE-A847-9F8331CA37B4}">
            <xm:f>VLOOKUP($AB$24,'3.Plan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72" id="{C9EE350A-61D4-47CC-B844-31892ADF8AF5}">
            <xm:f>VLOOKUP($AB$24,'3.Plan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AB24</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A1:AX703"/>
  <sheetViews>
    <sheetView showGridLines="0" topLeftCell="AK1" zoomScale="85" zoomScaleNormal="85" workbookViewId="0">
      <selection activeCell="AK13" sqref="A13:XFD16"/>
    </sheetView>
  </sheetViews>
  <sheetFormatPr defaultColWidth="8.42578125" defaultRowHeight="15"/>
  <cols>
    <col min="1" max="1" width="69.140625" customWidth="1"/>
    <col min="2" max="2" width="47.7109375" customWidth="1"/>
    <col min="3" max="3" width="16.7109375" customWidth="1"/>
    <col min="4" max="4" width="8.42578125" customWidth="1"/>
    <col min="5" max="5" width="5.7109375" customWidth="1"/>
    <col min="6" max="6" width="8.42578125" customWidth="1"/>
    <col min="7" max="7" width="34.140625" customWidth="1"/>
    <col min="8" max="8" width="8.42578125" customWidth="1"/>
    <col min="9" max="9" width="17.7109375" customWidth="1"/>
    <col min="10" max="10" width="30" customWidth="1"/>
    <col min="11" max="11" width="14.42578125" customWidth="1"/>
    <col min="12" max="12" width="9.140625" customWidth="1"/>
    <col min="13" max="13" width="27.85546875" customWidth="1"/>
    <col min="14" max="14" width="45.7109375" customWidth="1"/>
    <col min="15" max="15" width="14.42578125" customWidth="1"/>
    <col min="16" max="17" width="11.28515625" customWidth="1"/>
    <col min="18" max="18" width="6.85546875" customWidth="1"/>
    <col min="19" max="19" width="40.42578125" customWidth="1"/>
    <col min="20" max="20" width="18.42578125" customWidth="1"/>
    <col min="21" max="21" width="18.140625" customWidth="1"/>
    <col min="22" max="23" width="9.28515625" customWidth="1"/>
    <col min="24" max="24" width="29.28515625" customWidth="1"/>
    <col min="25" max="25" width="36.85546875" customWidth="1"/>
    <col min="26" max="26" width="56.85546875" customWidth="1"/>
    <col min="27" max="27" width="8.42578125" style="68"/>
    <col min="28" max="28" width="22.42578125" bestFit="1" customWidth="1"/>
    <col min="29" max="29" width="32.5703125" bestFit="1" customWidth="1"/>
    <col min="30" max="30" width="21.28515625" customWidth="1"/>
    <col min="31" max="31" width="18.140625" customWidth="1"/>
    <col min="32" max="36" width="11.7109375" customWidth="1"/>
    <col min="37" max="37" width="23" customWidth="1"/>
    <col min="38" max="38" width="98.42578125" bestFit="1" customWidth="1"/>
    <col min="39" max="39" width="17.140625" customWidth="1"/>
    <col min="40" max="40" width="9.42578125" bestFit="1" customWidth="1"/>
  </cols>
  <sheetData>
    <row r="1" spans="1:50">
      <c r="AF1" t="str">
        <f>IFERROR(MID('4.Electivos'!Y9,FIND(":",'4.Electivos'!Y9)+1,FIND(":",'4.Electivos'!Y9,FIND(":",'4.Electivos'!Y9)+1)-FIND(":",'4.Electivos'!Y9)-1),"")</f>
        <v/>
      </c>
      <c r="AG1" t="str">
        <f>IFERROR(MID('4.Electivos'!Z9,FIND(":",'4.Electivos'!Z9)+1,FIND(":",'4.Electivos'!Z9,FIND(":",'4.Electivos'!Z9)+1)-FIND(":",'4.Electivos'!Z9)-1),"")</f>
        <v/>
      </c>
      <c r="AH1" t="str">
        <f>IFERROR(MID('4.Electivos'!AA9,FIND(":",'4.Electivos'!AA9)+1,FIND(":",'4.Electivos'!AA9,FIND(":",'4.Electivos'!AA9)+1)-FIND(":",'4.Electivos'!AA9)-1),"")</f>
        <v/>
      </c>
      <c r="AI1" t="str">
        <f>IFERROR(MID('4.Electivos'!AB9,FIND(":",'4.Electivos'!AB9)+1,FIND(":",'4.Electivos'!AB9,FIND(":",'4.Electivos'!AB9)+1)-FIND(":",'4.Electivos'!AB9)-1),"")</f>
        <v/>
      </c>
      <c r="AJ1" t="str">
        <f>IFERROR(MID('4.Electivos'!AC9,FIND(":",'4.Electivos'!AC9)+1,FIND(":",'4.Electivos'!AC9,FIND(":",'4.Electivos'!AC9)+1)-FIND(":",'4.Electivos'!AC9)-1),"")</f>
        <v/>
      </c>
      <c r="AL1" t="str">
        <f>CONCATENATE(AF1,IF(AG1="","",CONCATENATE(",",AG1)),IF(AH1="","",CONCATENATE(",",AH1)),IF(AI1="","",CONCATENATE(",",AI1)),IF(AJ1="","",CONCATENATE(",",AJ1)))</f>
        <v/>
      </c>
      <c r="AO1" t="s">
        <v>366</v>
      </c>
      <c r="AQ1" t="s">
        <v>367</v>
      </c>
      <c r="AS1" t="s">
        <v>368</v>
      </c>
      <c r="AU1" s="827" t="s">
        <v>233</v>
      </c>
      <c r="AV1" s="827"/>
      <c r="AW1" s="827" t="s">
        <v>233</v>
      </c>
      <c r="AX1" s="827"/>
    </row>
    <row r="2" spans="1:50">
      <c r="A2" s="1" t="s">
        <v>353</v>
      </c>
      <c r="B2" t="s">
        <v>467</v>
      </c>
      <c r="C2" t="s">
        <v>364</v>
      </c>
      <c r="E2" t="s">
        <v>468</v>
      </c>
      <c r="G2" t="s">
        <v>469</v>
      </c>
      <c r="I2" s="420" t="s">
        <v>470</v>
      </c>
      <c r="J2" s="420" t="s">
        <v>471</v>
      </c>
      <c r="K2" s="420" t="s">
        <v>472</v>
      </c>
      <c r="L2" s="420" t="s">
        <v>473</v>
      </c>
      <c r="M2" s="420" t="s">
        <v>474</v>
      </c>
      <c r="N2" s="420" t="s">
        <v>475</v>
      </c>
      <c r="O2" s="420" t="s">
        <v>353</v>
      </c>
      <c r="P2" s="420" t="s">
        <v>476</v>
      </c>
      <c r="Q2" s="420" t="s">
        <v>477</v>
      </c>
      <c r="S2" t="s">
        <v>471</v>
      </c>
      <c r="T2" t="s">
        <v>478</v>
      </c>
      <c r="U2" t="s">
        <v>479</v>
      </c>
      <c r="V2" s="20" t="s">
        <v>473</v>
      </c>
      <c r="X2" s="73" t="s">
        <v>480</v>
      </c>
      <c r="Y2" s="73" t="s">
        <v>481</v>
      </c>
      <c r="Z2" s="73" t="s">
        <v>482</v>
      </c>
      <c r="AA2" s="74" t="s">
        <v>483</v>
      </c>
      <c r="AF2" t="str">
        <f>IFERROR(MID('4.Electivos'!Y10,FIND(":",'4.Electivos'!Y10)+1,FIND(":",'4.Electivos'!Y10,FIND(":",'4.Electivos'!Y10)+1)-FIND(":",'4.Electivos'!Y10)-1),"")</f>
        <v/>
      </c>
      <c r="AG2" t="str">
        <f>IFERROR(MID('4.Electivos'!Z10,FIND(":",'4.Electivos'!Z10)+1,FIND(":",'4.Electivos'!Z10,FIND(":",'4.Electivos'!Z10)+1)-FIND(":",'4.Electivos'!Z10)-1),"")</f>
        <v/>
      </c>
      <c r="AH2" t="str">
        <f>IFERROR(MID('4.Electivos'!AA10,FIND(":",'4.Electivos'!AA10)+1,FIND(":",'4.Electivos'!AA10,FIND(":",'4.Electivos'!AA10)+1)-FIND(":",'4.Electivos'!AA10)-1),"")</f>
        <v/>
      </c>
      <c r="AI2" t="str">
        <f>IFERROR(MID('4.Electivos'!AB10,FIND(":",'4.Electivos'!AB10)+1,FIND(":",'4.Electivos'!AB10,FIND(":",'4.Electivos'!AB10)+1)-FIND(":",'4.Electivos'!AB10)-1),"")</f>
        <v/>
      </c>
      <c r="AJ2" t="str">
        <f>IFERROR(MID('4.Electivos'!AC10,FIND(":",'4.Electivos'!AC10)+1,FIND(":",'4.Electivos'!AC10,FIND(":",'4.Electivos'!AC10)+1)-FIND(":",'4.Electivos'!AC10)-1),"")</f>
        <v/>
      </c>
      <c r="AL2" t="str">
        <f t="shared" ref="AL2:AL65" si="0">CONCATENATE(AF2,IF(AG2="","",CONCATENATE(",",AG2)),IF(AH2="","",CONCATENATE(",",AH2)),IF(AI2="","",CONCATENATE(",",AI2)),IF(AJ2="","",CONCATENATE(",",AJ2)))</f>
        <v/>
      </c>
      <c r="AN2" s="73" t="s">
        <v>224</v>
      </c>
      <c r="AO2" s="73" t="s">
        <v>243</v>
      </c>
      <c r="AP2" s="73" t="s">
        <v>365</v>
      </c>
      <c r="AQ2" s="73" t="s">
        <v>243</v>
      </c>
      <c r="AR2" s="73" t="s">
        <v>365</v>
      </c>
      <c r="AS2" s="73" t="s">
        <v>243</v>
      </c>
      <c r="AT2" s="73" t="s">
        <v>365</v>
      </c>
      <c r="AU2" s="73" t="s">
        <v>243</v>
      </c>
      <c r="AV2" s="73" t="s">
        <v>365</v>
      </c>
      <c r="AW2" s="73" t="s">
        <v>357</v>
      </c>
      <c r="AX2" s="73" t="s">
        <v>358</v>
      </c>
    </row>
    <row r="3" spans="1:50" ht="15.75">
      <c r="A3" t="s">
        <v>6</v>
      </c>
      <c r="B3" t="s">
        <v>484</v>
      </c>
      <c r="C3" t="s">
        <v>256</v>
      </c>
      <c r="E3" t="s">
        <v>485</v>
      </c>
      <c r="G3" t="s">
        <v>486</v>
      </c>
      <c r="I3" s="200" t="s">
        <v>487</v>
      </c>
      <c r="J3" s="200" t="s">
        <v>488</v>
      </c>
      <c r="K3" s="200" t="str">
        <f>+CONCATENATE(J3,"_",O3)</f>
        <v>ADMINISTRACIÓN DE EMPRESAS_PRESENCIAL</v>
      </c>
      <c r="L3" s="200" t="s">
        <v>489</v>
      </c>
      <c r="M3" s="200" t="s">
        <v>490</v>
      </c>
      <c r="N3" s="200" t="s">
        <v>491</v>
      </c>
      <c r="O3" s="200" t="s">
        <v>6</v>
      </c>
      <c r="P3" s="200" t="s">
        <v>11</v>
      </c>
      <c r="Q3" s="421">
        <v>60</v>
      </c>
      <c r="S3" t="s">
        <v>492</v>
      </c>
      <c r="T3" t="s">
        <v>6</v>
      </c>
      <c r="U3" t="str">
        <f>+CONCATENATE(S3,"_",T3)</f>
        <v>ADMINISTRACIÓN_PRESENCIAL</v>
      </c>
      <c r="V3" t="s">
        <v>493</v>
      </c>
      <c r="X3" s="181" t="str">
        <f>+'3.Plan de Estudios'!E19</f>
        <v>ADMINISTRACIÓN PARA LOS NEGOCIOS</v>
      </c>
      <c r="Y3" s="65" t="str">
        <f>IF('3.Plan de Estudios'!AA19="","",'3.Plan de Estudios'!AA19)</f>
        <v>CG4: Gestión de Recursos:N1 Reconoce la teoría de gestión y sus componentes de manera aplicada para comprender la lógica empresarial.</v>
      </c>
      <c r="Z3" t="str">
        <f>CONCATENATE(X3,"-",MID(Y3,1,100))</f>
        <v xml:space="preserve">ADMINISTRACIÓN PARA LOS NEGOCIOS-CG4: Gestión de Recursos:N1 Reconoce la teoría de gestión y sus componentes de manera aplicada para </v>
      </c>
      <c r="AA3" s="89" t="str">
        <f>+IF(Y3="","","a")</f>
        <v>a</v>
      </c>
      <c r="AB3" t="str">
        <f>IFERROR(MID(Y3,FIND(":",Y3)+1,FIND(":",Y3,FIND(":",Y3)+1)-FIND(":",Y3)-1),"")</f>
        <v xml:space="preserve"> Gestión de Recursos</v>
      </c>
      <c r="AC3" t="str">
        <f>AB3</f>
        <v xml:space="preserve"> Gestión de Recursos</v>
      </c>
      <c r="AF3" t="str">
        <f>IFERROR(MID('4.Electivos'!Y11,FIND(":",'4.Electivos'!Y11)+1,FIND(":",'4.Electivos'!Y11,FIND(":",'4.Electivos'!Y11)+1)-FIND(":",'4.Electivos'!Y11)-1),"")</f>
        <v/>
      </c>
      <c r="AG3" t="str">
        <f>IFERROR(MID('4.Electivos'!Z11,FIND(":",'4.Electivos'!Z11)+1,FIND(":",'4.Electivos'!Z11,FIND(":",'4.Electivos'!Z11)+1)-FIND(":",'4.Electivos'!Z11)-1),"")</f>
        <v/>
      </c>
      <c r="AH3" t="str">
        <f>IFERROR(MID('4.Electivos'!AA11,FIND(":",'4.Electivos'!AA11)+1,FIND(":",'4.Electivos'!AA11,FIND(":",'4.Electivos'!AA11)+1)-FIND(":",'4.Electivos'!AA11)-1),"")</f>
        <v/>
      </c>
      <c r="AI3" t="str">
        <f>IFERROR(MID('4.Electivos'!AB11,FIND(":",'4.Electivos'!AB11)+1,FIND(":",'4.Electivos'!AB11,FIND(":",'4.Electivos'!AB11)+1)-FIND(":",'4.Electivos'!AB11)-1),"")</f>
        <v/>
      </c>
      <c r="AJ3" t="str">
        <f>IFERROR(MID('4.Electivos'!AC11,FIND(":",'4.Electivos'!AC11)+1,FIND(":",'4.Electivos'!AC11,FIND(":",'4.Electivos'!AC11)+1)-FIND(":",'4.Electivos'!AC11)-1),"")</f>
        <v/>
      </c>
      <c r="AL3" t="str">
        <f t="shared" si="0"/>
        <v/>
      </c>
      <c r="AM3" s="88"/>
      <c r="AN3" s="68">
        <v>1</v>
      </c>
      <c r="AO3" s="68">
        <f>+'3.Plan de Estudios'!J29</f>
        <v>292</v>
      </c>
      <c r="AP3" s="68">
        <f>+'3.Plan de Estudios'!K29</f>
        <v>0</v>
      </c>
      <c r="AQ3" s="68">
        <f>+'3.Plan de Estudios'!L29</f>
        <v>56</v>
      </c>
      <c r="AR3" s="68">
        <f>+'3.Plan de Estudios'!M29</f>
        <v>0</v>
      </c>
      <c r="AS3" s="68">
        <f>+'3.Plan de Estudios'!N29</f>
        <v>0</v>
      </c>
      <c r="AT3" s="68">
        <f>+'3.Plan de Estudios'!O29</f>
        <v>0</v>
      </c>
      <c r="AU3" s="68">
        <f>+AO3/16+AQ3/32+AS3/32</f>
        <v>20</v>
      </c>
      <c r="AV3" s="68">
        <f>+AP3/16+AR3/32+AT3/32</f>
        <v>0</v>
      </c>
      <c r="AW3" s="86">
        <f>SUM(AO3:AP3)/16</f>
        <v>18.25</v>
      </c>
      <c r="AX3" s="86">
        <f>SUM(AQ3:AT3)/32</f>
        <v>1.75</v>
      </c>
    </row>
    <row r="4" spans="1:50" ht="15.75">
      <c r="A4" t="s">
        <v>494</v>
      </c>
      <c r="B4" t="s">
        <v>17</v>
      </c>
      <c r="C4" t="s">
        <v>241</v>
      </c>
      <c r="E4" t="s">
        <v>495</v>
      </c>
      <c r="G4" t="s">
        <v>496</v>
      </c>
      <c r="I4" s="200" t="s">
        <v>487</v>
      </c>
      <c r="J4" s="200" t="s">
        <v>488</v>
      </c>
      <c r="K4" s="200" t="str">
        <f t="shared" ref="K4:K67" si="1">+CONCATENATE(J4,"_",O4)</f>
        <v>ADMINISTRACIÓN DE EMPRESAS_SEMIPRESENCIAL</v>
      </c>
      <c r="L4" s="200" t="s">
        <v>497</v>
      </c>
      <c r="M4" s="200" t="s">
        <v>490</v>
      </c>
      <c r="N4" s="200" t="s">
        <v>491</v>
      </c>
      <c r="O4" s="200" t="s">
        <v>498</v>
      </c>
      <c r="P4" s="200" t="s">
        <v>11</v>
      </c>
      <c r="Q4" s="421">
        <v>60</v>
      </c>
      <c r="S4" t="s">
        <v>492</v>
      </c>
      <c r="T4" t="s">
        <v>498</v>
      </c>
      <c r="U4" t="str">
        <f t="shared" ref="U4:U67" si="2">+CONCATENATE(S4,"_",T4)</f>
        <v>ADMINISTRACIÓN_SEMIPRESENCIAL</v>
      </c>
      <c r="V4" t="s">
        <v>499</v>
      </c>
      <c r="X4" s="181" t="str">
        <f>+'3.Plan de Estudios'!E19</f>
        <v>ADMINISTRACIÓN PARA LOS NEGOCIOS</v>
      </c>
      <c r="Y4" s="65" t="str">
        <f>IF('3.Plan de Estudios'!AC19="","",'3.Plan de Estudios'!AC19)</f>
        <v/>
      </c>
      <c r="Z4" t="str">
        <f>CONCATENATE(X4,"-",MID(Y4,1,100))</f>
        <v>ADMINISTRACIÓN PARA LOS NEGOCIOS-</v>
      </c>
      <c r="AA4" s="89" t="str">
        <f t="shared" ref="AA4:AA107" si="3">+IF(Y4="","","a")</f>
        <v/>
      </c>
      <c r="AB4" t="str">
        <f t="shared" ref="AB4:AB66" si="4">IFERROR(MID(Y4,FIND(":",Y4)+1,FIND(":",Y4,FIND(":",Y4)+1)-FIND(":",Y4)-1),"")</f>
        <v/>
      </c>
      <c r="AC4" t="str">
        <f>IF(AB4="","",CONCATENATE(",",AB4))</f>
        <v/>
      </c>
      <c r="AF4" t="str">
        <f>IFERROR(MID('4.Electivos'!Y12,FIND(":",'4.Electivos'!Y12)+1,FIND(":",'4.Electivos'!Y12,FIND(":",'4.Electivos'!Y12)+1)-FIND(":",'4.Electivos'!Y12)-1),"")</f>
        <v/>
      </c>
      <c r="AG4" t="str">
        <f>IFERROR(MID('4.Electivos'!Z12,FIND(":",'4.Electivos'!Z12)+1,FIND(":",'4.Electivos'!Z12,FIND(":",'4.Electivos'!Z12)+1)-FIND(":",'4.Electivos'!Z12)-1),"")</f>
        <v/>
      </c>
      <c r="AH4" t="str">
        <f>IFERROR(MID('4.Electivos'!AA12,FIND(":",'4.Electivos'!AA12)+1,FIND(":",'4.Electivos'!AA12,FIND(":",'4.Electivos'!AA12)+1)-FIND(":",'4.Electivos'!AA12)-1),"")</f>
        <v/>
      </c>
      <c r="AI4" t="str">
        <f>IFERROR(MID('4.Electivos'!AB12,FIND(":",'4.Electivos'!AB12)+1,FIND(":",'4.Electivos'!AB12,FIND(":",'4.Electivos'!AB12)+1)-FIND(":",'4.Electivos'!AB12)-1),"")</f>
        <v/>
      </c>
      <c r="AJ4" t="str">
        <f>IFERROR(MID('4.Electivos'!AC12,FIND(":",'4.Electivos'!AC12)+1,FIND(":",'4.Electivos'!AC12,FIND(":",'4.Electivos'!AC12)+1)-FIND(":",'4.Electivos'!AC12)-1),"")</f>
        <v/>
      </c>
      <c r="AL4" t="str">
        <f t="shared" si="0"/>
        <v/>
      </c>
      <c r="AN4" s="68">
        <v>2</v>
      </c>
      <c r="AO4" s="68">
        <f>+'3.Plan de Estudios'!J40</f>
        <v>292</v>
      </c>
      <c r="AP4" s="68">
        <f>+'3.Plan de Estudios'!K40</f>
        <v>0</v>
      </c>
      <c r="AQ4" s="68">
        <f>+'3.Plan de Estudios'!L40</f>
        <v>56</v>
      </c>
      <c r="AR4" s="68">
        <f>+'3.Plan de Estudios'!M40</f>
        <v>0</v>
      </c>
      <c r="AS4" s="68">
        <f>+'3.Plan de Estudios'!N40</f>
        <v>0</v>
      </c>
      <c r="AT4" s="68">
        <f>+'3.Plan de Estudios'!O40</f>
        <v>0</v>
      </c>
      <c r="AU4" s="68">
        <f t="shared" ref="AU4:AU15" si="5">+AO4/16+AQ4/32+AS4/32</f>
        <v>20</v>
      </c>
      <c r="AV4" s="68">
        <f t="shared" ref="AV4:AV15" si="6">+AP4/16+AR4/32+AT4/32</f>
        <v>0</v>
      </c>
      <c r="AW4" s="86">
        <f t="shared" ref="AW4:AW15" si="7">SUM(AO4:AP4)/16</f>
        <v>18.25</v>
      </c>
      <c r="AX4" s="86">
        <f t="shared" ref="AX4:AX15" si="8">SUM(AQ4:AT4)/32</f>
        <v>1.75</v>
      </c>
    </row>
    <row r="5" spans="1:50" ht="15.75">
      <c r="A5" t="s">
        <v>498</v>
      </c>
      <c r="B5" t="s">
        <v>500</v>
      </c>
      <c r="C5" t="s">
        <v>247</v>
      </c>
      <c r="G5" t="s">
        <v>501</v>
      </c>
      <c r="I5" s="200" t="s">
        <v>487</v>
      </c>
      <c r="J5" s="200" t="s">
        <v>488</v>
      </c>
      <c r="K5" s="200" t="str">
        <f t="shared" si="1"/>
        <v>ADMINISTRACIÓN DE EMPRESAS_A DISTANCIA</v>
      </c>
      <c r="L5" s="200" t="s">
        <v>502</v>
      </c>
      <c r="M5" s="200" t="s">
        <v>490</v>
      </c>
      <c r="N5" s="200" t="s">
        <v>491</v>
      </c>
      <c r="O5" s="200" t="s">
        <v>494</v>
      </c>
      <c r="P5" s="200" t="s">
        <v>11</v>
      </c>
      <c r="Q5" s="421">
        <v>60</v>
      </c>
      <c r="S5" t="s">
        <v>488</v>
      </c>
      <c r="T5" t="s">
        <v>6</v>
      </c>
      <c r="U5" t="str">
        <f t="shared" si="2"/>
        <v>ADMINISTRACIÓN DE EMPRESAS_PRESENCIAL</v>
      </c>
      <c r="V5" t="s">
        <v>489</v>
      </c>
      <c r="X5" s="181" t="str">
        <f>+'3.Plan de Estudios'!E19</f>
        <v>ADMINISTRACIÓN PARA LOS NEGOCIOS</v>
      </c>
      <c r="Y5" s="65" t="str">
        <f>IF('3.Plan de Estudios'!AE19="","",'3.Plan de Estudios'!AE19)</f>
        <v/>
      </c>
      <c r="Z5" t="str">
        <f t="shared" ref="Z5:Z68" si="9">CONCATENATE(X5,"-",MID(Y5,1,100))</f>
        <v>ADMINISTRACIÓN PARA LOS NEGOCIOS-</v>
      </c>
      <c r="AA5" s="89" t="str">
        <f t="shared" si="3"/>
        <v/>
      </c>
      <c r="AB5" t="str">
        <f t="shared" si="4"/>
        <v/>
      </c>
      <c r="AC5" t="str">
        <f t="shared" ref="AC5:AC67" si="10">IF(AB5="","",CONCATENATE(",",AB5))</f>
        <v/>
      </c>
      <c r="AF5" t="str">
        <f>IFERROR(MID('4.Electivos'!Y13,FIND(":",'4.Electivos'!Y13)+1,FIND(":",'4.Electivos'!Y13,FIND(":",'4.Electivos'!Y13)+1)-FIND(":",'4.Electivos'!Y13)-1),"")</f>
        <v/>
      </c>
      <c r="AG5" t="str">
        <f>IFERROR(MID('4.Electivos'!Z13,FIND(":",'4.Electivos'!Z13)+1,FIND(":",'4.Electivos'!Z13,FIND(":",'4.Electivos'!Z13)+1)-FIND(":",'4.Electivos'!Z13)-1),"")</f>
        <v/>
      </c>
      <c r="AH5" t="str">
        <f>IFERROR(MID('4.Electivos'!AA13,FIND(":",'4.Electivos'!AA13)+1,FIND(":",'4.Electivos'!AA13,FIND(":",'4.Electivos'!AA13)+1)-FIND(":",'4.Electivos'!AA13)-1),"")</f>
        <v/>
      </c>
      <c r="AI5" t="str">
        <f>IFERROR(MID('4.Electivos'!AB13,FIND(":",'4.Electivos'!AB13)+1,FIND(":",'4.Electivos'!AB13,FIND(":",'4.Electivos'!AB13)+1)-FIND(":",'4.Electivos'!AB13)-1),"")</f>
        <v/>
      </c>
      <c r="AJ5" t="str">
        <f>IFERROR(MID('4.Electivos'!AC13,FIND(":",'4.Electivos'!AC13)+1,FIND(":",'4.Electivos'!AC13,FIND(":",'4.Electivos'!AC13)+1)-FIND(":",'4.Electivos'!AC13)-1),"")</f>
        <v/>
      </c>
      <c r="AL5" t="str">
        <f t="shared" si="0"/>
        <v/>
      </c>
      <c r="AN5" s="68">
        <v>3</v>
      </c>
      <c r="AO5" s="68">
        <f>+'3.Plan de Estudios'!J51</f>
        <v>230</v>
      </c>
      <c r="AP5" s="68">
        <f>+'3.Plan de Estudios'!K51</f>
        <v>0</v>
      </c>
      <c r="AQ5" s="68">
        <f>+'3.Plan de Estudios'!L51</f>
        <v>164</v>
      </c>
      <c r="AR5" s="68">
        <f>+'3.Plan de Estudios'!M51</f>
        <v>0</v>
      </c>
      <c r="AS5" s="68">
        <f>+'3.Plan de Estudios'!N51</f>
        <v>16</v>
      </c>
      <c r="AT5" s="68">
        <f>+'3.Plan de Estudios'!O51</f>
        <v>0</v>
      </c>
      <c r="AU5" s="68">
        <f t="shared" si="5"/>
        <v>20</v>
      </c>
      <c r="AV5" s="68">
        <f t="shared" si="6"/>
        <v>0</v>
      </c>
      <c r="AW5" s="86">
        <f t="shared" si="7"/>
        <v>14.375</v>
      </c>
      <c r="AX5" s="86">
        <f t="shared" si="8"/>
        <v>5.625</v>
      </c>
    </row>
    <row r="6" spans="1:50" ht="15.75">
      <c r="B6" t="s">
        <v>503</v>
      </c>
      <c r="G6" t="s">
        <v>504</v>
      </c>
      <c r="I6" s="200" t="s">
        <v>487</v>
      </c>
      <c r="J6" s="200" t="s">
        <v>505</v>
      </c>
      <c r="K6" s="200" t="str">
        <f t="shared" si="1"/>
        <v>ADMINISTRACIÓN Y FINANZAS_PRESENCIAL</v>
      </c>
      <c r="L6" s="200" t="s">
        <v>506</v>
      </c>
      <c r="M6" s="200" t="s">
        <v>507</v>
      </c>
      <c r="N6" s="200" t="s">
        <v>508</v>
      </c>
      <c r="O6" s="200" t="s">
        <v>6</v>
      </c>
      <c r="P6" s="200" t="s">
        <v>11</v>
      </c>
      <c r="Q6" s="421">
        <v>60</v>
      </c>
      <c r="S6" t="s">
        <v>488</v>
      </c>
      <c r="T6" t="s">
        <v>498</v>
      </c>
      <c r="U6" t="str">
        <f t="shared" si="2"/>
        <v>ADMINISTRACIÓN DE EMPRESAS_SEMIPRESENCIAL</v>
      </c>
      <c r="V6" t="s">
        <v>497</v>
      </c>
      <c r="X6" s="181" t="str">
        <f>+'3.Plan de Estudios'!E19</f>
        <v>ADMINISTRACIÓN PARA LOS NEGOCIOS</v>
      </c>
      <c r="Y6" s="65" t="str">
        <f>IF('3.Plan de Estudios'!AG19="","",'3.Plan de Estudios'!AG19)</f>
        <v/>
      </c>
      <c r="Z6" t="str">
        <f t="shared" si="9"/>
        <v>ADMINISTRACIÓN PARA LOS NEGOCIOS-</v>
      </c>
      <c r="AA6" s="89" t="str">
        <f t="shared" si="3"/>
        <v/>
      </c>
      <c r="AB6" t="str">
        <f t="shared" si="4"/>
        <v/>
      </c>
      <c r="AC6" t="str">
        <f t="shared" si="10"/>
        <v/>
      </c>
      <c r="AF6" t="str">
        <f>IFERROR(MID('4.Electivos'!Y14,FIND(":",'4.Electivos'!Y14)+1,FIND(":",'4.Electivos'!Y14,FIND(":",'4.Electivos'!Y14)+1)-FIND(":",'4.Electivos'!Y14)-1),"")</f>
        <v/>
      </c>
      <c r="AG6" t="str">
        <f>IFERROR(MID('4.Electivos'!Z14,FIND(":",'4.Electivos'!Z14)+1,FIND(":",'4.Electivos'!Z14,FIND(":",'4.Electivos'!Z14)+1)-FIND(":",'4.Electivos'!Z14)-1),"")</f>
        <v/>
      </c>
      <c r="AH6" t="str">
        <f>IFERROR(MID('4.Electivos'!AA14,FIND(":",'4.Electivos'!AA14)+1,FIND(":",'4.Electivos'!AA14,FIND(":",'4.Electivos'!AA14)+1)-FIND(":",'4.Electivos'!AA14)-1),"")</f>
        <v/>
      </c>
      <c r="AI6" t="str">
        <f>IFERROR(MID('4.Electivos'!AB14,FIND(":",'4.Electivos'!AB14)+1,FIND(":",'4.Electivos'!AB14,FIND(":",'4.Electivos'!AB14)+1)-FIND(":",'4.Electivos'!AB14)-1),"")</f>
        <v/>
      </c>
      <c r="AJ6" t="str">
        <f>IFERROR(MID('4.Electivos'!AC14,FIND(":",'4.Electivos'!AC14)+1,FIND(":",'4.Electivos'!AC14,FIND(":",'4.Electivos'!AC14)+1)-FIND(":",'4.Electivos'!AC14)-1),"")</f>
        <v/>
      </c>
      <c r="AL6" t="str">
        <f t="shared" si="0"/>
        <v/>
      </c>
      <c r="AN6" s="68">
        <v>4</v>
      </c>
      <c r="AO6" s="68">
        <f>+'3.Plan de Estudios'!J62</f>
        <v>248</v>
      </c>
      <c r="AP6" s="68">
        <f>+'3.Plan de Estudios'!K62</f>
        <v>0</v>
      </c>
      <c r="AQ6" s="68">
        <f>+'3.Plan de Estudios'!L62</f>
        <v>144</v>
      </c>
      <c r="AR6" s="68">
        <f>+'3.Plan de Estudios'!M62</f>
        <v>0</v>
      </c>
      <c r="AS6" s="68">
        <f>+'3.Plan de Estudios'!N62</f>
        <v>0</v>
      </c>
      <c r="AT6" s="68">
        <f>+'3.Plan de Estudios'!O62</f>
        <v>0</v>
      </c>
      <c r="AU6" s="68">
        <f t="shared" si="5"/>
        <v>20</v>
      </c>
      <c r="AV6" s="68">
        <f t="shared" si="6"/>
        <v>0</v>
      </c>
      <c r="AW6" s="86">
        <f t="shared" si="7"/>
        <v>15.5</v>
      </c>
      <c r="AX6" s="86">
        <f t="shared" si="8"/>
        <v>4.5</v>
      </c>
    </row>
    <row r="7" spans="1:50" ht="15.75">
      <c r="A7" t="s">
        <v>147</v>
      </c>
      <c r="B7" t="s">
        <v>509</v>
      </c>
      <c r="C7" t="s">
        <v>149</v>
      </c>
      <c r="G7" t="s">
        <v>383</v>
      </c>
      <c r="I7" s="200" t="s">
        <v>487</v>
      </c>
      <c r="J7" s="200" t="s">
        <v>505</v>
      </c>
      <c r="K7" s="200" t="str">
        <f t="shared" si="1"/>
        <v>ADMINISTRACIÓN Y FINANZAS_SEMIPRESENCIAL</v>
      </c>
      <c r="L7" s="200" t="s">
        <v>510</v>
      </c>
      <c r="M7" s="200" t="s">
        <v>507</v>
      </c>
      <c r="N7" s="200" t="s">
        <v>508</v>
      </c>
      <c r="O7" s="200" t="s">
        <v>498</v>
      </c>
      <c r="P7" s="200" t="s">
        <v>11</v>
      </c>
      <c r="Q7" s="421">
        <v>60</v>
      </c>
      <c r="S7" t="s">
        <v>511</v>
      </c>
      <c r="T7" t="s">
        <v>6</v>
      </c>
      <c r="U7" t="str">
        <f t="shared" si="2"/>
        <v>ADMINISTRACIÓN DE LA SALUD_PRESENCIAL</v>
      </c>
      <c r="V7" t="s">
        <v>512</v>
      </c>
      <c r="X7" s="181" t="str">
        <f>+'3.Plan de Estudios'!E19</f>
        <v>ADMINISTRACIÓN PARA LOS NEGOCIOS</v>
      </c>
      <c r="Y7" s="65" t="str">
        <f>IF('3.Plan de Estudios'!AI19="","",'3.Plan de Estudios'!AI19)</f>
        <v/>
      </c>
      <c r="Z7" t="str">
        <f t="shared" si="9"/>
        <v>ADMINISTRACIÓN PARA LOS NEGOCIOS-</v>
      </c>
      <c r="AA7" s="89" t="str">
        <f t="shared" si="3"/>
        <v/>
      </c>
      <c r="AB7" t="str">
        <f t="shared" si="4"/>
        <v/>
      </c>
      <c r="AC7" t="str">
        <f>IF(AB7="","",CONCATENATE(",",AB7))</f>
        <v/>
      </c>
      <c r="AD7" t="str">
        <f>CONCATENATE(AC3,AC4,AC5,AC6,AC7)</f>
        <v xml:space="preserve"> Gestión de Recursos</v>
      </c>
      <c r="AF7" t="str">
        <f>IFERROR(MID('4.Electivos'!Y15,FIND(":",'4.Electivos'!Y15)+1,FIND(":",'4.Electivos'!Y15,FIND(":",'4.Electivos'!Y15)+1)-FIND(":",'4.Electivos'!Y15)-1),"")</f>
        <v/>
      </c>
      <c r="AG7" t="str">
        <f>IFERROR(MID('4.Electivos'!Z15,FIND(":",'4.Electivos'!Z15)+1,FIND(":",'4.Electivos'!Z15,FIND(":",'4.Electivos'!Z15)+1)-FIND(":",'4.Electivos'!Z15)-1),"")</f>
        <v/>
      </c>
      <c r="AH7" t="str">
        <f>IFERROR(MID('4.Electivos'!AA15,FIND(":",'4.Electivos'!AA15)+1,FIND(":",'4.Electivos'!AA15,FIND(":",'4.Electivos'!AA15)+1)-FIND(":",'4.Electivos'!AA15)-1),"")</f>
        <v/>
      </c>
      <c r="AI7" t="str">
        <f>IFERROR(MID('4.Electivos'!AB15,FIND(":",'4.Electivos'!AB15)+1,FIND(":",'4.Electivos'!AB15,FIND(":",'4.Electivos'!AB15)+1)-FIND(":",'4.Electivos'!AB15)-1),"")</f>
        <v/>
      </c>
      <c r="AJ7" t="str">
        <f>IFERROR(MID('4.Electivos'!AC15,FIND(":",'4.Electivos'!AC15)+1,FIND(":",'4.Electivos'!AC15,FIND(":",'4.Electivos'!AC15)+1)-FIND(":",'4.Electivos'!AC15)-1),"")</f>
        <v/>
      </c>
      <c r="AL7" t="str">
        <f t="shared" si="0"/>
        <v/>
      </c>
      <c r="AN7" s="68">
        <v>5</v>
      </c>
      <c r="AO7" s="68">
        <f>+'3.Plan de Estudios'!J73</f>
        <v>250</v>
      </c>
      <c r="AP7" s="68">
        <f>+'3.Plan de Estudios'!K73</f>
        <v>0</v>
      </c>
      <c r="AQ7" s="68">
        <f>+'3.Plan de Estudios'!L73</f>
        <v>172</v>
      </c>
      <c r="AR7" s="68">
        <f>+'3.Plan de Estudios'!M73</f>
        <v>0</v>
      </c>
      <c r="AS7" s="68">
        <f>+'3.Plan de Estudios'!N73</f>
        <v>0</v>
      </c>
      <c r="AT7" s="68">
        <f>+'3.Plan de Estudios'!O73</f>
        <v>0</v>
      </c>
      <c r="AU7" s="68">
        <f t="shared" si="5"/>
        <v>21</v>
      </c>
      <c r="AV7" s="68">
        <f t="shared" si="6"/>
        <v>0</v>
      </c>
      <c r="AW7" s="86">
        <f t="shared" si="7"/>
        <v>15.625</v>
      </c>
      <c r="AX7" s="86">
        <f t="shared" si="8"/>
        <v>5.375</v>
      </c>
    </row>
    <row r="8" spans="1:50" ht="15.75">
      <c r="A8" s="20">
        <v>1</v>
      </c>
      <c r="B8" t="s">
        <v>513</v>
      </c>
      <c r="C8" t="s">
        <v>242</v>
      </c>
      <c r="G8" t="s">
        <v>514</v>
      </c>
      <c r="I8" s="200" t="s">
        <v>487</v>
      </c>
      <c r="J8" s="200" t="s">
        <v>515</v>
      </c>
      <c r="K8" s="200" t="str">
        <f t="shared" si="1"/>
        <v>COMUNICACIÓN Y PUBLICIDAD_PRESENCIAL</v>
      </c>
      <c r="L8" s="200" t="s">
        <v>516</v>
      </c>
      <c r="M8" s="200" t="s">
        <v>517</v>
      </c>
      <c r="N8" s="200" t="s">
        <v>518</v>
      </c>
      <c r="O8" s="200" t="s">
        <v>6</v>
      </c>
      <c r="P8" s="200" t="s">
        <v>11</v>
      </c>
      <c r="Q8" s="421">
        <v>60</v>
      </c>
      <c r="S8" t="s">
        <v>519</v>
      </c>
      <c r="T8" t="s">
        <v>6</v>
      </c>
      <c r="U8" t="str">
        <f t="shared" si="2"/>
        <v>ADMINISTRACIÓN EN TURISMO_PRESENCIAL</v>
      </c>
      <c r="V8" t="s">
        <v>520</v>
      </c>
      <c r="X8" t="str">
        <f>+'3.Plan de Estudios'!E20</f>
        <v>DESARROLLO HUMANO</v>
      </c>
      <c r="Y8" s="65" t="str">
        <f>IF('3.Plan de Estudios'!AA20="","",'3.Plan de Estudios'!AA20)</f>
        <v>CG5: Desarrollo Humano:N1 Identifica sus capacidades y/o cualidades personales y académicas mediante ejercicios y base teórica conducente al fortalecimiento del autoconocimiento.</v>
      </c>
      <c r="Z8" t="str">
        <f t="shared" si="9"/>
        <v>DESARROLLO HUMANO-CG5: Desarrollo Humano:N1 Identifica sus capacidades y/o cualidades personales y académicas mediante</v>
      </c>
      <c r="AA8" s="89" t="str">
        <f t="shared" si="3"/>
        <v>a</v>
      </c>
      <c r="AB8" t="str">
        <f t="shared" si="4"/>
        <v xml:space="preserve"> Desarrollo Humano</v>
      </c>
      <c r="AC8" t="str">
        <f>AB8</f>
        <v xml:space="preserve"> Desarrollo Humano</v>
      </c>
      <c r="AD8" t="str">
        <f>CONCATENATE(AC8,AC9,AC10,AC11,AC12)</f>
        <v xml:space="preserve"> Desarrollo Humano</v>
      </c>
      <c r="AE8" t="str">
        <f>+AD8</f>
        <v xml:space="preserve"> Desarrollo Humano</v>
      </c>
      <c r="AF8" t="str">
        <f>IFERROR(MID('4.Electivos'!Y16,FIND(":",'4.Electivos'!Y16)+1,FIND(":",'4.Electivos'!Y16,FIND(":",'4.Electivos'!Y16)+1)-FIND(":",'4.Electivos'!Y16)-1),"")</f>
        <v/>
      </c>
      <c r="AG8" t="str">
        <f>IFERROR(MID('4.Electivos'!Z16,FIND(":",'4.Electivos'!Z16)+1,FIND(":",'4.Electivos'!Z16,FIND(":",'4.Electivos'!Z16)+1)-FIND(":",'4.Electivos'!Z16)-1),"")</f>
        <v/>
      </c>
      <c r="AH8" t="str">
        <f>IFERROR(MID('4.Electivos'!AA16,FIND(":",'4.Electivos'!AA16)+1,FIND(":",'4.Electivos'!AA16,FIND(":",'4.Electivos'!AA16)+1)-FIND(":",'4.Electivos'!AA16)-1),"")</f>
        <v/>
      </c>
      <c r="AI8" t="str">
        <f>IFERROR(MID('4.Electivos'!AB16,FIND(":",'4.Electivos'!AB16)+1,FIND(":",'4.Electivos'!AB16,FIND(":",'4.Electivos'!AB16)+1)-FIND(":",'4.Electivos'!AB16)-1),"")</f>
        <v/>
      </c>
      <c r="AJ8" t="str">
        <f>IFERROR(MID('4.Electivos'!AC16,FIND(":",'4.Electivos'!AC16)+1,FIND(":",'4.Electivos'!AC16,FIND(":",'4.Electivos'!AC16)+1)-FIND(":",'4.Electivos'!AC16)-1),"")</f>
        <v/>
      </c>
      <c r="AL8" t="str">
        <f t="shared" si="0"/>
        <v/>
      </c>
      <c r="AN8" s="68">
        <v>6</v>
      </c>
      <c r="AO8" s="68">
        <f>+'3.Plan de Estudios'!J84</f>
        <v>218</v>
      </c>
      <c r="AP8" s="68">
        <f>+'3.Plan de Estudios'!K84</f>
        <v>0</v>
      </c>
      <c r="AQ8" s="68">
        <f>+'3.Plan de Estudios'!L84</f>
        <v>236</v>
      </c>
      <c r="AR8" s="68">
        <f>+'3.Plan de Estudios'!M84</f>
        <v>0</v>
      </c>
      <c r="AS8" s="68">
        <f>+'3.Plan de Estudios'!N84</f>
        <v>0</v>
      </c>
      <c r="AT8" s="68">
        <f>+'3.Plan de Estudios'!O84</f>
        <v>0</v>
      </c>
      <c r="AU8" s="68">
        <f t="shared" si="5"/>
        <v>21</v>
      </c>
      <c r="AV8" s="68">
        <f t="shared" si="6"/>
        <v>0</v>
      </c>
      <c r="AW8" s="86">
        <f t="shared" si="7"/>
        <v>13.625</v>
      </c>
      <c r="AX8" s="86">
        <f t="shared" si="8"/>
        <v>7.375</v>
      </c>
    </row>
    <row r="9" spans="1:50" ht="15.75">
      <c r="A9" s="20">
        <v>2</v>
      </c>
      <c r="C9" t="s">
        <v>151</v>
      </c>
      <c r="G9" t="s">
        <v>521</v>
      </c>
      <c r="I9" s="200" t="s">
        <v>487</v>
      </c>
      <c r="J9" s="200" t="s">
        <v>515</v>
      </c>
      <c r="K9" s="200" t="str">
        <f t="shared" si="1"/>
        <v>COMUNICACIÓN Y PUBLICIDAD_SEMIPRESENCIAL</v>
      </c>
      <c r="L9" s="200" t="s">
        <v>522</v>
      </c>
      <c r="M9" s="200" t="s">
        <v>517</v>
      </c>
      <c r="N9" s="200" t="s">
        <v>518</v>
      </c>
      <c r="O9" s="200" t="s">
        <v>498</v>
      </c>
      <c r="P9" s="200" t="s">
        <v>11</v>
      </c>
      <c r="Q9" s="421">
        <v>60</v>
      </c>
      <c r="S9" t="s">
        <v>523</v>
      </c>
      <c r="T9" t="s">
        <v>498</v>
      </c>
      <c r="U9" t="str">
        <f t="shared" si="2"/>
        <v>ADMINISTRACIÓN EN TURISMO _SEMIPRESENCIAL</v>
      </c>
      <c r="V9" t="s">
        <v>524</v>
      </c>
      <c r="X9" t="str">
        <f>+'3.Plan de Estudios'!E20</f>
        <v>DESARROLLO HUMANO</v>
      </c>
      <c r="Y9" s="65" t="str">
        <f>IF('3.Plan de Estudios'!AC20="","",'3.Plan de Estudios'!AC20)</f>
        <v/>
      </c>
      <c r="Z9" t="str">
        <f t="shared" si="9"/>
        <v>DESARROLLO HUMANO-</v>
      </c>
      <c r="AA9" s="89" t="str">
        <f t="shared" si="3"/>
        <v/>
      </c>
      <c r="AB9" t="str">
        <f t="shared" si="4"/>
        <v/>
      </c>
      <c r="AC9" t="str">
        <f t="shared" si="10"/>
        <v/>
      </c>
      <c r="AD9" t="str">
        <f>CONCATENATE(AC13,AC14,AC15,AC16,AC17)</f>
        <v xml:space="preserve"> Comunicación Bilingüe</v>
      </c>
      <c r="AF9" t="str">
        <f>IFERROR(MID('4.Electivos'!Y17,FIND(":",'4.Electivos'!Y17)+1,FIND(":",'4.Electivos'!Y17,FIND(":",'4.Electivos'!Y17)+1)-FIND(":",'4.Electivos'!Y17)-1),"")</f>
        <v/>
      </c>
      <c r="AG9" t="str">
        <f>IFERROR(MID('4.Electivos'!Z17,FIND(":",'4.Electivos'!Z17)+1,FIND(":",'4.Electivos'!Z17,FIND(":",'4.Electivos'!Z17)+1)-FIND(":",'4.Electivos'!Z17)-1),"")</f>
        <v/>
      </c>
      <c r="AH9" t="str">
        <f>IFERROR(MID('4.Electivos'!AA17,FIND(":",'4.Electivos'!AA17)+1,FIND(":",'4.Electivos'!AA17,FIND(":",'4.Electivos'!AA17)+1)-FIND(":",'4.Electivos'!AA17)-1),"")</f>
        <v/>
      </c>
      <c r="AI9" t="str">
        <f>IFERROR(MID('4.Electivos'!AB17,FIND(":",'4.Electivos'!AB17)+1,FIND(":",'4.Electivos'!AB17,FIND(":",'4.Electivos'!AB17)+1)-FIND(":",'4.Electivos'!AB17)-1),"")</f>
        <v/>
      </c>
      <c r="AJ9" t="str">
        <f>IFERROR(MID('4.Electivos'!AC17,FIND(":",'4.Electivos'!AC17)+1,FIND(":",'4.Electivos'!AC17,FIND(":",'4.Electivos'!AC17)+1)-FIND(":",'4.Electivos'!AC17)-1),"")</f>
        <v/>
      </c>
      <c r="AL9" t="str">
        <f t="shared" si="0"/>
        <v/>
      </c>
      <c r="AN9" s="68">
        <v>7</v>
      </c>
      <c r="AO9" s="68">
        <f>+'3.Plan de Estudios'!J95</f>
        <v>264</v>
      </c>
      <c r="AP9" s="68">
        <f>+'3.Plan de Estudios'!K95</f>
        <v>0</v>
      </c>
      <c r="AQ9" s="68">
        <f>+'3.Plan de Estudios'!L95</f>
        <v>112</v>
      </c>
      <c r="AR9" s="68">
        <f>+'3.Plan de Estudios'!M95</f>
        <v>0</v>
      </c>
      <c r="AS9" s="68">
        <f>+'3.Plan de Estudios'!N95</f>
        <v>0</v>
      </c>
      <c r="AT9" s="68">
        <f>+'3.Plan de Estudios'!O95</f>
        <v>0</v>
      </c>
      <c r="AU9" s="68">
        <f t="shared" si="5"/>
        <v>20</v>
      </c>
      <c r="AV9" s="68">
        <f t="shared" si="6"/>
        <v>0</v>
      </c>
      <c r="AW9" s="86">
        <f t="shared" si="7"/>
        <v>16.5</v>
      </c>
      <c r="AX9" s="86">
        <f t="shared" si="8"/>
        <v>3.5</v>
      </c>
    </row>
    <row r="10" spans="1:50" ht="15.75">
      <c r="A10" s="20">
        <v>3</v>
      </c>
      <c r="G10" t="s">
        <v>525</v>
      </c>
      <c r="I10" s="200" t="s">
        <v>487</v>
      </c>
      <c r="J10" s="200" t="s">
        <v>526</v>
      </c>
      <c r="K10" s="200" t="str">
        <f t="shared" si="1"/>
        <v>CONTABILIDAD_PRESENCIAL</v>
      </c>
      <c r="L10" s="200" t="s">
        <v>527</v>
      </c>
      <c r="M10" s="200" t="s">
        <v>528</v>
      </c>
      <c r="N10" s="200" t="s">
        <v>529</v>
      </c>
      <c r="O10" s="200" t="s">
        <v>6</v>
      </c>
      <c r="P10" s="200" t="s">
        <v>11</v>
      </c>
      <c r="Q10" s="421">
        <v>60</v>
      </c>
      <c r="S10" t="s">
        <v>530</v>
      </c>
      <c r="T10" t="s">
        <v>6</v>
      </c>
      <c r="U10" t="str">
        <f t="shared" si="2"/>
        <v>ADMINISTRACIÓN HOTELERA_PRESENCIAL</v>
      </c>
      <c r="V10" t="s">
        <v>531</v>
      </c>
      <c r="X10" t="str">
        <f>+'3.Plan de Estudios'!E20</f>
        <v>DESARROLLO HUMANO</v>
      </c>
      <c r="Y10" s="65" t="str">
        <f>IF('3.Plan de Estudios'!AE20="","",'3.Plan de Estudios'!AE20)</f>
        <v/>
      </c>
      <c r="Z10" t="str">
        <f t="shared" si="9"/>
        <v>DESARROLLO HUMANO-</v>
      </c>
      <c r="AA10" s="89" t="str">
        <f t="shared" si="3"/>
        <v/>
      </c>
      <c r="AB10" t="str">
        <f t="shared" si="4"/>
        <v/>
      </c>
      <c r="AC10" t="str">
        <f t="shared" si="10"/>
        <v/>
      </c>
      <c r="AD10" t="str">
        <f>CONCATENATE(AC18,AC19,AC20,AC21,AC22)</f>
        <v xml:space="preserve"> Comunicación Integral</v>
      </c>
      <c r="AF10" t="str">
        <f>IFERROR(MID('4.Electivos'!Y18,FIND(":",'4.Electivos'!Y18)+1,FIND(":",'4.Electivos'!Y18,FIND(":",'4.Electivos'!Y18)+1)-FIND(":",'4.Electivos'!Y18)-1),"")</f>
        <v/>
      </c>
      <c r="AG10" t="str">
        <f>IFERROR(MID('4.Electivos'!Z18,FIND(":",'4.Electivos'!Z18)+1,FIND(":",'4.Electivos'!Z18,FIND(":",'4.Electivos'!Z18)+1)-FIND(":",'4.Electivos'!Z18)-1),"")</f>
        <v/>
      </c>
      <c r="AH10" t="str">
        <f>IFERROR(MID('4.Electivos'!AA18,FIND(":",'4.Electivos'!AA18)+1,FIND(":",'4.Electivos'!AA18,FIND(":",'4.Electivos'!AA18)+1)-FIND(":",'4.Electivos'!AA18)-1),"")</f>
        <v/>
      </c>
      <c r="AI10" t="str">
        <f>IFERROR(MID('4.Electivos'!AB18,FIND(":",'4.Electivos'!AB18)+1,FIND(":",'4.Electivos'!AB18,FIND(":",'4.Electivos'!AB18)+1)-FIND(":",'4.Electivos'!AB18)-1),"")</f>
        <v/>
      </c>
      <c r="AJ10" t="str">
        <f>IFERROR(MID('4.Electivos'!AC18,FIND(":",'4.Electivos'!AC18)+1,FIND(":",'4.Electivos'!AC18,FIND(":",'4.Electivos'!AC18)+1)-FIND(":",'4.Electivos'!AC18)-1),"")</f>
        <v/>
      </c>
      <c r="AL10" t="str">
        <f t="shared" si="0"/>
        <v/>
      </c>
      <c r="AN10" s="68">
        <v>8</v>
      </c>
      <c r="AO10" s="68">
        <f>+'3.Plan de Estudios'!J106</f>
        <v>204</v>
      </c>
      <c r="AP10" s="68">
        <f>+'3.Plan de Estudios'!K106</f>
        <v>0</v>
      </c>
      <c r="AQ10" s="68">
        <f>+'3.Plan de Estudios'!L106</f>
        <v>232</v>
      </c>
      <c r="AR10" s="68">
        <f>+'3.Plan de Estudios'!M106</f>
        <v>0</v>
      </c>
      <c r="AS10" s="68">
        <f>+'3.Plan de Estudios'!N106</f>
        <v>0</v>
      </c>
      <c r="AT10" s="68">
        <f>+'3.Plan de Estudios'!O106</f>
        <v>0</v>
      </c>
      <c r="AU10" s="68">
        <f>+AO10/16+AQ10/32+AS10/32</f>
        <v>20</v>
      </c>
      <c r="AV10" s="68">
        <f t="shared" si="6"/>
        <v>0</v>
      </c>
      <c r="AW10" s="86">
        <f t="shared" si="7"/>
        <v>12.75</v>
      </c>
      <c r="AX10" s="86">
        <f t="shared" si="8"/>
        <v>7.25</v>
      </c>
    </row>
    <row r="11" spans="1:50" ht="15.75">
      <c r="A11" s="20">
        <v>4</v>
      </c>
      <c r="G11" t="s">
        <v>532</v>
      </c>
      <c r="I11" s="200" t="s">
        <v>487</v>
      </c>
      <c r="J11" s="200" t="s">
        <v>526</v>
      </c>
      <c r="K11" s="200" t="str">
        <f t="shared" si="1"/>
        <v>CONTABILIDAD_SEMIPRESENCIAL</v>
      </c>
      <c r="L11" s="200" t="s">
        <v>533</v>
      </c>
      <c r="M11" s="200" t="s">
        <v>528</v>
      </c>
      <c r="N11" s="200" t="s">
        <v>529</v>
      </c>
      <c r="O11" s="200" t="s">
        <v>498</v>
      </c>
      <c r="P11" s="200" t="s">
        <v>11</v>
      </c>
      <c r="Q11" s="421">
        <v>60</v>
      </c>
      <c r="S11" t="s">
        <v>534</v>
      </c>
      <c r="T11" t="s">
        <v>6</v>
      </c>
      <c r="U11" t="str">
        <f t="shared" si="2"/>
        <v>ADMINISTRACIÓN Y EMPRENDIMIENTO_PRESENCIAL</v>
      </c>
      <c r="V11" t="s">
        <v>535</v>
      </c>
      <c r="X11" t="str">
        <f>+'3.Plan de Estudios'!E20</f>
        <v>DESARROLLO HUMANO</v>
      </c>
      <c r="Y11" s="65" t="str">
        <f>IF('3.Plan de Estudios'!AG20="","",'3.Plan de Estudios'!AG20)</f>
        <v/>
      </c>
      <c r="Z11" t="str">
        <f t="shared" si="9"/>
        <v>DESARROLLO HUMANO-</v>
      </c>
      <c r="AA11" s="89" t="str">
        <f t="shared" si="3"/>
        <v/>
      </c>
      <c r="AB11" t="str">
        <f t="shared" si="4"/>
        <v/>
      </c>
      <c r="AC11" t="str">
        <f t="shared" si="10"/>
        <v/>
      </c>
      <c r="AD11" t="str">
        <f>CONCATENATE(AC23,AC24,AC25,AC26,AC27)</f>
        <v xml:space="preserve"> Comunicación Integral</v>
      </c>
      <c r="AF11" t="str">
        <f>IFERROR(MID('4.Electivos'!Y19,FIND(":",'4.Electivos'!Y19)+1,FIND(":",'4.Electivos'!Y19,FIND(":",'4.Electivos'!Y19)+1)-FIND(":",'4.Electivos'!Y19)-1),"")</f>
        <v/>
      </c>
      <c r="AG11" t="str">
        <f>IFERROR(MID('4.Electivos'!Z19,FIND(":",'4.Electivos'!Z19)+1,FIND(":",'4.Electivos'!Z19,FIND(":",'4.Electivos'!Z19)+1)-FIND(":",'4.Electivos'!Z19)-1),"")</f>
        <v/>
      </c>
      <c r="AH11" t="str">
        <f>IFERROR(MID('4.Electivos'!AA19,FIND(":",'4.Electivos'!AA19)+1,FIND(":",'4.Electivos'!AA19,FIND(":",'4.Electivos'!AA19)+1)-FIND(":",'4.Electivos'!AA19)-1),"")</f>
        <v/>
      </c>
      <c r="AI11" t="str">
        <f>IFERROR(MID('4.Electivos'!AB19,FIND(":",'4.Electivos'!AB19)+1,FIND(":",'4.Electivos'!AB19,FIND(":",'4.Electivos'!AB19)+1)-FIND(":",'4.Electivos'!AB19)-1),"")</f>
        <v/>
      </c>
      <c r="AJ11" t="str">
        <f>IFERROR(MID('4.Electivos'!AC19,FIND(":",'4.Electivos'!AC19)+1,FIND(":",'4.Electivos'!AC19,FIND(":",'4.Electivos'!AC19)+1)-FIND(":",'4.Electivos'!AC19)-1),"")</f>
        <v/>
      </c>
      <c r="AL11" t="str">
        <f t="shared" si="0"/>
        <v/>
      </c>
      <c r="AN11" s="68">
        <v>9</v>
      </c>
      <c r="AO11" s="68">
        <f>+'3.Plan de Estudios'!J117</f>
        <v>172</v>
      </c>
      <c r="AP11" s="68">
        <f>+'3.Plan de Estudios'!K117</f>
        <v>0</v>
      </c>
      <c r="AQ11" s="68">
        <f>+'3.Plan de Estudios'!L117</f>
        <v>296</v>
      </c>
      <c r="AR11" s="68">
        <f>+'3.Plan de Estudios'!M117</f>
        <v>0</v>
      </c>
      <c r="AS11" s="68">
        <f>+'3.Plan de Estudios'!N117</f>
        <v>0</v>
      </c>
      <c r="AT11" s="68">
        <f>+'3.Plan de Estudios'!O117</f>
        <v>0</v>
      </c>
      <c r="AU11" s="68">
        <f t="shared" si="5"/>
        <v>20</v>
      </c>
      <c r="AV11" s="68">
        <f t="shared" si="6"/>
        <v>0</v>
      </c>
      <c r="AW11" s="86">
        <f t="shared" si="7"/>
        <v>10.75</v>
      </c>
      <c r="AX11" s="86">
        <f t="shared" si="8"/>
        <v>9.25</v>
      </c>
    </row>
    <row r="12" spans="1:50" ht="15.75">
      <c r="A12" s="20">
        <v>5</v>
      </c>
      <c r="G12" t="s">
        <v>536</v>
      </c>
      <c r="I12" s="200" t="s">
        <v>487</v>
      </c>
      <c r="J12" s="200" t="s">
        <v>433</v>
      </c>
      <c r="K12" s="200" t="str">
        <f t="shared" si="1"/>
        <v>DERECHO_SEMIPRESENCIAL</v>
      </c>
      <c r="L12" s="200" t="s">
        <v>537</v>
      </c>
      <c r="M12" s="200" t="s">
        <v>538</v>
      </c>
      <c r="N12" s="200" t="s">
        <v>539</v>
      </c>
      <c r="O12" s="200" t="s">
        <v>498</v>
      </c>
      <c r="P12" s="200" t="s">
        <v>11</v>
      </c>
      <c r="Q12" s="421">
        <v>60</v>
      </c>
      <c r="S12" t="s">
        <v>505</v>
      </c>
      <c r="T12" t="s">
        <v>6</v>
      </c>
      <c r="U12" t="str">
        <f t="shared" si="2"/>
        <v>ADMINISTRACIÓN Y FINANZAS_PRESENCIAL</v>
      </c>
      <c r="V12" t="s">
        <v>506</v>
      </c>
      <c r="X12" t="str">
        <f>+'3.Plan de Estudios'!E20</f>
        <v>DESARROLLO HUMANO</v>
      </c>
      <c r="Y12" s="65" t="str">
        <f>IF('3.Plan de Estudios'!AI20="","",'3.Plan de Estudios'!AI20)</f>
        <v/>
      </c>
      <c r="Z12" t="str">
        <f t="shared" si="9"/>
        <v>DESARROLLO HUMANO-</v>
      </c>
      <c r="AA12" s="89" t="str">
        <f t="shared" si="3"/>
        <v/>
      </c>
      <c r="AB12" t="str">
        <f t="shared" si="4"/>
        <v/>
      </c>
      <c r="AC12" t="str">
        <f t="shared" si="10"/>
        <v/>
      </c>
      <c r="AD12" t="str">
        <f>CONCATENATE(AC28,AC29,AC30,AC31,AC32)</f>
        <v/>
      </c>
      <c r="AF12" t="str">
        <f>IFERROR(MID('4.Electivos'!Y20,FIND(":",'4.Electivos'!Y20)+1,FIND(":",'4.Electivos'!Y20,FIND(":",'4.Electivos'!Y20)+1)-FIND(":",'4.Electivos'!Y20)-1),"")</f>
        <v/>
      </c>
      <c r="AG12" t="str">
        <f>IFERROR(MID('4.Electivos'!Z20,FIND(":",'4.Electivos'!Z20)+1,FIND(":",'4.Electivos'!Z20,FIND(":",'4.Electivos'!Z20)+1)-FIND(":",'4.Electivos'!Z20)-1),"")</f>
        <v/>
      </c>
      <c r="AH12" t="str">
        <f>IFERROR(MID('4.Electivos'!AA20,FIND(":",'4.Electivos'!AA20)+1,FIND(":",'4.Electivos'!AA20,FIND(":",'4.Electivos'!AA20)+1)-FIND(":",'4.Electivos'!AA20)-1),"")</f>
        <v/>
      </c>
      <c r="AI12" t="str">
        <f>IFERROR(MID('4.Electivos'!AB20,FIND(":",'4.Electivos'!AB20)+1,FIND(":",'4.Electivos'!AB20,FIND(":",'4.Electivos'!AB20)+1)-FIND(":",'4.Electivos'!AB20)-1),"")</f>
        <v/>
      </c>
      <c r="AJ12" t="str">
        <f>IFERROR(MID('4.Electivos'!AC20,FIND(":",'4.Electivos'!AC20)+1,FIND(":",'4.Electivos'!AC20,FIND(":",'4.Electivos'!AC20)+1)-FIND(":",'4.Electivos'!AC20)-1),"")</f>
        <v/>
      </c>
      <c r="AL12" t="str">
        <f t="shared" si="0"/>
        <v/>
      </c>
      <c r="AN12" s="68">
        <v>10</v>
      </c>
      <c r="AO12" s="68">
        <f>+'3.Plan de Estudios'!J128</f>
        <v>108</v>
      </c>
      <c r="AP12" s="68">
        <f>+'3.Plan de Estudios'!K128</f>
        <v>0</v>
      </c>
      <c r="AQ12" s="68">
        <f>+'3.Plan de Estudios'!L128</f>
        <v>360</v>
      </c>
      <c r="AR12" s="68">
        <f>+'3.Plan de Estudios'!M128</f>
        <v>0</v>
      </c>
      <c r="AS12" s="68">
        <f>+'3.Plan de Estudios'!N128</f>
        <v>0</v>
      </c>
      <c r="AT12" s="68">
        <f>+'3.Plan de Estudios'!O128</f>
        <v>0</v>
      </c>
      <c r="AU12" s="68">
        <f t="shared" si="5"/>
        <v>18</v>
      </c>
      <c r="AV12" s="68">
        <f t="shared" si="6"/>
        <v>0</v>
      </c>
      <c r="AW12" s="86">
        <f t="shared" si="7"/>
        <v>6.75</v>
      </c>
      <c r="AX12" s="86">
        <f t="shared" si="8"/>
        <v>11.25</v>
      </c>
    </row>
    <row r="13" spans="1:50" ht="15.75" hidden="1">
      <c r="A13" s="20">
        <v>6</v>
      </c>
      <c r="C13" s="203" t="s">
        <v>540</v>
      </c>
      <c r="G13" t="s">
        <v>541</v>
      </c>
      <c r="I13" s="200" t="s">
        <v>487</v>
      </c>
      <c r="J13" s="200" t="s">
        <v>433</v>
      </c>
      <c r="K13" s="200" t="str">
        <f t="shared" si="1"/>
        <v>DERECHO_A DISTANCIA</v>
      </c>
      <c r="L13" s="200" t="s">
        <v>542</v>
      </c>
      <c r="M13" s="200" t="s">
        <v>538</v>
      </c>
      <c r="N13" s="200" t="s">
        <v>539</v>
      </c>
      <c r="O13" s="200" t="s">
        <v>494</v>
      </c>
      <c r="P13" s="200" t="s">
        <v>11</v>
      </c>
      <c r="Q13" s="421">
        <v>60</v>
      </c>
      <c r="S13" t="s">
        <v>543</v>
      </c>
      <c r="T13" t="s">
        <v>6</v>
      </c>
      <c r="U13" t="str">
        <f t="shared" si="2"/>
        <v>ADMINISTRACIÓN Y FINANZAS CORPORATIVAS_PRESENCIAL</v>
      </c>
      <c r="V13" t="s">
        <v>544</v>
      </c>
      <c r="X13" s="182" t="str">
        <f>+'3.Plan de Estudios'!E21</f>
        <v>ENGLISH I</v>
      </c>
      <c r="Y13" s="65" t="str">
        <f>IF('3.Plan de Estudios'!AA21="","",'3.Plan de Estudios'!AA21)</f>
        <v>CG2: Comunicación Bilingüe:N1 Aplica las competencias correspondientes al nivel A2 según los estándares del Marco de Referencia de la Comunidad Europea (CEFR).</v>
      </c>
      <c r="Z13" t="str">
        <f t="shared" si="9"/>
        <v>ENGLISH I-CG2: Comunicación Bilingüe:N1 Aplica las competencias correspondientes al nivel A2 según los estánda</v>
      </c>
      <c r="AA13" s="89" t="str">
        <f t="shared" si="3"/>
        <v>a</v>
      </c>
      <c r="AB13" t="str">
        <f t="shared" si="4"/>
        <v xml:space="preserve"> Comunicación Bilingüe</v>
      </c>
      <c r="AC13" t="str">
        <f>AB13</f>
        <v xml:space="preserve"> Comunicación Bilingüe</v>
      </c>
      <c r="AD13" t="str">
        <f>CONCATENATE(AC33,AC34,AC35,AC36,AC37)</f>
        <v/>
      </c>
      <c r="AF13" t="str">
        <f>IFERROR(MID('4.Electivos'!Y21,FIND(":",'4.Electivos'!Y21)+1,FIND(":",'4.Electivos'!Y21,FIND(":",'4.Electivos'!Y21)+1)-FIND(":",'4.Electivos'!Y21)-1),"")</f>
        <v/>
      </c>
      <c r="AG13" t="str">
        <f>IFERROR(MID('4.Electivos'!Z21,FIND(":",'4.Electivos'!Z21)+1,FIND(":",'4.Electivos'!Z21,FIND(":",'4.Electivos'!Z21)+1)-FIND(":",'4.Electivos'!Z21)-1),"")</f>
        <v/>
      </c>
      <c r="AH13" t="str">
        <f>IFERROR(MID('4.Electivos'!AA21,FIND(":",'4.Electivos'!AA21)+1,FIND(":",'4.Electivos'!AA21,FIND(":",'4.Electivos'!AA21)+1)-FIND(":",'4.Electivos'!AA21)-1),"")</f>
        <v/>
      </c>
      <c r="AI13" t="str">
        <f>IFERROR(MID('4.Electivos'!AB21,FIND(":",'4.Electivos'!AB21)+1,FIND(":",'4.Electivos'!AB21,FIND(":",'4.Electivos'!AB21)+1)-FIND(":",'4.Electivos'!AB21)-1),"")</f>
        <v/>
      </c>
      <c r="AJ13" t="str">
        <f>IFERROR(MID('4.Electivos'!AC21,FIND(":",'4.Electivos'!AC21)+1,FIND(":",'4.Electivos'!AC21,FIND(":",'4.Electivos'!AC21)+1)-FIND(":",'4.Electivos'!AC21)-1),"")</f>
        <v/>
      </c>
      <c r="AL13" t="str">
        <f t="shared" si="0"/>
        <v/>
      </c>
      <c r="AN13" s="68">
        <v>11</v>
      </c>
      <c r="AO13" s="68">
        <f>+'3.Plan de Estudios'!J139</f>
        <v>0</v>
      </c>
      <c r="AP13" s="68">
        <f>+'3.Plan de Estudios'!K139</f>
        <v>0</v>
      </c>
      <c r="AQ13" s="68">
        <f>+'3.Plan de Estudios'!L139</f>
        <v>0</v>
      </c>
      <c r="AR13" s="68">
        <f>+'3.Plan de Estudios'!M139</f>
        <v>0</v>
      </c>
      <c r="AS13" s="68">
        <f>+'3.Plan de Estudios'!N139</f>
        <v>0</v>
      </c>
      <c r="AT13" s="68">
        <f>+'3.Plan de Estudios'!O139</f>
        <v>0</v>
      </c>
      <c r="AU13" s="68">
        <f t="shared" si="5"/>
        <v>0</v>
      </c>
      <c r="AV13" s="68">
        <f t="shared" si="6"/>
        <v>0</v>
      </c>
      <c r="AW13" s="86">
        <f t="shared" si="7"/>
        <v>0</v>
      </c>
      <c r="AX13" s="86">
        <f t="shared" si="8"/>
        <v>0</v>
      </c>
    </row>
    <row r="14" spans="1:50" ht="15.75" hidden="1">
      <c r="A14" s="20">
        <v>7</v>
      </c>
      <c r="C14" s="202" t="str" cm="1">
        <f t="array" ref="C14:E14">IF('2.Menc._Certif.'!D7:F7="","",'2.Menc._Certif.'!D7:F7)</f>
        <v>DESARROLLO DE LAS ÁREAS DE LA TUTORÍA</v>
      </c>
      <c r="D14" t="str">
        <v/>
      </c>
      <c r="E14" t="str">
        <v/>
      </c>
      <c r="G14" t="s">
        <v>545</v>
      </c>
      <c r="I14" s="200" t="s">
        <v>487</v>
      </c>
      <c r="J14" s="200" t="s">
        <v>546</v>
      </c>
      <c r="K14" s="200" t="str">
        <f t="shared" si="1"/>
        <v>INGENIERÍA CIVIL_SEMIPRESENCIAL</v>
      </c>
      <c r="L14" s="200" t="s">
        <v>547</v>
      </c>
      <c r="M14" s="200" t="s">
        <v>548</v>
      </c>
      <c r="N14" s="200" t="s">
        <v>549</v>
      </c>
      <c r="O14" s="200" t="s">
        <v>498</v>
      </c>
      <c r="P14" s="200" t="s">
        <v>11</v>
      </c>
      <c r="Q14" s="421">
        <v>60</v>
      </c>
      <c r="S14" t="s">
        <v>550</v>
      </c>
      <c r="T14" t="s">
        <v>6</v>
      </c>
      <c r="U14" t="str">
        <f t="shared" si="2"/>
        <v>ADMINISTRACIÓN Y GESTIÓN AMBIENTAL_PRESENCIAL</v>
      </c>
      <c r="V14" t="s">
        <v>551</v>
      </c>
      <c r="X14" s="182" t="str">
        <f>+'3.Plan de Estudios'!E21</f>
        <v>ENGLISH I</v>
      </c>
      <c r="Y14" s="65" t="str">
        <f>IF('3.Plan de Estudios'!AC21="","",'3.Plan de Estudios'!AC21)</f>
        <v/>
      </c>
      <c r="Z14" t="str">
        <f t="shared" si="9"/>
        <v>ENGLISH I-</v>
      </c>
      <c r="AA14" s="89" t="str">
        <f t="shared" si="3"/>
        <v/>
      </c>
      <c r="AB14" t="str">
        <f t="shared" si="4"/>
        <v/>
      </c>
      <c r="AC14" t="str">
        <f t="shared" si="10"/>
        <v/>
      </c>
      <c r="AD14" t="str">
        <f>CONCATENATE(AC38,AC39,AC40,AC41,AC42)</f>
        <v/>
      </c>
      <c r="AF14" t="str">
        <f>IFERROR(MID('4.Electivos'!Y22,FIND(":",'4.Electivos'!Y22)+1,FIND(":",'4.Electivos'!Y22,FIND(":",'4.Electivos'!Y22)+1)-FIND(":",'4.Electivos'!Y22)-1),"")</f>
        <v/>
      </c>
      <c r="AG14" t="str">
        <f>IFERROR(MID('4.Electivos'!Z22,FIND(":",'4.Electivos'!Z22)+1,FIND(":",'4.Electivos'!Z22,FIND(":",'4.Electivos'!Z22)+1)-FIND(":",'4.Electivos'!Z22)-1),"")</f>
        <v/>
      </c>
      <c r="AH14" t="str">
        <f>IFERROR(MID('4.Electivos'!AA22,FIND(":",'4.Electivos'!AA22)+1,FIND(":",'4.Electivos'!AA22,FIND(":",'4.Electivos'!AA22)+1)-FIND(":",'4.Electivos'!AA22)-1),"")</f>
        <v/>
      </c>
      <c r="AI14" t="str">
        <f>IFERROR(MID('4.Electivos'!AB22,FIND(":",'4.Electivos'!AB22)+1,FIND(":",'4.Electivos'!AB22,FIND(":",'4.Electivos'!AB22)+1)-FIND(":",'4.Electivos'!AB22)-1),"")</f>
        <v/>
      </c>
      <c r="AJ14" t="str">
        <f>IFERROR(MID('4.Electivos'!AC22,FIND(":",'4.Electivos'!AC22)+1,FIND(":",'4.Electivos'!AC22,FIND(":",'4.Electivos'!AC22)+1)-FIND(":",'4.Electivos'!AC22)-1),"")</f>
        <v/>
      </c>
      <c r="AL14" t="str">
        <f t="shared" si="0"/>
        <v/>
      </c>
      <c r="AN14" s="68">
        <v>12</v>
      </c>
      <c r="AO14" s="68">
        <f>+'3.Plan de Estudios'!J150</f>
        <v>0</v>
      </c>
      <c r="AP14" s="68">
        <f>+'3.Plan de Estudios'!K150</f>
        <v>0</v>
      </c>
      <c r="AQ14" s="68">
        <f>+'3.Plan de Estudios'!L150</f>
        <v>0</v>
      </c>
      <c r="AR14" s="68">
        <f>+'3.Plan de Estudios'!M150</f>
        <v>0</v>
      </c>
      <c r="AS14" s="68">
        <f>+'3.Plan de Estudios'!N150</f>
        <v>0</v>
      </c>
      <c r="AT14" s="68">
        <f>+'3.Plan de Estudios'!O150</f>
        <v>0</v>
      </c>
      <c r="AU14" s="68">
        <f t="shared" si="5"/>
        <v>0</v>
      </c>
      <c r="AV14" s="68">
        <f t="shared" si="6"/>
        <v>0</v>
      </c>
      <c r="AW14" s="86">
        <f t="shared" si="7"/>
        <v>0</v>
      </c>
      <c r="AX14" s="86">
        <f t="shared" si="8"/>
        <v>0</v>
      </c>
    </row>
    <row r="15" spans="1:50" ht="15.75" hidden="1">
      <c r="A15" s="20">
        <v>8</v>
      </c>
      <c r="C15" s="202" t="str" cm="1">
        <f t="array" ref="C15:E15">IF('2.Menc._Certif.'!J7:L7="","",'2.Menc._Certif.'!J7:L7)</f>
        <v>DISEÑO DE INSTRUMENTOS DE EVALUACIÓN</v>
      </c>
      <c r="D15" t="str">
        <v/>
      </c>
      <c r="E15" t="str">
        <v/>
      </c>
      <c r="G15" t="s">
        <v>390</v>
      </c>
      <c r="I15" s="200" t="s">
        <v>487</v>
      </c>
      <c r="J15" s="200" t="s">
        <v>546</v>
      </c>
      <c r="K15" s="200" t="str">
        <f t="shared" si="1"/>
        <v>INGENIERÍA CIVIL_A DISTANCIA</v>
      </c>
      <c r="L15" s="200" t="s">
        <v>552</v>
      </c>
      <c r="M15" s="200" t="s">
        <v>548</v>
      </c>
      <c r="N15" s="200" t="s">
        <v>549</v>
      </c>
      <c r="O15" s="200" t="s">
        <v>494</v>
      </c>
      <c r="P15" s="200" t="s">
        <v>11</v>
      </c>
      <c r="Q15" s="421">
        <v>60</v>
      </c>
      <c r="S15" t="s">
        <v>553</v>
      </c>
      <c r="T15" t="s">
        <v>6</v>
      </c>
      <c r="U15" t="str">
        <f t="shared" si="2"/>
        <v>ARQUITECTURA, URBANISMO Y TERRITORIO_PRESENCIAL</v>
      </c>
      <c r="V15" t="s">
        <v>554</v>
      </c>
      <c r="X15" s="182" t="str">
        <f>+'3.Plan de Estudios'!E21</f>
        <v>ENGLISH I</v>
      </c>
      <c r="Y15" s="65" t="str">
        <f>IF('3.Plan de Estudios'!AE21="","",'3.Plan de Estudios'!AE21)</f>
        <v/>
      </c>
      <c r="Z15" t="str">
        <f t="shared" si="9"/>
        <v>ENGLISH I-</v>
      </c>
      <c r="AA15" s="89" t="str">
        <f t="shared" si="3"/>
        <v/>
      </c>
      <c r="AB15" t="str">
        <f t="shared" si="4"/>
        <v/>
      </c>
      <c r="AC15" t="str">
        <f t="shared" si="10"/>
        <v/>
      </c>
      <c r="AD15" t="str">
        <f>CONCATENATE(AC43,AC44,AC45,AC46,AC47)</f>
        <v/>
      </c>
      <c r="AF15" t="str">
        <f>IFERROR(MID('4.Electivos'!Y23,FIND(":",'4.Electivos'!Y23)+1,FIND(":",'4.Electivos'!Y23,FIND(":",'4.Electivos'!Y23)+1)-FIND(":",'4.Electivos'!Y23)-1),"")</f>
        <v/>
      </c>
      <c r="AG15" t="str">
        <f>IFERROR(MID('4.Electivos'!Z23,FIND(":",'4.Electivos'!Z23)+1,FIND(":",'4.Electivos'!Z23,FIND(":",'4.Electivos'!Z23)+1)-FIND(":",'4.Electivos'!Z23)-1),"")</f>
        <v/>
      </c>
      <c r="AH15" t="str">
        <f>IFERROR(MID('4.Electivos'!AA23,FIND(":",'4.Electivos'!AA23)+1,FIND(":",'4.Electivos'!AA23,FIND(":",'4.Electivos'!AA23)+1)-FIND(":",'4.Electivos'!AA23)-1),"")</f>
        <v/>
      </c>
      <c r="AI15" t="str">
        <f>IFERROR(MID('4.Electivos'!AB23,FIND(":",'4.Electivos'!AB23)+1,FIND(":",'4.Electivos'!AB23,FIND(":",'4.Electivos'!AB23)+1)-FIND(":",'4.Electivos'!AB23)-1),"")</f>
        <v/>
      </c>
      <c r="AJ15" t="str">
        <f>IFERROR(MID('4.Electivos'!AC23,FIND(":",'4.Electivos'!AC23)+1,FIND(":",'4.Electivos'!AC23,FIND(":",'4.Electivos'!AC23)+1)-FIND(":",'4.Electivos'!AC23)-1),"")</f>
        <v/>
      </c>
      <c r="AL15" t="str">
        <f t="shared" si="0"/>
        <v/>
      </c>
      <c r="AN15" s="68">
        <v>13</v>
      </c>
      <c r="AO15" s="68">
        <f>+'3.Plan de Estudios'!J161</f>
        <v>0</v>
      </c>
      <c r="AP15" s="68">
        <f>+'3.Plan de Estudios'!K161</f>
        <v>0</v>
      </c>
      <c r="AQ15" s="68">
        <f>+'3.Plan de Estudios'!L161</f>
        <v>0</v>
      </c>
      <c r="AR15" s="68">
        <f>+'3.Plan de Estudios'!M161</f>
        <v>0</v>
      </c>
      <c r="AS15" s="68">
        <f>+'3.Plan de Estudios'!N161</f>
        <v>0</v>
      </c>
      <c r="AT15" s="68">
        <f>+'3.Plan de Estudios'!O161</f>
        <v>0</v>
      </c>
      <c r="AU15" s="68">
        <f t="shared" si="5"/>
        <v>0</v>
      </c>
      <c r="AV15" s="68">
        <f t="shared" si="6"/>
        <v>0</v>
      </c>
      <c r="AW15" s="86">
        <f t="shared" si="7"/>
        <v>0</v>
      </c>
      <c r="AX15" s="86">
        <f t="shared" si="8"/>
        <v>0</v>
      </c>
    </row>
    <row r="16" spans="1:50" ht="15.75" hidden="1">
      <c r="A16" s="20">
        <v>9</v>
      </c>
      <c r="C16" s="202" t="str" cm="1">
        <f t="array" ref="C16:E16">IF('2.Menc._Certif.'!D16:F16="","",'2.Menc._Certif.'!D16:F16)</f>
        <v>EMPRENDIMIENTO</v>
      </c>
      <c r="D16" t="str">
        <v/>
      </c>
      <c r="E16" t="str">
        <v/>
      </c>
      <c r="G16" t="s">
        <v>438</v>
      </c>
      <c r="I16" s="200" t="s">
        <v>487</v>
      </c>
      <c r="J16" s="200" t="s">
        <v>555</v>
      </c>
      <c r="K16" s="200" t="str">
        <f t="shared" si="1"/>
        <v>INGENIERÍA EMPRESARIAL Y DE SISTEMAS_PRESENCIAL</v>
      </c>
      <c r="L16" s="200" t="s">
        <v>556</v>
      </c>
      <c r="M16" s="200" t="s">
        <v>557</v>
      </c>
      <c r="N16" s="200" t="s">
        <v>558</v>
      </c>
      <c r="O16" s="200" t="s">
        <v>6</v>
      </c>
      <c r="P16" s="200" t="s">
        <v>11</v>
      </c>
      <c r="Q16" s="421">
        <v>60</v>
      </c>
      <c r="S16" t="s">
        <v>521</v>
      </c>
      <c r="T16" t="s">
        <v>6</v>
      </c>
      <c r="U16" t="str">
        <f t="shared" si="2"/>
        <v>ARTE CULINARIO_PRESENCIAL</v>
      </c>
      <c r="V16" t="s">
        <v>559</v>
      </c>
      <c r="X16" s="182" t="str">
        <f>+'3.Plan de Estudios'!E21</f>
        <v>ENGLISH I</v>
      </c>
      <c r="Y16" s="65" t="str">
        <f>IF('3.Plan de Estudios'!AG21="","",'3.Plan de Estudios'!AG21)</f>
        <v/>
      </c>
      <c r="Z16" t="str">
        <f t="shared" si="9"/>
        <v>ENGLISH I-</v>
      </c>
      <c r="AA16" s="89" t="str">
        <f t="shared" si="3"/>
        <v/>
      </c>
      <c r="AB16" t="str">
        <f t="shared" si="4"/>
        <v/>
      </c>
      <c r="AC16" t="str">
        <f t="shared" si="10"/>
        <v/>
      </c>
      <c r="AD16" t="str">
        <f>CONCATENATE(AC48,AC49,AC50,AC51,AC52)</f>
        <v/>
      </c>
      <c r="AF16" t="str">
        <f>IFERROR(MID('4.Electivos'!Y24,FIND(":",'4.Electivos'!Y24)+1,FIND(":",'4.Electivos'!Y24,FIND(":",'4.Electivos'!Y24)+1)-FIND(":",'4.Electivos'!Y24)-1),"")</f>
        <v/>
      </c>
      <c r="AG16" t="str">
        <f>IFERROR(MID('4.Electivos'!Z24,FIND(":",'4.Electivos'!Z24)+1,FIND(":",'4.Electivos'!Z24,FIND(":",'4.Electivos'!Z24)+1)-FIND(":",'4.Electivos'!Z24)-1),"")</f>
        <v/>
      </c>
      <c r="AH16" t="str">
        <f>IFERROR(MID('4.Electivos'!AA24,FIND(":",'4.Electivos'!AA24)+1,FIND(":",'4.Electivos'!AA24,FIND(":",'4.Electivos'!AA24)+1)-FIND(":",'4.Electivos'!AA24)-1),"")</f>
        <v/>
      </c>
      <c r="AI16" t="str">
        <f>IFERROR(MID('4.Electivos'!AB24,FIND(":",'4.Electivos'!AB24)+1,FIND(":",'4.Electivos'!AB24,FIND(":",'4.Electivos'!AB24)+1)-FIND(":",'4.Electivos'!AB24)-1),"")</f>
        <v/>
      </c>
      <c r="AJ16" t="str">
        <f>IFERROR(MID('4.Electivos'!AC24,FIND(":",'4.Electivos'!AC24)+1,FIND(":",'4.Electivos'!AC24,FIND(":",'4.Electivos'!AC24)+1)-FIND(":",'4.Electivos'!AC24)-1),"")</f>
        <v/>
      </c>
      <c r="AL16" t="str">
        <f t="shared" si="0"/>
        <v/>
      </c>
      <c r="AN16" s="68">
        <v>14</v>
      </c>
      <c r="AO16" s="68">
        <f>+'3.Plan de Estudios'!J172</f>
        <v>0</v>
      </c>
      <c r="AP16" s="68">
        <f>+'3.Plan de Estudios'!K172</f>
        <v>0</v>
      </c>
      <c r="AQ16" s="68">
        <f>+'3.Plan de Estudios'!L172</f>
        <v>0</v>
      </c>
      <c r="AR16" s="68">
        <f>+'3.Plan de Estudios'!M172</f>
        <v>0</v>
      </c>
      <c r="AS16" s="68">
        <f>+'3.Plan de Estudios'!N172</f>
        <v>0</v>
      </c>
      <c r="AT16" s="68">
        <f>+'3.Plan de Estudios'!O172</f>
        <v>0</v>
      </c>
      <c r="AU16" s="68">
        <f>+AO16/16+AQ16/32+AS16/32</f>
        <v>0</v>
      </c>
      <c r="AV16" s="68">
        <f>+AP16/16+AR16/32+AT16/32</f>
        <v>0</v>
      </c>
      <c r="AW16" s="86">
        <f>SUM(AO16:AP16)/16</f>
        <v>0</v>
      </c>
      <c r="AX16" s="86">
        <f>SUM(AQ16:AT16)/32</f>
        <v>0</v>
      </c>
    </row>
    <row r="17" spans="1:50" ht="15.75">
      <c r="A17" s="20">
        <v>10</v>
      </c>
      <c r="C17" s="202" t="str" cm="1">
        <f t="array" ref="C17:E17">IF('2.Menc._Certif.'!J16:L16="","",'2.Menc._Certif.'!J16:L16)</f>
        <v>GESTIÓN INTEGRAL DE LA SOSTENIBILIDAD</v>
      </c>
      <c r="D17" t="str">
        <v/>
      </c>
      <c r="E17" t="str">
        <v/>
      </c>
      <c r="G17" t="s">
        <v>560</v>
      </c>
      <c r="I17" s="200" t="s">
        <v>487</v>
      </c>
      <c r="J17" s="200" t="s">
        <v>555</v>
      </c>
      <c r="K17" s="200" t="str">
        <f t="shared" si="1"/>
        <v>INGENIERÍA EMPRESARIAL Y DE SISTEMAS_SEMIPRESENCIAL</v>
      </c>
      <c r="L17" s="200" t="s">
        <v>561</v>
      </c>
      <c r="M17" s="200" t="s">
        <v>557</v>
      </c>
      <c r="N17" s="200" t="s">
        <v>558</v>
      </c>
      <c r="O17" s="200" t="s">
        <v>498</v>
      </c>
      <c r="P17" s="200" t="s">
        <v>11</v>
      </c>
      <c r="Q17" s="421">
        <v>60</v>
      </c>
      <c r="S17" t="s">
        <v>562</v>
      </c>
      <c r="T17" t="s">
        <v>6</v>
      </c>
      <c r="U17" t="str">
        <f t="shared" si="2"/>
        <v>ARTE Y DISEÑO EMPRESARIAL_PRESENCIAL</v>
      </c>
      <c r="V17" t="s">
        <v>563</v>
      </c>
      <c r="X17" s="182" t="str">
        <f>+'3.Plan de Estudios'!E21</f>
        <v>ENGLISH I</v>
      </c>
      <c r="Y17" s="65" t="str">
        <f>IF('3.Plan de Estudios'!AI21="","",'3.Plan de Estudios'!AI21)</f>
        <v/>
      </c>
      <c r="Z17" t="str">
        <f t="shared" si="9"/>
        <v>ENGLISH I-</v>
      </c>
      <c r="AA17" s="89" t="str">
        <f t="shared" si="3"/>
        <v/>
      </c>
      <c r="AB17" t="str">
        <f t="shared" si="4"/>
        <v/>
      </c>
      <c r="AC17" t="str">
        <f t="shared" si="10"/>
        <v/>
      </c>
      <c r="AD17" t="str">
        <f>CONCATENATE(AC53,AC54,AC55,AC56,AC57)</f>
        <v xml:space="preserve"> Desarrollo enseñanza y aprendizaje</v>
      </c>
      <c r="AF17" t="str">
        <f>IFERROR(MID('4.Electivos'!Y25,FIND(":",'4.Electivos'!Y25)+1,FIND(":",'4.Electivos'!Y25,FIND(":",'4.Electivos'!Y25)+1)-FIND(":",'4.Electivos'!Y25)-1),"")</f>
        <v/>
      </c>
      <c r="AG17" t="str">
        <f>IFERROR(MID('4.Electivos'!Z25,FIND(":",'4.Electivos'!Z25)+1,FIND(":",'4.Electivos'!Z25,FIND(":",'4.Electivos'!Z25)+1)-FIND(":",'4.Electivos'!Z25)-1),"")</f>
        <v/>
      </c>
      <c r="AH17" t="str">
        <f>IFERROR(MID('4.Electivos'!AA25,FIND(":",'4.Electivos'!AA25)+1,FIND(":",'4.Electivos'!AA25,FIND(":",'4.Electivos'!AA25)+1)-FIND(":",'4.Electivos'!AA25)-1),"")</f>
        <v/>
      </c>
      <c r="AI17" t="str">
        <f>IFERROR(MID('4.Electivos'!AB25,FIND(":",'4.Electivos'!AB25)+1,FIND(":",'4.Electivos'!AB25,FIND(":",'4.Electivos'!AB25)+1)-FIND(":",'4.Electivos'!AB25)-1),"")</f>
        <v/>
      </c>
      <c r="AJ17" t="str">
        <f>IFERROR(MID('4.Electivos'!AC25,FIND(":",'4.Electivos'!AC25)+1,FIND(":",'4.Electivos'!AC25,FIND(":",'4.Electivos'!AC25)+1)-FIND(":",'4.Electivos'!AC25)-1),"")</f>
        <v/>
      </c>
      <c r="AL17" t="str">
        <f t="shared" si="0"/>
        <v/>
      </c>
      <c r="AU17" s="83">
        <f>SUM(AU3:AU16)</f>
        <v>200</v>
      </c>
      <c r="AV17" s="83">
        <f>SUM(AV3:AV16)</f>
        <v>0</v>
      </c>
      <c r="AW17" s="87">
        <f>SUM(AW3:AW16)</f>
        <v>142.375</v>
      </c>
      <c r="AX17" s="87">
        <f>SUM(AX3:AX16)</f>
        <v>57.625</v>
      </c>
    </row>
    <row r="18" spans="1:50" ht="15.75">
      <c r="A18" s="20">
        <v>11</v>
      </c>
      <c r="C18" s="202" t="str" cm="1">
        <f t="array" ref="C18:E18">IF('2.Menc._Certif.'!D25:F25="","",'2.Menc._Certif.'!D25:F25)</f>
        <v>DIGITAL TRANSFORMATION FOR BUSINESS</v>
      </c>
      <c r="D18" t="str">
        <v/>
      </c>
      <c r="E18" t="str">
        <v/>
      </c>
      <c r="G18" t="s">
        <v>564</v>
      </c>
      <c r="I18" s="200" t="s">
        <v>487</v>
      </c>
      <c r="J18" s="200" t="s">
        <v>565</v>
      </c>
      <c r="K18" s="200" t="str">
        <f t="shared" si="1"/>
        <v>INGENIERÍA INDUSTRIAL_PRESENCIAL</v>
      </c>
      <c r="L18" s="200" t="s">
        <v>566</v>
      </c>
      <c r="M18" s="200" t="s">
        <v>567</v>
      </c>
      <c r="N18" s="200" t="s">
        <v>568</v>
      </c>
      <c r="O18" s="200" t="s">
        <v>6</v>
      </c>
      <c r="P18" s="200" t="s">
        <v>11</v>
      </c>
      <c r="Q18" s="421">
        <v>60</v>
      </c>
      <c r="S18" t="s">
        <v>569</v>
      </c>
      <c r="T18" t="s">
        <v>6</v>
      </c>
      <c r="U18" t="str">
        <f t="shared" si="2"/>
        <v>CIENCIAS DE LA ACTIVIDAD FÍSICA Y DEL DEPORTE_PRESENCIAL</v>
      </c>
      <c r="V18" t="s">
        <v>570</v>
      </c>
      <c r="X18" t="str">
        <f>+'3.Plan de Estudios'!E22</f>
        <v>LENGUAJE I</v>
      </c>
      <c r="Y18" s="65" t="str">
        <f>IF('3.Plan de Estudios'!AA22="","",'3.Plan de Estudios'!AA22)</f>
        <v>CG1: Comunicación Integral:N1 Elabora textos académicos escritos y comunicaciones orales con una estructura básica para exponer con eficiencia sus ideas en un entorno académico y/o social.</v>
      </c>
      <c r="Z18" t="str">
        <f t="shared" si="9"/>
        <v>LENGUAJE I-CG1: Comunicación Integral:N1 Elabora textos académicos escritos y comunicaciones orales con una est</v>
      </c>
      <c r="AA18" s="89" t="str">
        <f t="shared" si="3"/>
        <v>a</v>
      </c>
      <c r="AB18" t="str">
        <f t="shared" si="4"/>
        <v xml:space="preserve"> Comunicación Integral</v>
      </c>
      <c r="AC18" t="str">
        <f>AB18</f>
        <v xml:space="preserve"> Comunicación Integral</v>
      </c>
      <c r="AD18" t="str">
        <f>CONCATENATE(AC58,AC59,AC60,AC61,AC62)</f>
        <v xml:space="preserve"> Comunicación Bilingüe</v>
      </c>
      <c r="AF18" t="str">
        <f>IFERROR(MID('4.Electivos'!Y26,FIND(":",'4.Electivos'!Y26)+1,FIND(":",'4.Electivos'!Y26,FIND(":",'4.Electivos'!Y26)+1)-FIND(":",'4.Electivos'!Y26)-1),"")</f>
        <v/>
      </c>
      <c r="AG18" t="str">
        <f>IFERROR(MID('4.Electivos'!Z26,FIND(":",'4.Electivos'!Z26)+1,FIND(":",'4.Electivos'!Z26,FIND(":",'4.Electivos'!Z26)+1)-FIND(":",'4.Electivos'!Z26)-1),"")</f>
        <v/>
      </c>
      <c r="AH18" t="str">
        <f>IFERROR(MID('4.Electivos'!AA26,FIND(":",'4.Electivos'!AA26)+1,FIND(":",'4.Electivos'!AA26,FIND(":",'4.Electivos'!AA26)+1)-FIND(":",'4.Electivos'!AA26)-1),"")</f>
        <v/>
      </c>
      <c r="AI18" t="str">
        <f>IFERROR(MID('4.Electivos'!AB26,FIND(":",'4.Electivos'!AB26)+1,FIND(":",'4.Electivos'!AB26,FIND(":",'4.Electivos'!AB26)+1)-FIND(":",'4.Electivos'!AB26)-1),"")</f>
        <v/>
      </c>
      <c r="AJ18" t="str">
        <f>IFERROR(MID('4.Electivos'!AC26,FIND(":",'4.Electivos'!AC26)+1,FIND(":",'4.Electivos'!AC26,FIND(":",'4.Electivos'!AC26)+1)-FIND(":",'4.Electivos'!AC26)-1),"")</f>
        <v/>
      </c>
      <c r="AL18" t="str">
        <f t="shared" si="0"/>
        <v/>
      </c>
    </row>
    <row r="19" spans="1:50" ht="15.75">
      <c r="A19" s="20">
        <v>12</v>
      </c>
      <c r="C19" s="202" t="str" cm="1">
        <f t="array" ref="C19:E19">IF('2.Menc._Certif.'!J25:L25="","",'2.Menc._Certif.'!J25:L25)</f>
        <v>DATA ANALYTICS &amp; ARTIFICIAL INTELLIGENCE</v>
      </c>
      <c r="D19" t="str">
        <v/>
      </c>
      <c r="E19" t="str">
        <v/>
      </c>
      <c r="G19" t="s">
        <v>433</v>
      </c>
      <c r="I19" s="200" t="s">
        <v>487</v>
      </c>
      <c r="J19" s="200" t="s">
        <v>565</v>
      </c>
      <c r="K19" s="200" t="str">
        <f t="shared" si="1"/>
        <v>INGENIERÍA INDUSTRIAL_SEMIPRESENCIAL</v>
      </c>
      <c r="L19" s="200" t="s">
        <v>571</v>
      </c>
      <c r="M19" s="200" t="s">
        <v>567</v>
      </c>
      <c r="N19" s="200" t="s">
        <v>568</v>
      </c>
      <c r="O19" s="200" t="s">
        <v>498</v>
      </c>
      <c r="P19" s="200" t="s">
        <v>11</v>
      </c>
      <c r="Q19" s="421">
        <v>60</v>
      </c>
      <c r="S19" t="s">
        <v>515</v>
      </c>
      <c r="T19" t="s">
        <v>6</v>
      </c>
      <c r="U19" t="str">
        <f t="shared" si="2"/>
        <v>COMUNICACIÓN Y PUBLICIDAD_PRESENCIAL</v>
      </c>
      <c r="V19" t="s">
        <v>516</v>
      </c>
      <c r="X19" t="str">
        <f>+'3.Plan de Estudios'!E22</f>
        <v>LENGUAJE I</v>
      </c>
      <c r="Y19" s="65" t="str">
        <f>IF('3.Plan de Estudios'!AC22="","",'3.Plan de Estudios'!AC22)</f>
        <v/>
      </c>
      <c r="Z19" t="str">
        <f t="shared" si="9"/>
        <v>LENGUAJE I-</v>
      </c>
      <c r="AA19" s="89" t="str">
        <f t="shared" si="3"/>
        <v/>
      </c>
      <c r="AB19" t="str">
        <f t="shared" si="4"/>
        <v/>
      </c>
      <c r="AC19" t="str">
        <f t="shared" si="10"/>
        <v/>
      </c>
      <c r="AD19" t="str">
        <f>CONCATENATE(AC63,AC64,AC65,AC66,AC67)</f>
        <v xml:space="preserve"> Orientación educativa</v>
      </c>
      <c r="AF19" t="str">
        <f>IFERROR(MID('4.Electivos'!Y27,FIND(":",'4.Electivos'!Y27)+1,FIND(":",'4.Electivos'!Y27,FIND(":",'4.Electivos'!Y27)+1)-FIND(":",'4.Electivos'!Y27)-1),"")</f>
        <v/>
      </c>
      <c r="AG19" t="str">
        <f>IFERROR(MID('4.Electivos'!Z27,FIND(":",'4.Electivos'!Z27)+1,FIND(":",'4.Electivos'!Z27,FIND(":",'4.Electivos'!Z27)+1)-FIND(":",'4.Electivos'!Z27)-1),"")</f>
        <v/>
      </c>
      <c r="AH19" t="str">
        <f>IFERROR(MID('4.Electivos'!AA27,FIND(":",'4.Electivos'!AA27)+1,FIND(":",'4.Electivos'!AA27,FIND(":",'4.Electivos'!AA27)+1)-FIND(":",'4.Electivos'!AA27)-1),"")</f>
        <v/>
      </c>
      <c r="AI19" t="str">
        <f>IFERROR(MID('4.Electivos'!AB27,FIND(":",'4.Electivos'!AB27)+1,FIND(":",'4.Electivos'!AB27,FIND(":",'4.Electivos'!AB27)+1)-FIND(":",'4.Electivos'!AB27)-1),"")</f>
        <v/>
      </c>
      <c r="AJ19" t="str">
        <f>IFERROR(MID('4.Electivos'!AC27,FIND(":",'4.Electivos'!AC27)+1,FIND(":",'4.Electivos'!AC27,FIND(":",'4.Electivos'!AC27)+1)-FIND(":",'4.Electivos'!AC27)-1),"")</f>
        <v/>
      </c>
      <c r="AL19" t="str">
        <f t="shared" si="0"/>
        <v/>
      </c>
      <c r="AN19" t="s">
        <v>572</v>
      </c>
    </row>
    <row r="20" spans="1:50" ht="15.75">
      <c r="A20" s="20">
        <v>13</v>
      </c>
      <c r="C20" s="487" t="str" cm="1">
        <f t="array" ref="C20:E20">IF('2.Menc._Certif.'!D34:F34="","",'2.Menc._Certif.'!D34:F34)</f>
        <v/>
      </c>
      <c r="D20" t="str">
        <v/>
      </c>
      <c r="E20" t="str">
        <v/>
      </c>
      <c r="G20" t="s">
        <v>573</v>
      </c>
      <c r="I20" s="200" t="s">
        <v>487</v>
      </c>
      <c r="J20" s="200" t="s">
        <v>574</v>
      </c>
      <c r="K20" s="200" t="str">
        <f t="shared" si="1"/>
        <v>MARKETING Y GESTIÓN COMERCIAL_PRESENCIAL</v>
      </c>
      <c r="L20" s="200" t="s">
        <v>575</v>
      </c>
      <c r="M20" s="200" t="s">
        <v>576</v>
      </c>
      <c r="N20" s="200" t="s">
        <v>577</v>
      </c>
      <c r="O20" s="200" t="s">
        <v>6</v>
      </c>
      <c r="P20" s="200" t="s">
        <v>11</v>
      </c>
      <c r="Q20" s="421">
        <v>60</v>
      </c>
      <c r="S20" t="s">
        <v>390</v>
      </c>
      <c r="T20" t="s">
        <v>6</v>
      </c>
      <c r="U20" t="str">
        <f t="shared" si="2"/>
        <v>COMUNICACIONES_PRESENCIAL</v>
      </c>
      <c r="V20" t="s">
        <v>578</v>
      </c>
      <c r="X20" t="str">
        <f>+'3.Plan de Estudios'!E22</f>
        <v>LENGUAJE I</v>
      </c>
      <c r="Y20" s="65" t="str">
        <f>IF('3.Plan de Estudios'!AE22="","",'3.Plan de Estudios'!AE22)</f>
        <v/>
      </c>
      <c r="Z20" t="str">
        <f t="shared" si="9"/>
        <v>LENGUAJE I-</v>
      </c>
      <c r="AA20" s="89" t="str">
        <f t="shared" si="3"/>
        <v/>
      </c>
      <c r="AB20" t="str">
        <f t="shared" si="4"/>
        <v/>
      </c>
      <c r="AC20" t="str">
        <f t="shared" si="10"/>
        <v/>
      </c>
      <c r="AD20" t="str">
        <f>CONCATENATE(AC68,AC69,AC70,AC71,AC72)</f>
        <v xml:space="preserve"> Comunicación Integral</v>
      </c>
      <c r="AF20" t="str">
        <f>IFERROR(MID('4.Electivos'!Y28,FIND(":",'4.Electivos'!Y28)+1,FIND(":",'4.Electivos'!Y28,FIND(":",'4.Electivos'!Y28)+1)-FIND(":",'4.Electivos'!Y28)-1),"")</f>
        <v/>
      </c>
      <c r="AG20" t="str">
        <f>IFERROR(MID('4.Electivos'!Z28,FIND(":",'4.Electivos'!Z28)+1,FIND(":",'4.Electivos'!Z28,FIND(":",'4.Electivos'!Z28)+1)-FIND(":",'4.Electivos'!Z28)-1),"")</f>
        <v/>
      </c>
      <c r="AH20" t="str">
        <f>IFERROR(MID('4.Electivos'!AA28,FIND(":",'4.Electivos'!AA28)+1,FIND(":",'4.Electivos'!AA28,FIND(":",'4.Electivos'!AA28)+1)-FIND(":",'4.Electivos'!AA28)-1),"")</f>
        <v/>
      </c>
      <c r="AI20" t="str">
        <f>IFERROR(MID('4.Electivos'!AB28,FIND(":",'4.Electivos'!AB28)+1,FIND(":",'4.Electivos'!AB28,FIND(":",'4.Electivos'!AB28)+1)-FIND(":",'4.Electivos'!AB28)-1),"")</f>
        <v/>
      </c>
      <c r="AJ20" t="str">
        <f>IFERROR(MID('4.Electivos'!AC28,FIND(":",'4.Electivos'!AC28)+1,FIND(":",'4.Electivos'!AC28,FIND(":",'4.Electivos'!AC28)+1)-FIND(":",'4.Electivos'!AC28)-1),"")</f>
        <v/>
      </c>
      <c r="AL20" t="str">
        <f t="shared" si="0"/>
        <v/>
      </c>
      <c r="AN20" t="s">
        <v>572</v>
      </c>
    </row>
    <row r="21" spans="1:50" ht="15.75">
      <c r="A21" s="20">
        <v>14</v>
      </c>
      <c r="C21" s="487" t="str" cm="1">
        <f t="array" ref="C21:E21">IF('2.Menc._Certif.'!J34:L34="","",'2.Menc._Certif.'!J34:L34)</f>
        <v/>
      </c>
      <c r="D21" t="str">
        <v/>
      </c>
      <c r="E21" t="str">
        <v/>
      </c>
      <c r="G21" t="s">
        <v>579</v>
      </c>
      <c r="I21" s="200" t="s">
        <v>487</v>
      </c>
      <c r="J21" s="200" t="s">
        <v>574</v>
      </c>
      <c r="K21" s="200" t="str">
        <f t="shared" si="1"/>
        <v>MARKETING Y GESTIÓN COMERCIAL_SEMIPRESENCIAL</v>
      </c>
      <c r="L21" s="200" t="s">
        <v>580</v>
      </c>
      <c r="M21" s="200" t="s">
        <v>576</v>
      </c>
      <c r="N21" s="200" t="s">
        <v>577</v>
      </c>
      <c r="O21" s="200" t="s">
        <v>498</v>
      </c>
      <c r="P21" s="200" t="s">
        <v>11</v>
      </c>
      <c r="Q21" s="421">
        <v>60</v>
      </c>
      <c r="S21" t="s">
        <v>390</v>
      </c>
      <c r="T21" t="s">
        <v>498</v>
      </c>
      <c r="U21" t="str">
        <f t="shared" si="2"/>
        <v>COMUNICACIONES_SEMIPRESENCIAL</v>
      </c>
      <c r="V21" t="s">
        <v>581</v>
      </c>
      <c r="X21" t="str">
        <f>+'3.Plan de Estudios'!E22</f>
        <v>LENGUAJE I</v>
      </c>
      <c r="Y21" s="65" t="str">
        <f>IF('3.Plan de Estudios'!AG22="","",'3.Plan de Estudios'!AG22)</f>
        <v/>
      </c>
      <c r="Z21" t="str">
        <f t="shared" si="9"/>
        <v>LENGUAJE I-</v>
      </c>
      <c r="AA21" s="89" t="str">
        <f t="shared" si="3"/>
        <v/>
      </c>
      <c r="AB21" t="str">
        <f t="shared" si="4"/>
        <v/>
      </c>
      <c r="AC21" t="str">
        <f t="shared" si="10"/>
        <v/>
      </c>
      <c r="AD21" t="str">
        <f>CONCATENATE(AC73,AC74,AC75,AC76,AC77)</f>
        <v xml:space="preserve"> Gestión de Recursos</v>
      </c>
      <c r="AF21" t="str">
        <f>IFERROR(MID('4.Electivos'!Y29,FIND(":",'4.Electivos'!Y29)+1,FIND(":",'4.Electivos'!Y29,FIND(":",'4.Electivos'!Y29)+1)-FIND(":",'4.Electivos'!Y29)-1),"")</f>
        <v xml:space="preserve"> Orientación educativa</v>
      </c>
      <c r="AG21" t="str">
        <f>IFERROR(MID('4.Electivos'!Z29,FIND(":",'4.Electivos'!Z29)+1,FIND(":",'4.Electivos'!Z29,FIND(":",'4.Electivos'!Z29)+1)-FIND(":",'4.Electivos'!Z29)-1),"")</f>
        <v/>
      </c>
      <c r="AH21" t="str">
        <f>IFERROR(MID('4.Electivos'!AA29,FIND(":",'4.Electivos'!AA29)+1,FIND(":",'4.Electivos'!AA29,FIND(":",'4.Electivos'!AA29)+1)-FIND(":",'4.Electivos'!AA29)-1),"")</f>
        <v/>
      </c>
      <c r="AI21" t="str">
        <f>IFERROR(MID('4.Electivos'!AB29,FIND(":",'4.Electivos'!AB29)+1,FIND(":",'4.Electivos'!AB29,FIND(":",'4.Electivos'!AB29)+1)-FIND(":",'4.Electivos'!AB29)-1),"")</f>
        <v/>
      </c>
      <c r="AJ21" t="str">
        <f>IFERROR(MID('4.Electivos'!AC29,FIND(":",'4.Electivos'!AC29)+1,FIND(":",'4.Electivos'!AC29,FIND(":",'4.Electivos'!AC29)+1)-FIND(":",'4.Electivos'!AC29)-1),"")</f>
        <v/>
      </c>
      <c r="AL21" t="str">
        <f t="shared" si="0"/>
        <v xml:space="preserve"> Orientación educativa</v>
      </c>
      <c r="AN21">
        <f>+IF(AN20=AN19,0,1)</f>
        <v>0</v>
      </c>
    </row>
    <row r="22" spans="1:50" ht="15.75">
      <c r="G22" t="s">
        <v>582</v>
      </c>
      <c r="I22" s="200" t="s">
        <v>487</v>
      </c>
      <c r="J22" s="200" t="s">
        <v>583</v>
      </c>
      <c r="K22" s="200" t="str">
        <f t="shared" si="1"/>
        <v>NEGOCIOS INTERNACIONALES_PRESENCIAL</v>
      </c>
      <c r="L22" s="200" t="s">
        <v>584</v>
      </c>
      <c r="M22" s="200" t="s">
        <v>585</v>
      </c>
      <c r="N22" s="200" t="s">
        <v>586</v>
      </c>
      <c r="O22" s="200" t="s">
        <v>6</v>
      </c>
      <c r="P22" s="200" t="s">
        <v>11</v>
      </c>
      <c r="Q22" s="421">
        <v>60</v>
      </c>
      <c r="S22" t="s">
        <v>526</v>
      </c>
      <c r="T22" t="s">
        <v>6</v>
      </c>
      <c r="U22" t="str">
        <f t="shared" si="2"/>
        <v>CONTABILIDAD_PRESENCIAL</v>
      </c>
      <c r="V22" t="s">
        <v>527</v>
      </c>
      <c r="X22" t="str">
        <f>+'3.Plan de Estudios'!E22</f>
        <v>LENGUAJE I</v>
      </c>
      <c r="Y22" s="65" t="str">
        <f>IF('3.Plan de Estudios'!AI22="","",'3.Plan de Estudios'!AI22)</f>
        <v/>
      </c>
      <c r="Z22" t="str">
        <f t="shared" si="9"/>
        <v>LENGUAJE I-</v>
      </c>
      <c r="AA22" s="89" t="str">
        <f t="shared" si="3"/>
        <v/>
      </c>
      <c r="AB22" t="str">
        <f t="shared" si="4"/>
        <v/>
      </c>
      <c r="AC22" t="str">
        <f t="shared" si="10"/>
        <v/>
      </c>
      <c r="AD22" t="str">
        <f>CONCATENATE(AC78,AC79,AC80,AC81,AC82)</f>
        <v xml:space="preserve"> Orientación educativa</v>
      </c>
      <c r="AF22" t="str">
        <f>IFERROR(MID('4.Electivos'!Y30,FIND(":",'4.Electivos'!Y30)+1,FIND(":",'4.Electivos'!Y30,FIND(":",'4.Electivos'!Y30)+1)-FIND(":",'4.Electivos'!Y30)-1),"")</f>
        <v xml:space="preserve"> Desarrollo de gestión educativa</v>
      </c>
      <c r="AG22" t="str">
        <f>IFERROR(MID('4.Electivos'!Z30,FIND(":",'4.Electivos'!Z30)+1,FIND(":",'4.Electivos'!Z30,FIND(":",'4.Electivos'!Z30)+1)-FIND(":",'4.Electivos'!Z30)-1),"")</f>
        <v/>
      </c>
      <c r="AH22" t="str">
        <f>IFERROR(MID('4.Electivos'!AA30,FIND(":",'4.Electivos'!AA30)+1,FIND(":",'4.Electivos'!AA30,FIND(":",'4.Electivos'!AA30)+1)-FIND(":",'4.Electivos'!AA30)-1),"")</f>
        <v/>
      </c>
      <c r="AI22" t="str">
        <f>IFERROR(MID('4.Electivos'!AB30,FIND(":",'4.Electivos'!AB30)+1,FIND(":",'4.Electivos'!AB30,FIND(":",'4.Electivos'!AB30)+1)-FIND(":",'4.Electivos'!AB30)-1),"")</f>
        <v/>
      </c>
      <c r="AJ22" t="str">
        <f>IFERROR(MID('4.Electivos'!AC30,FIND(":",'4.Electivos'!AC30)+1,FIND(":",'4.Electivos'!AC30,FIND(":",'4.Electivos'!AC30)+1)-FIND(":",'4.Electivos'!AC30)-1),"")</f>
        <v/>
      </c>
      <c r="AL22" t="str">
        <f t="shared" si="0"/>
        <v xml:space="preserve"> Desarrollo de gestión educativa</v>
      </c>
    </row>
    <row r="23" spans="1:50" ht="15.75">
      <c r="A23" t="s">
        <v>587</v>
      </c>
      <c r="G23" t="s">
        <v>588</v>
      </c>
      <c r="I23" s="200" t="s">
        <v>487</v>
      </c>
      <c r="J23" s="200" t="s">
        <v>583</v>
      </c>
      <c r="K23" s="200" t="str">
        <f t="shared" si="1"/>
        <v>NEGOCIOS INTERNACIONALES_SEMIPRESENCIAL</v>
      </c>
      <c r="L23" s="200" t="s">
        <v>589</v>
      </c>
      <c r="M23" s="200" t="s">
        <v>585</v>
      </c>
      <c r="N23" s="200" t="s">
        <v>586</v>
      </c>
      <c r="O23" s="200" t="s">
        <v>498</v>
      </c>
      <c r="P23" s="200" t="s">
        <v>11</v>
      </c>
      <c r="Q23" s="421">
        <v>60</v>
      </c>
      <c r="S23" t="s">
        <v>590</v>
      </c>
      <c r="T23" t="s">
        <v>6</v>
      </c>
      <c r="U23" t="str">
        <f t="shared" si="2"/>
        <v>DERECHO _PRESENCIAL</v>
      </c>
      <c r="V23" t="s">
        <v>591</v>
      </c>
      <c r="X23" s="182" t="str">
        <f>+'3.Plan de Estudios'!E23</f>
        <v>MATEMÁTICA</v>
      </c>
      <c r="Y23" s="65" t="str">
        <f>IF('3.Plan de Estudios'!AA23="","",'3.Plan de Estudios'!AA23)</f>
        <v>CG1: Comunicación Integral:N1 Elabora textos académicos escritos y comunicaciones orales con una estructura básica para exponer con eficiencia sus ideas en un entorno académico y/o social.</v>
      </c>
      <c r="Z23" t="str">
        <f t="shared" si="9"/>
        <v>MATEMÁTICA-CG1: Comunicación Integral:N1 Elabora textos académicos escritos y comunicaciones orales con una est</v>
      </c>
      <c r="AA23" s="89" t="str">
        <f t="shared" si="3"/>
        <v>a</v>
      </c>
      <c r="AB23" t="str">
        <f t="shared" si="4"/>
        <v xml:space="preserve"> Comunicación Integral</v>
      </c>
      <c r="AC23" t="str">
        <f>AB23</f>
        <v xml:space="preserve"> Comunicación Integral</v>
      </c>
      <c r="AD23" t="str">
        <f>CONCATENATE(AC83,AC84,AC85,AC86,AC87)</f>
        <v/>
      </c>
      <c r="AF23" t="str">
        <f>IFERROR(MID('4.Electivos'!Y31,FIND(":",'4.Electivos'!Y31)+1,FIND(":",'4.Electivos'!Y31,FIND(":",'4.Electivos'!Y31)+1)-FIND(":",'4.Electivos'!Y31)-1),"")</f>
        <v xml:space="preserve"> Desarrollo de gestión educativa</v>
      </c>
      <c r="AG23" t="str">
        <f>IFERROR(MID('4.Electivos'!Z31,FIND(":",'4.Electivos'!Z31)+1,FIND(":",'4.Electivos'!Z31,FIND(":",'4.Electivos'!Z31)+1)-FIND(":",'4.Electivos'!Z31)-1),"")</f>
        <v/>
      </c>
      <c r="AH23" t="str">
        <f>IFERROR(MID('4.Electivos'!AA31,FIND(":",'4.Electivos'!AA31)+1,FIND(":",'4.Electivos'!AA31,FIND(":",'4.Electivos'!AA31)+1)-FIND(":",'4.Electivos'!AA31)-1),"")</f>
        <v/>
      </c>
      <c r="AI23" t="str">
        <f>IFERROR(MID('4.Electivos'!AB31,FIND(":",'4.Electivos'!AB31)+1,FIND(":",'4.Electivos'!AB31,FIND(":",'4.Electivos'!AB31)+1)-FIND(":",'4.Electivos'!AB31)-1),"")</f>
        <v/>
      </c>
      <c r="AJ23" t="str">
        <f>IFERROR(MID('4.Electivos'!AC31,FIND(":",'4.Electivos'!AC31)+1,FIND(":",'4.Electivos'!AC31,FIND(":",'4.Electivos'!AC31)+1)-FIND(":",'4.Electivos'!AC31)-1),"")</f>
        <v/>
      </c>
      <c r="AL23" t="str">
        <f t="shared" si="0"/>
        <v xml:space="preserve"> Desarrollo de gestión educativa</v>
      </c>
    </row>
    <row r="24" spans="1:50" ht="15.75">
      <c r="A24" t="s">
        <v>592</v>
      </c>
      <c r="C24" s="1" t="s">
        <v>476</v>
      </c>
      <c r="G24" t="s">
        <v>593</v>
      </c>
      <c r="I24" s="200" t="s">
        <v>487</v>
      </c>
      <c r="J24" s="200" t="s">
        <v>594</v>
      </c>
      <c r="K24" s="200" t="str">
        <f t="shared" si="1"/>
        <v>NUTRICIÓN Y DIETÉTICA_SEMIPRESENCIAL</v>
      </c>
      <c r="L24" s="200" t="s">
        <v>595</v>
      </c>
      <c r="M24" s="200" t="s">
        <v>596</v>
      </c>
      <c r="N24" s="200" t="s">
        <v>597</v>
      </c>
      <c r="O24" s="200" t="s">
        <v>498</v>
      </c>
      <c r="P24" s="200" t="s">
        <v>11</v>
      </c>
      <c r="Q24" s="421">
        <v>60</v>
      </c>
      <c r="S24" t="s">
        <v>590</v>
      </c>
      <c r="T24" t="s">
        <v>498</v>
      </c>
      <c r="U24" t="str">
        <f t="shared" si="2"/>
        <v>DERECHO _SEMIPRESENCIAL</v>
      </c>
      <c r="V24" t="s">
        <v>598</v>
      </c>
      <c r="X24" s="182" t="str">
        <f>+'3.Plan de Estudios'!E23</f>
        <v>MATEMÁTICA</v>
      </c>
      <c r="Y24" s="65" t="str">
        <f>IF('3.Plan de Estudios'!AC23="","",'3.Plan de Estudios'!AC23)</f>
        <v/>
      </c>
      <c r="Z24" t="str">
        <f t="shared" si="9"/>
        <v>MATEMÁTICA-</v>
      </c>
      <c r="AA24" s="89" t="str">
        <f t="shared" si="3"/>
        <v/>
      </c>
      <c r="AB24" t="str">
        <f t="shared" si="4"/>
        <v/>
      </c>
      <c r="AC24" t="str">
        <f t="shared" si="10"/>
        <v/>
      </c>
      <c r="AD24" t="str">
        <f>CONCATENATE(AC88,AC89,AC90,AC91,AC92)</f>
        <v/>
      </c>
      <c r="AF24" t="str">
        <f>IFERROR(MID('4.Electivos'!Y32,FIND(":",'4.Electivos'!Y32)+1,FIND(":",'4.Electivos'!Y32,FIND(":",'4.Electivos'!Y32)+1)-FIND(":",'4.Electivos'!Y32)-1),"")</f>
        <v xml:space="preserve"> Desarrollo de gestión educativa</v>
      </c>
      <c r="AG24" t="str">
        <f>IFERROR(MID('4.Electivos'!Z32,FIND(":",'4.Electivos'!Z32)+1,FIND(":",'4.Electivos'!Z32,FIND(":",'4.Electivos'!Z32)+1)-FIND(":",'4.Electivos'!Z32)-1),"")</f>
        <v/>
      </c>
      <c r="AH24" t="str">
        <f>IFERROR(MID('4.Electivos'!AA32,FIND(":",'4.Electivos'!AA32)+1,FIND(":",'4.Electivos'!AA32,FIND(":",'4.Electivos'!AA32)+1)-FIND(":",'4.Electivos'!AA32)-1),"")</f>
        <v/>
      </c>
      <c r="AI24" t="str">
        <f>IFERROR(MID('4.Electivos'!AB32,FIND(":",'4.Electivos'!AB32)+1,FIND(":",'4.Electivos'!AB32,FIND(":",'4.Electivos'!AB32)+1)-FIND(":",'4.Electivos'!AB32)-1),"")</f>
        <v/>
      </c>
      <c r="AJ24" t="str">
        <f>IFERROR(MID('4.Electivos'!AC32,FIND(":",'4.Electivos'!AC32)+1,FIND(":",'4.Electivos'!AC32,FIND(":",'4.Electivos'!AC32)+1)-FIND(":",'4.Electivos'!AC32)-1),"")</f>
        <v/>
      </c>
      <c r="AL24" t="str">
        <f t="shared" si="0"/>
        <v xml:space="preserve"> Desarrollo de gestión educativa</v>
      </c>
    </row>
    <row r="25" spans="1:50" ht="15.75">
      <c r="A25" t="s">
        <v>599</v>
      </c>
      <c r="C25" t="s">
        <v>600</v>
      </c>
      <c r="G25" t="s">
        <v>601</v>
      </c>
      <c r="I25" s="200" t="s">
        <v>487</v>
      </c>
      <c r="J25" s="200" t="s">
        <v>594</v>
      </c>
      <c r="K25" s="200" t="str">
        <f t="shared" si="1"/>
        <v>NUTRICIÓN Y DIETÉTICA_A DISTANCIA</v>
      </c>
      <c r="L25" s="200" t="s">
        <v>602</v>
      </c>
      <c r="M25" s="200" t="s">
        <v>596</v>
      </c>
      <c r="N25" s="200" t="s">
        <v>597</v>
      </c>
      <c r="O25" s="200" t="s">
        <v>494</v>
      </c>
      <c r="P25" s="200" t="s">
        <v>11</v>
      </c>
      <c r="Q25" s="421">
        <v>60</v>
      </c>
      <c r="S25" t="s">
        <v>603</v>
      </c>
      <c r="T25" t="s">
        <v>6</v>
      </c>
      <c r="U25" t="str">
        <f t="shared" si="2"/>
        <v>DISEÑO Y GESTIÓN DE MARCA_PRESENCIAL</v>
      </c>
      <c r="V25" t="s">
        <v>604</v>
      </c>
      <c r="X25" s="182" t="str">
        <f>+'3.Plan de Estudios'!E23</f>
        <v>MATEMÁTICA</v>
      </c>
      <c r="Y25" s="65" t="str">
        <f>IF('3.Plan de Estudios'!AE23="","",'3.Plan de Estudios'!AE23)</f>
        <v/>
      </c>
      <c r="Z25" t="str">
        <f t="shared" si="9"/>
        <v>MATEMÁTICA-</v>
      </c>
      <c r="AA25" s="89" t="str">
        <f t="shared" si="3"/>
        <v/>
      </c>
      <c r="AB25" t="str">
        <f t="shared" si="4"/>
        <v/>
      </c>
      <c r="AC25" t="str">
        <f t="shared" si="10"/>
        <v/>
      </c>
      <c r="AD25" t="str">
        <f>CONCATENATE(AC93,AC94,AC95,AC96,AC97)</f>
        <v/>
      </c>
      <c r="AF25" t="str">
        <f>IFERROR(MID('4.Electivos'!Y33,FIND(":",'4.Electivos'!Y33)+1,FIND(":",'4.Electivos'!Y33,FIND(":",'4.Electivos'!Y33)+1)-FIND(":",'4.Electivos'!Y33)-1),"")</f>
        <v xml:space="preserve"> Desarrollo de gestión educativa</v>
      </c>
      <c r="AG25" t="str">
        <f>IFERROR(MID('4.Electivos'!Z33,FIND(":",'4.Electivos'!Z33)+1,FIND(":",'4.Electivos'!Z33,FIND(":",'4.Electivos'!Z33)+1)-FIND(":",'4.Electivos'!Z33)-1),"")</f>
        <v/>
      </c>
      <c r="AH25" t="str">
        <f>IFERROR(MID('4.Electivos'!AA33,FIND(":",'4.Electivos'!AA33)+1,FIND(":",'4.Electivos'!AA33,FIND(":",'4.Electivos'!AA33)+1)-FIND(":",'4.Electivos'!AA33)-1),"")</f>
        <v/>
      </c>
      <c r="AI25" t="str">
        <f>IFERROR(MID('4.Electivos'!AB33,FIND(":",'4.Electivos'!AB33)+1,FIND(":",'4.Electivos'!AB33,FIND(":",'4.Electivos'!AB33)+1)-FIND(":",'4.Electivos'!AB33)-1),"")</f>
        <v/>
      </c>
      <c r="AJ25" t="str">
        <f>IFERROR(MID('4.Electivos'!AC33,FIND(":",'4.Electivos'!AC33)+1,FIND(":",'4.Electivos'!AC33,FIND(":",'4.Electivos'!AC33)+1)-FIND(":",'4.Electivos'!AC33)-1),"")</f>
        <v/>
      </c>
      <c r="AL25" t="str">
        <f t="shared" si="0"/>
        <v xml:space="preserve"> Desarrollo de gestión educativa</v>
      </c>
    </row>
    <row r="26" spans="1:50" ht="15.75">
      <c r="C26" t="s">
        <v>605</v>
      </c>
      <c r="G26" t="s">
        <v>407</v>
      </c>
      <c r="I26" s="200" t="s">
        <v>487</v>
      </c>
      <c r="J26" s="200" t="s">
        <v>594</v>
      </c>
      <c r="K26" s="200" t="str">
        <f t="shared" si="1"/>
        <v>NUTRICIÓN Y DIETÉTICA_PRESENCIAL</v>
      </c>
      <c r="L26" s="200" t="s">
        <v>606</v>
      </c>
      <c r="M26" s="200" t="s">
        <v>596</v>
      </c>
      <c r="N26" s="200" t="s">
        <v>597</v>
      </c>
      <c r="O26" s="200" t="s">
        <v>6</v>
      </c>
      <c r="P26" s="200" t="s">
        <v>11</v>
      </c>
      <c r="Q26" s="421">
        <v>60</v>
      </c>
      <c r="S26" t="s">
        <v>607</v>
      </c>
      <c r="T26" t="s">
        <v>6</v>
      </c>
      <c r="U26" t="str">
        <f t="shared" si="2"/>
        <v>ECONOMÍA_PRESENCIAL</v>
      </c>
      <c r="V26" t="s">
        <v>608</v>
      </c>
      <c r="X26" s="182" t="str">
        <f>+'3.Plan de Estudios'!E23</f>
        <v>MATEMÁTICA</v>
      </c>
      <c r="Y26" s="65" t="str">
        <f>IF('3.Plan de Estudios'!AG23="","",'3.Plan de Estudios'!AG23)</f>
        <v/>
      </c>
      <c r="Z26" t="str">
        <f t="shared" si="9"/>
        <v>MATEMÁTICA-</v>
      </c>
      <c r="AA26" s="89" t="str">
        <f t="shared" si="3"/>
        <v/>
      </c>
      <c r="AB26" t="str">
        <f t="shared" si="4"/>
        <v/>
      </c>
      <c r="AC26" t="str">
        <f t="shared" si="10"/>
        <v/>
      </c>
      <c r="AD26" t="str">
        <f>CONCATENATE(AC98,AC99,AC100,AC101,AC102)</f>
        <v/>
      </c>
      <c r="AF26" t="str">
        <f>IFERROR(MID('4.Electivos'!Y34,FIND(":",'4.Electivos'!Y34)+1,FIND(":",'4.Electivos'!Y34,FIND(":",'4.Electivos'!Y34)+1)-FIND(":",'4.Electivos'!Y34)-1),"")</f>
        <v xml:space="preserve"> Investigación Educativa</v>
      </c>
      <c r="AG26" t="str">
        <f>IFERROR(MID('4.Electivos'!Z34,FIND(":",'4.Electivos'!Z34)+1,FIND(":",'4.Electivos'!Z34,FIND(":",'4.Electivos'!Z34)+1)-FIND(":",'4.Electivos'!Z34)-1),"")</f>
        <v/>
      </c>
      <c r="AH26" t="str">
        <f>IFERROR(MID('4.Electivos'!AA34,FIND(":",'4.Electivos'!AA34)+1,FIND(":",'4.Electivos'!AA34,FIND(":",'4.Electivos'!AA34)+1)-FIND(":",'4.Electivos'!AA34)-1),"")</f>
        <v/>
      </c>
      <c r="AI26" t="str">
        <f>IFERROR(MID('4.Electivos'!AB34,FIND(":",'4.Electivos'!AB34)+1,FIND(":",'4.Electivos'!AB34,FIND(":",'4.Electivos'!AB34)+1)-FIND(":",'4.Electivos'!AB34)-1),"")</f>
        <v/>
      </c>
      <c r="AJ26" t="str">
        <f>IFERROR(MID('4.Electivos'!AC34,FIND(":",'4.Electivos'!AC34)+1,FIND(":",'4.Electivos'!AC34,FIND(":",'4.Electivos'!AC34)+1)-FIND(":",'4.Electivos'!AC34)-1),"")</f>
        <v/>
      </c>
      <c r="AL26" t="str">
        <f t="shared" si="0"/>
        <v xml:space="preserve"> Investigación Educativa</v>
      </c>
    </row>
    <row r="27" spans="1:50" ht="15.75">
      <c r="C27" t="s">
        <v>11</v>
      </c>
      <c r="G27" t="s">
        <v>385</v>
      </c>
      <c r="I27" s="200" t="s">
        <v>487</v>
      </c>
      <c r="J27" s="200" t="s">
        <v>609</v>
      </c>
      <c r="K27" s="200" t="str">
        <f t="shared" si="1"/>
        <v>PSICOLOGÍA_SEMIPRESENCIAL</v>
      </c>
      <c r="L27" s="200" t="s">
        <v>610</v>
      </c>
      <c r="M27" s="200" t="s">
        <v>611</v>
      </c>
      <c r="N27" s="200" t="s">
        <v>612</v>
      </c>
      <c r="O27" s="200" t="s">
        <v>498</v>
      </c>
      <c r="P27" s="200" t="s">
        <v>11</v>
      </c>
      <c r="Q27" s="421">
        <v>60</v>
      </c>
      <c r="S27" t="s">
        <v>613</v>
      </c>
      <c r="T27" t="s">
        <v>6</v>
      </c>
      <c r="U27" t="str">
        <f t="shared" si="2"/>
        <v>ECONOMÍA Y FINANZAS_PRESENCIAL</v>
      </c>
      <c r="V27" t="s">
        <v>614</v>
      </c>
      <c r="X27" s="182" t="str">
        <f>+'3.Plan de Estudios'!E23</f>
        <v>MATEMÁTICA</v>
      </c>
      <c r="Y27" s="65" t="str">
        <f>IF('3.Plan de Estudios'!AI23="","",'3.Plan de Estudios'!AI23)</f>
        <v/>
      </c>
      <c r="Z27" t="str">
        <f t="shared" si="9"/>
        <v>MATEMÁTICA-</v>
      </c>
      <c r="AA27" s="89" t="str">
        <f t="shared" si="3"/>
        <v/>
      </c>
      <c r="AB27" t="str">
        <f t="shared" si="4"/>
        <v/>
      </c>
      <c r="AC27" t="str">
        <f t="shared" si="10"/>
        <v/>
      </c>
      <c r="AD27" t="str">
        <f>CONCATENATE(AC103,AC104,AC105,AC106,AC107)</f>
        <v xml:space="preserve"> Comunicación Bilingüe</v>
      </c>
      <c r="AE27" t="str">
        <f>+AD11</f>
        <v xml:space="preserve"> Comunicación Integral</v>
      </c>
      <c r="AF27" t="str">
        <f>IFERROR(MID('4.Electivos'!Y35,FIND(":",'4.Electivos'!Y35)+1,FIND(":",'4.Electivos'!Y35,FIND(":",'4.Electivos'!Y35)+1)-FIND(":",'4.Electivos'!Y35)-1),"")</f>
        <v/>
      </c>
      <c r="AG27" t="str">
        <f>IFERROR(MID('4.Electivos'!Z35,FIND(":",'4.Electivos'!Z35)+1,FIND(":",'4.Electivos'!Z35,FIND(":",'4.Electivos'!Z35)+1)-FIND(":",'4.Electivos'!Z35)-1),"")</f>
        <v/>
      </c>
      <c r="AH27" t="str">
        <f>IFERROR(MID('4.Electivos'!AA35,FIND(":",'4.Electivos'!AA35)+1,FIND(":",'4.Electivos'!AA35,FIND(":",'4.Electivos'!AA35)+1)-FIND(":",'4.Electivos'!AA35)-1),"")</f>
        <v/>
      </c>
      <c r="AI27" t="str">
        <f>IFERROR(MID('4.Electivos'!AB35,FIND(":",'4.Electivos'!AB35)+1,FIND(":",'4.Electivos'!AB35,FIND(":",'4.Electivos'!AB35)+1)-FIND(":",'4.Electivos'!AB35)-1),"")</f>
        <v/>
      </c>
      <c r="AJ27" t="str">
        <f>IFERROR(MID('4.Electivos'!AC35,FIND(":",'4.Electivos'!AC35)+1,FIND(":",'4.Electivos'!AC35,FIND(":",'4.Electivos'!AC35)+1)-FIND(":",'4.Electivos'!AC35)-1),"")</f>
        <v/>
      </c>
      <c r="AL27" t="str">
        <f t="shared" si="0"/>
        <v/>
      </c>
    </row>
    <row r="28" spans="1:50" ht="15.75">
      <c r="C28" t="s">
        <v>615</v>
      </c>
      <c r="G28" t="s">
        <v>616</v>
      </c>
      <c r="I28" s="200" t="s">
        <v>487</v>
      </c>
      <c r="J28" s="200" t="s">
        <v>609</v>
      </c>
      <c r="K28" s="200" t="str">
        <f t="shared" si="1"/>
        <v>PSICOLOGÍA_A DISTANCIA</v>
      </c>
      <c r="L28" s="200" t="s">
        <v>617</v>
      </c>
      <c r="M28" s="200" t="s">
        <v>611</v>
      </c>
      <c r="N28" s="200" t="s">
        <v>612</v>
      </c>
      <c r="O28" s="200" t="s">
        <v>494</v>
      </c>
      <c r="P28" s="200" t="s">
        <v>11</v>
      </c>
      <c r="Q28" s="421">
        <v>60</v>
      </c>
      <c r="S28" t="s">
        <v>618</v>
      </c>
      <c r="T28" t="s">
        <v>6</v>
      </c>
      <c r="U28" t="str">
        <f t="shared" si="2"/>
        <v>ECONOMÍA Y NEGOCIOS INTERNACIONALES_PRESENCIAL</v>
      </c>
      <c r="V28" t="s">
        <v>619</v>
      </c>
      <c r="X28">
        <f>+'3.Plan de Estudios'!E24</f>
        <v>0</v>
      </c>
      <c r="Y28" t="str">
        <f>IF('3.Plan de Estudios'!AA24="","",'3.Plan de Estudios'!AA24)</f>
        <v/>
      </c>
      <c r="Z28" t="str">
        <f t="shared" si="9"/>
        <v>0-</v>
      </c>
      <c r="AA28" s="89" t="str">
        <f t="shared" si="3"/>
        <v/>
      </c>
      <c r="AB28" t="str">
        <f t="shared" si="4"/>
        <v/>
      </c>
      <c r="AC28" t="str">
        <f>AB28</f>
        <v/>
      </c>
      <c r="AD28" t="str">
        <f>CONCATENATE(AC108,AC109,AC110,AC111,AC112)</f>
        <v xml:space="preserve"> Investigación</v>
      </c>
      <c r="AF28" t="str">
        <f>IFERROR(MID('4.Electivos'!Y36,FIND(":",'4.Electivos'!Y36)+1,FIND(":",'4.Electivos'!Y36,FIND(":",'4.Electivos'!Y36)+1)-FIND(":",'4.Electivos'!Y36)-1),"")</f>
        <v/>
      </c>
      <c r="AG28" t="str">
        <f>IFERROR(MID('4.Electivos'!Z36,FIND(":",'4.Electivos'!Z36)+1,FIND(":",'4.Electivos'!Z36,FIND(":",'4.Electivos'!Z36)+1)-FIND(":",'4.Electivos'!Z36)-1),"")</f>
        <v/>
      </c>
      <c r="AH28" t="str">
        <f>IFERROR(MID('4.Electivos'!AA36,FIND(":",'4.Electivos'!AA36)+1,FIND(":",'4.Electivos'!AA36,FIND(":",'4.Electivos'!AA36)+1)-FIND(":",'4.Electivos'!AA36)-1),"")</f>
        <v/>
      </c>
      <c r="AI28" t="str">
        <f>IFERROR(MID('4.Electivos'!AB36,FIND(":",'4.Electivos'!AB36)+1,FIND(":",'4.Electivos'!AB36,FIND(":",'4.Electivos'!AB36)+1)-FIND(":",'4.Electivos'!AB36)-1),"")</f>
        <v/>
      </c>
      <c r="AJ28" t="str">
        <f>IFERROR(MID('4.Electivos'!AC36,FIND(":",'4.Electivos'!AC36)+1,FIND(":",'4.Electivos'!AC36,FIND(":",'4.Electivos'!AC36)+1)-FIND(":",'4.Electivos'!AC36)-1),"")</f>
        <v/>
      </c>
      <c r="AL28" t="str">
        <f t="shared" si="0"/>
        <v/>
      </c>
    </row>
    <row r="29" spans="1:50" ht="15.75">
      <c r="C29" t="s">
        <v>620</v>
      </c>
      <c r="G29" t="s">
        <v>621</v>
      </c>
      <c r="I29" s="200" t="s">
        <v>487</v>
      </c>
      <c r="J29" s="200" t="s">
        <v>609</v>
      </c>
      <c r="K29" s="200" t="str">
        <f t="shared" si="1"/>
        <v>PSICOLOGÍA_PRESENCIAL</v>
      </c>
      <c r="L29" s="200" t="s">
        <v>622</v>
      </c>
      <c r="M29" s="200" t="s">
        <v>611</v>
      </c>
      <c r="N29" s="200" t="s">
        <v>612</v>
      </c>
      <c r="O29" s="200" t="s">
        <v>6</v>
      </c>
      <c r="P29" s="200" t="s">
        <v>11</v>
      </c>
      <c r="Q29" s="421">
        <v>60</v>
      </c>
      <c r="S29" t="s">
        <v>623</v>
      </c>
      <c r="T29" t="s">
        <v>6</v>
      </c>
      <c r="U29" t="str">
        <f t="shared" si="2"/>
        <v>EDUCACIÓN _PRESENCIAL</v>
      </c>
      <c r="V29" t="s">
        <v>624</v>
      </c>
      <c r="X29">
        <f>+'3.Plan de Estudios'!E24</f>
        <v>0</v>
      </c>
      <c r="Y29" t="str">
        <f>IF('3.Plan de Estudios'!AC24="","",'3.Plan de Estudios'!AC24)</f>
        <v/>
      </c>
      <c r="Z29" t="str">
        <f t="shared" si="9"/>
        <v>0-</v>
      </c>
      <c r="AA29" s="89" t="str">
        <f t="shared" si="3"/>
        <v/>
      </c>
      <c r="AB29" t="str">
        <f t="shared" si="4"/>
        <v/>
      </c>
      <c r="AC29" t="str">
        <f t="shared" si="10"/>
        <v/>
      </c>
      <c r="AD29" t="str">
        <f>CONCATENATE(AC113,AC114,AC115,AC116,AC117)</f>
        <v xml:space="preserve"> Desarrollo de gestión educativa, Gestión de Recursos</v>
      </c>
      <c r="AF29" t="str">
        <f>IFERROR(MID('4.Electivos'!Y37,FIND(":",'4.Electivos'!Y37)+1,FIND(":",'4.Electivos'!Y37,FIND(":",'4.Electivos'!Y37)+1)-FIND(":",'4.Electivos'!Y37)-1),"")</f>
        <v/>
      </c>
      <c r="AG29" t="str">
        <f>IFERROR(MID('4.Electivos'!Z37,FIND(":",'4.Electivos'!Z37)+1,FIND(":",'4.Electivos'!Z37,FIND(":",'4.Electivos'!Z37)+1)-FIND(":",'4.Electivos'!Z37)-1),"")</f>
        <v/>
      </c>
      <c r="AH29" t="str">
        <f>IFERROR(MID('4.Electivos'!AA37,FIND(":",'4.Electivos'!AA37)+1,FIND(":",'4.Electivos'!AA37,FIND(":",'4.Electivos'!AA37)+1)-FIND(":",'4.Electivos'!AA37)-1),"")</f>
        <v/>
      </c>
      <c r="AI29" t="str">
        <f>IFERROR(MID('4.Electivos'!AB37,FIND(":",'4.Electivos'!AB37)+1,FIND(":",'4.Electivos'!AB37,FIND(":",'4.Electivos'!AB37)+1)-FIND(":",'4.Electivos'!AB37)-1),"")</f>
        <v/>
      </c>
      <c r="AJ29" t="str">
        <f>IFERROR(MID('4.Electivos'!AC37,FIND(":",'4.Electivos'!AC37)+1,FIND(":",'4.Electivos'!AC37,FIND(":",'4.Electivos'!AC37)+1)-FIND(":",'4.Electivos'!AC37)-1),"")</f>
        <v/>
      </c>
      <c r="AL29" t="str">
        <f t="shared" si="0"/>
        <v/>
      </c>
    </row>
    <row r="30" spans="1:50" ht="15.75">
      <c r="G30" t="s">
        <v>625</v>
      </c>
      <c r="I30" s="200" t="s">
        <v>2</v>
      </c>
      <c r="J30" s="200" t="s">
        <v>492</v>
      </c>
      <c r="K30" s="200" t="str">
        <f t="shared" si="1"/>
        <v>ADMINISTRACIÓN_PRESENCIAL</v>
      </c>
      <c r="L30" s="200" t="s">
        <v>493</v>
      </c>
      <c r="M30" s="200" t="s">
        <v>626</v>
      </c>
      <c r="N30" s="200" t="s">
        <v>627</v>
      </c>
      <c r="O30" s="200" t="s">
        <v>6</v>
      </c>
      <c r="P30" s="200" t="s">
        <v>628</v>
      </c>
      <c r="Q30" s="421">
        <v>60</v>
      </c>
      <c r="S30" t="s">
        <v>629</v>
      </c>
      <c r="T30" t="s">
        <v>6</v>
      </c>
      <c r="U30" t="str">
        <f t="shared" si="2"/>
        <v>EDUCACIÓN CON ESPECIALIDAD EN CIENCIA Y TECNOLOGÍA_PRESENCIAL</v>
      </c>
      <c r="V30" t="s">
        <v>630</v>
      </c>
      <c r="X30">
        <f>+'3.Plan de Estudios'!E24</f>
        <v>0</v>
      </c>
      <c r="Y30" t="str">
        <f>IF('3.Plan de Estudios'!AE24="","",'3.Plan de Estudios'!AE24)</f>
        <v/>
      </c>
      <c r="Z30" t="str">
        <f t="shared" si="9"/>
        <v>0-</v>
      </c>
      <c r="AA30" s="89" t="str">
        <f t="shared" si="3"/>
        <v/>
      </c>
      <c r="AB30" t="str">
        <f t="shared" si="4"/>
        <v/>
      </c>
      <c r="AC30" t="str">
        <f t="shared" si="10"/>
        <v/>
      </c>
      <c r="AD30" t="str">
        <f>CONCATENATE(AC118,AC119,AC120,AC121,AC122)</f>
        <v xml:space="preserve"> Comprensión y expresión del idioma inglés</v>
      </c>
      <c r="AF30" t="str">
        <f>IFERROR(MID('4.Electivos'!Y38,FIND(":",'4.Electivos'!Y38)+1,FIND(":",'4.Electivos'!Y38,FIND(":",'4.Electivos'!Y38)+1)-FIND(":",'4.Electivos'!Y38)-1),"")</f>
        <v/>
      </c>
      <c r="AG30" t="str">
        <f>IFERROR(MID('4.Electivos'!Z38,FIND(":",'4.Electivos'!Z38)+1,FIND(":",'4.Electivos'!Z38,FIND(":",'4.Electivos'!Z38)+1)-FIND(":",'4.Electivos'!Z38)-1),"")</f>
        <v/>
      </c>
      <c r="AH30" t="str">
        <f>IFERROR(MID('4.Electivos'!AA38,FIND(":",'4.Electivos'!AA38)+1,FIND(":",'4.Electivos'!AA38,FIND(":",'4.Electivos'!AA38)+1)-FIND(":",'4.Electivos'!AA38)-1),"")</f>
        <v/>
      </c>
      <c r="AI30" t="str">
        <f>IFERROR(MID('4.Electivos'!AB38,FIND(":",'4.Electivos'!AB38)+1,FIND(":",'4.Electivos'!AB38,FIND(":",'4.Electivos'!AB38)+1)-FIND(":",'4.Electivos'!AB38)-1),"")</f>
        <v/>
      </c>
      <c r="AJ30" t="str">
        <f>IFERROR(MID('4.Electivos'!AC38,FIND(":",'4.Electivos'!AC38)+1,FIND(":",'4.Electivos'!AC38,FIND(":",'4.Electivos'!AC38)+1)-FIND(":",'4.Electivos'!AC38)-1),"")</f>
        <v/>
      </c>
      <c r="AL30" t="str">
        <f t="shared" si="0"/>
        <v/>
      </c>
    </row>
    <row r="31" spans="1:50" ht="15.75">
      <c r="G31" t="s">
        <v>631</v>
      </c>
      <c r="I31" s="200" t="s">
        <v>2</v>
      </c>
      <c r="J31" s="200" t="s">
        <v>492</v>
      </c>
      <c r="K31" s="200" t="str">
        <f t="shared" si="1"/>
        <v>ADMINISTRACIÓN_SEMIPRESENCIAL</v>
      </c>
      <c r="L31" s="200" t="s">
        <v>499</v>
      </c>
      <c r="M31" s="200" t="s">
        <v>626</v>
      </c>
      <c r="N31" s="200" t="s">
        <v>627</v>
      </c>
      <c r="O31" s="200" t="s">
        <v>498</v>
      </c>
      <c r="P31" s="200" t="s">
        <v>628</v>
      </c>
      <c r="Q31" s="421">
        <v>60</v>
      </c>
      <c r="S31" t="s">
        <v>632</v>
      </c>
      <c r="T31" t="s">
        <v>6</v>
      </c>
      <c r="U31" t="str">
        <f t="shared" si="2"/>
        <v>EDUCACIÓN CON ESPECIALIDAD EN LETRAS Y HUMANIDADES_PRESENCIAL</v>
      </c>
      <c r="V31" t="s">
        <v>633</v>
      </c>
      <c r="X31">
        <f>+'3.Plan de Estudios'!E24</f>
        <v>0</v>
      </c>
      <c r="Y31" t="str">
        <f>IF('3.Plan de Estudios'!AG24="","",'3.Plan de Estudios'!AG24)</f>
        <v/>
      </c>
      <c r="Z31" t="str">
        <f t="shared" si="9"/>
        <v>0-</v>
      </c>
      <c r="AA31" s="89" t="str">
        <f t="shared" si="3"/>
        <v/>
      </c>
      <c r="AB31" t="str">
        <f t="shared" si="4"/>
        <v/>
      </c>
      <c r="AC31" t="str">
        <f t="shared" si="10"/>
        <v/>
      </c>
      <c r="AD31" t="str">
        <f>CONCATENATE(AC123,AC124,AC125,AC126,AC127)</f>
        <v xml:space="preserve"> Orientación educativa, Desarrollo Humano</v>
      </c>
      <c r="AF31" t="str">
        <f>IFERROR(MID('4.Electivos'!Y39,FIND(":",'4.Electivos'!Y39)+1,FIND(":",'4.Electivos'!Y39,FIND(":",'4.Electivos'!Y39)+1)-FIND(":",'4.Electivos'!Y39)-1),"")</f>
        <v xml:space="preserve"> Orientación educativa</v>
      </c>
      <c r="AG31" t="str">
        <f>IFERROR(MID('4.Electivos'!Z39,FIND(":",'4.Electivos'!Z39)+1,FIND(":",'4.Electivos'!Z39,FIND(":",'4.Electivos'!Z39)+1)-FIND(":",'4.Electivos'!Z39)-1),"")</f>
        <v/>
      </c>
      <c r="AH31" t="str">
        <f>IFERROR(MID('4.Electivos'!AA39,FIND(":",'4.Electivos'!AA39)+1,FIND(":",'4.Electivos'!AA39,FIND(":",'4.Electivos'!AA39)+1)-FIND(":",'4.Electivos'!AA39)-1),"")</f>
        <v/>
      </c>
      <c r="AI31" t="str">
        <f>IFERROR(MID('4.Electivos'!AB39,FIND(":",'4.Electivos'!AB39)+1,FIND(":",'4.Electivos'!AB39,FIND(":",'4.Electivos'!AB39)+1)-FIND(":",'4.Electivos'!AB39)-1),"")</f>
        <v/>
      </c>
      <c r="AJ31" t="str">
        <f>IFERROR(MID('4.Electivos'!AC39,FIND(":",'4.Electivos'!AC39)+1,FIND(":",'4.Electivos'!AC39,FIND(":",'4.Electivos'!AC39)+1)-FIND(":",'4.Electivos'!AC39)-1),"")</f>
        <v/>
      </c>
      <c r="AL31" t="str">
        <f t="shared" si="0"/>
        <v xml:space="preserve"> Orientación educativa</v>
      </c>
    </row>
    <row r="32" spans="1:50" ht="15.75">
      <c r="C32" t="s">
        <v>2</v>
      </c>
      <c r="G32" t="s">
        <v>387</v>
      </c>
      <c r="I32" s="200" t="s">
        <v>2</v>
      </c>
      <c r="J32" s="200" t="s">
        <v>492</v>
      </c>
      <c r="K32" s="200" t="str">
        <f t="shared" si="1"/>
        <v>ADMINISTRACIÓN_A DISTANCIA</v>
      </c>
      <c r="L32" s="200" t="s">
        <v>634</v>
      </c>
      <c r="M32" s="200" t="s">
        <v>626</v>
      </c>
      <c r="N32" s="200" t="s">
        <v>627</v>
      </c>
      <c r="O32" s="200" t="s">
        <v>494</v>
      </c>
      <c r="P32" s="200" t="s">
        <v>628</v>
      </c>
      <c r="Q32" s="421">
        <v>60</v>
      </c>
      <c r="S32" t="s">
        <v>635</v>
      </c>
      <c r="T32" t="s">
        <v>6</v>
      </c>
      <c r="U32" t="str">
        <f t="shared" si="2"/>
        <v>EDUCACIÓN INICIAL_PRESENCIAL</v>
      </c>
      <c r="V32" t="s">
        <v>636</v>
      </c>
      <c r="X32">
        <f>+'3.Plan de Estudios'!$E$24</f>
        <v>0</v>
      </c>
      <c r="Y32" t="str">
        <f>IF('3.Plan de Estudios'!AI24="","",'3.Plan de Estudios'!AI24)</f>
        <v/>
      </c>
      <c r="Z32" t="str">
        <f t="shared" si="9"/>
        <v>0-</v>
      </c>
      <c r="AA32" s="89" t="str">
        <f t="shared" si="3"/>
        <v/>
      </c>
      <c r="AB32" t="str">
        <f t="shared" si="4"/>
        <v/>
      </c>
      <c r="AC32" t="str">
        <f t="shared" si="10"/>
        <v/>
      </c>
      <c r="AD32" t="str">
        <f>CONCATENATE(AC128,AC129,AC130,AC131,AC132)</f>
        <v xml:space="preserve"> Desarrollo enseñanza y aprendizaje</v>
      </c>
      <c r="AF32" t="str">
        <f>IFERROR(MID('4.Electivos'!Y40,FIND(":",'4.Electivos'!Y40)+1,FIND(":",'4.Electivos'!Y40,FIND(":",'4.Electivos'!Y40)+1)-FIND(":",'4.Electivos'!Y40)-1),"")</f>
        <v xml:space="preserve"> Desarrollo enseñanza y aprendizaje</v>
      </c>
      <c r="AG32" t="str">
        <f>IFERROR(MID('4.Electivos'!Z40,FIND(":",'4.Electivos'!Z40)+1,FIND(":",'4.Electivos'!Z40,FIND(":",'4.Electivos'!Z40)+1)-FIND(":",'4.Electivos'!Z40)-1),"")</f>
        <v/>
      </c>
      <c r="AH32" t="str">
        <f>IFERROR(MID('4.Electivos'!AA40,FIND(":",'4.Electivos'!AA40)+1,FIND(":",'4.Electivos'!AA40,FIND(":",'4.Electivos'!AA40)+1)-FIND(":",'4.Electivos'!AA40)-1),"")</f>
        <v/>
      </c>
      <c r="AI32" t="str">
        <f>IFERROR(MID('4.Electivos'!AB40,FIND(":",'4.Electivos'!AB40)+1,FIND(":",'4.Electivos'!AB40,FIND(":",'4.Electivos'!AB40)+1)-FIND(":",'4.Electivos'!AB40)-1),"")</f>
        <v/>
      </c>
      <c r="AJ32" t="str">
        <f>IFERROR(MID('4.Electivos'!AC40,FIND(":",'4.Electivos'!AC40)+1,FIND(":",'4.Electivos'!AC40,FIND(":",'4.Electivos'!AC40)+1)-FIND(":",'4.Electivos'!AC40)-1),"")</f>
        <v/>
      </c>
      <c r="AL32" t="str">
        <f t="shared" si="0"/>
        <v xml:space="preserve"> Desarrollo enseñanza y aprendizaje</v>
      </c>
    </row>
    <row r="33" spans="1:38" ht="15.75">
      <c r="C33" t="s">
        <v>487</v>
      </c>
      <c r="G33" t="s">
        <v>637</v>
      </c>
      <c r="I33" s="200" t="s">
        <v>2</v>
      </c>
      <c r="J33" s="200" t="s">
        <v>511</v>
      </c>
      <c r="K33" s="200" t="str">
        <f t="shared" si="1"/>
        <v>ADMINISTRACIÓN DE LA SALUD_PRESENCIAL</v>
      </c>
      <c r="L33" s="200" t="s">
        <v>512</v>
      </c>
      <c r="M33" s="200" t="s">
        <v>638</v>
      </c>
      <c r="N33" s="200" t="s">
        <v>639</v>
      </c>
      <c r="O33" s="200" t="s">
        <v>6</v>
      </c>
      <c r="P33" s="200" t="s">
        <v>628</v>
      </c>
      <c r="Q33" s="421">
        <v>60</v>
      </c>
      <c r="S33" t="s">
        <v>640</v>
      </c>
      <c r="T33" t="s">
        <v>6</v>
      </c>
      <c r="U33" t="str">
        <f t="shared" si="2"/>
        <v>EDUCACIÓN INICIAL INTERCULTURAL BILINGÜE _PRESENCIAL</v>
      </c>
      <c r="V33" t="s">
        <v>641</v>
      </c>
      <c r="X33" s="221">
        <f>+'3.Plan de Estudios'!$E$25</f>
        <v>0</v>
      </c>
      <c r="Y33" s="221" t="str">
        <f>IF('3.Plan de Estudios'!AA25="","",'3.Plan de Estudios'!AA25)</f>
        <v/>
      </c>
      <c r="Z33" t="str">
        <f t="shared" si="9"/>
        <v>0-</v>
      </c>
      <c r="AA33" s="89" t="str">
        <f t="shared" si="3"/>
        <v/>
      </c>
      <c r="AB33" t="str">
        <f t="shared" si="4"/>
        <v/>
      </c>
      <c r="AC33" t="str">
        <f>AB33</f>
        <v/>
      </c>
      <c r="AD33" t="str">
        <f>CONCATENATE(AC133,AC134,AC135,AC136,AC137)</f>
        <v/>
      </c>
      <c r="AF33" t="str">
        <f>IFERROR(MID('4.Electivos'!Y41,FIND(":",'4.Electivos'!Y41)+1,FIND(":",'4.Electivos'!Y41,FIND(":",'4.Electivos'!Y41)+1)-FIND(":",'4.Electivos'!Y41)-1),"")</f>
        <v xml:space="preserve"> Desarrollo de gestión educativa</v>
      </c>
      <c r="AG33" t="str">
        <f>IFERROR(MID('4.Electivos'!Z41,FIND(":",'4.Electivos'!Z41)+1,FIND(":",'4.Electivos'!Z41,FIND(":",'4.Electivos'!Z41)+1)-FIND(":",'4.Electivos'!Z41)-1),"")</f>
        <v/>
      </c>
      <c r="AH33" t="str">
        <f>IFERROR(MID('4.Electivos'!AA41,FIND(":",'4.Electivos'!AA41)+1,FIND(":",'4.Electivos'!AA41,FIND(":",'4.Electivos'!AA41)+1)-FIND(":",'4.Electivos'!AA41)-1),"")</f>
        <v/>
      </c>
      <c r="AI33" t="str">
        <f>IFERROR(MID('4.Electivos'!AB41,FIND(":",'4.Electivos'!AB41)+1,FIND(":",'4.Electivos'!AB41,FIND(":",'4.Electivos'!AB41)+1)-FIND(":",'4.Electivos'!AB41)-1),"")</f>
        <v/>
      </c>
      <c r="AJ33" t="str">
        <f>IFERROR(MID('4.Electivos'!AC41,FIND(":",'4.Electivos'!AC41)+1,FIND(":",'4.Electivos'!AC41,FIND(":",'4.Electivos'!AC41)+1)-FIND(":",'4.Electivos'!AC41)-1),"")</f>
        <v/>
      </c>
      <c r="AL33" t="str">
        <f t="shared" si="0"/>
        <v xml:space="preserve"> Desarrollo de gestión educativa</v>
      </c>
    </row>
    <row r="34" spans="1:38" ht="15.75">
      <c r="G34" t="s">
        <v>642</v>
      </c>
      <c r="I34" s="200" t="s">
        <v>2</v>
      </c>
      <c r="J34" s="200" t="s">
        <v>643</v>
      </c>
      <c r="K34" s="200" t="str">
        <f t="shared" si="1"/>
        <v>ADMINISTRACIÓN DE NEGOCIOS DIGITALES_PRESENCIAL</v>
      </c>
      <c r="L34" s="200" t="s">
        <v>644</v>
      </c>
      <c r="M34" s="200" t="s">
        <v>645</v>
      </c>
      <c r="N34" s="200" t="s">
        <v>646</v>
      </c>
      <c r="O34" s="200" t="s">
        <v>6</v>
      </c>
      <c r="P34" s="200" t="s">
        <v>11</v>
      </c>
      <c r="Q34" s="421">
        <v>60</v>
      </c>
      <c r="S34" t="s">
        <v>647</v>
      </c>
      <c r="T34" t="s">
        <v>6</v>
      </c>
      <c r="U34" t="str">
        <f t="shared" si="2"/>
        <v>EDUCACIÓN PRIMARIA_PRESENCIAL</v>
      </c>
      <c r="V34" t="s">
        <v>648</v>
      </c>
      <c r="X34" s="221">
        <f>+'3.Plan de Estudios'!$E$25</f>
        <v>0</v>
      </c>
      <c r="Y34" s="221" t="str">
        <f>IF('3.Plan de Estudios'!AC25="","",'3.Plan de Estudios'!AC25)</f>
        <v/>
      </c>
      <c r="Z34" t="str">
        <f t="shared" si="9"/>
        <v>0-</v>
      </c>
      <c r="AA34" s="89" t="str">
        <f t="shared" si="3"/>
        <v/>
      </c>
      <c r="AB34" t="str">
        <f t="shared" si="4"/>
        <v/>
      </c>
      <c r="AC34" t="str">
        <f t="shared" si="10"/>
        <v/>
      </c>
      <c r="AD34" t="str">
        <f>CONCATENATE(AC138,AC139,AC140,AC141,AC142)</f>
        <v/>
      </c>
      <c r="AF34" t="str">
        <f>IFERROR(MID('4.Electivos'!Y42,FIND(":",'4.Electivos'!Y42)+1,FIND(":",'4.Electivos'!Y42,FIND(":",'4.Electivos'!Y42)+1)-FIND(":",'4.Electivos'!Y42)-1),"")</f>
        <v xml:space="preserve"> Desarrollo de gestión educativa</v>
      </c>
      <c r="AG34" t="str">
        <f>IFERROR(MID('4.Electivos'!Z42,FIND(":",'4.Electivos'!Z42)+1,FIND(":",'4.Electivos'!Z42,FIND(":",'4.Electivos'!Z42)+1)-FIND(":",'4.Electivos'!Z42)-1),"")</f>
        <v/>
      </c>
      <c r="AH34" t="str">
        <f>IFERROR(MID('4.Electivos'!AA42,FIND(":",'4.Electivos'!AA42)+1,FIND(":",'4.Electivos'!AA42,FIND(":",'4.Electivos'!AA42)+1)-FIND(":",'4.Electivos'!AA42)-1),"")</f>
        <v/>
      </c>
      <c r="AI34" t="str">
        <f>IFERROR(MID('4.Electivos'!AB42,FIND(":",'4.Electivos'!AB42)+1,FIND(":",'4.Electivos'!AB42,FIND(":",'4.Electivos'!AB42)+1)-FIND(":",'4.Electivos'!AB42)-1),"")</f>
        <v/>
      </c>
      <c r="AJ34" t="str">
        <f>IFERROR(MID('4.Electivos'!AC42,FIND(":",'4.Electivos'!AC42)+1,FIND(":",'4.Electivos'!AC42,FIND(":",'4.Electivos'!AC42)+1)-FIND(":",'4.Electivos'!AC42)-1),"")</f>
        <v/>
      </c>
      <c r="AL34" t="str">
        <f t="shared" si="0"/>
        <v xml:space="preserve"> Desarrollo de gestión educativa</v>
      </c>
    </row>
    <row r="35" spans="1:38" ht="15.75">
      <c r="A35" t="str">
        <f>IF(AND(SUM('3.Plan de Estudios'!L19:O19)&gt;0,SUM('3.Plan de Estudios'!J19,'3.Plan de Estudios'!K19)&gt;0),"Teórico-Práctico",IF(SUM('3.Plan de Estudios'!J19,'3.Plan de Estudios'!K19)&gt;0,"Teórico","Práctico"))</f>
        <v>Teórico</v>
      </c>
      <c r="B35" t="str">
        <f>IF(AND(SUM('4.Electivos'!L9:O9)&gt;0,SUM('4.Electivos'!J9,'4.Electivos'!K9)&gt;0),"Teórico-Práctico",IF(SUM('4.Electivos'!J9,'4.Electivos'!K9)&gt;0,"Teórico","Práctico"))</f>
        <v>Práctico</v>
      </c>
      <c r="G35" t="s">
        <v>649</v>
      </c>
      <c r="I35" s="200" t="s">
        <v>2</v>
      </c>
      <c r="J35" s="200" t="s">
        <v>643</v>
      </c>
      <c r="K35" s="200" t="str">
        <f t="shared" si="1"/>
        <v>ADMINISTRACIÓN DE NEGOCIOS DIGITALES_SEMIPRESENCIAL</v>
      </c>
      <c r="L35" s="200" t="s">
        <v>650</v>
      </c>
      <c r="M35" s="200" t="s">
        <v>645</v>
      </c>
      <c r="N35" s="200" t="s">
        <v>646</v>
      </c>
      <c r="O35" s="200" t="s">
        <v>498</v>
      </c>
      <c r="P35" s="200" t="s">
        <v>11</v>
      </c>
      <c r="Q35" s="421">
        <v>60</v>
      </c>
      <c r="S35" t="s">
        <v>651</v>
      </c>
      <c r="T35" t="s">
        <v>6</v>
      </c>
      <c r="U35" t="str">
        <f t="shared" si="2"/>
        <v>EDUCACIÓN PRIMARIA INTERCULTURAL BILINGÜE _PRESENCIAL</v>
      </c>
      <c r="V35" t="s">
        <v>652</v>
      </c>
      <c r="X35" s="221">
        <f>+'3.Plan de Estudios'!$E$25</f>
        <v>0</v>
      </c>
      <c r="Y35" s="221" t="str">
        <f>IF('3.Plan de Estudios'!AE25="","",'3.Plan de Estudios'!AE25)</f>
        <v/>
      </c>
      <c r="Z35" t="str">
        <f t="shared" si="9"/>
        <v>0-</v>
      </c>
      <c r="AA35" s="89" t="str">
        <f t="shared" si="3"/>
        <v/>
      </c>
      <c r="AB35" t="str">
        <f t="shared" si="4"/>
        <v/>
      </c>
      <c r="AC35" t="str">
        <f t="shared" si="10"/>
        <v/>
      </c>
      <c r="AD35" t="str">
        <f>CONCATENATE(AC143,AC144,AC145,AC146,AC147)</f>
        <v/>
      </c>
      <c r="AF35" t="str">
        <f>IFERROR(MID('4.Electivos'!Y43,FIND(":",'4.Electivos'!Y43)+1,FIND(":",'4.Electivos'!Y43,FIND(":",'4.Electivos'!Y43)+1)-FIND(":",'4.Electivos'!Y43)-1),"")</f>
        <v xml:space="preserve"> Desarrollo de gestión educativa</v>
      </c>
      <c r="AG35" t="str">
        <f>IFERROR(MID('4.Electivos'!Z43,FIND(":",'4.Electivos'!Z43)+1,FIND(":",'4.Electivos'!Z43,FIND(":",'4.Electivos'!Z43)+1)-FIND(":",'4.Electivos'!Z43)-1),"")</f>
        <v/>
      </c>
      <c r="AH35" t="str">
        <f>IFERROR(MID('4.Electivos'!AA43,FIND(":",'4.Electivos'!AA43)+1,FIND(":",'4.Electivos'!AA43,FIND(":",'4.Electivos'!AA43)+1)-FIND(":",'4.Electivos'!AA43)-1),"")</f>
        <v/>
      </c>
      <c r="AI35" t="str">
        <f>IFERROR(MID('4.Electivos'!AB43,FIND(":",'4.Electivos'!AB43)+1,FIND(":",'4.Electivos'!AB43,FIND(":",'4.Electivos'!AB43)+1)-FIND(":",'4.Electivos'!AB43)-1),"")</f>
        <v/>
      </c>
      <c r="AJ35" t="str">
        <f>IFERROR(MID('4.Electivos'!AC43,FIND(":",'4.Electivos'!AC43)+1,FIND(":",'4.Electivos'!AC43,FIND(":",'4.Electivos'!AC43)+1)-FIND(":",'4.Electivos'!AC43)-1),"")</f>
        <v/>
      </c>
      <c r="AL35" t="str">
        <f t="shared" si="0"/>
        <v xml:space="preserve"> Desarrollo de gestión educativa</v>
      </c>
    </row>
    <row r="36" spans="1:38" ht="15.75">
      <c r="A36" t="str">
        <f>IF(AND(SUM('3.Plan de Estudios'!L20:O20)&gt;0,SUM('3.Plan de Estudios'!J20,'3.Plan de Estudios'!K20)&gt;0),"Teórico-Práctico",IF(SUM('3.Plan de Estudios'!J20,'3.Plan de Estudios'!K20)&gt;0,"Teórico","Práctico"))</f>
        <v>Teórico</v>
      </c>
      <c r="B36" t="str">
        <f>IF(AND(SUM('4.Electivos'!L10:O10)&gt;0,SUM('4.Electivos'!J10,'4.Electivos'!K10)&gt;0),"Teórico-Práctico",IF(SUM('4.Electivos'!J10,'4.Electivos'!K10)&gt;0,"Teórico","Práctico"))</f>
        <v>Práctico</v>
      </c>
      <c r="G36" t="s">
        <v>653</v>
      </c>
      <c r="I36" s="200" t="s">
        <v>2</v>
      </c>
      <c r="J36" s="200" t="s">
        <v>643</v>
      </c>
      <c r="K36" s="200" t="str">
        <f t="shared" si="1"/>
        <v>ADMINISTRACIÓN DE NEGOCIOS DIGITALES_A DISTANCIA</v>
      </c>
      <c r="L36" s="200" t="s">
        <v>654</v>
      </c>
      <c r="M36" s="200" t="s">
        <v>645</v>
      </c>
      <c r="N36" s="200" t="s">
        <v>646</v>
      </c>
      <c r="O36" s="200" t="s">
        <v>494</v>
      </c>
      <c r="P36" s="200" t="s">
        <v>11</v>
      </c>
      <c r="Q36" s="421">
        <v>60</v>
      </c>
      <c r="S36" t="s">
        <v>655</v>
      </c>
      <c r="T36" t="s">
        <v>6</v>
      </c>
      <c r="U36" t="str">
        <f t="shared" si="2"/>
        <v>EDUCACIÓN SECUNDARIA CON ESPECIALIDAD EN BIOLOGÍA Y QUÍMICA_PRESENCIAL</v>
      </c>
      <c r="V36" t="s">
        <v>656</v>
      </c>
      <c r="X36" s="221">
        <f>+'3.Plan de Estudios'!$E$25</f>
        <v>0</v>
      </c>
      <c r="Y36" s="221" t="str">
        <f>IF('3.Plan de Estudios'!AG25="","",'3.Plan de Estudios'!AG25)</f>
        <v/>
      </c>
      <c r="Z36" t="str">
        <f t="shared" si="9"/>
        <v>0-</v>
      </c>
      <c r="AA36" s="89" t="str">
        <f t="shared" si="3"/>
        <v/>
      </c>
      <c r="AB36" t="str">
        <f t="shared" si="4"/>
        <v/>
      </c>
      <c r="AC36" t="str">
        <f t="shared" si="10"/>
        <v/>
      </c>
      <c r="AD36" t="str">
        <f>CONCATENATE(AC148,AC149,AC150,AC151,AC152)</f>
        <v/>
      </c>
      <c r="AF36" t="str">
        <f>IFERROR(MID('4.Electivos'!Y44,FIND(":",'4.Electivos'!Y44)+1,FIND(":",'4.Electivos'!Y44,FIND(":",'4.Electivos'!Y44)+1)-FIND(":",'4.Electivos'!Y44)-1),"")</f>
        <v xml:space="preserve"> Investigación Educativa</v>
      </c>
      <c r="AG36" t="str">
        <f>IFERROR(MID('4.Electivos'!Z44,FIND(":",'4.Electivos'!Z44)+1,FIND(":",'4.Electivos'!Z44,FIND(":",'4.Electivos'!Z44)+1)-FIND(":",'4.Electivos'!Z44)-1),"")</f>
        <v/>
      </c>
      <c r="AH36" t="str">
        <f>IFERROR(MID('4.Electivos'!AA44,FIND(":",'4.Electivos'!AA44)+1,FIND(":",'4.Electivos'!AA44,FIND(":",'4.Electivos'!AA44)+1)-FIND(":",'4.Electivos'!AA44)-1),"")</f>
        <v/>
      </c>
      <c r="AI36" t="str">
        <f>IFERROR(MID('4.Electivos'!AB44,FIND(":",'4.Electivos'!AB44)+1,FIND(":",'4.Electivos'!AB44,FIND(":",'4.Electivos'!AB44)+1)-FIND(":",'4.Electivos'!AB44)-1),"")</f>
        <v/>
      </c>
      <c r="AJ36" t="str">
        <f>IFERROR(MID('4.Electivos'!AC44,FIND(":",'4.Electivos'!AC44)+1,FIND(":",'4.Electivos'!AC44,FIND(":",'4.Electivos'!AC44)+1)-FIND(":",'4.Electivos'!AC44)-1),"")</f>
        <v/>
      </c>
      <c r="AL36" t="str">
        <f t="shared" si="0"/>
        <v xml:space="preserve"> Investigación Educativa</v>
      </c>
    </row>
    <row r="37" spans="1:38" ht="15.75">
      <c r="A37" t="str">
        <f>IF(AND(SUM('3.Plan de Estudios'!L21:O21)&gt;0,SUM('3.Plan de Estudios'!J21,'3.Plan de Estudios'!K21)&gt;0),"Teórico-Práctico",IF(SUM('3.Plan de Estudios'!J21,'3.Plan de Estudios'!K21)&gt;0,"Teórico","Práctico"))</f>
        <v>Teórico-Práctico</v>
      </c>
      <c r="B37" t="str">
        <f>IF(AND(SUM('4.Electivos'!L11:O11)&gt;0,SUM('4.Electivos'!J11,'4.Electivos'!K11)&gt;0),"Teórico-Práctico",IF(SUM('4.Electivos'!J11,'4.Electivos'!K11)&gt;0,"Teórico","Práctico"))</f>
        <v>Práctico</v>
      </c>
      <c r="G37" t="s">
        <v>657</v>
      </c>
      <c r="I37" s="200" t="s">
        <v>2</v>
      </c>
      <c r="J37" s="200" t="s">
        <v>519</v>
      </c>
      <c r="K37" s="200" t="str">
        <f t="shared" si="1"/>
        <v>ADMINISTRACIÓN EN TURISMO_PRESENCIAL</v>
      </c>
      <c r="L37" s="200" t="s">
        <v>520</v>
      </c>
      <c r="M37" s="200" t="s">
        <v>658</v>
      </c>
      <c r="N37" s="200" t="s">
        <v>659</v>
      </c>
      <c r="O37" s="200" t="s">
        <v>6</v>
      </c>
      <c r="P37" s="200" t="s">
        <v>628</v>
      </c>
      <c r="Q37" s="421">
        <v>60</v>
      </c>
      <c r="S37" t="s">
        <v>660</v>
      </c>
      <c r="T37" t="s">
        <v>6</v>
      </c>
      <c r="U37" t="str">
        <f t="shared" si="2"/>
        <v>EDUCACIÓN SECUNDARIA CON ESPECIALIDAD EN CIENCIAS SOCIALES_PRESENCIAL</v>
      </c>
      <c r="V37" t="s">
        <v>661</v>
      </c>
      <c r="X37" s="221">
        <f>+'3.Plan de Estudios'!$E$25</f>
        <v>0</v>
      </c>
      <c r="Y37" s="221" t="str">
        <f>IF('3.Plan de Estudios'!AI25="","",'3.Plan de Estudios'!AI25)</f>
        <v/>
      </c>
      <c r="Z37" t="str">
        <f t="shared" si="9"/>
        <v>0-</v>
      </c>
      <c r="AA37" s="89" t="str">
        <f t="shared" si="3"/>
        <v/>
      </c>
      <c r="AB37" t="str">
        <f t="shared" si="4"/>
        <v/>
      </c>
      <c r="AC37" t="str">
        <f t="shared" si="10"/>
        <v/>
      </c>
      <c r="AD37" t="str">
        <f>CONCATENATE(AC153,AC154,AC155,AC156,AC157)</f>
        <v xml:space="preserve"> Desarrollo de gestión educativa, Desarrollo enseñanza y aprendizaje</v>
      </c>
      <c r="AF37" t="str">
        <f>IFERROR(MID('4.Electivos'!Y45,FIND(":",'4.Electivos'!Y45)+1,FIND(":",'4.Electivos'!Y45,FIND(":",'4.Electivos'!Y45)+1)-FIND(":",'4.Electivos'!Y45)-1),"")</f>
        <v/>
      </c>
      <c r="AG37" t="str">
        <f>IFERROR(MID('4.Electivos'!Z45,FIND(":",'4.Electivos'!Z45)+1,FIND(":",'4.Electivos'!Z45,FIND(":",'4.Electivos'!Z45)+1)-FIND(":",'4.Electivos'!Z45)-1),"")</f>
        <v/>
      </c>
      <c r="AH37" t="str">
        <f>IFERROR(MID('4.Electivos'!AA45,FIND(":",'4.Electivos'!AA45)+1,FIND(":",'4.Electivos'!AA45,FIND(":",'4.Electivos'!AA45)+1)-FIND(":",'4.Electivos'!AA45)-1),"")</f>
        <v/>
      </c>
      <c r="AI37" t="str">
        <f>IFERROR(MID('4.Electivos'!AB45,FIND(":",'4.Electivos'!AB45)+1,FIND(":",'4.Electivos'!AB45,FIND(":",'4.Electivos'!AB45)+1)-FIND(":",'4.Electivos'!AB45)-1),"")</f>
        <v/>
      </c>
      <c r="AJ37" t="str">
        <f>IFERROR(MID('4.Electivos'!AC45,FIND(":",'4.Electivos'!AC45)+1,FIND(":",'4.Electivos'!AC45,FIND(":",'4.Electivos'!AC45)+1)-FIND(":",'4.Electivos'!AC45)-1),"")</f>
        <v/>
      </c>
      <c r="AL37" t="str">
        <f t="shared" si="0"/>
        <v/>
      </c>
    </row>
    <row r="38" spans="1:38" ht="15.75">
      <c r="A38" t="str">
        <f>IF(AND(SUM('3.Plan de Estudios'!L22:O22)&gt;0,SUM('3.Plan de Estudios'!J22,'3.Plan de Estudios'!K22)&gt;0),"Teórico-Práctico",IF(SUM('3.Plan de Estudios'!J22,'3.Plan de Estudios'!K22)&gt;0,"Teórico","Práctico"))</f>
        <v>Teórico</v>
      </c>
      <c r="B38" t="str">
        <f>IF(AND(SUM('4.Electivos'!L12:O12)&gt;0,SUM('4.Electivos'!J12,'4.Electivos'!K12)&gt;0),"Teórico-Práctico",IF(SUM('4.Electivos'!J12,'4.Electivos'!K12)&gt;0,"Teórico","Práctico"))</f>
        <v>Práctico</v>
      </c>
      <c r="G38" t="s">
        <v>662</v>
      </c>
      <c r="I38" s="200" t="s">
        <v>2</v>
      </c>
      <c r="J38" s="200" t="s">
        <v>519</v>
      </c>
      <c r="K38" s="200" t="str">
        <f t="shared" si="1"/>
        <v>ADMINISTRACIÓN EN TURISMO_SEMIPRESENCIAL</v>
      </c>
      <c r="L38" s="200" t="s">
        <v>524</v>
      </c>
      <c r="M38" s="200" t="s">
        <v>658</v>
      </c>
      <c r="N38" s="200" t="s">
        <v>659</v>
      </c>
      <c r="O38" s="200" t="s">
        <v>498</v>
      </c>
      <c r="P38" s="200" t="s">
        <v>628</v>
      </c>
      <c r="Q38" s="421">
        <v>60</v>
      </c>
      <c r="S38" t="s">
        <v>663</v>
      </c>
      <c r="T38" t="s">
        <v>6</v>
      </c>
      <c r="U38" t="str">
        <f t="shared" si="2"/>
        <v>EDUCACIÓN SECUNDARIA CON ESPECIALIDAD EN INFORMÁTICA_PRESENCIAL</v>
      </c>
      <c r="V38" t="s">
        <v>664</v>
      </c>
      <c r="X38">
        <f>+'3.Plan de Estudios'!$E$26</f>
        <v>0</v>
      </c>
      <c r="Y38" t="str">
        <f>IF('3.Plan de Estudios'!AA26="","",'3.Plan de Estudios'!AA26)</f>
        <v/>
      </c>
      <c r="Z38" t="str">
        <f t="shared" si="9"/>
        <v>0-</v>
      </c>
      <c r="AA38" s="89" t="str">
        <f t="shared" si="3"/>
        <v/>
      </c>
      <c r="AB38" t="str">
        <f t="shared" si="4"/>
        <v/>
      </c>
      <c r="AC38" t="str">
        <f>AB38</f>
        <v/>
      </c>
      <c r="AD38" t="str">
        <f>CONCATENATE(AC158,AC159,AC160,AC161,AC162)</f>
        <v xml:space="preserve"> Comunicación Bilingüe</v>
      </c>
      <c r="AF38" t="str">
        <f>IFERROR(MID('4.Electivos'!Y46,FIND(":",'4.Electivos'!Y46)+1,FIND(":",'4.Electivos'!Y46,FIND(":",'4.Electivos'!Y46)+1)-FIND(":",'4.Electivos'!Y46)-1),"")</f>
        <v/>
      </c>
      <c r="AG38" t="str">
        <f>IFERROR(MID('4.Electivos'!Z46,FIND(":",'4.Electivos'!Z46)+1,FIND(":",'4.Electivos'!Z46,FIND(":",'4.Electivos'!Z46)+1)-FIND(":",'4.Electivos'!Z46)-1),"")</f>
        <v/>
      </c>
      <c r="AH38" t="str">
        <f>IFERROR(MID('4.Electivos'!AA46,FIND(":",'4.Electivos'!AA46)+1,FIND(":",'4.Electivos'!AA46,FIND(":",'4.Electivos'!AA46)+1)-FIND(":",'4.Electivos'!AA46)-1),"")</f>
        <v/>
      </c>
      <c r="AI38" t="str">
        <f>IFERROR(MID('4.Electivos'!AB46,FIND(":",'4.Electivos'!AB46)+1,FIND(":",'4.Electivos'!AB46,FIND(":",'4.Electivos'!AB46)+1)-FIND(":",'4.Electivos'!AB46)-1),"")</f>
        <v/>
      </c>
      <c r="AJ38" t="str">
        <f>IFERROR(MID('4.Electivos'!AC46,FIND(":",'4.Electivos'!AC46)+1,FIND(":",'4.Electivos'!AC46,FIND(":",'4.Electivos'!AC46)+1)-FIND(":",'4.Electivos'!AC46)-1),"")</f>
        <v/>
      </c>
      <c r="AL38" t="str">
        <f t="shared" si="0"/>
        <v/>
      </c>
    </row>
    <row r="39" spans="1:38" ht="15.75">
      <c r="A39" t="str">
        <f>IF(AND(SUM('3.Plan de Estudios'!L23:O23)&gt;0,SUM('3.Plan de Estudios'!J23,'3.Plan de Estudios'!K23)&gt;0),"Teórico-Práctico",IF(SUM('3.Plan de Estudios'!J23,'3.Plan de Estudios'!K23)&gt;0,"Teórico","Práctico"))</f>
        <v>Teórico</v>
      </c>
      <c r="B39" t="str">
        <f>IF(AND(SUM('4.Electivos'!L13:O13)&gt;0,SUM('4.Electivos'!J13,'4.Electivos'!K13)&gt;0),"Teórico-Práctico",IF(SUM('4.Electivos'!J13,'4.Electivos'!K13)&gt;0,"Teórico","Práctico"))</f>
        <v>Práctico</v>
      </c>
      <c r="G39" t="s">
        <v>665</v>
      </c>
      <c r="I39" s="200" t="s">
        <v>2</v>
      </c>
      <c r="J39" s="200" t="s">
        <v>519</v>
      </c>
      <c r="K39" s="200" t="str">
        <f t="shared" si="1"/>
        <v>ADMINISTRACIÓN EN TURISMO_A DISTANCIA</v>
      </c>
      <c r="L39" s="200" t="s">
        <v>666</v>
      </c>
      <c r="M39" s="200" t="s">
        <v>658</v>
      </c>
      <c r="N39" s="200" t="s">
        <v>659</v>
      </c>
      <c r="O39" s="200" t="s">
        <v>494</v>
      </c>
      <c r="P39" s="200" t="s">
        <v>628</v>
      </c>
      <c r="Q39" s="421">
        <v>60</v>
      </c>
      <c r="S39" t="s">
        <v>4</v>
      </c>
      <c r="T39" t="s">
        <v>6</v>
      </c>
      <c r="U39" t="str">
        <f t="shared" si="2"/>
        <v>EDUCACIÓN SECUNDARIA CON ESPECIALIDAD EN INGLÉS_PRESENCIAL</v>
      </c>
      <c r="V39" t="s">
        <v>215</v>
      </c>
      <c r="X39">
        <f>+'3.Plan de Estudios'!$E$26</f>
        <v>0</v>
      </c>
      <c r="Y39" t="str">
        <f>IF('3.Plan de Estudios'!AC26="","",'3.Plan de Estudios'!AC26)</f>
        <v/>
      </c>
      <c r="Z39" t="str">
        <f t="shared" si="9"/>
        <v>0-</v>
      </c>
      <c r="AA39" s="89" t="str">
        <f t="shared" si="3"/>
        <v/>
      </c>
      <c r="AB39" t="str">
        <f t="shared" si="4"/>
        <v/>
      </c>
      <c r="AC39" t="str">
        <f t="shared" si="10"/>
        <v/>
      </c>
      <c r="AD39" t="str">
        <f>CONCATENATE(AC163,AC164,AC165,AC166,AC167)</f>
        <v xml:space="preserve"> Comprensión y expresión del idioma inglés</v>
      </c>
      <c r="AF39" t="str">
        <f>IFERROR(MID('4.Electivos'!Y47,FIND(":",'4.Electivos'!Y47)+1,FIND(":",'4.Electivos'!Y47,FIND(":",'4.Electivos'!Y47)+1)-FIND(":",'4.Electivos'!Y47)-1),"")</f>
        <v/>
      </c>
      <c r="AG39" t="str">
        <f>IFERROR(MID('4.Electivos'!Z47,FIND(":",'4.Electivos'!Z47)+1,FIND(":",'4.Electivos'!Z47,FIND(":",'4.Electivos'!Z47)+1)-FIND(":",'4.Electivos'!Z47)-1),"")</f>
        <v/>
      </c>
      <c r="AH39" t="str">
        <f>IFERROR(MID('4.Electivos'!AA47,FIND(":",'4.Electivos'!AA47)+1,FIND(":",'4.Electivos'!AA47,FIND(":",'4.Electivos'!AA47)+1)-FIND(":",'4.Electivos'!AA47)-1),"")</f>
        <v/>
      </c>
      <c r="AI39" t="str">
        <f>IFERROR(MID('4.Electivos'!AB47,FIND(":",'4.Electivos'!AB47)+1,FIND(":",'4.Electivos'!AB47,FIND(":",'4.Electivos'!AB47)+1)-FIND(":",'4.Electivos'!AB47)-1),"")</f>
        <v/>
      </c>
      <c r="AJ39" t="str">
        <f>IFERROR(MID('4.Electivos'!AC47,FIND(":",'4.Electivos'!AC47)+1,FIND(":",'4.Electivos'!AC47,FIND(":",'4.Electivos'!AC47)+1)-FIND(":",'4.Electivos'!AC47)-1),"")</f>
        <v/>
      </c>
      <c r="AL39" t="str">
        <f t="shared" si="0"/>
        <v/>
      </c>
    </row>
    <row r="40" spans="1:38" ht="15.75">
      <c r="A40" t="str">
        <f>IF(AND(SUM('3.Plan de Estudios'!L24:O24)&gt;0,SUM('3.Plan de Estudios'!J24,'3.Plan de Estudios'!K24)&gt;0),"Teórico-Práctico",IF(SUM('3.Plan de Estudios'!J24,'3.Plan de Estudios'!K24)&gt;0,"Teórico","Práctico"))</f>
        <v>Práctico</v>
      </c>
      <c r="B40" t="str">
        <f>IF(AND(SUM('4.Electivos'!L14:O14)&gt;0,SUM('4.Electivos'!J14,'4.Electivos'!K14)&gt;0),"Teórico-Práctico",IF(SUM('4.Electivos'!J14,'4.Electivos'!K14)&gt;0,"Teórico","Práctico"))</f>
        <v>Práctico</v>
      </c>
      <c r="G40" t="s">
        <v>667</v>
      </c>
      <c r="I40" s="200" t="s">
        <v>2</v>
      </c>
      <c r="J40" s="200" t="s">
        <v>530</v>
      </c>
      <c r="K40" s="200" t="str">
        <f t="shared" si="1"/>
        <v>ADMINISTRACIÓN HOTELERA_PRESENCIAL</v>
      </c>
      <c r="L40" s="200" t="s">
        <v>531</v>
      </c>
      <c r="M40" s="200" t="s">
        <v>668</v>
      </c>
      <c r="N40" s="200" t="s">
        <v>669</v>
      </c>
      <c r="O40" s="200" t="s">
        <v>6</v>
      </c>
      <c r="P40" s="200" t="s">
        <v>628</v>
      </c>
      <c r="Q40" s="421">
        <v>60</v>
      </c>
      <c r="S40" t="s">
        <v>670</v>
      </c>
      <c r="T40" t="s">
        <v>6</v>
      </c>
      <c r="U40" t="str">
        <f t="shared" si="2"/>
        <v>EDUCACIÓN SECUNDARIA CON ESPECIALIDAD EN LENGUAJE Y LITERATURA_PRESENCIAL</v>
      </c>
      <c r="V40" t="s">
        <v>671</v>
      </c>
      <c r="X40">
        <f>+'3.Plan de Estudios'!$E$26</f>
        <v>0</v>
      </c>
      <c r="Y40" t="str">
        <f>IF('3.Plan de Estudios'!AE26="","",'3.Plan de Estudios'!AE26)</f>
        <v/>
      </c>
      <c r="Z40" t="str">
        <f t="shared" si="9"/>
        <v>0-</v>
      </c>
      <c r="AA40" s="89" t="str">
        <f t="shared" si="3"/>
        <v/>
      </c>
      <c r="AB40" t="str">
        <f t="shared" si="4"/>
        <v/>
      </c>
      <c r="AC40" t="str">
        <f t="shared" si="10"/>
        <v/>
      </c>
      <c r="AD40" t="str">
        <f>CONCATENATE(AC168,AC169,AC170,AC171,AC172)</f>
        <v xml:space="preserve"> Investigación Educativa, Investigación</v>
      </c>
      <c r="AF40" t="str">
        <f>IFERROR(MID('4.Electivos'!Y48,FIND(":",'4.Electivos'!Y48)+1,FIND(":",'4.Electivos'!Y48,FIND(":",'4.Electivos'!Y48)+1)-FIND(":",'4.Electivos'!Y48)-1),"")</f>
        <v/>
      </c>
      <c r="AG40" t="str">
        <f>IFERROR(MID('4.Electivos'!Z48,FIND(":",'4.Electivos'!Z48)+1,FIND(":",'4.Electivos'!Z48,FIND(":",'4.Electivos'!Z48)+1)-FIND(":",'4.Electivos'!Z48)-1),"")</f>
        <v/>
      </c>
      <c r="AH40" t="str">
        <f>IFERROR(MID('4.Electivos'!AA48,FIND(":",'4.Electivos'!AA48)+1,FIND(":",'4.Electivos'!AA48,FIND(":",'4.Electivos'!AA48)+1)-FIND(":",'4.Electivos'!AA48)-1),"")</f>
        <v/>
      </c>
      <c r="AI40" t="str">
        <f>IFERROR(MID('4.Electivos'!AB48,FIND(":",'4.Electivos'!AB48)+1,FIND(":",'4.Electivos'!AB48,FIND(":",'4.Electivos'!AB48)+1)-FIND(":",'4.Electivos'!AB48)-1),"")</f>
        <v/>
      </c>
      <c r="AJ40" t="str">
        <f>IFERROR(MID('4.Electivos'!AC48,FIND(":",'4.Electivos'!AC48)+1,FIND(":",'4.Electivos'!AC48,FIND(":",'4.Electivos'!AC48)+1)-FIND(":",'4.Electivos'!AC48)-1),"")</f>
        <v/>
      </c>
      <c r="AL40" t="str">
        <f t="shared" si="0"/>
        <v/>
      </c>
    </row>
    <row r="41" spans="1:38" ht="15.75">
      <c r="A41" t="str">
        <f>IF(AND(SUM('3.Plan de Estudios'!L25:O25)&gt;0,SUM('3.Plan de Estudios'!J25,'3.Plan de Estudios'!K25)&gt;0),"Teórico-Práctico",IF(SUM('3.Plan de Estudios'!J25,'3.Plan de Estudios'!K25)&gt;0,"Teórico","Práctico"))</f>
        <v>Práctico</v>
      </c>
      <c r="B41" t="str">
        <f>IF(AND(SUM('4.Electivos'!L15:O15)&gt;0,SUM('4.Electivos'!J15,'4.Electivos'!K15)&gt;0),"Teórico-Práctico",IF(SUM('4.Electivos'!J15,'4.Electivos'!K15)&gt;0,"Teórico","Práctico"))</f>
        <v>Práctico</v>
      </c>
      <c r="G41" t="s">
        <v>672</v>
      </c>
      <c r="I41" s="200" t="s">
        <v>2</v>
      </c>
      <c r="J41" s="200" t="s">
        <v>530</v>
      </c>
      <c r="K41" s="200" t="str">
        <f t="shared" si="1"/>
        <v>ADMINISTRACIÓN HOTELERA_SEMIPRESENCIAL</v>
      </c>
      <c r="L41" s="200" t="s">
        <v>673</v>
      </c>
      <c r="M41" s="200" t="s">
        <v>668</v>
      </c>
      <c r="N41" s="200" t="s">
        <v>669</v>
      </c>
      <c r="O41" s="200" t="s">
        <v>498</v>
      </c>
      <c r="P41" s="200" t="s">
        <v>628</v>
      </c>
      <c r="Q41" s="421">
        <v>60</v>
      </c>
      <c r="S41" t="s">
        <v>674</v>
      </c>
      <c r="T41" t="s">
        <v>6</v>
      </c>
      <c r="U41" t="str">
        <f t="shared" si="2"/>
        <v>EDUCACIÓN SECUNDARIA CON ESPECIALIDAD EN MATEMÁTICA Y FÍSICA_PRESENCIAL</v>
      </c>
      <c r="V41" t="s">
        <v>675</v>
      </c>
      <c r="X41">
        <f>+'3.Plan de Estudios'!$E$26</f>
        <v>0</v>
      </c>
      <c r="Y41" t="str">
        <f>IF('3.Plan de Estudios'!AG26="","",'3.Plan de Estudios'!AG26)</f>
        <v/>
      </c>
      <c r="Z41" t="str">
        <f t="shared" si="9"/>
        <v>0-</v>
      </c>
      <c r="AA41" s="89" t="str">
        <f t="shared" si="3"/>
        <v/>
      </c>
      <c r="AB41" t="str">
        <f t="shared" si="4"/>
        <v/>
      </c>
      <c r="AC41" t="str">
        <f t="shared" si="10"/>
        <v/>
      </c>
      <c r="AD41" t="str">
        <f>CONCATENATE(AC173,AC174,AC175,AC176,AC177)</f>
        <v xml:space="preserve"> Gestión de Recursos</v>
      </c>
      <c r="AF41" t="str">
        <f>IFERROR(MID('4.Electivos'!Y49,FIND(":",'4.Electivos'!Y49)+1,FIND(":",'4.Electivos'!Y49,FIND(":",'4.Electivos'!Y49)+1)-FIND(":",'4.Electivos'!Y49)-1),"")</f>
        <v xml:space="preserve"> Orientación educativa</v>
      </c>
      <c r="AG41" t="str">
        <f>IFERROR(MID('4.Electivos'!Z49,FIND(":",'4.Electivos'!Z49)+1,FIND(":",'4.Electivos'!Z49,FIND(":",'4.Electivos'!Z49)+1)-FIND(":",'4.Electivos'!Z49)-1),"")</f>
        <v/>
      </c>
      <c r="AH41" t="str">
        <f>IFERROR(MID('4.Electivos'!AA49,FIND(":",'4.Electivos'!AA49)+1,FIND(":",'4.Electivos'!AA49,FIND(":",'4.Electivos'!AA49)+1)-FIND(":",'4.Electivos'!AA49)-1),"")</f>
        <v/>
      </c>
      <c r="AI41" t="str">
        <f>IFERROR(MID('4.Electivos'!AB49,FIND(":",'4.Electivos'!AB49)+1,FIND(":",'4.Electivos'!AB49,FIND(":",'4.Electivos'!AB49)+1)-FIND(":",'4.Electivos'!AB49)-1),"")</f>
        <v/>
      </c>
      <c r="AJ41" t="str">
        <f>IFERROR(MID('4.Electivos'!AC49,FIND(":",'4.Electivos'!AC49)+1,FIND(":",'4.Electivos'!AC49,FIND(":",'4.Electivos'!AC49)+1)-FIND(":",'4.Electivos'!AC49)-1),"")</f>
        <v/>
      </c>
      <c r="AL41" t="str">
        <f t="shared" si="0"/>
        <v xml:space="preserve"> Orientación educativa</v>
      </c>
    </row>
    <row r="42" spans="1:38" ht="15.75">
      <c r="A42" t="str">
        <f>IF(AND(SUM('3.Plan de Estudios'!L26:O26)&gt;0,SUM('3.Plan de Estudios'!J26,'3.Plan de Estudios'!K26)&gt;0),"Teórico-Práctico",IF(SUM('3.Plan de Estudios'!J26,'3.Plan de Estudios'!K26)&gt;0,"Teórico","Práctico"))</f>
        <v>Práctico</v>
      </c>
      <c r="B42" t="str">
        <f>IF(AND(SUM('4.Electivos'!L16:O16)&gt;0,SUM('4.Electivos'!J16,'4.Electivos'!K16)&gt;0),"Teórico-Práctico",IF(SUM('4.Electivos'!J16,'4.Electivos'!K16)&gt;0,"Teórico","Práctico"))</f>
        <v>Práctico</v>
      </c>
      <c r="G42" t="s">
        <v>676</v>
      </c>
      <c r="I42" s="200" t="s">
        <v>2</v>
      </c>
      <c r="J42" s="200" t="s">
        <v>530</v>
      </c>
      <c r="K42" s="200" t="str">
        <f t="shared" si="1"/>
        <v>ADMINISTRACIÓN HOTELERA_A DISTANCIA</v>
      </c>
      <c r="L42" s="200" t="s">
        <v>677</v>
      </c>
      <c r="M42" s="200" t="s">
        <v>668</v>
      </c>
      <c r="N42" s="200" t="s">
        <v>669</v>
      </c>
      <c r="O42" s="200" t="s">
        <v>494</v>
      </c>
      <c r="P42" s="200" t="s">
        <v>628</v>
      </c>
      <c r="Q42" s="421">
        <v>60</v>
      </c>
      <c r="S42" t="s">
        <v>678</v>
      </c>
      <c r="T42" t="s">
        <v>6</v>
      </c>
      <c r="U42" t="str">
        <f t="shared" si="2"/>
        <v>GESTIÓN E INNOVACIÓN EN GASTRONOMÍA_PRESENCIAL</v>
      </c>
      <c r="V42" t="s">
        <v>679</v>
      </c>
      <c r="X42">
        <f>+'3.Plan de Estudios'!$E$26</f>
        <v>0</v>
      </c>
      <c r="Y42" t="str">
        <f>IF('3.Plan de Estudios'!AI26="","",'3.Plan de Estudios'!AI26)</f>
        <v/>
      </c>
      <c r="Z42" t="str">
        <f t="shared" si="9"/>
        <v>0-</v>
      </c>
      <c r="AA42" s="89" t="str">
        <f t="shared" si="3"/>
        <v/>
      </c>
      <c r="AB42" t="str">
        <f t="shared" si="4"/>
        <v/>
      </c>
      <c r="AC42" t="str">
        <f t="shared" si="10"/>
        <v/>
      </c>
      <c r="AD42" s="340" t="str">
        <f>CONCATENATE(AC178,AC179,AC180,AC181,AC182)</f>
        <v/>
      </c>
      <c r="AF42" t="str">
        <f>IFERROR(MID('4.Electivos'!Y50,FIND(":",'4.Electivos'!Y50)+1,FIND(":",'4.Electivos'!Y50,FIND(":",'4.Electivos'!Y50)+1)-FIND(":",'4.Electivos'!Y50)-1),"")</f>
        <v xml:space="preserve"> Desarrollo de gestión educativa</v>
      </c>
      <c r="AG42" t="str">
        <f>IFERROR(MID('4.Electivos'!Z50,FIND(":",'4.Electivos'!Z50)+1,FIND(":",'4.Electivos'!Z50,FIND(":",'4.Electivos'!Z50)+1)-FIND(":",'4.Electivos'!Z50)-1),"")</f>
        <v/>
      </c>
      <c r="AH42" t="str">
        <f>IFERROR(MID('4.Electivos'!AA50,FIND(":",'4.Electivos'!AA50)+1,FIND(":",'4.Electivos'!AA50,FIND(":",'4.Electivos'!AA50)+1)-FIND(":",'4.Electivos'!AA50)-1),"")</f>
        <v/>
      </c>
      <c r="AI42" t="str">
        <f>IFERROR(MID('4.Electivos'!AB50,FIND(":",'4.Electivos'!AB50)+1,FIND(":",'4.Electivos'!AB50,FIND(":",'4.Electivos'!AB50)+1)-FIND(":",'4.Electivos'!AB50)-1),"")</f>
        <v/>
      </c>
      <c r="AJ42" t="str">
        <f>IFERROR(MID('4.Electivos'!AC50,FIND(":",'4.Electivos'!AC50)+1,FIND(":",'4.Electivos'!AC50,FIND(":",'4.Electivos'!AC50)+1)-FIND(":",'4.Electivos'!AC50)-1),"")</f>
        <v/>
      </c>
      <c r="AL42" t="str">
        <f t="shared" si="0"/>
        <v xml:space="preserve"> Desarrollo de gestión educativa</v>
      </c>
    </row>
    <row r="43" spans="1:38" ht="15.75">
      <c r="A43" t="str">
        <f>IF(AND(SUM('3.Plan de Estudios'!L27:O27)&gt;0,SUM('3.Plan de Estudios'!J27,'3.Plan de Estudios'!K27)&gt;0),"Teórico-Práctico",IF(SUM('3.Plan de Estudios'!J27,'3.Plan de Estudios'!K27)&gt;0,"Teórico","Práctico"))</f>
        <v>Práctico</v>
      </c>
      <c r="B43" t="str">
        <f>IF(AND(SUM('4.Electivos'!L17:O17)&gt;0,SUM('4.Electivos'!J17,'4.Electivos'!K17)&gt;0),"Teórico-Práctico",IF(SUM('4.Electivos'!J17,'4.Electivos'!K17)&gt;0,"Teórico","Práctico"))</f>
        <v>Práctico</v>
      </c>
      <c r="G43" t="s">
        <v>680</v>
      </c>
      <c r="I43" s="200" t="s">
        <v>2</v>
      </c>
      <c r="J43" s="200" t="s">
        <v>534</v>
      </c>
      <c r="K43" s="200" t="str">
        <f t="shared" si="1"/>
        <v>ADMINISTRACIÓN Y EMPRENDIMIENTO_PRESENCIAL</v>
      </c>
      <c r="L43" s="200" t="s">
        <v>535</v>
      </c>
      <c r="M43" s="200" t="s">
        <v>681</v>
      </c>
      <c r="N43" s="200" t="s">
        <v>682</v>
      </c>
      <c r="O43" s="200" t="s">
        <v>6</v>
      </c>
      <c r="P43" s="200" t="s">
        <v>628</v>
      </c>
      <c r="Q43" s="421">
        <v>60</v>
      </c>
      <c r="S43" t="s">
        <v>683</v>
      </c>
      <c r="T43" t="s">
        <v>6</v>
      </c>
      <c r="U43" t="str">
        <f t="shared" si="2"/>
        <v>INGENIERÍA AGROINDUSTRIAL _PRESENCIAL</v>
      </c>
      <c r="V43" t="s">
        <v>684</v>
      </c>
      <c r="X43" s="202">
        <f>+'3.Plan de Estudios'!$E$27</f>
        <v>0</v>
      </c>
      <c r="Y43" s="202" t="str">
        <f>IF('3.Plan de Estudios'!AA27="","",'3.Plan de Estudios'!AA27)</f>
        <v/>
      </c>
      <c r="Z43" t="str">
        <f t="shared" si="9"/>
        <v>0-</v>
      </c>
      <c r="AA43" s="89" t="str">
        <f t="shared" si="3"/>
        <v/>
      </c>
      <c r="AB43" t="str">
        <f t="shared" si="4"/>
        <v/>
      </c>
      <c r="AC43" t="str">
        <f>AB43</f>
        <v/>
      </c>
      <c r="AD43" s="329" t="str">
        <f>CONCATENATE(AC183,AC184,AC185,AC186,AC187)</f>
        <v/>
      </c>
      <c r="AF43" t="str">
        <f>IFERROR(MID('4.Electivos'!Y51,FIND(":",'4.Electivos'!Y51)+1,FIND(":",'4.Electivos'!Y51,FIND(":",'4.Electivos'!Y51)+1)-FIND(":",'4.Electivos'!Y51)-1),"")</f>
        <v xml:space="preserve"> Desarrollo de gestión educativa</v>
      </c>
      <c r="AG43" t="str">
        <f>IFERROR(MID('4.Electivos'!Z51,FIND(":",'4.Electivos'!Z51)+1,FIND(":",'4.Electivos'!Z51,FIND(":",'4.Electivos'!Z51)+1)-FIND(":",'4.Electivos'!Z51)-1),"")</f>
        <v/>
      </c>
      <c r="AH43" t="str">
        <f>IFERROR(MID('4.Electivos'!AA51,FIND(":",'4.Electivos'!AA51)+1,FIND(":",'4.Electivos'!AA51,FIND(":",'4.Electivos'!AA51)+1)-FIND(":",'4.Electivos'!AA51)-1),"")</f>
        <v/>
      </c>
      <c r="AI43" t="str">
        <f>IFERROR(MID('4.Electivos'!AB51,FIND(":",'4.Electivos'!AB51)+1,FIND(":",'4.Electivos'!AB51,FIND(":",'4.Electivos'!AB51)+1)-FIND(":",'4.Electivos'!AB51)-1),"")</f>
        <v/>
      </c>
      <c r="AJ43" t="str">
        <f>IFERROR(MID('4.Electivos'!AC51,FIND(":",'4.Electivos'!AC51)+1,FIND(":",'4.Electivos'!AC51,FIND(":",'4.Electivos'!AC51)+1)-FIND(":",'4.Electivos'!AC51)-1),"")</f>
        <v/>
      </c>
      <c r="AL43" t="str">
        <f t="shared" si="0"/>
        <v xml:space="preserve"> Desarrollo de gestión educativa</v>
      </c>
    </row>
    <row r="44" spans="1:38" ht="15.75">
      <c r="A44" t="str">
        <f>IF(AND(SUM('3.Plan de Estudios'!L28:O28)&gt;0,SUM('3.Plan de Estudios'!J28,'3.Plan de Estudios'!K28)&gt;0),"Teórico-Práctico",IF(SUM('3.Plan de Estudios'!J28,'3.Plan de Estudios'!K28)&gt;0,"Teórico","Práctico"))</f>
        <v>Práctico</v>
      </c>
      <c r="B44" t="str">
        <f>IF(AND(SUM('4.Electivos'!L18:O18)&gt;0,SUM('4.Electivos'!J18,'4.Electivos'!K18)&gt;0),"Teórico-Práctico",IF(SUM('4.Electivos'!J18,'4.Electivos'!K18)&gt;0,"Teórico","Práctico"))</f>
        <v>Práctico</v>
      </c>
      <c r="G44" t="s">
        <v>685</v>
      </c>
      <c r="I44" s="200" t="s">
        <v>2</v>
      </c>
      <c r="J44" s="200" t="s">
        <v>534</v>
      </c>
      <c r="K44" s="200" t="str">
        <f t="shared" si="1"/>
        <v>ADMINISTRACIÓN Y EMPRENDIMIENTO_SEMIPRESENCIAL</v>
      </c>
      <c r="L44" s="200" t="s">
        <v>686</v>
      </c>
      <c r="M44" s="200" t="s">
        <v>681</v>
      </c>
      <c r="N44" s="200" t="s">
        <v>682</v>
      </c>
      <c r="O44" s="200" t="s">
        <v>498</v>
      </c>
      <c r="P44" s="200" t="s">
        <v>628</v>
      </c>
      <c r="Q44" s="421">
        <v>60</v>
      </c>
      <c r="S44" t="s">
        <v>687</v>
      </c>
      <c r="T44" t="s">
        <v>6</v>
      </c>
      <c r="U44" t="str">
        <f t="shared" si="2"/>
        <v>INGENIERÍA AMBIENTAL_PRESENCIAL</v>
      </c>
      <c r="V44" t="s">
        <v>688</v>
      </c>
      <c r="X44" s="202">
        <f>+'3.Plan de Estudios'!$E$27</f>
        <v>0</v>
      </c>
      <c r="Y44" s="202" t="str">
        <f>IF('3.Plan de Estudios'!AC27="","",'3.Plan de Estudios'!AC27)</f>
        <v/>
      </c>
      <c r="Z44" t="str">
        <f t="shared" si="9"/>
        <v>0-</v>
      </c>
      <c r="AA44" s="89" t="str">
        <f t="shared" si="3"/>
        <v/>
      </c>
      <c r="AB44" t="str">
        <f t="shared" si="4"/>
        <v/>
      </c>
      <c r="AC44" t="str">
        <f t="shared" si="10"/>
        <v/>
      </c>
      <c r="AD44" t="str">
        <f>CONCATENATE(AC188,AC189,AC190,AC191,AC192)</f>
        <v/>
      </c>
      <c r="AF44" t="str">
        <f>IFERROR(MID('4.Electivos'!Y52,FIND(":",'4.Electivos'!Y52)+1,FIND(":",'4.Electivos'!Y52,FIND(":",'4.Electivos'!Y52)+1)-FIND(":",'4.Electivos'!Y52)-1),"")</f>
        <v xml:space="preserve"> Desarrollo de gestión educativa</v>
      </c>
      <c r="AG44" t="str">
        <f>IFERROR(MID('4.Electivos'!Z52,FIND(":",'4.Electivos'!Z52)+1,FIND(":",'4.Electivos'!Z52,FIND(":",'4.Electivos'!Z52)+1)-FIND(":",'4.Electivos'!Z52)-1),"")</f>
        <v/>
      </c>
      <c r="AH44" t="str">
        <f>IFERROR(MID('4.Electivos'!AA52,FIND(":",'4.Electivos'!AA52)+1,FIND(":",'4.Electivos'!AA52,FIND(":",'4.Electivos'!AA52)+1)-FIND(":",'4.Electivos'!AA52)-1),"")</f>
        <v/>
      </c>
      <c r="AI44" t="str">
        <f>IFERROR(MID('4.Electivos'!AB52,FIND(":",'4.Electivos'!AB52)+1,FIND(":",'4.Electivos'!AB52,FIND(":",'4.Electivos'!AB52)+1)-FIND(":",'4.Electivos'!AB52)-1),"")</f>
        <v/>
      </c>
      <c r="AJ44" t="str">
        <f>IFERROR(MID('4.Electivos'!AC52,FIND(":",'4.Electivos'!AC52)+1,FIND(":",'4.Electivos'!AC52,FIND(":",'4.Electivos'!AC52)+1)-FIND(":",'4.Electivos'!AC52)-1),"")</f>
        <v/>
      </c>
      <c r="AL44" t="str">
        <f t="shared" si="0"/>
        <v xml:space="preserve"> Desarrollo de gestión educativa</v>
      </c>
    </row>
    <row r="45" spans="1:38" ht="15.75">
      <c r="A45" t="str">
        <f>IF(AND(SUM('3.Plan de Estudios'!L30:O30)&gt;0,SUM('3.Plan de Estudios'!J30,'3.Plan de Estudios'!K30)&gt;0),"Teórico-Práctico",IF(SUM('3.Plan de Estudios'!J30,'3.Plan de Estudios'!K30)&gt;0,"Teórico","Práctico"))</f>
        <v>Teórico</v>
      </c>
      <c r="B45" t="str">
        <f>IF(AND(SUM('4.Electivos'!L19:O19)&gt;0,SUM('4.Electivos'!J19,'4.Electivos'!K19)&gt;0),"Teórico-Práctico",IF(SUM('4.Electivos'!J19,'4.Electivos'!K19)&gt;0,"Teórico","Práctico"))</f>
        <v>Práctico</v>
      </c>
      <c r="G45" t="s">
        <v>264</v>
      </c>
      <c r="I45" s="200" t="s">
        <v>2</v>
      </c>
      <c r="J45" s="200" t="s">
        <v>534</v>
      </c>
      <c r="K45" s="200" t="str">
        <f t="shared" si="1"/>
        <v>ADMINISTRACIÓN Y EMPRENDIMIENTO_A DISTANCIA</v>
      </c>
      <c r="L45" s="200" t="s">
        <v>689</v>
      </c>
      <c r="M45" s="200" t="s">
        <v>681</v>
      </c>
      <c r="N45" s="200" t="s">
        <v>682</v>
      </c>
      <c r="O45" s="200" t="s">
        <v>494</v>
      </c>
      <c r="P45" s="200" t="s">
        <v>628</v>
      </c>
      <c r="Q45" s="421">
        <v>60</v>
      </c>
      <c r="S45" t="s">
        <v>546</v>
      </c>
      <c r="T45" t="s">
        <v>6</v>
      </c>
      <c r="U45" t="str">
        <f t="shared" si="2"/>
        <v>INGENIERÍA CIVIL_PRESENCIAL</v>
      </c>
      <c r="V45" t="s">
        <v>690</v>
      </c>
      <c r="X45" s="202">
        <f>+'3.Plan de Estudios'!$E$27</f>
        <v>0</v>
      </c>
      <c r="Y45" s="202" t="str">
        <f>IF('3.Plan de Estudios'!AE27="","",'3.Plan de Estudios'!AE27)</f>
        <v/>
      </c>
      <c r="Z45" t="str">
        <f t="shared" si="9"/>
        <v>0-</v>
      </c>
      <c r="AA45" s="89" t="str">
        <f t="shared" si="3"/>
        <v/>
      </c>
      <c r="AB45" t="str">
        <f t="shared" si="4"/>
        <v/>
      </c>
      <c r="AC45" t="str">
        <f t="shared" si="10"/>
        <v/>
      </c>
      <c r="AD45" t="str">
        <f>CONCATENATE(AC193,AC194,AC195,AC196,AC197)</f>
        <v/>
      </c>
      <c r="AF45" t="str">
        <f>IFERROR(MID('4.Electivos'!Y53,FIND(":",'4.Electivos'!Y53)+1,FIND(":",'4.Electivos'!Y53,FIND(":",'4.Electivos'!Y53)+1)-FIND(":",'4.Electivos'!Y53)-1),"")</f>
        <v xml:space="preserve"> Desarrollo de gestión educativa</v>
      </c>
      <c r="AG45" t="str">
        <f>IFERROR(MID('4.Electivos'!Z53,FIND(":",'4.Electivos'!Z53)+1,FIND(":",'4.Electivos'!Z53,FIND(":",'4.Electivos'!Z53)+1)-FIND(":",'4.Electivos'!Z53)-1),"")</f>
        <v/>
      </c>
      <c r="AH45" t="str">
        <f>IFERROR(MID('4.Electivos'!AA53,FIND(":",'4.Electivos'!AA53)+1,FIND(":",'4.Electivos'!AA53,FIND(":",'4.Electivos'!AA53)+1)-FIND(":",'4.Electivos'!AA53)-1),"")</f>
        <v/>
      </c>
      <c r="AI45" t="str">
        <f>IFERROR(MID('4.Electivos'!AB53,FIND(":",'4.Electivos'!AB53)+1,FIND(":",'4.Electivos'!AB53,FIND(":",'4.Electivos'!AB53)+1)-FIND(":",'4.Electivos'!AB53)-1),"")</f>
        <v/>
      </c>
      <c r="AJ45" t="str">
        <f>IFERROR(MID('4.Electivos'!AC53,FIND(":",'4.Electivos'!AC53)+1,FIND(":",'4.Electivos'!AC53,FIND(":",'4.Electivos'!AC53)+1)-FIND(":",'4.Electivos'!AC53)-1),"")</f>
        <v/>
      </c>
      <c r="AL45" t="str">
        <f t="shared" si="0"/>
        <v xml:space="preserve"> Desarrollo de gestión educativa</v>
      </c>
    </row>
    <row r="46" spans="1:38" ht="15.75">
      <c r="A46" t="str">
        <f>IF(AND(SUM('3.Plan de Estudios'!L31:O31)&gt;0,SUM('3.Plan de Estudios'!J31,'3.Plan de Estudios'!K31)&gt;0),"Teórico-Práctico",IF(SUM('3.Plan de Estudios'!J31,'3.Plan de Estudios'!K31)&gt;0,"Teórico","Práctico"))</f>
        <v>Teórico-Práctico</v>
      </c>
      <c r="B46" t="str">
        <f>IF(AND(SUM('4.Electivos'!L20:O20)&gt;0,SUM('4.Electivos'!J20,'4.Electivos'!K20)&gt;0),"Teórico-Práctico",IF(SUM('4.Electivos'!J20,'4.Electivos'!K20)&gt;0,"Teórico","Práctico"))</f>
        <v>Práctico</v>
      </c>
      <c r="G46" t="s">
        <v>691</v>
      </c>
      <c r="I46" s="200" t="s">
        <v>2</v>
      </c>
      <c r="J46" s="200" t="s">
        <v>543</v>
      </c>
      <c r="K46" s="200" t="str">
        <f t="shared" si="1"/>
        <v>ADMINISTRACIÓN Y FINANZAS CORPORATIVAS_PRESENCIAL</v>
      </c>
      <c r="L46" s="200" t="s">
        <v>544</v>
      </c>
      <c r="M46" s="200" t="s">
        <v>692</v>
      </c>
      <c r="N46" s="200" t="s">
        <v>693</v>
      </c>
      <c r="O46" s="200" t="s">
        <v>6</v>
      </c>
      <c r="P46" s="200" t="s">
        <v>628</v>
      </c>
      <c r="Q46" s="421">
        <v>60</v>
      </c>
      <c r="S46" t="s">
        <v>694</v>
      </c>
      <c r="T46" t="s">
        <v>6</v>
      </c>
      <c r="U46" t="str">
        <f t="shared" si="2"/>
        <v>INGENIERÍA DE CONSTRUCCIÓN_PRESENCIAL</v>
      </c>
      <c r="V46" t="s">
        <v>695</v>
      </c>
      <c r="X46" s="202">
        <f>+'3.Plan de Estudios'!$E$27</f>
        <v>0</v>
      </c>
      <c r="Y46" s="202" t="str">
        <f>IF('3.Plan de Estudios'!AG27="","",'3.Plan de Estudios'!AG27)</f>
        <v/>
      </c>
      <c r="Z46" t="str">
        <f t="shared" si="9"/>
        <v>0-</v>
      </c>
      <c r="AA46" s="89" t="str">
        <f t="shared" si="3"/>
        <v/>
      </c>
      <c r="AB46" t="str">
        <f t="shared" si="4"/>
        <v/>
      </c>
      <c r="AC46" t="str">
        <f t="shared" si="10"/>
        <v/>
      </c>
      <c r="AD46" t="str">
        <f>CONCATENATE(AC198,AC199,AC200,AC201,AC202)</f>
        <v/>
      </c>
      <c r="AF46" t="str">
        <f>IFERROR(MID('4.Electivos'!Y54,FIND(":",'4.Electivos'!Y54)+1,FIND(":",'4.Electivos'!Y54,FIND(":",'4.Electivos'!Y54)+1)-FIND(":",'4.Electivos'!Y54)-1),"")</f>
        <v xml:space="preserve"> Investigación Educativa</v>
      </c>
      <c r="AG46" t="str">
        <f>IFERROR(MID('4.Electivos'!Z54,FIND(":",'4.Electivos'!Z54)+1,FIND(":",'4.Electivos'!Z54,FIND(":",'4.Electivos'!Z54)+1)-FIND(":",'4.Electivos'!Z54)-1),"")</f>
        <v/>
      </c>
      <c r="AH46" t="str">
        <f>IFERROR(MID('4.Electivos'!AA54,FIND(":",'4.Electivos'!AA54)+1,FIND(":",'4.Electivos'!AA54,FIND(":",'4.Electivos'!AA54)+1)-FIND(":",'4.Electivos'!AA54)-1),"")</f>
        <v/>
      </c>
      <c r="AI46" t="str">
        <f>IFERROR(MID('4.Electivos'!AB54,FIND(":",'4.Electivos'!AB54)+1,FIND(":",'4.Electivos'!AB54,FIND(":",'4.Electivos'!AB54)+1)-FIND(":",'4.Electivos'!AB54)-1),"")</f>
        <v/>
      </c>
      <c r="AJ46" t="str">
        <f>IFERROR(MID('4.Electivos'!AC54,FIND(":",'4.Electivos'!AC54)+1,FIND(":",'4.Electivos'!AC54,FIND(":",'4.Electivos'!AC54)+1)-FIND(":",'4.Electivos'!AC54)-1),"")</f>
        <v/>
      </c>
      <c r="AL46" t="str">
        <f t="shared" si="0"/>
        <v xml:space="preserve"> Investigación Educativa</v>
      </c>
    </row>
    <row r="47" spans="1:38" ht="15.75">
      <c r="A47" t="str">
        <f>IF(AND(SUM('3.Plan de Estudios'!L32:O32)&gt;0,SUM('3.Plan de Estudios'!J32,'3.Plan de Estudios'!K32)&gt;0),"Teórico-Práctico",IF(SUM('3.Plan de Estudios'!J32,'3.Plan de Estudios'!K32)&gt;0,"Teórico","Práctico"))</f>
        <v>Teórico</v>
      </c>
      <c r="B47" t="str">
        <f>IF(AND(SUM('4.Electivos'!L21:O21)&gt;0,SUM('4.Electivos'!J21,'4.Electivos'!K21)&gt;0),"Teórico-Práctico",IF(SUM('4.Electivos'!J21,'4.Electivos'!K21)&gt;0,"Teórico","Práctico"))</f>
        <v>Práctico</v>
      </c>
      <c r="G47" t="s">
        <v>696</v>
      </c>
      <c r="I47" s="200" t="s">
        <v>2</v>
      </c>
      <c r="J47" s="200" t="s">
        <v>543</v>
      </c>
      <c r="K47" s="200" t="str">
        <f t="shared" si="1"/>
        <v>ADMINISTRACIÓN Y FINANZAS CORPORATIVAS_SEMIPRESENCIAL</v>
      </c>
      <c r="L47" s="200" t="s">
        <v>697</v>
      </c>
      <c r="M47" s="200" t="s">
        <v>692</v>
      </c>
      <c r="N47" s="200" t="s">
        <v>693</v>
      </c>
      <c r="O47" s="200" t="s">
        <v>498</v>
      </c>
      <c r="P47" s="200" t="s">
        <v>628</v>
      </c>
      <c r="Q47" s="421">
        <v>60</v>
      </c>
      <c r="S47" t="s">
        <v>698</v>
      </c>
      <c r="T47" t="s">
        <v>6</v>
      </c>
      <c r="U47" t="str">
        <f t="shared" si="2"/>
        <v>INGENIERÍA DE SISTEMAS DE INFORMACIÓN_PRESENCIAL</v>
      </c>
      <c r="V47" t="s">
        <v>699</v>
      </c>
      <c r="X47" s="202">
        <f>+'3.Plan de Estudios'!$E$27</f>
        <v>0</v>
      </c>
      <c r="Y47" s="202" t="str">
        <f>IF('3.Plan de Estudios'!AI27="","",'3.Plan de Estudios'!AI27)</f>
        <v/>
      </c>
      <c r="Z47" t="str">
        <f t="shared" si="9"/>
        <v>0-</v>
      </c>
      <c r="AA47" s="89" t="str">
        <f t="shared" si="3"/>
        <v/>
      </c>
      <c r="AB47" t="str">
        <f t="shared" si="4"/>
        <v/>
      </c>
      <c r="AC47" t="str">
        <f t="shared" si="10"/>
        <v/>
      </c>
      <c r="AD47" t="str">
        <f>CONCATENATE(AC203,AC204,AC205,AC206,AC207)</f>
        <v xml:space="preserve"> Comunicación Bilingüe</v>
      </c>
      <c r="AF47" t="str">
        <f>IFERROR(MID('4.Electivos'!Y55,FIND(":",'4.Electivos'!Y55)+1,FIND(":",'4.Electivos'!Y55,FIND(":",'4.Electivos'!Y55)+1)-FIND(":",'4.Electivos'!Y55)-1),"")</f>
        <v/>
      </c>
      <c r="AG47" t="str">
        <f>IFERROR(MID('4.Electivos'!Z55,FIND(":",'4.Electivos'!Z55)+1,FIND(":",'4.Electivos'!Z55,FIND(":",'4.Electivos'!Z55)+1)-FIND(":",'4.Electivos'!Z55)-1),"")</f>
        <v/>
      </c>
      <c r="AH47" t="str">
        <f>IFERROR(MID('4.Electivos'!AA55,FIND(":",'4.Electivos'!AA55)+1,FIND(":",'4.Electivos'!AA55,FIND(":",'4.Electivos'!AA55)+1)-FIND(":",'4.Electivos'!AA55)-1),"")</f>
        <v/>
      </c>
      <c r="AI47" t="str">
        <f>IFERROR(MID('4.Electivos'!AB55,FIND(":",'4.Electivos'!AB55)+1,FIND(":",'4.Electivos'!AB55,FIND(":",'4.Electivos'!AB55)+1)-FIND(":",'4.Electivos'!AB55)-1),"")</f>
        <v/>
      </c>
      <c r="AJ47" t="str">
        <f>IFERROR(MID('4.Electivos'!AC55,FIND(":",'4.Electivos'!AC55)+1,FIND(":",'4.Electivos'!AC55,FIND(":",'4.Electivos'!AC55)+1)-FIND(":",'4.Electivos'!AC55)-1),"")</f>
        <v/>
      </c>
      <c r="AL47" t="str">
        <f t="shared" si="0"/>
        <v/>
      </c>
    </row>
    <row r="48" spans="1:38" ht="15.75">
      <c r="A48" t="str">
        <f>IF(AND(SUM('3.Plan de Estudios'!L33:O33)&gt;0,SUM('3.Plan de Estudios'!J33,'3.Plan de Estudios'!K33)&gt;0),"Teórico-Práctico",IF(SUM('3.Plan de Estudios'!J33,'3.Plan de Estudios'!K33)&gt;0,"Teórico","Práctico"))</f>
        <v>Teórico</v>
      </c>
      <c r="B48" t="str">
        <f>IF(AND(SUM('4.Electivos'!L22:O22)&gt;0,SUM('4.Electivos'!J22,'4.Electivos'!K22)&gt;0),"Teórico-Práctico",IF(SUM('4.Electivos'!J22,'4.Electivos'!K22)&gt;0,"Teórico","Práctico"))</f>
        <v>Práctico</v>
      </c>
      <c r="G48" t="s">
        <v>700</v>
      </c>
      <c r="I48" s="200" t="s">
        <v>2</v>
      </c>
      <c r="J48" s="200" t="s">
        <v>543</v>
      </c>
      <c r="K48" s="200" t="str">
        <f t="shared" si="1"/>
        <v>ADMINISTRACIÓN Y FINANZAS CORPORATIVAS_A DISTANCIA</v>
      </c>
      <c r="L48" s="200" t="s">
        <v>701</v>
      </c>
      <c r="M48" s="200" t="s">
        <v>692</v>
      </c>
      <c r="N48" s="200" t="s">
        <v>693</v>
      </c>
      <c r="O48" s="200" t="s">
        <v>494</v>
      </c>
      <c r="P48" s="200" t="s">
        <v>628</v>
      </c>
      <c r="Q48" s="421">
        <v>60</v>
      </c>
      <c r="S48" t="s">
        <v>702</v>
      </c>
      <c r="T48" t="s">
        <v>6</v>
      </c>
      <c r="U48" t="str">
        <f t="shared" si="2"/>
        <v>INGENIERÍA DE SOFTWARE_PRESENCIAL</v>
      </c>
      <c r="V48" t="s">
        <v>703</v>
      </c>
      <c r="X48" s="192">
        <f>+'3.Plan de Estudios'!E28</f>
        <v>0</v>
      </c>
      <c r="Y48" s="65" t="str">
        <f>IF('3.Plan de Estudios'!AA28="","",'3.Plan de Estudios'!AA28)</f>
        <v/>
      </c>
      <c r="Z48" t="str">
        <f t="shared" si="9"/>
        <v>0-</v>
      </c>
      <c r="AA48" s="89" t="str">
        <f t="shared" si="3"/>
        <v/>
      </c>
      <c r="AB48" t="str">
        <f t="shared" si="4"/>
        <v/>
      </c>
      <c r="AC48" t="str">
        <f>AB48</f>
        <v/>
      </c>
      <c r="AD48" t="str">
        <f>CONCATENATE(AC208,AC209,AC210,AC211,AC212)</f>
        <v xml:space="preserve"> Desarrollo enseñanza y aprendizaje</v>
      </c>
      <c r="AF48" t="str">
        <f>IFERROR(MID('4.Electivos'!Y56,FIND(":",'4.Electivos'!Y56)+1,FIND(":",'4.Electivos'!Y56,FIND(":",'4.Electivos'!Y56)+1)-FIND(":",'4.Electivos'!Y56)-1),"")</f>
        <v/>
      </c>
      <c r="AG48" t="str">
        <f>IFERROR(MID('4.Electivos'!Z56,FIND(":",'4.Electivos'!Z56)+1,FIND(":",'4.Electivos'!Z56,FIND(":",'4.Electivos'!Z56)+1)-FIND(":",'4.Electivos'!Z56)-1),"")</f>
        <v/>
      </c>
      <c r="AH48" t="str">
        <f>IFERROR(MID('4.Electivos'!AA56,FIND(":",'4.Electivos'!AA56)+1,FIND(":",'4.Electivos'!AA56,FIND(":",'4.Electivos'!AA56)+1)-FIND(":",'4.Electivos'!AA56)-1),"")</f>
        <v/>
      </c>
      <c r="AI48" t="str">
        <f>IFERROR(MID('4.Electivos'!AB56,FIND(":",'4.Electivos'!AB56)+1,FIND(":",'4.Electivos'!AB56,FIND(":",'4.Electivos'!AB56)+1)-FIND(":",'4.Electivos'!AB56)-1),"")</f>
        <v/>
      </c>
      <c r="AJ48" t="str">
        <f>IFERROR(MID('4.Electivos'!AC56,FIND(":",'4.Electivos'!AC56)+1,FIND(":",'4.Electivos'!AC56,FIND(":",'4.Electivos'!AC56)+1)-FIND(":",'4.Electivos'!AC56)-1),"")</f>
        <v/>
      </c>
      <c r="AL48" t="str">
        <f t="shared" si="0"/>
        <v/>
      </c>
    </row>
    <row r="49" spans="1:38" ht="15.75">
      <c r="A49" t="str">
        <f>IF(AND(SUM('3.Plan de Estudios'!L34:O34)&gt;0,SUM('3.Plan de Estudios'!J34,'3.Plan de Estudios'!K34)&gt;0),"Teórico-Práctico",IF(SUM('3.Plan de Estudios'!J34,'3.Plan de Estudios'!K34)&gt;0,"Teórico","Práctico"))</f>
        <v>Teórico</v>
      </c>
      <c r="B49" t="str">
        <f>IF(AND(SUM('4.Electivos'!L23:O23)&gt;0,SUM('4.Electivos'!J23,'4.Electivos'!K23)&gt;0),"Teórico-Práctico",IF(SUM('4.Electivos'!J23,'4.Electivos'!K23)&gt;0,"Teórico","Práctico"))</f>
        <v>Práctico</v>
      </c>
      <c r="G49" t="s">
        <v>704</v>
      </c>
      <c r="I49" s="200" t="s">
        <v>2</v>
      </c>
      <c r="J49" s="200" t="s">
        <v>550</v>
      </c>
      <c r="K49" s="200" t="str">
        <f t="shared" si="1"/>
        <v>ADMINISTRACIÓN Y GESTIÓN AMBIENTAL_PRESENCIAL</v>
      </c>
      <c r="L49" s="200" t="s">
        <v>551</v>
      </c>
      <c r="M49" s="200" t="s">
        <v>705</v>
      </c>
      <c r="N49" s="200" t="s">
        <v>706</v>
      </c>
      <c r="O49" s="200" t="s">
        <v>6</v>
      </c>
      <c r="P49" s="200" t="s">
        <v>628</v>
      </c>
      <c r="Q49" s="421">
        <v>60</v>
      </c>
      <c r="S49" t="s">
        <v>707</v>
      </c>
      <c r="T49" t="s">
        <v>6</v>
      </c>
      <c r="U49" t="str">
        <f t="shared" si="2"/>
        <v>INGENIERÍA DEL AGUA_PRESENCIAL</v>
      </c>
      <c r="V49" t="s">
        <v>708</v>
      </c>
      <c r="X49" s="192">
        <f>+'3.Plan de Estudios'!E28</f>
        <v>0</v>
      </c>
      <c r="Y49" s="65" t="str">
        <f>IF('3.Plan de Estudios'!AC28="","",'3.Plan de Estudios'!AC28)</f>
        <v/>
      </c>
      <c r="Z49" t="str">
        <f t="shared" si="9"/>
        <v>0-</v>
      </c>
      <c r="AA49" s="89" t="str">
        <f t="shared" si="3"/>
        <v/>
      </c>
      <c r="AB49" t="str">
        <f t="shared" si="4"/>
        <v/>
      </c>
      <c r="AC49" t="str">
        <f t="shared" si="10"/>
        <v/>
      </c>
      <c r="AD49" t="str">
        <f>CONCATENATE(AC213,AC214,AC215,AC216,AC217)</f>
        <v xml:space="preserve"> Desarrollo Humano</v>
      </c>
      <c r="AF49" t="str">
        <f>IFERROR(MID('4.Electivos'!Y57,FIND(":",'4.Electivos'!Y57)+1,FIND(":",'4.Electivos'!Y57,FIND(":",'4.Electivos'!Y57)+1)-FIND(":",'4.Electivos'!Y57)-1),"")</f>
        <v/>
      </c>
      <c r="AG49" t="str">
        <f>IFERROR(MID('4.Electivos'!Z57,FIND(":",'4.Electivos'!Z57)+1,FIND(":",'4.Electivos'!Z57,FIND(":",'4.Electivos'!Z57)+1)-FIND(":",'4.Electivos'!Z57)-1),"")</f>
        <v/>
      </c>
      <c r="AH49" t="str">
        <f>IFERROR(MID('4.Electivos'!AA57,FIND(":",'4.Electivos'!AA57)+1,FIND(":",'4.Electivos'!AA57,FIND(":",'4.Electivos'!AA57)+1)-FIND(":",'4.Electivos'!AA57)-1),"")</f>
        <v/>
      </c>
      <c r="AI49" t="str">
        <f>IFERROR(MID('4.Electivos'!AB57,FIND(":",'4.Electivos'!AB57)+1,FIND(":",'4.Electivos'!AB57,FIND(":",'4.Electivos'!AB57)+1)-FIND(":",'4.Electivos'!AB57)-1),"")</f>
        <v/>
      </c>
      <c r="AJ49" t="str">
        <f>IFERROR(MID('4.Electivos'!AC57,FIND(":",'4.Electivos'!AC57)+1,FIND(":",'4.Electivos'!AC57,FIND(":",'4.Electivos'!AC57)+1)-FIND(":",'4.Electivos'!AC57)-1),"")</f>
        <v/>
      </c>
      <c r="AL49" t="str">
        <f t="shared" si="0"/>
        <v/>
      </c>
    </row>
    <row r="50" spans="1:38" ht="15.75">
      <c r="A50" t="str">
        <f>IF(AND(SUM('3.Plan de Estudios'!L35:O35)&gt;0,SUM('3.Plan de Estudios'!J35,'3.Plan de Estudios'!K35)&gt;0),"Teórico-Práctico",IF(SUM('3.Plan de Estudios'!J35,'3.Plan de Estudios'!K35)&gt;0,"Teórico","Práctico"))</f>
        <v>Teórico</v>
      </c>
      <c r="B50" t="str">
        <f>IF(AND(SUM('4.Electivos'!L24:O24)&gt;0,SUM('4.Electivos'!J24,'4.Electivos'!K24)&gt;0),"Teórico-Práctico",IF(SUM('4.Electivos'!J24,'4.Electivos'!K24)&gt;0,"Teórico","Práctico"))</f>
        <v>Práctico</v>
      </c>
      <c r="G50" t="s">
        <v>709</v>
      </c>
      <c r="I50" s="200" t="s">
        <v>2</v>
      </c>
      <c r="J50" s="200" t="s">
        <v>553</v>
      </c>
      <c r="K50" s="200" t="str">
        <f t="shared" si="1"/>
        <v>ARQUITECTURA, URBANISMO Y TERRITORIO_PRESENCIAL</v>
      </c>
      <c r="L50" s="200" t="s">
        <v>554</v>
      </c>
      <c r="M50" s="200" t="s">
        <v>710</v>
      </c>
      <c r="N50" s="200" t="s">
        <v>711</v>
      </c>
      <c r="O50" s="200" t="s">
        <v>6</v>
      </c>
      <c r="P50" s="200" t="s">
        <v>628</v>
      </c>
      <c r="Q50" s="421">
        <v>60</v>
      </c>
      <c r="S50" t="s">
        <v>712</v>
      </c>
      <c r="T50" t="s">
        <v>6</v>
      </c>
      <c r="U50" t="str">
        <f t="shared" si="2"/>
        <v>INGENIERÍA EMPRESARIAL_PRESENCIAL</v>
      </c>
      <c r="V50" t="s">
        <v>713</v>
      </c>
      <c r="X50" s="192">
        <f>+'3.Plan de Estudios'!E28</f>
        <v>0</v>
      </c>
      <c r="Y50" s="65" t="str">
        <f>IF('3.Plan de Estudios'!AE28="","",'3.Plan de Estudios'!AE28)</f>
        <v/>
      </c>
      <c r="Z50" t="str">
        <f t="shared" si="9"/>
        <v>0-</v>
      </c>
      <c r="AA50" s="89" t="str">
        <f t="shared" si="3"/>
        <v/>
      </c>
      <c r="AB50" t="str">
        <f t="shared" si="4"/>
        <v/>
      </c>
      <c r="AC50" t="str">
        <f t="shared" si="10"/>
        <v/>
      </c>
      <c r="AD50" t="str">
        <f>CONCATENATE(AC218,AC219,AC220,AC221,AC222)</f>
        <v xml:space="preserve"> Comprensión y expresión del idioma inglés</v>
      </c>
      <c r="AF50" t="str">
        <f>IFERROR(MID('4.Electivos'!Y58,FIND(":",'4.Electivos'!Y58)+1,FIND(":",'4.Electivos'!Y58,FIND(":",'4.Electivos'!Y58)+1)-FIND(":",'4.Electivos'!Y58)-1),"")</f>
        <v/>
      </c>
      <c r="AG50" t="str">
        <f>IFERROR(MID('4.Electivos'!Z58,FIND(":",'4.Electivos'!Z58)+1,FIND(":",'4.Electivos'!Z58,FIND(":",'4.Electivos'!Z58)+1)-FIND(":",'4.Electivos'!Z58)-1),"")</f>
        <v/>
      </c>
      <c r="AH50" t="str">
        <f>IFERROR(MID('4.Electivos'!AA58,FIND(":",'4.Electivos'!AA58)+1,FIND(":",'4.Electivos'!AA58,FIND(":",'4.Electivos'!AA58)+1)-FIND(":",'4.Electivos'!AA58)-1),"")</f>
        <v/>
      </c>
      <c r="AI50" t="str">
        <f>IFERROR(MID('4.Electivos'!AB58,FIND(":",'4.Electivos'!AB58)+1,FIND(":",'4.Electivos'!AB58,FIND(":",'4.Electivos'!AB58)+1)-FIND(":",'4.Electivos'!AB58)-1),"")</f>
        <v/>
      </c>
      <c r="AJ50" t="str">
        <f>IFERROR(MID('4.Electivos'!AC58,FIND(":",'4.Electivos'!AC58)+1,FIND(":",'4.Electivos'!AC58,FIND(":",'4.Electivos'!AC58)+1)-FIND(":",'4.Electivos'!AC58)-1),"")</f>
        <v/>
      </c>
      <c r="AL50" t="str">
        <f t="shared" si="0"/>
        <v/>
      </c>
    </row>
    <row r="51" spans="1:38" ht="15.75">
      <c r="A51" t="str">
        <f>IF(AND(SUM('3.Plan de Estudios'!L36:O36)&gt;0,SUM('3.Plan de Estudios'!J36,'3.Plan de Estudios'!K36)&gt;0),"Teórico-Práctico",IF(SUM('3.Plan de Estudios'!J36,'3.Plan de Estudios'!K36)&gt;0,"Teórico","Práctico"))</f>
        <v>Práctico</v>
      </c>
      <c r="B51" t="str">
        <f>IF(AND(SUM('4.Electivos'!L25:O25)&gt;0,SUM('4.Electivos'!J25,'4.Electivos'!K25)&gt;0),"Teórico-Práctico",IF(SUM('4.Electivos'!J25,'4.Electivos'!K25)&gt;0,"Teórico","Práctico"))</f>
        <v>Práctico</v>
      </c>
      <c r="G51" t="s">
        <v>714</v>
      </c>
      <c r="I51" s="200" t="s">
        <v>2</v>
      </c>
      <c r="J51" s="200" t="s">
        <v>553</v>
      </c>
      <c r="K51" s="200" t="str">
        <f t="shared" si="1"/>
        <v>ARQUITECTURA, URBANISMO Y TERRITORIO_SEMIPRESENCIAL</v>
      </c>
      <c r="L51" s="200" t="s">
        <v>715</v>
      </c>
      <c r="M51" s="200" t="s">
        <v>710</v>
      </c>
      <c r="N51" s="200" t="s">
        <v>711</v>
      </c>
      <c r="O51" s="200" t="s">
        <v>498</v>
      </c>
      <c r="P51" s="200" t="s">
        <v>628</v>
      </c>
      <c r="Q51" s="421">
        <v>60</v>
      </c>
      <c r="S51" t="s">
        <v>555</v>
      </c>
      <c r="T51" t="s">
        <v>6</v>
      </c>
      <c r="U51" t="str">
        <f t="shared" si="2"/>
        <v>INGENIERÍA EMPRESARIAL Y DE SISTEMAS_PRESENCIAL</v>
      </c>
      <c r="V51" t="s">
        <v>556</v>
      </c>
      <c r="X51" s="192">
        <f>+'3.Plan de Estudios'!E28</f>
        <v>0</v>
      </c>
      <c r="Y51" s="65" t="str">
        <f>IF('3.Plan de Estudios'!AG28="","",'3.Plan de Estudios'!AG28)</f>
        <v/>
      </c>
      <c r="Z51" t="str">
        <f t="shared" si="9"/>
        <v>0-</v>
      </c>
      <c r="AA51" s="89" t="str">
        <f t="shared" si="3"/>
        <v/>
      </c>
      <c r="AB51" t="str">
        <f t="shared" si="4"/>
        <v/>
      </c>
      <c r="AC51" t="str">
        <f t="shared" si="10"/>
        <v/>
      </c>
      <c r="AD51" t="str">
        <f>CONCATENATE(AC223,AC224,AC225,AC226,AC227)</f>
        <v xml:space="preserve"> Gestión de Recursos</v>
      </c>
      <c r="AF51" t="str">
        <f>IFERROR(MID('4.Electivos'!Y59,FIND(":",'4.Electivos'!Y59)+1,FIND(":",'4.Electivos'!Y59,FIND(":",'4.Electivos'!Y59)+1)-FIND(":",'4.Electivos'!Y59)-1),"")</f>
        <v xml:space="preserve"> Desarrollo enseñanza y aprendizaje</v>
      </c>
      <c r="AG51" t="str">
        <f>IFERROR(MID('4.Electivos'!Z59,FIND(":",'4.Electivos'!Z59)+1,FIND(":",'4.Electivos'!Z59,FIND(":",'4.Electivos'!Z59)+1)-FIND(":",'4.Electivos'!Z59)-1),"")</f>
        <v/>
      </c>
      <c r="AH51" t="str">
        <f>IFERROR(MID('4.Electivos'!AA59,FIND(":",'4.Electivos'!AA59)+1,FIND(":",'4.Electivos'!AA59,FIND(":",'4.Electivos'!AA59)+1)-FIND(":",'4.Electivos'!AA59)-1),"")</f>
        <v/>
      </c>
      <c r="AI51" t="str">
        <f>IFERROR(MID('4.Electivos'!AB59,FIND(":",'4.Electivos'!AB59)+1,FIND(":",'4.Electivos'!AB59,FIND(":",'4.Electivos'!AB59)+1)-FIND(":",'4.Electivos'!AB59)-1),"")</f>
        <v/>
      </c>
      <c r="AJ51" t="str">
        <f>IFERROR(MID('4.Electivos'!AC59,FIND(":",'4.Electivos'!AC59)+1,FIND(":",'4.Electivos'!AC59,FIND(":",'4.Electivos'!AC59)+1)-FIND(":",'4.Electivos'!AC59)-1),"")</f>
        <v/>
      </c>
      <c r="AL51" t="str">
        <f t="shared" si="0"/>
        <v xml:space="preserve"> Desarrollo enseñanza y aprendizaje</v>
      </c>
    </row>
    <row r="52" spans="1:38" ht="15.75">
      <c r="A52" t="str">
        <f>IF(AND(SUM('3.Plan de Estudios'!L37:O37)&gt;0,SUM('3.Plan de Estudios'!J37,'3.Plan de Estudios'!K37)&gt;0),"Teórico-Práctico",IF(SUM('3.Plan de Estudios'!J37,'3.Plan de Estudios'!K37)&gt;0,"Teórico","Práctico"))</f>
        <v>Práctico</v>
      </c>
      <c r="B52" t="str">
        <f>IF(AND(SUM('4.Electivos'!L26:O26)&gt;0,SUM('4.Electivos'!J26,'4.Electivos'!K26)&gt;0),"Teórico-Práctico",IF(SUM('4.Electivos'!J26,'4.Electivos'!K26)&gt;0,"Teórico","Práctico"))</f>
        <v>Práctico</v>
      </c>
      <c r="I52" s="200" t="s">
        <v>2</v>
      </c>
      <c r="J52" s="200" t="s">
        <v>553</v>
      </c>
      <c r="K52" s="200" t="str">
        <f t="shared" si="1"/>
        <v>ARQUITECTURA, URBANISMO Y TERRITORIO_A DISTANCIA</v>
      </c>
      <c r="L52" s="200" t="s">
        <v>716</v>
      </c>
      <c r="M52" s="200" t="s">
        <v>710</v>
      </c>
      <c r="N52" s="200" t="s">
        <v>711</v>
      </c>
      <c r="O52" s="200" t="s">
        <v>494</v>
      </c>
      <c r="P52" s="200" t="s">
        <v>628</v>
      </c>
      <c r="Q52" s="421">
        <v>60</v>
      </c>
      <c r="S52" t="s">
        <v>717</v>
      </c>
      <c r="T52" t="s">
        <v>6</v>
      </c>
      <c r="U52" t="str">
        <f t="shared" si="2"/>
        <v>INGENIERÍA EN INDUSTRIAS ALIMENTARIAS_PRESENCIAL</v>
      </c>
      <c r="V52" t="s">
        <v>718</v>
      </c>
      <c r="X52" s="193">
        <f>+'3.Plan de Estudios'!E28</f>
        <v>0</v>
      </c>
      <c r="Y52" s="184" t="str">
        <f>IF('3.Plan de Estudios'!AI28="","",'3.Plan de Estudios'!AI28)</f>
        <v/>
      </c>
      <c r="Z52" t="str">
        <f t="shared" si="9"/>
        <v>0-</v>
      </c>
      <c r="AA52" s="89" t="str">
        <f t="shared" si="3"/>
        <v/>
      </c>
      <c r="AB52" t="str">
        <f t="shared" si="4"/>
        <v/>
      </c>
      <c r="AC52" t="str">
        <f t="shared" si="10"/>
        <v/>
      </c>
      <c r="AD52" t="str">
        <f>CONCATENATE(AC228,AC229,AC230,AC231,AC232)</f>
        <v xml:space="preserve"> Orientación educativa, Desarrollo Humano</v>
      </c>
      <c r="AF52" t="str">
        <f>IFERROR(MID('4.Electivos'!Y60,FIND(":",'4.Electivos'!Y60)+1,FIND(":",'4.Electivos'!Y60,FIND(":",'4.Electivos'!Y60)+1)-FIND(":",'4.Electivos'!Y60)-1),"")</f>
        <v xml:space="preserve"> Orientación educativa</v>
      </c>
      <c r="AG52" t="str">
        <f>IFERROR(MID('4.Electivos'!Z60,FIND(":",'4.Electivos'!Z60)+1,FIND(":",'4.Electivos'!Z60,FIND(":",'4.Electivos'!Z60)+1)-FIND(":",'4.Electivos'!Z60)-1),"")</f>
        <v/>
      </c>
      <c r="AH52" t="str">
        <f>IFERROR(MID('4.Electivos'!AA60,FIND(":",'4.Electivos'!AA60)+1,FIND(":",'4.Electivos'!AA60,FIND(":",'4.Electivos'!AA60)+1)-FIND(":",'4.Electivos'!AA60)-1),"")</f>
        <v/>
      </c>
      <c r="AI52" t="str">
        <f>IFERROR(MID('4.Electivos'!AB60,FIND(":",'4.Electivos'!AB60)+1,FIND(":",'4.Electivos'!AB60,FIND(":",'4.Electivos'!AB60)+1)-FIND(":",'4.Electivos'!AB60)-1),"")</f>
        <v/>
      </c>
      <c r="AJ52" t="str">
        <f>IFERROR(MID('4.Electivos'!AC60,FIND(":",'4.Electivos'!AC60)+1,FIND(":",'4.Electivos'!AC60,FIND(":",'4.Electivos'!AC60)+1)-FIND(":",'4.Electivos'!AC60)-1),"")</f>
        <v/>
      </c>
      <c r="AL52" t="str">
        <f t="shared" si="0"/>
        <v xml:space="preserve"> Orientación educativa</v>
      </c>
    </row>
    <row r="53" spans="1:38" ht="15.75">
      <c r="A53" t="str">
        <f>IF(AND(SUM('3.Plan de Estudios'!L38:O38)&gt;0,SUM('3.Plan de Estudios'!J38,'3.Plan de Estudios'!K38)&gt;0),"Teórico-Práctico",IF(SUM('3.Plan de Estudios'!J38,'3.Plan de Estudios'!K38)&gt;0,"Teórico","Práctico"))</f>
        <v>Práctico</v>
      </c>
      <c r="B53" t="str">
        <f>IF(AND(SUM('4.Electivos'!L27:O27)&gt;0,SUM('4.Electivos'!J27,'4.Electivos'!K27)&gt;0),"Teórico-Práctico",IF(SUM('4.Electivos'!J27,'4.Electivos'!K27)&gt;0,"Teórico","Práctico"))</f>
        <v>Práctico</v>
      </c>
      <c r="I53" s="200" t="s">
        <v>2</v>
      </c>
      <c r="J53" s="200" t="s">
        <v>521</v>
      </c>
      <c r="K53" s="200" t="str">
        <f t="shared" si="1"/>
        <v>ARTE CULINARIO_PRESENCIAL</v>
      </c>
      <c r="L53" s="200" t="s">
        <v>559</v>
      </c>
      <c r="M53" s="200" t="s">
        <v>719</v>
      </c>
      <c r="N53" s="200" t="s">
        <v>720</v>
      </c>
      <c r="O53" s="200" t="s">
        <v>6</v>
      </c>
      <c r="P53" s="200" t="s">
        <v>628</v>
      </c>
      <c r="Q53" s="421">
        <v>60</v>
      </c>
      <c r="S53" t="s">
        <v>565</v>
      </c>
      <c r="T53" t="s">
        <v>6</v>
      </c>
      <c r="U53" t="str">
        <f t="shared" si="2"/>
        <v>INGENIERÍA INDUSTRIAL_PRESENCIAL</v>
      </c>
      <c r="V53" t="s">
        <v>566</v>
      </c>
      <c r="X53" s="186" t="str">
        <f>+'3.Plan de Estudios'!E30</f>
        <v>CULTURA POLÍTICA Y REALIDAD DE LA EDUCACIÓN PERUANA</v>
      </c>
      <c r="Y53" t="str">
        <f>IF('3.Plan de Estudios'!AA30="","",'3.Plan de Estudios'!AA30)</f>
        <v>CP3: Desarrollo enseñanza y aprendizaje:N1 Promueve el desarrollo de la identidad del maestro para acrecentar el aprendizaje de los alumnos.</v>
      </c>
      <c r="Z53" t="str">
        <f t="shared" si="9"/>
        <v>CULTURA POLÍTICA Y REALIDAD DE LA EDUCACIÓN PERUANA-CP3: Desarrollo enseñanza y aprendizaje:N1 Promueve el desarrollo de la identidad del maestro para a</v>
      </c>
      <c r="AA53" s="89" t="str">
        <f t="shared" si="3"/>
        <v>a</v>
      </c>
      <c r="AB53" t="str">
        <f t="shared" si="4"/>
        <v xml:space="preserve"> Desarrollo enseñanza y aprendizaje</v>
      </c>
      <c r="AC53" t="str">
        <f>AB53</f>
        <v xml:space="preserve"> Desarrollo enseñanza y aprendizaje</v>
      </c>
      <c r="AD53" t="str">
        <f>CONCATENATE(AC233,AC234,AC235,AC236,AC237)</f>
        <v/>
      </c>
      <c r="AF53" t="str">
        <f>IFERROR(MID('4.Electivos'!Y61,FIND(":",'4.Electivos'!Y61)+1,FIND(":",'4.Electivos'!Y61,FIND(":",'4.Electivos'!Y61)+1)-FIND(":",'4.Electivos'!Y61)-1),"")</f>
        <v xml:space="preserve"> Desarrollo enseñanza y aprendizaje</v>
      </c>
      <c r="AG53" t="str">
        <f>IFERROR(MID('4.Electivos'!Z61,FIND(":",'4.Electivos'!Z61)+1,FIND(":",'4.Electivos'!Z61,FIND(":",'4.Electivos'!Z61)+1)-FIND(":",'4.Electivos'!Z61)-1),"")</f>
        <v/>
      </c>
      <c r="AH53" t="str">
        <f>IFERROR(MID('4.Electivos'!AA61,FIND(":",'4.Electivos'!AA61)+1,FIND(":",'4.Electivos'!AA61,FIND(":",'4.Electivos'!AA61)+1)-FIND(":",'4.Electivos'!AA61)-1),"")</f>
        <v/>
      </c>
      <c r="AI53" t="str">
        <f>IFERROR(MID('4.Electivos'!AB61,FIND(":",'4.Electivos'!AB61)+1,FIND(":",'4.Electivos'!AB61,FIND(":",'4.Electivos'!AB61)+1)-FIND(":",'4.Electivos'!AB61)-1),"")</f>
        <v/>
      </c>
      <c r="AJ53" t="str">
        <f>IFERROR(MID('4.Electivos'!AC61,FIND(":",'4.Electivos'!AC61)+1,FIND(":",'4.Electivos'!AC61,FIND(":",'4.Electivos'!AC61)+1)-FIND(":",'4.Electivos'!AC61)-1),"")</f>
        <v/>
      </c>
      <c r="AL53" t="str">
        <f t="shared" si="0"/>
        <v xml:space="preserve"> Desarrollo enseñanza y aprendizaje</v>
      </c>
    </row>
    <row r="54" spans="1:38" ht="15.75">
      <c r="A54" t="str">
        <f>IF(AND(SUM('3.Plan de Estudios'!L39:O39)&gt;0,SUM('3.Plan de Estudios'!J39,'3.Plan de Estudios'!K39)&gt;0),"Teórico-Práctico",IF(SUM('3.Plan de Estudios'!J39,'3.Plan de Estudios'!K39)&gt;0,"Teórico","Práctico"))</f>
        <v>Práctico</v>
      </c>
      <c r="B54" t="str">
        <f>IF(AND(SUM('4.Electivos'!L28:O28)&gt;0,SUM('4.Electivos'!J28,'4.Electivos'!K28)&gt;0),"Teórico-Práctico",IF(SUM('4.Electivos'!J28,'4.Electivos'!K28)&gt;0,"Teórico","Práctico"))</f>
        <v>Práctico</v>
      </c>
      <c r="I54" s="200" t="s">
        <v>2</v>
      </c>
      <c r="J54" s="200" t="s">
        <v>521</v>
      </c>
      <c r="K54" s="200" t="str">
        <f t="shared" si="1"/>
        <v>ARTE CULINARIO_SEMIPRESENCIAL</v>
      </c>
      <c r="L54" s="200" t="s">
        <v>721</v>
      </c>
      <c r="M54" s="200" t="s">
        <v>719</v>
      </c>
      <c r="N54" s="200" t="s">
        <v>720</v>
      </c>
      <c r="O54" s="200" t="s">
        <v>498</v>
      </c>
      <c r="P54" s="200" t="s">
        <v>628</v>
      </c>
      <c r="Q54" s="421">
        <v>60</v>
      </c>
      <c r="S54" t="s">
        <v>722</v>
      </c>
      <c r="T54" t="s">
        <v>6</v>
      </c>
      <c r="U54" t="str">
        <f t="shared" si="2"/>
        <v>INGENIERÍA INDUSTRIAL Y COMERCIAL_PRESENCIAL</v>
      </c>
      <c r="V54" t="s">
        <v>723</v>
      </c>
      <c r="X54" s="187" t="str">
        <f>+'3.Plan de Estudios'!E30</f>
        <v>CULTURA POLÍTICA Y REALIDAD DE LA EDUCACIÓN PERUANA</v>
      </c>
      <c r="Y54" t="str">
        <f>IF('3.Plan de Estudios'!AC30="","",'3.Plan de Estudios'!AC30)</f>
        <v/>
      </c>
      <c r="Z54" t="str">
        <f t="shared" si="9"/>
        <v>CULTURA POLÍTICA Y REALIDAD DE LA EDUCACIÓN PERUANA-</v>
      </c>
      <c r="AA54" s="89" t="str">
        <f t="shared" si="3"/>
        <v/>
      </c>
      <c r="AB54" t="str">
        <f t="shared" si="4"/>
        <v/>
      </c>
      <c r="AC54" t="str">
        <f t="shared" si="10"/>
        <v/>
      </c>
      <c r="AD54" t="str">
        <f>CONCATENATE(AC238,AC239,AC240,AC241,AC242)</f>
        <v/>
      </c>
      <c r="AF54" t="str">
        <f>IFERROR(MID('4.Electivos'!Y62,FIND(":",'4.Electivos'!Y62)+1,FIND(":",'4.Electivos'!Y62,FIND(":",'4.Electivos'!Y62)+1)-FIND(":",'4.Electivos'!Y62)-1),"")</f>
        <v xml:space="preserve"> Desarrollo de gestión educativa</v>
      </c>
      <c r="AG54" t="str">
        <f>IFERROR(MID('4.Electivos'!Z62,FIND(":",'4.Electivos'!Z62)+1,FIND(":",'4.Electivos'!Z62,FIND(":",'4.Electivos'!Z62)+1)-FIND(":",'4.Electivos'!Z62)-1),"")</f>
        <v/>
      </c>
      <c r="AH54" t="str">
        <f>IFERROR(MID('4.Electivos'!AA62,FIND(":",'4.Electivos'!AA62)+1,FIND(":",'4.Electivos'!AA62,FIND(":",'4.Electivos'!AA62)+1)-FIND(":",'4.Electivos'!AA62)-1),"")</f>
        <v/>
      </c>
      <c r="AI54" t="str">
        <f>IFERROR(MID('4.Electivos'!AB62,FIND(":",'4.Electivos'!AB62)+1,FIND(":",'4.Electivos'!AB62,FIND(":",'4.Electivos'!AB62)+1)-FIND(":",'4.Electivos'!AB62)-1),"")</f>
        <v/>
      </c>
      <c r="AJ54" t="str">
        <f>IFERROR(MID('4.Electivos'!AC62,FIND(":",'4.Electivos'!AC62)+1,FIND(":",'4.Electivos'!AC62,FIND(":",'4.Electivos'!AC62)+1)-FIND(":",'4.Electivos'!AC62)-1),"")</f>
        <v/>
      </c>
      <c r="AL54" t="str">
        <f t="shared" si="0"/>
        <v xml:space="preserve"> Desarrollo de gestión educativa</v>
      </c>
    </row>
    <row r="55" spans="1:38" ht="15.75">
      <c r="A55" t="str">
        <f>IF(AND(SUM('3.Plan de Estudios'!L41:O41)&gt;0,SUM('3.Plan de Estudios'!J41,'3.Plan de Estudios'!K41)&gt;0),"Teórico-Práctico",IF(SUM('3.Plan de Estudios'!J41,'3.Plan de Estudios'!K41)&gt;0,"Teórico","Práctico"))</f>
        <v>Teórico-Práctico</v>
      </c>
      <c r="B55" t="str">
        <f>IF(AND(SUM('4.Electivos'!L29:O29)&gt;0,SUM('4.Electivos'!J29,'4.Electivos'!K29)&gt;0),"Teórico-Práctico",IF(SUM('4.Electivos'!J29,'4.Electivos'!K29)&gt;0,"Teórico","Práctico"))</f>
        <v>Teórico</v>
      </c>
      <c r="I55" s="200" t="s">
        <v>2</v>
      </c>
      <c r="J55" s="200" t="s">
        <v>521</v>
      </c>
      <c r="K55" s="200" t="str">
        <f t="shared" si="1"/>
        <v>ARTE CULINARIO_A DISTANCIA</v>
      </c>
      <c r="L55" s="200" t="s">
        <v>724</v>
      </c>
      <c r="M55" s="200" t="s">
        <v>719</v>
      </c>
      <c r="N55" s="200" t="s">
        <v>720</v>
      </c>
      <c r="O55" s="200" t="s">
        <v>494</v>
      </c>
      <c r="P55" s="200" t="s">
        <v>628</v>
      </c>
      <c r="Q55" s="421">
        <v>60</v>
      </c>
      <c r="S55" t="s">
        <v>725</v>
      </c>
      <c r="T55" t="s">
        <v>6</v>
      </c>
      <c r="U55" t="str">
        <f t="shared" si="2"/>
        <v>INGENIERÍA LOGÍSTICA Y DE TRANSPORTE_PRESENCIAL</v>
      </c>
      <c r="V55" t="s">
        <v>726</v>
      </c>
      <c r="X55" s="187" t="str">
        <f>+'3.Plan de Estudios'!E30</f>
        <v>CULTURA POLÍTICA Y REALIDAD DE LA EDUCACIÓN PERUANA</v>
      </c>
      <c r="Y55" t="str">
        <f>IF('3.Plan de Estudios'!AE30="","",'3.Plan de Estudios'!AE30)</f>
        <v/>
      </c>
      <c r="Z55" t="str">
        <f t="shared" si="9"/>
        <v>CULTURA POLÍTICA Y REALIDAD DE LA EDUCACIÓN PERUANA-</v>
      </c>
      <c r="AA55" s="89" t="str">
        <f t="shared" si="3"/>
        <v/>
      </c>
      <c r="AB55" t="str">
        <f t="shared" si="4"/>
        <v/>
      </c>
      <c r="AC55" t="str">
        <f t="shared" si="10"/>
        <v/>
      </c>
      <c r="AD55" t="str">
        <f>CONCATENATE(AC243,AC244,AC245,AC246,AC247)</f>
        <v/>
      </c>
      <c r="AF55" t="str">
        <f>IFERROR(MID('4.Electivos'!Y63,FIND(":",'4.Electivos'!Y63)+1,FIND(":",'4.Electivos'!Y63,FIND(":",'4.Electivos'!Y63)+1)-FIND(":",'4.Electivos'!Y63)-1),"")</f>
        <v xml:space="preserve"> Desarrollo de gestión educativa</v>
      </c>
      <c r="AG55" t="str">
        <f>IFERROR(MID('4.Electivos'!Z63,FIND(":",'4.Electivos'!Z63)+1,FIND(":",'4.Electivos'!Z63,FIND(":",'4.Electivos'!Z63)+1)-FIND(":",'4.Electivos'!Z63)-1),"")</f>
        <v/>
      </c>
      <c r="AH55" t="str">
        <f>IFERROR(MID('4.Electivos'!AA63,FIND(":",'4.Electivos'!AA63)+1,FIND(":",'4.Electivos'!AA63,FIND(":",'4.Electivos'!AA63)+1)-FIND(":",'4.Electivos'!AA63)-1),"")</f>
        <v/>
      </c>
      <c r="AI55" t="str">
        <f>IFERROR(MID('4.Electivos'!AB63,FIND(":",'4.Electivos'!AB63)+1,FIND(":",'4.Electivos'!AB63,FIND(":",'4.Electivos'!AB63)+1)-FIND(":",'4.Electivos'!AB63)-1),"")</f>
        <v/>
      </c>
      <c r="AJ55" t="str">
        <f>IFERROR(MID('4.Electivos'!AC63,FIND(":",'4.Electivos'!AC63)+1,FIND(":",'4.Electivos'!AC63,FIND(":",'4.Electivos'!AC63)+1)-FIND(":",'4.Electivos'!AC63)-1),"")</f>
        <v/>
      </c>
      <c r="AL55" t="str">
        <f t="shared" si="0"/>
        <v xml:space="preserve"> Desarrollo de gestión educativa</v>
      </c>
    </row>
    <row r="56" spans="1:38" ht="15.75">
      <c r="A56" t="str">
        <f>IF(AND(SUM('3.Plan de Estudios'!L42:O42)&gt;0,SUM('3.Plan de Estudios'!J42,'3.Plan de Estudios'!K42)&gt;0),"Teórico-Práctico",IF(SUM('3.Plan de Estudios'!J42,'3.Plan de Estudios'!K42)&gt;0,"Teórico","Práctico"))</f>
        <v>Teórico-Práctico</v>
      </c>
      <c r="B56" t="str">
        <f>IF(AND(SUM('4.Electivos'!L30:O30)&gt;0,SUM('4.Electivos'!J30,'4.Electivos'!K30)&gt;0),"Teórico-Práctico",IF(SUM('4.Electivos'!J30,'4.Electivos'!K30)&gt;0,"Teórico","Práctico"))</f>
        <v>Teórico</v>
      </c>
      <c r="I56" s="200" t="s">
        <v>2</v>
      </c>
      <c r="J56" s="200" t="s">
        <v>562</v>
      </c>
      <c r="K56" s="200" t="str">
        <f t="shared" si="1"/>
        <v>ARTE Y DISEÑO EMPRESARIAL_PRESENCIAL</v>
      </c>
      <c r="L56" s="200" t="s">
        <v>563</v>
      </c>
      <c r="M56" s="200" t="s">
        <v>727</v>
      </c>
      <c r="N56" s="200" t="s">
        <v>728</v>
      </c>
      <c r="O56" s="200" t="s">
        <v>6</v>
      </c>
      <c r="P56" s="200" t="s">
        <v>628</v>
      </c>
      <c r="Q56" s="421">
        <v>60</v>
      </c>
      <c r="S56" t="s">
        <v>729</v>
      </c>
      <c r="T56" t="s">
        <v>6</v>
      </c>
      <c r="U56" t="str">
        <f t="shared" si="2"/>
        <v>INGENIERÍA MECÁNICA_PRESENCIAL</v>
      </c>
      <c r="V56" t="s">
        <v>730</v>
      </c>
      <c r="X56" s="187" t="str">
        <f>+'3.Plan de Estudios'!E30</f>
        <v>CULTURA POLÍTICA Y REALIDAD DE LA EDUCACIÓN PERUANA</v>
      </c>
      <c r="Y56" t="str">
        <f>IF('3.Plan de Estudios'!AG30="","",'3.Plan de Estudios'!AG30)</f>
        <v/>
      </c>
      <c r="Z56" t="str">
        <f t="shared" si="9"/>
        <v>CULTURA POLÍTICA Y REALIDAD DE LA EDUCACIÓN PERUANA-</v>
      </c>
      <c r="AA56" s="89" t="str">
        <f t="shared" si="3"/>
        <v/>
      </c>
      <c r="AB56" t="str">
        <f t="shared" si="4"/>
        <v/>
      </c>
      <c r="AC56" t="str">
        <f t="shared" si="10"/>
        <v/>
      </c>
      <c r="AD56" t="str">
        <f>CONCATENATE(AC248,AC249,AC250,AC251,AC252)</f>
        <v/>
      </c>
      <c r="AF56" t="str">
        <f>IFERROR(MID('4.Electivos'!Y64,FIND(":",'4.Electivos'!Y64)+1,FIND(":",'4.Electivos'!Y64,FIND(":",'4.Electivos'!Y64)+1)-FIND(":",'4.Electivos'!Y64)-1),"")</f>
        <v xml:space="preserve"> Investigación Educativa</v>
      </c>
      <c r="AG56" t="str">
        <f>IFERROR(MID('4.Electivos'!Z64,FIND(":",'4.Electivos'!Z64)+1,FIND(":",'4.Electivos'!Z64,FIND(":",'4.Electivos'!Z64)+1)-FIND(":",'4.Electivos'!Z64)-1),"")</f>
        <v/>
      </c>
      <c r="AH56" t="str">
        <f>IFERROR(MID('4.Electivos'!AA64,FIND(":",'4.Electivos'!AA64)+1,FIND(":",'4.Electivos'!AA64,FIND(":",'4.Electivos'!AA64)+1)-FIND(":",'4.Electivos'!AA64)-1),"")</f>
        <v/>
      </c>
      <c r="AI56" t="str">
        <f>IFERROR(MID('4.Electivos'!AB64,FIND(":",'4.Electivos'!AB64)+1,FIND(":",'4.Electivos'!AB64,FIND(":",'4.Electivos'!AB64)+1)-FIND(":",'4.Electivos'!AB64)-1),"")</f>
        <v/>
      </c>
      <c r="AJ56" t="str">
        <f>IFERROR(MID('4.Electivos'!AC64,FIND(":",'4.Electivos'!AC64)+1,FIND(":",'4.Electivos'!AC64,FIND(":",'4.Electivos'!AC64)+1)-FIND(":",'4.Electivos'!AC64)-1),"")</f>
        <v/>
      </c>
      <c r="AL56" t="str">
        <f t="shared" si="0"/>
        <v xml:space="preserve"> Investigación Educativa</v>
      </c>
    </row>
    <row r="57" spans="1:38" ht="15.75">
      <c r="A57" t="str">
        <f>IF(AND(SUM('3.Plan de Estudios'!L43:O43)&gt;0,SUM('3.Plan de Estudios'!J43,'3.Plan de Estudios'!K43)&gt;0),"Teórico-Práctico",IF(SUM('3.Plan de Estudios'!J43,'3.Plan de Estudios'!K43)&gt;0,"Teórico","Práctico"))</f>
        <v>Teórico-Práctico</v>
      </c>
      <c r="B57" t="str">
        <f>IF(AND(SUM('4.Electivos'!L31:O31)&gt;0,SUM('4.Electivos'!J31,'4.Electivos'!K31)&gt;0),"Teórico-Práctico",IF(SUM('4.Electivos'!J31,'4.Electivos'!K31)&gt;0,"Teórico","Práctico"))</f>
        <v>Teórico</v>
      </c>
      <c r="I57" s="200" t="s">
        <v>2</v>
      </c>
      <c r="J57" s="200" t="s">
        <v>562</v>
      </c>
      <c r="K57" s="200" t="str">
        <f t="shared" si="1"/>
        <v>ARTE Y DISEÑO EMPRESARIAL_SEMIPRESENCIAL</v>
      </c>
      <c r="L57" s="200" t="s">
        <v>731</v>
      </c>
      <c r="M57" s="200" t="s">
        <v>727</v>
      </c>
      <c r="N57" s="200" t="s">
        <v>728</v>
      </c>
      <c r="O57" s="200" t="s">
        <v>498</v>
      </c>
      <c r="P57" s="200" t="s">
        <v>628</v>
      </c>
      <c r="Q57" s="421">
        <v>60</v>
      </c>
      <c r="S57" t="s">
        <v>732</v>
      </c>
      <c r="T57" t="s">
        <v>6</v>
      </c>
      <c r="U57" t="str">
        <f t="shared" si="2"/>
        <v>INGENIERÍA MECATRÓNICA_PRESENCIAL</v>
      </c>
      <c r="V57" t="s">
        <v>733</v>
      </c>
      <c r="X57" s="187" t="str">
        <f>+'3.Plan de Estudios'!E30</f>
        <v>CULTURA POLÍTICA Y REALIDAD DE LA EDUCACIÓN PERUANA</v>
      </c>
      <c r="Y57" t="str">
        <f>IF('3.Plan de Estudios'!AI30="","",'3.Plan de Estudios'!AI30)</f>
        <v/>
      </c>
      <c r="Z57" t="str">
        <f t="shared" si="9"/>
        <v>CULTURA POLÍTICA Y REALIDAD DE LA EDUCACIÓN PERUANA-</v>
      </c>
      <c r="AA57" s="89" t="str">
        <f t="shared" si="3"/>
        <v/>
      </c>
      <c r="AB57" t="str">
        <f t="shared" si="4"/>
        <v/>
      </c>
      <c r="AC57" t="str">
        <f t="shared" si="10"/>
        <v/>
      </c>
      <c r="AD57" t="str">
        <f>CONCATENATE(AC253,AC254,AC255,AC256,AC257)</f>
        <v xml:space="preserve"> Comprensión y expresión del idioma inglés</v>
      </c>
      <c r="AF57" t="str">
        <f>IFERROR(MID('4.Electivos'!Y65,FIND(":",'4.Electivos'!Y65)+1,FIND(":",'4.Electivos'!Y65,FIND(":",'4.Electivos'!Y65)+1)-FIND(":",'4.Electivos'!Y65)-1),"")</f>
        <v/>
      </c>
      <c r="AG57" t="str">
        <f>IFERROR(MID('4.Electivos'!Z65,FIND(":",'4.Electivos'!Z65)+1,FIND(":",'4.Electivos'!Z65,FIND(":",'4.Electivos'!Z65)+1)-FIND(":",'4.Electivos'!Z65)-1),"")</f>
        <v/>
      </c>
      <c r="AH57" t="str">
        <f>IFERROR(MID('4.Electivos'!AA65,FIND(":",'4.Electivos'!AA65)+1,FIND(":",'4.Electivos'!AA65,FIND(":",'4.Electivos'!AA65)+1)-FIND(":",'4.Electivos'!AA65)-1),"")</f>
        <v/>
      </c>
      <c r="AI57" t="str">
        <f>IFERROR(MID('4.Electivos'!AB65,FIND(":",'4.Electivos'!AB65)+1,FIND(":",'4.Electivos'!AB65,FIND(":",'4.Electivos'!AB65)+1)-FIND(":",'4.Electivos'!AB65)-1),"")</f>
        <v/>
      </c>
      <c r="AJ57" t="str">
        <f>IFERROR(MID('4.Electivos'!AC65,FIND(":",'4.Electivos'!AC65)+1,FIND(":",'4.Electivos'!AC65,FIND(":",'4.Electivos'!AC65)+1)-FIND(":",'4.Electivos'!AC65)-1),"")</f>
        <v/>
      </c>
      <c r="AL57" t="str">
        <f t="shared" si="0"/>
        <v/>
      </c>
    </row>
    <row r="58" spans="1:38" ht="15.75">
      <c r="A58" t="str">
        <f>IF(AND(SUM('3.Plan de Estudios'!L44:O44)&gt;0,SUM('3.Plan de Estudios'!J44,'3.Plan de Estudios'!K44)&gt;0),"Teórico-Práctico",IF(SUM('3.Plan de Estudios'!J44,'3.Plan de Estudios'!K44)&gt;0,"Teórico","Práctico"))</f>
        <v>Teórico-Práctico</v>
      </c>
      <c r="B58" t="str">
        <f>IF(AND(SUM('4.Electivos'!L32:O32)&gt;0,SUM('4.Electivos'!J32,'4.Electivos'!K32)&gt;0),"Teórico-Práctico",IF(SUM('4.Electivos'!J32,'4.Electivos'!K32)&gt;0,"Teórico","Práctico"))</f>
        <v>Teórico</v>
      </c>
      <c r="I58" s="200" t="s">
        <v>2</v>
      </c>
      <c r="J58" s="200" t="s">
        <v>562</v>
      </c>
      <c r="K58" s="200" t="str">
        <f t="shared" si="1"/>
        <v>ARTE Y DISEÑO EMPRESARIAL_A DISTANCIA</v>
      </c>
      <c r="L58" s="200" t="s">
        <v>734</v>
      </c>
      <c r="M58" s="200" t="s">
        <v>727</v>
      </c>
      <c r="N58" s="200" t="s">
        <v>728</v>
      </c>
      <c r="O58" s="200" t="s">
        <v>494</v>
      </c>
      <c r="P58" s="200" t="s">
        <v>628</v>
      </c>
      <c r="Q58" s="421">
        <v>60</v>
      </c>
      <c r="S58" t="s">
        <v>735</v>
      </c>
      <c r="T58" t="s">
        <v>6</v>
      </c>
      <c r="U58" t="str">
        <f t="shared" si="2"/>
        <v>INGENIERÍA QUÍMICA_PRESENCIAL</v>
      </c>
      <c r="V58" t="s">
        <v>736</v>
      </c>
      <c r="X58" t="str">
        <f>+'3.Plan de Estudios'!E31</f>
        <v>ENGLISH II</v>
      </c>
      <c r="Y58" t="str">
        <f>IF('3.Plan de Estudios'!AA31="","",'3.Plan de Estudios'!AA31)</f>
        <v>CG2: Comunicación Bilingüe:N1 Aplica las competencias correspondientes al nivel A2 según los estándares del Marco de Referencia de la Comunidad Europea (CEFR).</v>
      </c>
      <c r="Z58" t="str">
        <f t="shared" si="9"/>
        <v>ENGLISH II-CG2: Comunicación Bilingüe:N1 Aplica las competencias correspondientes al nivel A2 según los estánda</v>
      </c>
      <c r="AA58" s="89" t="str">
        <f t="shared" si="3"/>
        <v>a</v>
      </c>
      <c r="AB58" t="str">
        <f t="shared" si="4"/>
        <v xml:space="preserve"> Comunicación Bilingüe</v>
      </c>
      <c r="AC58" t="str">
        <f>AB58</f>
        <v xml:space="preserve"> Comunicación Bilingüe</v>
      </c>
      <c r="AD58" t="str">
        <f>CONCATENATE(AC258,AC259,AC260,AC261,AC262)</f>
        <v xml:space="preserve"> Comunicación Bilingüe</v>
      </c>
      <c r="AF58" t="str">
        <f>IFERROR(MID('4.Electivos'!Y66,FIND(":",'4.Electivos'!Y66)+1,FIND(":",'4.Electivos'!Y66,FIND(":",'4.Electivos'!Y66)+1)-FIND(":",'4.Electivos'!Y66)-1),"")</f>
        <v/>
      </c>
      <c r="AG58" t="str">
        <f>IFERROR(MID('4.Electivos'!Z66,FIND(":",'4.Electivos'!Z66)+1,FIND(":",'4.Electivos'!Z66,FIND(":",'4.Electivos'!Z66)+1)-FIND(":",'4.Electivos'!Z66)-1),"")</f>
        <v/>
      </c>
      <c r="AH58" t="str">
        <f>IFERROR(MID('4.Electivos'!AA66,FIND(":",'4.Electivos'!AA66)+1,FIND(":",'4.Electivos'!AA66,FIND(":",'4.Electivos'!AA66)+1)-FIND(":",'4.Electivos'!AA66)-1),"")</f>
        <v/>
      </c>
      <c r="AI58" t="str">
        <f>IFERROR(MID('4.Electivos'!AB66,FIND(":",'4.Electivos'!AB66)+1,FIND(":",'4.Electivos'!AB66,FIND(":",'4.Electivos'!AB66)+1)-FIND(":",'4.Electivos'!AB66)-1),"")</f>
        <v/>
      </c>
      <c r="AJ58" t="str">
        <f>IFERROR(MID('4.Electivos'!AC66,FIND(":",'4.Electivos'!AC66)+1,FIND(":",'4.Electivos'!AC66,FIND(":",'4.Electivos'!AC66)+1)-FIND(":",'4.Electivos'!AC66)-1),"")</f>
        <v/>
      </c>
      <c r="AL58" t="str">
        <f t="shared" si="0"/>
        <v/>
      </c>
    </row>
    <row r="59" spans="1:38" ht="15.75">
      <c r="A59" t="str">
        <f>IF(AND(SUM('3.Plan de Estudios'!L45:O45)&gt;0,SUM('3.Plan de Estudios'!J45,'3.Plan de Estudios'!K45)&gt;0),"Teórico-Práctico",IF(SUM('3.Plan de Estudios'!J45,'3.Plan de Estudios'!K45)&gt;0,"Teórico","Práctico"))</f>
        <v>Teórico</v>
      </c>
      <c r="B59" t="str">
        <f>IF(AND(SUM('4.Electivos'!L33:O33)&gt;0,SUM('4.Electivos'!J33,'4.Electivos'!K33)&gt;0),"Teórico-Práctico",IF(SUM('4.Electivos'!J33,'4.Electivos'!K33)&gt;0,"Teórico","Práctico"))</f>
        <v>Teórico</v>
      </c>
      <c r="I59" s="200" t="s">
        <v>2</v>
      </c>
      <c r="J59" s="200" t="s">
        <v>737</v>
      </c>
      <c r="K59" s="200" t="str">
        <f t="shared" si="1"/>
        <v>CIENCIA DE DATOS_A DISTANCIA</v>
      </c>
      <c r="L59" s="200" t="s">
        <v>738</v>
      </c>
      <c r="M59" s="200" t="s">
        <v>739</v>
      </c>
      <c r="N59" s="200" t="s">
        <v>740</v>
      </c>
      <c r="O59" s="200" t="s">
        <v>494</v>
      </c>
      <c r="P59" s="200" t="s">
        <v>628</v>
      </c>
      <c r="Q59" s="421">
        <v>60</v>
      </c>
      <c r="S59" t="s">
        <v>741</v>
      </c>
      <c r="T59" t="s">
        <v>6</v>
      </c>
      <c r="U59" t="str">
        <f t="shared" si="2"/>
        <v>INTERNATIONAL BUSINESS_PRESENCIAL</v>
      </c>
      <c r="V59" t="s">
        <v>742</v>
      </c>
      <c r="X59" t="str">
        <f>+'3.Plan de Estudios'!E31</f>
        <v>ENGLISH II</v>
      </c>
      <c r="Y59" t="str">
        <f>IF('3.Plan de Estudios'!AC31="","",'3.Plan de Estudios'!AC31)</f>
        <v/>
      </c>
      <c r="Z59" t="str">
        <f t="shared" si="9"/>
        <v>ENGLISH II-</v>
      </c>
      <c r="AA59" s="89" t="str">
        <f t="shared" si="3"/>
        <v/>
      </c>
      <c r="AB59" t="str">
        <f t="shared" si="4"/>
        <v/>
      </c>
      <c r="AC59" t="str">
        <f t="shared" si="10"/>
        <v/>
      </c>
      <c r="AD59" t="str">
        <f>CONCATENATE(AC263,AC264,AC265,AC266,AC267)</f>
        <v xml:space="preserve"> Desarrollo de gestión educativa, Comunicación Integral</v>
      </c>
      <c r="AF59" t="str">
        <f>IFERROR(MID('4.Electivos'!Y67,FIND(":",'4.Electivos'!Y67)+1,FIND(":",'4.Electivos'!Y67,FIND(":",'4.Electivos'!Y67)+1)-FIND(":",'4.Electivos'!Y67)-1),"")</f>
        <v/>
      </c>
      <c r="AG59" t="str">
        <f>IFERROR(MID('4.Electivos'!Z67,FIND(":",'4.Electivos'!Z67)+1,FIND(":",'4.Electivos'!Z67,FIND(":",'4.Electivos'!Z67)+1)-FIND(":",'4.Electivos'!Z67)-1),"")</f>
        <v/>
      </c>
      <c r="AH59" t="str">
        <f>IFERROR(MID('4.Electivos'!AA67,FIND(":",'4.Electivos'!AA67)+1,FIND(":",'4.Electivos'!AA67,FIND(":",'4.Electivos'!AA67)+1)-FIND(":",'4.Electivos'!AA67)-1),"")</f>
        <v/>
      </c>
      <c r="AI59" t="str">
        <f>IFERROR(MID('4.Electivos'!AB67,FIND(":",'4.Electivos'!AB67)+1,FIND(":",'4.Electivos'!AB67,FIND(":",'4.Electivos'!AB67)+1)-FIND(":",'4.Electivos'!AB67)-1),"")</f>
        <v/>
      </c>
      <c r="AJ59" t="str">
        <f>IFERROR(MID('4.Electivos'!AC67,FIND(":",'4.Electivos'!AC67)+1,FIND(":",'4.Electivos'!AC67,FIND(":",'4.Electivos'!AC67)+1)-FIND(":",'4.Electivos'!AC67)-1),"")</f>
        <v/>
      </c>
      <c r="AL59" t="str">
        <f t="shared" si="0"/>
        <v/>
      </c>
    </row>
    <row r="60" spans="1:38" ht="15.75">
      <c r="A60" t="str">
        <f>IF(AND(SUM('3.Plan de Estudios'!L46:O46)&gt;0,SUM('3.Plan de Estudios'!J46,'3.Plan de Estudios'!K46)&gt;0),"Teórico-Práctico",IF(SUM('3.Plan de Estudios'!J46,'3.Plan de Estudios'!K46)&gt;0,"Teórico","Práctico"))</f>
        <v>Teórico</v>
      </c>
      <c r="B60" t="str">
        <f>IF(AND(SUM('4.Electivos'!L34:O34)&gt;0,SUM('4.Electivos'!J34,'4.Electivos'!K34)&gt;0),"Teórico-Práctico",IF(SUM('4.Electivos'!J34,'4.Electivos'!K34)&gt;0,"Teórico","Práctico"))</f>
        <v>Teórico-Práctico</v>
      </c>
      <c r="I60" s="200" t="s">
        <v>2</v>
      </c>
      <c r="J60" s="200" t="s">
        <v>737</v>
      </c>
      <c r="K60" s="200" t="str">
        <f t="shared" si="1"/>
        <v>CIENCIA DE DATOS_SEMIPRESENCIAL</v>
      </c>
      <c r="L60" s="200" t="s">
        <v>743</v>
      </c>
      <c r="M60" s="200" t="s">
        <v>739</v>
      </c>
      <c r="N60" s="200" t="s">
        <v>740</v>
      </c>
      <c r="O60" s="200" t="s">
        <v>498</v>
      </c>
      <c r="P60" s="200" t="s">
        <v>628</v>
      </c>
      <c r="Q60" s="421">
        <v>60</v>
      </c>
      <c r="S60" t="s">
        <v>741</v>
      </c>
      <c r="T60" t="s">
        <v>498</v>
      </c>
      <c r="U60" t="str">
        <f t="shared" si="2"/>
        <v>INTERNATIONAL BUSINESS_SEMIPRESENCIAL</v>
      </c>
      <c r="V60" t="s">
        <v>744</v>
      </c>
      <c r="X60" t="str">
        <f>+'3.Plan de Estudios'!E31</f>
        <v>ENGLISH II</v>
      </c>
      <c r="Y60" t="str">
        <f>IF('3.Plan de Estudios'!AE31="","",'3.Plan de Estudios'!AE31)</f>
        <v/>
      </c>
      <c r="Z60" t="str">
        <f t="shared" si="9"/>
        <v>ENGLISH II-</v>
      </c>
      <c r="AA60" s="89" t="str">
        <f t="shared" si="3"/>
        <v/>
      </c>
      <c r="AB60" t="str">
        <f t="shared" si="4"/>
        <v/>
      </c>
      <c r="AC60" t="str">
        <f t="shared" si="10"/>
        <v/>
      </c>
      <c r="AD60" t="str">
        <f>CONCATENATE(AC268,AC269,AC270,AC271,AC272)</f>
        <v xml:space="preserve"> Comprensión y expresión del idioma inglés</v>
      </c>
      <c r="AF60" t="str">
        <f>IFERROR(MID('4.Electivos'!Y68,FIND(":",'4.Electivos'!Y68)+1,FIND(":",'4.Electivos'!Y68,FIND(":",'4.Electivos'!Y68)+1)-FIND(":",'4.Electivos'!Y68)-1),"")</f>
        <v/>
      </c>
      <c r="AG60" t="str">
        <f>IFERROR(MID('4.Electivos'!Z68,FIND(":",'4.Electivos'!Z68)+1,FIND(":",'4.Electivos'!Z68,FIND(":",'4.Electivos'!Z68)+1)-FIND(":",'4.Electivos'!Z68)-1),"")</f>
        <v/>
      </c>
      <c r="AH60" t="str">
        <f>IFERROR(MID('4.Electivos'!AA68,FIND(":",'4.Electivos'!AA68)+1,FIND(":",'4.Electivos'!AA68,FIND(":",'4.Electivos'!AA68)+1)-FIND(":",'4.Electivos'!AA68)-1),"")</f>
        <v/>
      </c>
      <c r="AI60" t="str">
        <f>IFERROR(MID('4.Electivos'!AB68,FIND(":",'4.Electivos'!AB68)+1,FIND(":",'4.Electivos'!AB68,FIND(":",'4.Electivos'!AB68)+1)-FIND(":",'4.Electivos'!AB68)-1),"")</f>
        <v/>
      </c>
      <c r="AJ60" t="str">
        <f>IFERROR(MID('4.Electivos'!AC68,FIND(":",'4.Electivos'!AC68)+1,FIND(":",'4.Electivos'!AC68,FIND(":",'4.Electivos'!AC68)+1)-FIND(":",'4.Electivos'!AC68)-1),"")</f>
        <v/>
      </c>
      <c r="AL60" t="str">
        <f t="shared" si="0"/>
        <v/>
      </c>
    </row>
    <row r="61" spans="1:38" ht="15.75">
      <c r="A61" t="str">
        <f>IF(AND(SUM('3.Plan de Estudios'!L47:O47)&gt;0,SUM('3.Plan de Estudios'!J47,'3.Plan de Estudios'!K47)&gt;0),"Teórico-Práctico",IF(SUM('3.Plan de Estudios'!J47,'3.Plan de Estudios'!K47)&gt;0,"Teórico","Práctico"))</f>
        <v>Práctico</v>
      </c>
      <c r="B61" t="str">
        <f>IF(AND(SUM('4.Electivos'!L35:O35)&gt;0,SUM('4.Electivos'!J35,'4.Electivos'!K35)&gt;0),"Teórico-Práctico",IF(SUM('4.Electivos'!J35,'4.Electivos'!K35)&gt;0,"Teórico","Práctico"))</f>
        <v>Práctico</v>
      </c>
      <c r="I61" s="200" t="s">
        <v>2</v>
      </c>
      <c r="J61" s="200" t="s">
        <v>569</v>
      </c>
      <c r="K61" s="200" t="str">
        <f t="shared" si="1"/>
        <v>CIENCIAS DE LA ACTIVIDAD FÍSICA Y DEL DEPORTE_PRESENCIAL</v>
      </c>
      <c r="L61" s="200" t="s">
        <v>570</v>
      </c>
      <c r="M61" s="200" t="s">
        <v>745</v>
      </c>
      <c r="N61" s="200" t="s">
        <v>746</v>
      </c>
      <c r="O61" s="200" t="s">
        <v>6</v>
      </c>
      <c r="P61" s="200" t="s">
        <v>628</v>
      </c>
      <c r="Q61" s="421">
        <v>60</v>
      </c>
      <c r="S61" t="s">
        <v>264</v>
      </c>
      <c r="T61" t="s">
        <v>6</v>
      </c>
      <c r="U61" t="str">
        <f t="shared" si="2"/>
        <v>MARKETING_PRESENCIAL</v>
      </c>
      <c r="V61" t="s">
        <v>747</v>
      </c>
      <c r="X61" t="str">
        <f>+'3.Plan de Estudios'!E31</f>
        <v>ENGLISH II</v>
      </c>
      <c r="Y61" t="str">
        <f>IF('3.Plan de Estudios'!AG31="","",'3.Plan de Estudios'!AG31)</f>
        <v/>
      </c>
      <c r="Z61" t="str">
        <f t="shared" si="9"/>
        <v>ENGLISH II-</v>
      </c>
      <c r="AA61" s="89" t="str">
        <f t="shared" si="3"/>
        <v/>
      </c>
      <c r="AB61" t="str">
        <f t="shared" si="4"/>
        <v/>
      </c>
      <c r="AC61" t="str">
        <f t="shared" si="10"/>
        <v/>
      </c>
      <c r="AD61" t="str">
        <f>CONCATENATE(AC273,AC274,AC275,AC276,AC277)</f>
        <v xml:space="preserve"> Desarrollo de gestión educativa, Gestión de Recursos</v>
      </c>
      <c r="AF61" t="str">
        <f>IFERROR(MID('4.Electivos'!Y69,FIND(":",'4.Electivos'!Y69)+1,FIND(":",'4.Electivos'!Y69,FIND(":",'4.Electivos'!Y69)+1)-FIND(":",'4.Electivos'!Y69)-1),"")</f>
        <v/>
      </c>
      <c r="AG61" t="str">
        <f>IFERROR(MID('4.Electivos'!Z69,FIND(":",'4.Electivos'!Z69)+1,FIND(":",'4.Electivos'!Z69,FIND(":",'4.Electivos'!Z69)+1)-FIND(":",'4.Electivos'!Z69)-1),"")</f>
        <v/>
      </c>
      <c r="AH61" t="str">
        <f>IFERROR(MID('4.Electivos'!AA69,FIND(":",'4.Electivos'!AA69)+1,FIND(":",'4.Electivos'!AA69,FIND(":",'4.Electivos'!AA69)+1)-FIND(":",'4.Electivos'!AA69)-1),"")</f>
        <v/>
      </c>
      <c r="AI61" t="str">
        <f>IFERROR(MID('4.Electivos'!AB69,FIND(":",'4.Electivos'!AB69)+1,FIND(":",'4.Electivos'!AB69,FIND(":",'4.Electivos'!AB69)+1)-FIND(":",'4.Electivos'!AB69)-1),"")</f>
        <v/>
      </c>
      <c r="AJ61" t="str">
        <f>IFERROR(MID('4.Electivos'!AC69,FIND(":",'4.Electivos'!AC69)+1,FIND(":",'4.Electivos'!AC69,FIND(":",'4.Electivos'!AC69)+1)-FIND(":",'4.Electivos'!AC69)-1),"")</f>
        <v/>
      </c>
      <c r="AL61" t="str">
        <f t="shared" si="0"/>
        <v/>
      </c>
    </row>
    <row r="62" spans="1:38" ht="15.75">
      <c r="A62" t="str">
        <f>IF(AND(SUM('3.Plan de Estudios'!L48:O48)&gt;0,SUM('3.Plan de Estudios'!J48,'3.Plan de Estudios'!K48)&gt;0),"Teórico-Práctico",IF(SUM('3.Plan de Estudios'!J48,'3.Plan de Estudios'!K48)&gt;0,"Teórico","Práctico"))</f>
        <v>Práctico</v>
      </c>
      <c r="B62" t="str">
        <f>IF(AND(SUM('4.Electivos'!L36:O36)&gt;0,SUM('4.Electivos'!J36,'4.Electivos'!K36)&gt;0),"Teórico-Práctico",IF(SUM('4.Electivos'!J36,'4.Electivos'!K36)&gt;0,"Teórico","Práctico"))</f>
        <v>Práctico</v>
      </c>
      <c r="I62" s="200" t="s">
        <v>2</v>
      </c>
      <c r="J62" s="200" t="s">
        <v>390</v>
      </c>
      <c r="K62" s="200" t="str">
        <f t="shared" si="1"/>
        <v>COMUNICACIONES_PRESENCIAL</v>
      </c>
      <c r="L62" s="200" t="s">
        <v>578</v>
      </c>
      <c r="M62" s="200" t="s">
        <v>748</v>
      </c>
      <c r="N62" s="200" t="s">
        <v>749</v>
      </c>
      <c r="O62" s="200" t="s">
        <v>6</v>
      </c>
      <c r="P62" s="200" t="s">
        <v>628</v>
      </c>
      <c r="Q62" s="421">
        <v>60</v>
      </c>
      <c r="S62" t="s">
        <v>264</v>
      </c>
      <c r="T62" t="s">
        <v>498</v>
      </c>
      <c r="U62" t="str">
        <f t="shared" si="2"/>
        <v>MARKETING_SEMIPRESENCIAL</v>
      </c>
      <c r="V62" t="s">
        <v>750</v>
      </c>
      <c r="X62" t="str">
        <f>+'3.Plan de Estudios'!E31</f>
        <v>ENGLISH II</v>
      </c>
      <c r="Y62" t="str">
        <f>IF('3.Plan de Estudios'!AI31="","",'3.Plan de Estudios'!AI31)</f>
        <v/>
      </c>
      <c r="Z62" t="str">
        <f t="shared" si="9"/>
        <v>ENGLISH II-</v>
      </c>
      <c r="AA62" s="89" t="str">
        <f t="shared" si="3"/>
        <v/>
      </c>
      <c r="AB62" t="str">
        <f t="shared" si="4"/>
        <v/>
      </c>
      <c r="AC62" t="str">
        <f t="shared" si="10"/>
        <v/>
      </c>
      <c r="AD62" t="str">
        <f>CONCATENATE(AC278,AC279,AC280,AC281,AC282)</f>
        <v xml:space="preserve"> Comprensión y expresión del idioma inglés</v>
      </c>
      <c r="AF62" t="str">
        <f>IFERROR(MID('4.Electivos'!Y70,FIND(":",'4.Electivos'!Y70)+1,FIND(":",'4.Electivos'!Y70,FIND(":",'4.Electivos'!Y70)+1)-FIND(":",'4.Electivos'!Y70)-1),"")</f>
        <v/>
      </c>
      <c r="AG62" t="str">
        <f>IFERROR(MID('4.Electivos'!Z70,FIND(":",'4.Electivos'!Z70)+1,FIND(":",'4.Electivos'!Z70,FIND(":",'4.Electivos'!Z70)+1)-FIND(":",'4.Electivos'!Z70)-1),"")</f>
        <v/>
      </c>
      <c r="AH62" t="str">
        <f>IFERROR(MID('4.Electivos'!AA70,FIND(":",'4.Electivos'!AA70)+1,FIND(":",'4.Electivos'!AA70,FIND(":",'4.Electivos'!AA70)+1)-FIND(":",'4.Electivos'!AA70)-1),"")</f>
        <v/>
      </c>
      <c r="AI62" t="str">
        <f>IFERROR(MID('4.Electivos'!AB70,FIND(":",'4.Electivos'!AB70)+1,FIND(":",'4.Electivos'!AB70,FIND(":",'4.Electivos'!AB70)+1)-FIND(":",'4.Electivos'!AB70)-1),"")</f>
        <v/>
      </c>
      <c r="AJ62" t="str">
        <f>IFERROR(MID('4.Electivos'!AC70,FIND(":",'4.Electivos'!AC70)+1,FIND(":",'4.Electivos'!AC70,FIND(":",'4.Electivos'!AC70)+1)-FIND(":",'4.Electivos'!AC70)-1),"")</f>
        <v/>
      </c>
      <c r="AL62" t="str">
        <f t="shared" si="0"/>
        <v/>
      </c>
    </row>
    <row r="63" spans="1:38" ht="15.75">
      <c r="A63" t="str">
        <f>IF(AND(SUM('3.Plan de Estudios'!L49:O49)&gt;0,SUM('3.Plan de Estudios'!J49,'3.Plan de Estudios'!K49)&gt;0),"Teórico-Práctico",IF(SUM('3.Plan de Estudios'!J49,'3.Plan de Estudios'!K49)&gt;0,"Teórico","Práctico"))</f>
        <v>Práctico</v>
      </c>
      <c r="B63" t="str">
        <f>IF(AND(SUM('4.Electivos'!L37:O37)&gt;0,SUM('4.Electivos'!J37,'4.Electivos'!K37)&gt;0),"Teórico-Práctico",IF(SUM('4.Electivos'!J37,'4.Electivos'!K37)&gt;0,"Teórico","Práctico"))</f>
        <v>Práctico</v>
      </c>
      <c r="I63" s="200" t="s">
        <v>2</v>
      </c>
      <c r="J63" s="200" t="s">
        <v>390</v>
      </c>
      <c r="K63" s="200" t="str">
        <f t="shared" si="1"/>
        <v>COMUNICACIONES_SEMIPRESENCIAL</v>
      </c>
      <c r="L63" s="200" t="s">
        <v>581</v>
      </c>
      <c r="M63" s="200" t="s">
        <v>748</v>
      </c>
      <c r="N63" s="200" t="s">
        <v>749</v>
      </c>
      <c r="O63" s="200" t="s">
        <v>498</v>
      </c>
      <c r="P63" s="200" t="s">
        <v>628</v>
      </c>
      <c r="Q63" s="421">
        <v>60</v>
      </c>
      <c r="S63" t="s">
        <v>574</v>
      </c>
      <c r="T63" t="s">
        <v>6</v>
      </c>
      <c r="U63" t="str">
        <f t="shared" si="2"/>
        <v>MARKETING Y GESTIÓN COMERCIAL_PRESENCIAL</v>
      </c>
      <c r="V63" t="s">
        <v>575</v>
      </c>
      <c r="X63" s="187" t="str">
        <f>+'3.Plan de Estudios'!E32</f>
        <v>HISTORIA Y FILOSOFÍA DE LA EDUCACIÓN</v>
      </c>
      <c r="Y63" t="str">
        <f>IF('3.Plan de Estudios'!AA32="","",'3.Plan de Estudios'!AA32)</f>
        <v xml:space="preserve">CP1: Orientación educativa:N1 Establece las orientaciones fundamentales del sentido educativo en los docentes y los alumnos. </v>
      </c>
      <c r="Z63" t="str">
        <f t="shared" si="9"/>
        <v>HISTORIA Y FILOSOFÍA DE LA EDUCACIÓN-CP1: Orientación educativa:N1 Establece las orientaciones fundamentales del sentido educativo en los</v>
      </c>
      <c r="AA63" s="89" t="str">
        <f t="shared" si="3"/>
        <v>a</v>
      </c>
      <c r="AB63" t="str">
        <f t="shared" si="4"/>
        <v xml:space="preserve"> Orientación educativa</v>
      </c>
      <c r="AC63" t="str">
        <f>AB63</f>
        <v xml:space="preserve"> Orientación educativa</v>
      </c>
      <c r="AD63" t="str">
        <f>CONCATENATE(AC283,AC284,AC285,AC286,AC287)</f>
        <v/>
      </c>
      <c r="AF63" t="str">
        <f>IFERROR(MID('4.Electivos'!Y71,FIND(":",'4.Electivos'!Y71)+1,FIND(":",'4.Electivos'!Y71,FIND(":",'4.Electivos'!Y71)+1)-FIND(":",'4.Electivos'!Y71)-1),"")</f>
        <v/>
      </c>
      <c r="AG63" t="str">
        <f>IFERROR(MID('4.Electivos'!Z71,FIND(":",'4.Electivos'!Z71)+1,FIND(":",'4.Electivos'!Z71,FIND(":",'4.Electivos'!Z71)+1)-FIND(":",'4.Electivos'!Z71)-1),"")</f>
        <v/>
      </c>
      <c r="AH63" t="str">
        <f>IFERROR(MID('4.Electivos'!AA71,FIND(":",'4.Electivos'!AA71)+1,FIND(":",'4.Electivos'!AA71,FIND(":",'4.Electivos'!AA71)+1)-FIND(":",'4.Electivos'!AA71)-1),"")</f>
        <v/>
      </c>
      <c r="AI63" t="str">
        <f>IFERROR(MID('4.Electivos'!AB71,FIND(":",'4.Electivos'!AB71)+1,FIND(":",'4.Electivos'!AB71,FIND(":",'4.Electivos'!AB71)+1)-FIND(":",'4.Electivos'!AB71)-1),"")</f>
        <v/>
      </c>
      <c r="AJ63" t="str">
        <f>IFERROR(MID('4.Electivos'!AC71,FIND(":",'4.Electivos'!AC71)+1,FIND(":",'4.Electivos'!AC71,FIND(":",'4.Electivos'!AC71)+1)-FIND(":",'4.Electivos'!AC71)-1),"")</f>
        <v/>
      </c>
      <c r="AL63" t="str">
        <f t="shared" si="0"/>
        <v/>
      </c>
    </row>
    <row r="64" spans="1:38" ht="15.75">
      <c r="A64" t="str">
        <f>IF(AND(SUM('3.Plan de Estudios'!L50:O50)&gt;0,SUM('3.Plan de Estudios'!J50,'3.Plan de Estudios'!K50)&gt;0),"Teórico-Práctico",IF(SUM('3.Plan de Estudios'!J50,'3.Plan de Estudios'!K50)&gt;0,"Teórico","Práctico"))</f>
        <v>Práctico</v>
      </c>
      <c r="B64" t="str">
        <f>IF(AND(SUM('4.Electivos'!L38:O38)&gt;0,SUM('4.Electivos'!J38,'4.Electivos'!K38)&gt;0),"Teórico-Práctico",IF(SUM('4.Electivos'!J38,'4.Electivos'!K38)&gt;0,"Teórico","Práctico"))</f>
        <v>Práctico</v>
      </c>
      <c r="I64" s="200" t="s">
        <v>2</v>
      </c>
      <c r="J64" s="200" t="s">
        <v>390</v>
      </c>
      <c r="K64" s="200" t="str">
        <f t="shared" si="1"/>
        <v>COMUNICACIONES_A DISTANCIA</v>
      </c>
      <c r="L64" s="200" t="s">
        <v>751</v>
      </c>
      <c r="M64" s="200" t="s">
        <v>748</v>
      </c>
      <c r="N64" s="200" t="s">
        <v>749</v>
      </c>
      <c r="O64" s="200" t="s">
        <v>494</v>
      </c>
      <c r="P64" s="200" t="s">
        <v>628</v>
      </c>
      <c r="Q64" s="421">
        <v>60</v>
      </c>
      <c r="S64" t="s">
        <v>691</v>
      </c>
      <c r="T64" t="s">
        <v>6</v>
      </c>
      <c r="U64" t="str">
        <f t="shared" si="2"/>
        <v>MEDICINA HUMANA_PRESENCIAL</v>
      </c>
      <c r="V64" t="s">
        <v>752</v>
      </c>
      <c r="X64" s="187" t="str">
        <f>+'3.Plan de Estudios'!E32</f>
        <v>HISTORIA Y FILOSOFÍA DE LA EDUCACIÓN</v>
      </c>
      <c r="Y64" t="str">
        <f>IF('3.Plan de Estudios'!AC32="","",'3.Plan de Estudios'!AC32)</f>
        <v/>
      </c>
      <c r="Z64" t="str">
        <f t="shared" si="9"/>
        <v>HISTORIA Y FILOSOFÍA DE LA EDUCACIÓN-</v>
      </c>
      <c r="AA64" s="89" t="str">
        <f t="shared" si="3"/>
        <v/>
      </c>
      <c r="AB64" t="str">
        <f t="shared" si="4"/>
        <v/>
      </c>
      <c r="AC64" t="str">
        <f t="shared" si="10"/>
        <v/>
      </c>
      <c r="AD64" t="str">
        <f>CONCATENATE(AC288,AC289,AC290,AC291,AC292)</f>
        <v/>
      </c>
      <c r="AF64" t="str">
        <f>IFERROR(MID('4.Electivos'!Y72,FIND(":",'4.Electivos'!Y72)+1,FIND(":",'4.Electivos'!Y72,FIND(":",'4.Electivos'!Y72)+1)-FIND(":",'4.Electivos'!Y72)-1),"")</f>
        <v/>
      </c>
      <c r="AG64" t="str">
        <f>IFERROR(MID('4.Electivos'!Z72,FIND(":",'4.Electivos'!Z72)+1,FIND(":",'4.Electivos'!Z72,FIND(":",'4.Electivos'!Z72)+1)-FIND(":",'4.Electivos'!Z72)-1),"")</f>
        <v/>
      </c>
      <c r="AH64" t="str">
        <f>IFERROR(MID('4.Electivos'!AA72,FIND(":",'4.Electivos'!AA72)+1,FIND(":",'4.Electivos'!AA72,FIND(":",'4.Electivos'!AA72)+1)-FIND(":",'4.Electivos'!AA72)-1),"")</f>
        <v/>
      </c>
      <c r="AI64" t="str">
        <f>IFERROR(MID('4.Electivos'!AB72,FIND(":",'4.Electivos'!AB72)+1,FIND(":",'4.Electivos'!AB72,FIND(":",'4.Electivos'!AB72)+1)-FIND(":",'4.Electivos'!AB72)-1),"")</f>
        <v/>
      </c>
      <c r="AJ64" t="str">
        <f>IFERROR(MID('4.Electivos'!AC72,FIND(":",'4.Electivos'!AC72)+1,FIND(":",'4.Electivos'!AC72,FIND(":",'4.Electivos'!AC72)+1)-FIND(":",'4.Electivos'!AC72)-1),"")</f>
        <v/>
      </c>
      <c r="AL64" t="str">
        <f t="shared" si="0"/>
        <v/>
      </c>
    </row>
    <row r="65" spans="1:38" ht="15.75">
      <c r="A65" t="str">
        <f>IF(AND(SUM('3.Plan de Estudios'!L52:O52)&gt;0,SUM('3.Plan de Estudios'!J52,'3.Plan de Estudios'!K52)&gt;0),"Teórico-Práctico",IF(SUM('3.Plan de Estudios'!J52,'3.Plan de Estudios'!K52)&gt;0,"Teórico","Práctico"))</f>
        <v>Teórico-Práctico</v>
      </c>
      <c r="B65" t="str">
        <f>IF(AND(SUM('4.Electivos'!L39:O39)&gt;0,SUM('4.Electivos'!J39,'4.Electivos'!K39)&gt;0),"Teórico-Práctico",IF(SUM('4.Electivos'!J39,'4.Electivos'!K39)&gt;0,"Teórico","Práctico"))</f>
        <v>Teórico</v>
      </c>
      <c r="I65" s="200" t="s">
        <v>2</v>
      </c>
      <c r="J65" s="200" t="s">
        <v>433</v>
      </c>
      <c r="K65" s="200" t="str">
        <f t="shared" si="1"/>
        <v>DERECHO_PRESENCIAL</v>
      </c>
      <c r="L65" s="200" t="s">
        <v>591</v>
      </c>
      <c r="M65" s="200" t="s">
        <v>538</v>
      </c>
      <c r="N65" s="200" t="s">
        <v>539</v>
      </c>
      <c r="O65" s="200" t="s">
        <v>6</v>
      </c>
      <c r="P65" s="200" t="s">
        <v>628</v>
      </c>
      <c r="Q65" s="421">
        <v>60</v>
      </c>
      <c r="S65" t="s">
        <v>753</v>
      </c>
      <c r="T65" t="s">
        <v>6</v>
      </c>
      <c r="U65" t="str">
        <f t="shared" si="2"/>
        <v>MULTIMEDIA Y FOTOGRAFÍA PUBLICITARIA_PRESENCIAL</v>
      </c>
      <c r="V65" t="s">
        <v>754</v>
      </c>
      <c r="X65" s="187" t="str">
        <f>+'3.Plan de Estudios'!E32</f>
        <v>HISTORIA Y FILOSOFÍA DE LA EDUCACIÓN</v>
      </c>
      <c r="Y65" t="str">
        <f>IF('3.Plan de Estudios'!AE32="","",'3.Plan de Estudios'!AE32)</f>
        <v/>
      </c>
      <c r="Z65" t="str">
        <f t="shared" si="9"/>
        <v>HISTORIA Y FILOSOFÍA DE LA EDUCACIÓN-</v>
      </c>
      <c r="AA65" s="89" t="str">
        <f t="shared" si="3"/>
        <v/>
      </c>
      <c r="AB65" t="str">
        <f t="shared" si="4"/>
        <v/>
      </c>
      <c r="AC65" t="str">
        <f t="shared" si="10"/>
        <v/>
      </c>
      <c r="AD65" t="str">
        <f>CONCATENATE(AC293,AC294,AC295,AC296,AC297)</f>
        <v/>
      </c>
      <c r="AF65" t="str">
        <f>IFERROR(MID('4.Electivos'!Y73,FIND(":",'4.Electivos'!Y73)+1,FIND(":",'4.Electivos'!Y73,FIND(":",'4.Electivos'!Y73)+1)-FIND(":",'4.Electivos'!Y73)-1),"")</f>
        <v/>
      </c>
      <c r="AG65" t="str">
        <f>IFERROR(MID('4.Electivos'!Z73,FIND(":",'4.Electivos'!Z73)+1,FIND(":",'4.Electivos'!Z73,FIND(":",'4.Electivos'!Z73)+1)-FIND(":",'4.Electivos'!Z73)-1),"")</f>
        <v/>
      </c>
      <c r="AH65" t="str">
        <f>IFERROR(MID('4.Electivos'!AA73,FIND(":",'4.Electivos'!AA73)+1,FIND(":",'4.Electivos'!AA73,FIND(":",'4.Electivos'!AA73)+1)-FIND(":",'4.Electivos'!AA73)-1),"")</f>
        <v/>
      </c>
      <c r="AI65" t="str">
        <f>IFERROR(MID('4.Electivos'!AB73,FIND(":",'4.Electivos'!AB73)+1,FIND(":",'4.Electivos'!AB73,FIND(":",'4.Electivos'!AB73)+1)-FIND(":",'4.Electivos'!AB73)-1),"")</f>
        <v/>
      </c>
      <c r="AJ65" t="str">
        <f>IFERROR(MID('4.Electivos'!AC73,FIND(":",'4.Electivos'!AC73)+1,FIND(":",'4.Electivos'!AC73,FIND(":",'4.Electivos'!AC73)+1)-FIND(":",'4.Electivos'!AC73)-1),"")</f>
        <v/>
      </c>
      <c r="AL65" t="str">
        <f t="shared" si="0"/>
        <v/>
      </c>
    </row>
    <row r="66" spans="1:38" ht="15.75">
      <c r="A66" t="str">
        <f>IF(AND(SUM('3.Plan de Estudios'!L53:O53)&gt;0,SUM('3.Plan de Estudios'!J53,'3.Plan de Estudios'!K53)&gt;0),"Teórico-Práctico",IF(SUM('3.Plan de Estudios'!J53,'3.Plan de Estudios'!K53)&gt;0,"Teórico","Práctico"))</f>
        <v>Teórico-Práctico</v>
      </c>
      <c r="B66" t="str">
        <f>IF(AND(SUM('4.Electivos'!L40:O40)&gt;0,SUM('4.Electivos'!J40,'4.Electivos'!K40)&gt;0),"Teórico-Práctico",IF(SUM('4.Electivos'!J40,'4.Electivos'!K40)&gt;0,"Teórico","Práctico"))</f>
        <v>Teórico</v>
      </c>
      <c r="I66" s="200" t="s">
        <v>2</v>
      </c>
      <c r="J66" s="200" t="s">
        <v>433</v>
      </c>
      <c r="K66" s="200" t="str">
        <f t="shared" si="1"/>
        <v>DERECHO_SEMIPRESENCIAL</v>
      </c>
      <c r="L66" s="200" t="s">
        <v>598</v>
      </c>
      <c r="M66" s="200" t="s">
        <v>538</v>
      </c>
      <c r="N66" s="200" t="s">
        <v>539</v>
      </c>
      <c r="O66" s="200" t="s">
        <v>498</v>
      </c>
      <c r="P66" s="200" t="s">
        <v>628</v>
      </c>
      <c r="Q66" s="421">
        <v>60</v>
      </c>
      <c r="S66" t="s">
        <v>755</v>
      </c>
      <c r="T66" t="s">
        <v>6</v>
      </c>
      <c r="U66" t="str">
        <f t="shared" si="2"/>
        <v>MÚSICA_PRESENCIAL</v>
      </c>
      <c r="V66" t="s">
        <v>756</v>
      </c>
      <c r="X66" s="187" t="str">
        <f>+'3.Plan de Estudios'!E32</f>
        <v>HISTORIA Y FILOSOFÍA DE LA EDUCACIÓN</v>
      </c>
      <c r="Y66" t="str">
        <f>IF('3.Plan de Estudios'!AG32="","",'3.Plan de Estudios'!AG32)</f>
        <v/>
      </c>
      <c r="Z66" t="str">
        <f t="shared" si="9"/>
        <v>HISTORIA Y FILOSOFÍA DE LA EDUCACIÓN-</v>
      </c>
      <c r="AA66" s="89" t="str">
        <f t="shared" si="3"/>
        <v/>
      </c>
      <c r="AB66" t="str">
        <f t="shared" si="4"/>
        <v/>
      </c>
      <c r="AC66" t="str">
        <f t="shared" si="10"/>
        <v/>
      </c>
      <c r="AD66" t="str">
        <f>CONCATENATE(AC298,AC299,AC300,AC301,AC302)</f>
        <v/>
      </c>
      <c r="AF66" t="str">
        <f>IFERROR(MID('4.Electivos'!Y74,FIND(":",'4.Electivos'!Y74)+1,FIND(":",'4.Electivos'!Y74,FIND(":",'4.Electivos'!Y74)+1)-FIND(":",'4.Electivos'!Y74)-1),"")</f>
        <v/>
      </c>
      <c r="AG66" t="str">
        <f>IFERROR(MID('4.Electivos'!Z74,FIND(":",'4.Electivos'!Z74)+1,FIND(":",'4.Electivos'!Z74,FIND(":",'4.Electivos'!Z74)+1)-FIND(":",'4.Electivos'!Z74)-1),"")</f>
        <v/>
      </c>
      <c r="AH66" t="str">
        <f>IFERROR(MID('4.Electivos'!AA74,FIND(":",'4.Electivos'!AA74)+1,FIND(":",'4.Electivos'!AA74,FIND(":",'4.Electivos'!AA74)+1)-FIND(":",'4.Electivos'!AA74)-1),"")</f>
        <v/>
      </c>
      <c r="AI66" t="str">
        <f>IFERROR(MID('4.Electivos'!AB74,FIND(":",'4.Electivos'!AB74)+1,FIND(":",'4.Electivos'!AB74,FIND(":",'4.Electivos'!AB74)+1)-FIND(":",'4.Electivos'!AB74)-1),"")</f>
        <v/>
      </c>
      <c r="AJ66" t="str">
        <f>IFERROR(MID('4.Electivos'!AC74,FIND(":",'4.Electivos'!AC74)+1,FIND(":",'4.Electivos'!AC74,FIND(":",'4.Electivos'!AC74)+1)-FIND(":",'4.Electivos'!AC74)-1),"")</f>
        <v/>
      </c>
      <c r="AL66" t="str">
        <f t="shared" ref="AL66:AL99" si="11">CONCATENATE(AF66,IF(AG66="","",CONCATENATE(",",AG66)),IF(AH66="","",CONCATENATE(",",AH66)),IF(AI66="","",CONCATENATE(",",AI66)),IF(AJ66="","",CONCATENATE(",",AJ66)))</f>
        <v/>
      </c>
    </row>
    <row r="67" spans="1:38" ht="15.75">
      <c r="A67" t="str">
        <f>IF(AND(SUM('3.Plan de Estudios'!L54:O54)&gt;0,SUM('3.Plan de Estudios'!J54,'3.Plan de Estudios'!K54)&gt;0),"Teórico-Práctico",IF(SUM('3.Plan de Estudios'!J54,'3.Plan de Estudios'!K54)&gt;0,"Teórico","Práctico"))</f>
        <v>Teórico-Práctico</v>
      </c>
      <c r="B67" t="str">
        <f>IF(AND(SUM('4.Electivos'!L41:O41)&gt;0,SUM('4.Electivos'!J41,'4.Electivos'!K41)&gt;0),"Teórico-Práctico",IF(SUM('4.Electivos'!J41,'4.Electivos'!K41)&gt;0,"Teórico","Práctico"))</f>
        <v>Teórico</v>
      </c>
      <c r="I67" s="200" t="s">
        <v>2</v>
      </c>
      <c r="J67" s="200" t="s">
        <v>433</v>
      </c>
      <c r="K67" s="200" t="str">
        <f t="shared" si="1"/>
        <v>DERECHO_A DISTANCIA</v>
      </c>
      <c r="L67" s="200" t="s">
        <v>757</v>
      </c>
      <c r="M67" s="200" t="s">
        <v>538</v>
      </c>
      <c r="N67" s="200" t="s">
        <v>539</v>
      </c>
      <c r="O67" s="200" t="s">
        <v>494</v>
      </c>
      <c r="P67" s="200" t="s">
        <v>628</v>
      </c>
      <c r="Q67" s="421">
        <v>60</v>
      </c>
      <c r="S67" t="s">
        <v>583</v>
      </c>
      <c r="T67" t="s">
        <v>6</v>
      </c>
      <c r="U67" t="str">
        <f t="shared" si="2"/>
        <v>NEGOCIOS INTERNACIONALES_PRESENCIAL</v>
      </c>
      <c r="V67" t="s">
        <v>584</v>
      </c>
      <c r="X67" s="187" t="str">
        <f>+'3.Plan de Estudios'!E32</f>
        <v>HISTORIA Y FILOSOFÍA DE LA EDUCACIÓN</v>
      </c>
      <c r="Y67" t="str">
        <f>IF('3.Plan de Estudios'!AI32="","",'3.Plan de Estudios'!AI32)</f>
        <v/>
      </c>
      <c r="Z67" t="str">
        <f t="shared" si="9"/>
        <v>HISTORIA Y FILOSOFÍA DE LA EDUCACIÓN-</v>
      </c>
      <c r="AA67" s="89" t="str">
        <f t="shared" si="3"/>
        <v/>
      </c>
      <c r="AB67" t="str">
        <f t="shared" ref="AB67:AB130" si="12">IFERROR(MID(Y67,FIND(":",Y67)+1,FIND(":",Y67,FIND(":",Y67)+1)-FIND(":",Y67)-1),"")</f>
        <v/>
      </c>
      <c r="AC67" t="str">
        <f t="shared" si="10"/>
        <v/>
      </c>
      <c r="AD67" t="str">
        <f>CONCATENATE(AC303,AC304,AC305,AC306,AC307)</f>
        <v xml:space="preserve"> Comprensión y expresión del idioma inglés, Comunicación Bilingüe</v>
      </c>
      <c r="AF67" t="str">
        <f>IFERROR(MID('4.Electivos'!Y75,FIND(":",'4.Electivos'!Y75)+1,FIND(":",'4.Electivos'!Y75,FIND(":",'4.Electivos'!Y75)+1)-FIND(":",'4.Electivos'!Y75)-1),"")</f>
        <v/>
      </c>
      <c r="AG67" t="str">
        <f>IFERROR(MID('4.Electivos'!Z75,FIND(":",'4.Electivos'!Z75)+1,FIND(":",'4.Electivos'!Z75,FIND(":",'4.Electivos'!Z75)+1)-FIND(":",'4.Electivos'!Z75)-1),"")</f>
        <v/>
      </c>
      <c r="AH67" t="str">
        <f>IFERROR(MID('4.Electivos'!AA75,FIND(":",'4.Electivos'!AA75)+1,FIND(":",'4.Electivos'!AA75,FIND(":",'4.Electivos'!AA75)+1)-FIND(":",'4.Electivos'!AA75)-1),"")</f>
        <v/>
      </c>
      <c r="AI67" t="str">
        <f>IFERROR(MID('4.Electivos'!AB75,FIND(":",'4.Electivos'!AB75)+1,FIND(":",'4.Electivos'!AB75,FIND(":",'4.Electivos'!AB75)+1)-FIND(":",'4.Electivos'!AB75)-1),"")</f>
        <v/>
      </c>
      <c r="AJ67" t="str">
        <f>IFERROR(MID('4.Electivos'!AC75,FIND(":",'4.Electivos'!AC75)+1,FIND(":",'4.Electivos'!AC75,FIND(":",'4.Electivos'!AC75)+1)-FIND(":",'4.Electivos'!AC75)-1),"")</f>
        <v/>
      </c>
      <c r="AL67" t="str">
        <f t="shared" si="11"/>
        <v/>
      </c>
    </row>
    <row r="68" spans="1:38" ht="15.75">
      <c r="A68" t="str">
        <f>IF(AND(SUM('3.Plan de Estudios'!L55:O55)&gt;0,SUM('3.Plan de Estudios'!J55,'3.Plan de Estudios'!K55)&gt;0),"Teórico-Práctico",IF(SUM('3.Plan de Estudios'!J55,'3.Plan de Estudios'!K55)&gt;0,"Teórico","Práctico"))</f>
        <v>Teórico</v>
      </c>
      <c r="B68" t="str">
        <f>IF(AND(SUM('4.Electivos'!L42:O42)&gt;0,SUM('4.Electivos'!J42,'4.Electivos'!K42)&gt;0),"Teórico-Práctico",IF(SUM('4.Electivos'!J42,'4.Electivos'!K42)&gt;0,"Teórico","Práctico"))</f>
        <v>Teórico</v>
      </c>
      <c r="I68" s="200" t="s">
        <v>2</v>
      </c>
      <c r="J68" s="200" t="s">
        <v>603</v>
      </c>
      <c r="K68" s="200" t="str">
        <f t="shared" ref="K68:K131" si="13">+CONCATENATE(J68,"_",O68)</f>
        <v>DISEÑO Y GESTIÓN DE MARCA_PRESENCIAL</v>
      </c>
      <c r="L68" s="200" t="s">
        <v>604</v>
      </c>
      <c r="M68" s="200" t="s">
        <v>758</v>
      </c>
      <c r="N68" s="200" t="s">
        <v>759</v>
      </c>
      <c r="O68" s="200" t="s">
        <v>6</v>
      </c>
      <c r="P68" s="200" t="s">
        <v>628</v>
      </c>
      <c r="Q68" s="421">
        <v>60</v>
      </c>
      <c r="S68" t="s">
        <v>594</v>
      </c>
      <c r="T68" t="s">
        <v>6</v>
      </c>
      <c r="U68" t="str">
        <f t="shared" ref="U68:U79" si="14">+CONCATENATE(S68,"_",T68)</f>
        <v>NUTRICIÓN Y DIETÉTICA_PRESENCIAL</v>
      </c>
      <c r="V68" t="s">
        <v>760</v>
      </c>
      <c r="X68" t="str">
        <f>+'3.Plan de Estudios'!E33</f>
        <v>LENGUAJE II</v>
      </c>
      <c r="Y68" t="str">
        <f>IF('3.Plan de Estudios'!AA33="","",'3.Plan de Estudios'!AA33)</f>
        <v>CG1: Comunicación Integral:N1 Elabora textos académicos escritos y comunicaciones orales con una estructura básica para exponer con eficiencia sus ideas en un entorno académico y/o social.</v>
      </c>
      <c r="Z68" t="str">
        <f t="shared" si="9"/>
        <v>LENGUAJE II-CG1: Comunicación Integral:N1 Elabora textos académicos escritos y comunicaciones orales con una est</v>
      </c>
      <c r="AA68" s="89" t="str">
        <f t="shared" si="3"/>
        <v>a</v>
      </c>
      <c r="AB68" t="str">
        <f t="shared" si="12"/>
        <v xml:space="preserve"> Comunicación Integral</v>
      </c>
      <c r="AC68" t="str">
        <f>AB68</f>
        <v xml:space="preserve"> Comunicación Integral</v>
      </c>
      <c r="AD68" t="str">
        <f>CONCATENATE(AC308,AC309,AC310,AC311,AC312)</f>
        <v xml:space="preserve"> Investigación Educativa, Investigación</v>
      </c>
      <c r="AF68" t="str">
        <f>IFERROR(MID('4.Electivos'!Y76,FIND(":",'4.Electivos'!Y76)+1,FIND(":",'4.Electivos'!Y76,FIND(":",'4.Electivos'!Y76)+1)-FIND(":",'4.Electivos'!Y76)-1),"")</f>
        <v/>
      </c>
      <c r="AG68" t="str">
        <f>IFERROR(MID('4.Electivos'!Z76,FIND(":",'4.Electivos'!Z76)+1,FIND(":",'4.Electivos'!Z76,FIND(":",'4.Electivos'!Z76)+1)-FIND(":",'4.Electivos'!Z76)-1),"")</f>
        <v/>
      </c>
      <c r="AH68" t="str">
        <f>IFERROR(MID('4.Electivos'!AA76,FIND(":",'4.Electivos'!AA76)+1,FIND(":",'4.Electivos'!AA76,FIND(":",'4.Electivos'!AA76)+1)-FIND(":",'4.Electivos'!AA76)-1),"")</f>
        <v/>
      </c>
      <c r="AI68" t="str">
        <f>IFERROR(MID('4.Electivos'!AB76,FIND(":",'4.Electivos'!AB76)+1,FIND(":",'4.Electivos'!AB76,FIND(":",'4.Electivos'!AB76)+1)-FIND(":",'4.Electivos'!AB76)-1),"")</f>
        <v/>
      </c>
      <c r="AJ68" t="str">
        <f>IFERROR(MID('4.Electivos'!AC76,FIND(":",'4.Electivos'!AC76)+1,FIND(":",'4.Electivos'!AC76,FIND(":",'4.Electivos'!AC76)+1)-FIND(":",'4.Electivos'!AC76)-1),"")</f>
        <v/>
      </c>
      <c r="AL68" t="str">
        <f t="shared" si="11"/>
        <v/>
      </c>
    </row>
    <row r="69" spans="1:38" ht="15.75">
      <c r="A69" t="str">
        <f>IF(AND(SUM('3.Plan de Estudios'!L56:O56)&gt;0,SUM('3.Plan de Estudios'!J56,'3.Plan de Estudios'!K56)&gt;0),"Teórico-Práctico",IF(SUM('3.Plan de Estudios'!J56,'3.Plan de Estudios'!K56)&gt;0,"Teórico","Práctico"))</f>
        <v>Teórico</v>
      </c>
      <c r="B69" t="str">
        <f>IF(AND(SUM('4.Electivos'!L43:O43)&gt;0,SUM('4.Electivos'!J43,'4.Electivos'!K43)&gt;0),"Teórico-Práctico",IF(SUM('4.Electivos'!J43,'4.Electivos'!K43)&gt;0,"Teórico","Práctico"))</f>
        <v>Teórico</v>
      </c>
      <c r="I69" s="200" t="s">
        <v>2</v>
      </c>
      <c r="J69" s="200" t="s">
        <v>607</v>
      </c>
      <c r="K69" s="200" t="str">
        <f t="shared" si="13"/>
        <v>ECONOMÍA_PRESENCIAL</v>
      </c>
      <c r="L69" s="200" t="s">
        <v>608</v>
      </c>
      <c r="M69" s="200" t="s">
        <v>761</v>
      </c>
      <c r="N69" s="200" t="s">
        <v>762</v>
      </c>
      <c r="O69" s="200" t="s">
        <v>6</v>
      </c>
      <c r="P69" s="200" t="s">
        <v>628</v>
      </c>
      <c r="Q69" s="421">
        <v>60</v>
      </c>
      <c r="S69" t="s">
        <v>609</v>
      </c>
      <c r="T69" t="s">
        <v>6</v>
      </c>
      <c r="U69" t="str">
        <f t="shared" si="14"/>
        <v>PSICOLOGÍA_PRESENCIAL</v>
      </c>
      <c r="V69" t="s">
        <v>763</v>
      </c>
      <c r="X69" t="str">
        <f>+'3.Plan de Estudios'!E33</f>
        <v>LENGUAJE II</v>
      </c>
      <c r="Y69" t="str">
        <f>IF('3.Plan de Estudios'!AC33="","",'3.Plan de Estudios'!AC33)</f>
        <v/>
      </c>
      <c r="Z69" t="str">
        <f t="shared" ref="Z69:Z132" si="15">CONCATENATE(X69,"-",MID(Y69,1,100))</f>
        <v>LENGUAJE II-</v>
      </c>
      <c r="AA69" s="89" t="str">
        <f t="shared" si="3"/>
        <v/>
      </c>
      <c r="AB69" t="str">
        <f t="shared" si="12"/>
        <v/>
      </c>
      <c r="AC69" t="str">
        <f t="shared" ref="AC69:AC132" si="16">IF(AB69="","",CONCATENATE(",",AB69))</f>
        <v/>
      </c>
      <c r="AD69" t="str">
        <f>CONCATENATE(AC313,AC314,AC315,AC316,AC317)</f>
        <v xml:space="preserve"> Investigación Educativa, Comunicación Integral</v>
      </c>
      <c r="AF69" t="str">
        <f>IFERROR(MID('4.Electivos'!Y77,FIND(":",'4.Electivos'!Y77)+1,FIND(":",'4.Electivos'!Y77,FIND(":",'4.Electivos'!Y77)+1)-FIND(":",'4.Electivos'!Y77)-1),"")</f>
        <v/>
      </c>
      <c r="AG69" t="str">
        <f>IFERROR(MID('4.Electivos'!Z77,FIND(":",'4.Electivos'!Z77)+1,FIND(":",'4.Electivos'!Z77,FIND(":",'4.Electivos'!Z77)+1)-FIND(":",'4.Electivos'!Z77)-1),"")</f>
        <v/>
      </c>
      <c r="AH69" t="str">
        <f>IFERROR(MID('4.Electivos'!AA77,FIND(":",'4.Electivos'!AA77)+1,FIND(":",'4.Electivos'!AA77,FIND(":",'4.Electivos'!AA77)+1)-FIND(":",'4.Electivos'!AA77)-1),"")</f>
        <v/>
      </c>
      <c r="AI69" t="str">
        <f>IFERROR(MID('4.Electivos'!AB77,FIND(":",'4.Electivos'!AB77)+1,FIND(":",'4.Electivos'!AB77,FIND(":",'4.Electivos'!AB77)+1)-FIND(":",'4.Electivos'!AB77)-1),"")</f>
        <v/>
      </c>
      <c r="AJ69" t="str">
        <f>IFERROR(MID('4.Electivos'!AC77,FIND(":",'4.Electivos'!AC77)+1,FIND(":",'4.Electivos'!AC77,FIND(":",'4.Electivos'!AC77)+1)-FIND(":",'4.Electivos'!AC77)-1),"")</f>
        <v/>
      </c>
      <c r="AL69" t="str">
        <f t="shared" si="11"/>
        <v/>
      </c>
    </row>
    <row r="70" spans="1:38" ht="15.75">
      <c r="A70" t="str">
        <f>IF(AND(SUM('3.Plan de Estudios'!L57:O57)&gt;0,SUM('3.Plan de Estudios'!J57,'3.Plan de Estudios'!K57)&gt;0),"Teórico-Práctico",IF(SUM('3.Plan de Estudios'!J57,'3.Plan de Estudios'!K57)&gt;0,"Teórico","Práctico"))</f>
        <v>Práctico</v>
      </c>
      <c r="B70" t="str">
        <f>IF(AND(SUM('4.Electivos'!L44:O44)&gt;0,SUM('4.Electivos'!J44,'4.Electivos'!K44)&gt;0),"Teórico-Práctico",IF(SUM('4.Electivos'!J44,'4.Electivos'!K44)&gt;0,"Teórico","Práctico"))</f>
        <v>Teórico-Práctico</v>
      </c>
      <c r="I70" s="200" t="s">
        <v>2</v>
      </c>
      <c r="J70" s="200" t="s">
        <v>607</v>
      </c>
      <c r="K70" s="200" t="str">
        <f t="shared" si="13"/>
        <v>ECONOMÍA_SEMIPRESENCIAL</v>
      </c>
      <c r="L70" s="200" t="s">
        <v>764</v>
      </c>
      <c r="M70" s="200" t="s">
        <v>761</v>
      </c>
      <c r="N70" s="200" t="s">
        <v>762</v>
      </c>
      <c r="O70" s="200" t="s">
        <v>498</v>
      </c>
      <c r="P70" s="200" t="s">
        <v>628</v>
      </c>
      <c r="Q70" s="421">
        <v>60</v>
      </c>
      <c r="S70" t="s">
        <v>765</v>
      </c>
      <c r="T70" t="s">
        <v>6</v>
      </c>
      <c r="U70" t="str">
        <f t="shared" si="14"/>
        <v>RELACIONES INTERNACIONALES_PRESENCIAL</v>
      </c>
      <c r="V70" t="s">
        <v>766</v>
      </c>
      <c r="X70" t="str">
        <f>+'3.Plan de Estudios'!E33</f>
        <v>LENGUAJE II</v>
      </c>
      <c r="Y70" t="str">
        <f>IF('3.Plan de Estudios'!AE33="","",'3.Plan de Estudios'!AE33)</f>
        <v/>
      </c>
      <c r="Z70" t="str">
        <f t="shared" si="15"/>
        <v>LENGUAJE II-</v>
      </c>
      <c r="AA70" s="89" t="str">
        <f t="shared" si="3"/>
        <v/>
      </c>
      <c r="AB70" t="str">
        <f t="shared" si="12"/>
        <v/>
      </c>
      <c r="AC70" t="str">
        <f t="shared" si="16"/>
        <v/>
      </c>
      <c r="AD70" t="str">
        <f>CONCATENATE(AC318,AC319,AC320,AC321,AC322)</f>
        <v xml:space="preserve"> Desarrollo enseñanza y aprendizaje</v>
      </c>
      <c r="AF70" t="str">
        <f>IFERROR(MID('4.Electivos'!Y78,FIND(":",'4.Electivos'!Y78)+1,FIND(":",'4.Electivos'!Y78,FIND(":",'4.Electivos'!Y78)+1)-FIND(":",'4.Electivos'!Y78)-1),"")</f>
        <v/>
      </c>
      <c r="AG70" t="str">
        <f>IFERROR(MID('4.Electivos'!Z78,FIND(":",'4.Electivos'!Z78)+1,FIND(":",'4.Electivos'!Z78,FIND(":",'4.Electivos'!Z78)+1)-FIND(":",'4.Electivos'!Z78)-1),"")</f>
        <v/>
      </c>
      <c r="AH70" t="str">
        <f>IFERROR(MID('4.Electivos'!AA78,FIND(":",'4.Electivos'!AA78)+1,FIND(":",'4.Electivos'!AA78,FIND(":",'4.Electivos'!AA78)+1)-FIND(":",'4.Electivos'!AA78)-1),"")</f>
        <v/>
      </c>
      <c r="AI70" t="str">
        <f>IFERROR(MID('4.Electivos'!AB78,FIND(":",'4.Electivos'!AB78)+1,FIND(":",'4.Electivos'!AB78,FIND(":",'4.Electivos'!AB78)+1)-FIND(":",'4.Electivos'!AB78)-1),"")</f>
        <v/>
      </c>
      <c r="AJ70" t="str">
        <f>IFERROR(MID('4.Electivos'!AC78,FIND(":",'4.Electivos'!AC78)+1,FIND(":",'4.Electivos'!AC78,FIND(":",'4.Electivos'!AC78)+1)-FIND(":",'4.Electivos'!AC78)-1),"")</f>
        <v/>
      </c>
      <c r="AL70" t="str">
        <f t="shared" si="11"/>
        <v/>
      </c>
    </row>
    <row r="71" spans="1:38" ht="15.75">
      <c r="A71" t="str">
        <f>IF(AND(SUM('3.Plan de Estudios'!L58:O58)&gt;0,SUM('3.Plan de Estudios'!J58,'3.Plan de Estudios'!K58)&gt;0),"Teórico-Práctico",IF(SUM('3.Plan de Estudios'!J58,'3.Plan de Estudios'!K58)&gt;0,"Teórico","Práctico"))</f>
        <v>Práctico</v>
      </c>
      <c r="B71" t="str">
        <f>IF(AND(SUM('4.Electivos'!L45:O45)&gt;0,SUM('4.Electivos'!J45,'4.Electivos'!K45)&gt;0),"Teórico-Práctico",IF(SUM('4.Electivos'!J45,'4.Electivos'!K45)&gt;0,"Teórico","Práctico"))</f>
        <v>Práctico</v>
      </c>
      <c r="I71" s="200" t="s">
        <v>2</v>
      </c>
      <c r="J71" s="200" t="s">
        <v>607</v>
      </c>
      <c r="K71" s="200" t="str">
        <f t="shared" si="13"/>
        <v>ECONOMÍA_A DISTANCIA</v>
      </c>
      <c r="L71" s="200" t="s">
        <v>767</v>
      </c>
      <c r="M71" s="200" t="s">
        <v>761</v>
      </c>
      <c r="N71" s="200" t="s">
        <v>762</v>
      </c>
      <c r="O71" s="200" t="s">
        <v>494</v>
      </c>
      <c r="P71" s="200" t="s">
        <v>628</v>
      </c>
      <c r="Q71" s="421">
        <v>60</v>
      </c>
      <c r="S71" t="s">
        <v>565</v>
      </c>
      <c r="T71" t="s">
        <v>498</v>
      </c>
      <c r="U71" t="str">
        <f t="shared" si="14"/>
        <v>INGENIERÍA INDUSTRIAL_SEMIPRESENCIAL</v>
      </c>
      <c r="V71" t="s">
        <v>571</v>
      </c>
      <c r="X71" t="str">
        <f>+'3.Plan de Estudios'!E33</f>
        <v>LENGUAJE II</v>
      </c>
      <c r="Y71" t="str">
        <f>IF('3.Plan de Estudios'!AG33="","",'3.Plan de Estudios'!AG33)</f>
        <v/>
      </c>
      <c r="Z71" t="str">
        <f t="shared" si="15"/>
        <v>LENGUAJE II-</v>
      </c>
      <c r="AA71" s="89" t="str">
        <f t="shared" si="3"/>
        <v/>
      </c>
      <c r="AB71" t="str">
        <f t="shared" si="12"/>
        <v/>
      </c>
      <c r="AC71" t="str">
        <f t="shared" si="16"/>
        <v/>
      </c>
      <c r="AD71" t="str">
        <f>CONCATENATE(AC323,AC324,AC325,AC326,AC327)</f>
        <v/>
      </c>
      <c r="AF71" t="str">
        <f>IFERROR(MID('4.Electivos'!Y79,FIND(":",'4.Electivos'!Y79)+1,FIND(":",'4.Electivos'!Y79,FIND(":",'4.Electivos'!Y79)+1)-FIND(":",'4.Electivos'!Y79)-1),"")</f>
        <v/>
      </c>
      <c r="AG71" t="str">
        <f>IFERROR(MID('4.Electivos'!Z79,FIND(":",'4.Electivos'!Z79)+1,FIND(":",'4.Electivos'!Z79,FIND(":",'4.Electivos'!Z79)+1)-FIND(":",'4.Electivos'!Z79)-1),"")</f>
        <v/>
      </c>
      <c r="AH71" t="str">
        <f>IFERROR(MID('4.Electivos'!AA79,FIND(":",'4.Electivos'!AA79)+1,FIND(":",'4.Electivos'!AA79,FIND(":",'4.Electivos'!AA79)+1)-FIND(":",'4.Electivos'!AA79)-1),"")</f>
        <v/>
      </c>
      <c r="AI71" t="str">
        <f>IFERROR(MID('4.Electivos'!AB79,FIND(":",'4.Electivos'!AB79)+1,FIND(":",'4.Electivos'!AB79,FIND(":",'4.Electivos'!AB79)+1)-FIND(":",'4.Electivos'!AB79)-1),"")</f>
        <v/>
      </c>
      <c r="AJ71" t="str">
        <f>IFERROR(MID('4.Electivos'!AC79,FIND(":",'4.Electivos'!AC79)+1,FIND(":",'4.Electivos'!AC79,FIND(":",'4.Electivos'!AC79)+1)-FIND(":",'4.Electivos'!AC79)-1),"")</f>
        <v/>
      </c>
      <c r="AL71" t="str">
        <f t="shared" si="11"/>
        <v/>
      </c>
    </row>
    <row r="72" spans="1:38" ht="15.75">
      <c r="A72" t="str">
        <f>IF(AND(SUM('3.Plan de Estudios'!L59:O59)&gt;0,SUM('3.Plan de Estudios'!J59,'3.Plan de Estudios'!K59)&gt;0),"Teórico-Práctico",IF(SUM('3.Plan de Estudios'!J59,'3.Plan de Estudios'!K59)&gt;0,"Teórico","Práctico"))</f>
        <v>Práctico</v>
      </c>
      <c r="B72" t="str">
        <f>IF(AND(SUM('4.Electivos'!L46:O46)&gt;0,SUM('4.Electivos'!J46,'4.Electivos'!K46)&gt;0),"Teórico-Práctico",IF(SUM('4.Electivos'!J46,'4.Electivos'!K46)&gt;0,"Teórico","Práctico"))</f>
        <v>Práctico</v>
      </c>
      <c r="I72" s="200" t="s">
        <v>2</v>
      </c>
      <c r="J72" s="200" t="s">
        <v>613</v>
      </c>
      <c r="K72" s="200" t="str">
        <f t="shared" si="13"/>
        <v>ECONOMÍA Y FINANZAS_PRESENCIAL</v>
      </c>
      <c r="L72" s="200" t="s">
        <v>614</v>
      </c>
      <c r="M72" s="200" t="s">
        <v>768</v>
      </c>
      <c r="N72" s="200" t="s">
        <v>769</v>
      </c>
      <c r="O72" s="200" t="s">
        <v>6</v>
      </c>
      <c r="P72" s="200" t="s">
        <v>628</v>
      </c>
      <c r="Q72" s="421">
        <v>60</v>
      </c>
      <c r="S72" t="s">
        <v>574</v>
      </c>
      <c r="T72" t="s">
        <v>498</v>
      </c>
      <c r="U72" t="str">
        <f t="shared" si="14"/>
        <v>MARKETING Y GESTIÓN COMERCIAL_SEMIPRESENCIAL</v>
      </c>
      <c r="V72" t="s">
        <v>580</v>
      </c>
      <c r="X72" t="str">
        <f>+'3.Plan de Estudios'!E33</f>
        <v>LENGUAJE II</v>
      </c>
      <c r="Y72" t="str">
        <f>IF('3.Plan de Estudios'!AI33="","",'3.Plan de Estudios'!AI33)</f>
        <v/>
      </c>
      <c r="Z72" t="str">
        <f t="shared" si="15"/>
        <v>LENGUAJE II-</v>
      </c>
      <c r="AA72" s="89" t="str">
        <f t="shared" si="3"/>
        <v/>
      </c>
      <c r="AB72" t="str">
        <f t="shared" si="12"/>
        <v/>
      </c>
      <c r="AC72" t="str">
        <f t="shared" si="16"/>
        <v/>
      </c>
      <c r="AD72" t="str">
        <f>CONCATENATE(AC328,AC329,AC330,AC331,AC332)</f>
        <v/>
      </c>
      <c r="AF72" t="str">
        <f>IFERROR(MID('4.Electivos'!Y80,FIND(":",'4.Electivos'!Y80)+1,FIND(":",'4.Electivos'!Y80,FIND(":",'4.Electivos'!Y80)+1)-FIND(":",'4.Electivos'!Y80)-1),"")</f>
        <v/>
      </c>
      <c r="AG72" t="str">
        <f>IFERROR(MID('4.Electivos'!Z80,FIND(":",'4.Electivos'!Z80)+1,FIND(":",'4.Electivos'!Z80,FIND(":",'4.Electivos'!Z80)+1)-FIND(":",'4.Electivos'!Z80)-1),"")</f>
        <v/>
      </c>
      <c r="AH72" t="str">
        <f>IFERROR(MID('4.Electivos'!AA80,FIND(":",'4.Electivos'!AA80)+1,FIND(":",'4.Electivos'!AA80,FIND(":",'4.Electivos'!AA80)+1)-FIND(":",'4.Electivos'!AA80)-1),"")</f>
        <v/>
      </c>
      <c r="AI72" t="str">
        <f>IFERROR(MID('4.Electivos'!AB80,FIND(":",'4.Electivos'!AB80)+1,FIND(":",'4.Electivos'!AB80,FIND(":",'4.Electivos'!AB80)+1)-FIND(":",'4.Electivos'!AB80)-1),"")</f>
        <v/>
      </c>
      <c r="AJ72" t="str">
        <f>IFERROR(MID('4.Electivos'!AC80,FIND(":",'4.Electivos'!AC80)+1,FIND(":",'4.Electivos'!AC80,FIND(":",'4.Electivos'!AC80)+1)-FIND(":",'4.Electivos'!AC80)-1),"")</f>
        <v/>
      </c>
      <c r="AL72" t="str">
        <f t="shared" si="11"/>
        <v/>
      </c>
    </row>
    <row r="73" spans="1:38" ht="15.75">
      <c r="A73" t="str">
        <f>IF(AND(SUM('3.Plan de Estudios'!L60:O60)&gt;0,SUM('3.Plan de Estudios'!J60,'3.Plan de Estudios'!K60)&gt;0),"Teórico-Práctico",IF(SUM('3.Plan de Estudios'!J60,'3.Plan de Estudios'!K60)&gt;0,"Teórico","Práctico"))</f>
        <v>Práctico</v>
      </c>
      <c r="B73" t="str">
        <f>IF(AND(SUM('4.Electivos'!L47:O47)&gt;0,SUM('4.Electivos'!J47,'4.Electivos'!K47)&gt;0),"Teórico-Práctico",IF(SUM('4.Electivos'!J47,'4.Electivos'!K47)&gt;0,"Teórico","Práctico"))</f>
        <v>Práctico</v>
      </c>
      <c r="I73" s="200" t="s">
        <v>2</v>
      </c>
      <c r="J73" s="200" t="s">
        <v>613</v>
      </c>
      <c r="K73" s="200" t="str">
        <f t="shared" si="13"/>
        <v>ECONOMÍA Y FINANZAS_SEMIPRESENCIAL</v>
      </c>
      <c r="L73" s="200" t="s">
        <v>770</v>
      </c>
      <c r="M73" s="200" t="s">
        <v>768</v>
      </c>
      <c r="N73" s="200" t="s">
        <v>769</v>
      </c>
      <c r="O73" s="200" t="s">
        <v>498</v>
      </c>
      <c r="P73" s="200" t="s">
        <v>628</v>
      </c>
      <c r="Q73" s="421">
        <v>60</v>
      </c>
      <c r="S73" t="s">
        <v>583</v>
      </c>
      <c r="T73" t="s">
        <v>498</v>
      </c>
      <c r="U73" t="str">
        <f t="shared" si="14"/>
        <v>NEGOCIOS INTERNACIONALES_SEMIPRESENCIAL</v>
      </c>
      <c r="V73" t="s">
        <v>589</v>
      </c>
      <c r="X73" s="187" t="str">
        <f>+'3.Plan de Estudios'!E34</f>
        <v>MARKETING</v>
      </c>
      <c r="Y73" t="str">
        <f>IF('3.Plan de Estudios'!AA34="","",'3.Plan de Estudios'!AA34)</f>
        <v>CG4: Gestión de Recursos:N1 Reconoce la teoría de gestión y sus componentes de manera aplicada para comprender la lógica empresarial.</v>
      </c>
      <c r="Z73" t="str">
        <f t="shared" si="15"/>
        <v xml:space="preserve">MARKETING-CG4: Gestión de Recursos:N1 Reconoce la teoría de gestión y sus componentes de manera aplicada para </v>
      </c>
      <c r="AA73" s="89" t="str">
        <f t="shared" si="3"/>
        <v>a</v>
      </c>
      <c r="AB73" t="str">
        <f t="shared" si="12"/>
        <v xml:space="preserve"> Gestión de Recursos</v>
      </c>
      <c r="AC73" t="str">
        <f>AB73</f>
        <v xml:space="preserve"> Gestión de Recursos</v>
      </c>
      <c r="AD73" t="str">
        <f>CONCATENATE(AC333,AC334,AC335,AC336,AC337)</f>
        <v/>
      </c>
      <c r="AF73" t="str">
        <f>IFERROR(MID('4.Electivos'!Y81,FIND(":",'4.Electivos'!Y81)+1,FIND(":",'4.Electivos'!Y81,FIND(":",'4.Electivos'!Y81)+1)-FIND(":",'4.Electivos'!Y81)-1),"")</f>
        <v/>
      </c>
      <c r="AG73" t="str">
        <f>IFERROR(MID('4.Electivos'!Z81,FIND(":",'4.Electivos'!Z81)+1,FIND(":",'4.Electivos'!Z81,FIND(":",'4.Electivos'!Z81)+1)-FIND(":",'4.Electivos'!Z81)-1),"")</f>
        <v/>
      </c>
      <c r="AH73" t="str">
        <f>IFERROR(MID('4.Electivos'!AA81,FIND(":",'4.Electivos'!AA81)+1,FIND(":",'4.Electivos'!AA81,FIND(":",'4.Electivos'!AA81)+1)-FIND(":",'4.Electivos'!AA81)-1),"")</f>
        <v/>
      </c>
      <c r="AI73" t="str">
        <f>IFERROR(MID('4.Electivos'!AB81,FIND(":",'4.Electivos'!AB81)+1,FIND(":",'4.Electivos'!AB81,FIND(":",'4.Electivos'!AB81)+1)-FIND(":",'4.Electivos'!AB81)-1),"")</f>
        <v/>
      </c>
      <c r="AJ73" t="str">
        <f>IFERROR(MID('4.Electivos'!AC81,FIND(":",'4.Electivos'!AC81)+1,FIND(":",'4.Electivos'!AC81,FIND(":",'4.Electivos'!AC81)+1)-FIND(":",'4.Electivos'!AC81)-1),"")</f>
        <v/>
      </c>
      <c r="AL73" t="str">
        <f t="shared" si="11"/>
        <v/>
      </c>
    </row>
    <row r="74" spans="1:38" ht="15.75">
      <c r="A74" t="str">
        <f>IF(AND(SUM('3.Plan de Estudios'!L61:O61)&gt;0,SUM('3.Plan de Estudios'!J61,'3.Plan de Estudios'!K61)&gt;0),"Teórico-Práctico",IF(SUM('3.Plan de Estudios'!J61,'3.Plan de Estudios'!K61)&gt;0,"Teórico","Práctico"))</f>
        <v>Práctico</v>
      </c>
      <c r="B74" t="str">
        <f>IF(AND(SUM('4.Electivos'!L48:O48)&gt;0,SUM('4.Electivos'!J48,'4.Electivos'!K48)&gt;0),"Teórico-Práctico",IF(SUM('4.Electivos'!J48,'4.Electivos'!K48)&gt;0,"Teórico","Práctico"))</f>
        <v>Práctico</v>
      </c>
      <c r="I74" s="200" t="s">
        <v>2</v>
      </c>
      <c r="J74" s="200" t="s">
        <v>613</v>
      </c>
      <c r="K74" s="200" t="str">
        <f t="shared" si="13"/>
        <v>ECONOMÍA Y FINANZAS_A DISTANCIA</v>
      </c>
      <c r="L74" s="200" t="s">
        <v>771</v>
      </c>
      <c r="M74" s="200" t="s">
        <v>768</v>
      </c>
      <c r="N74" s="200" t="s">
        <v>769</v>
      </c>
      <c r="O74" s="200" t="s">
        <v>494</v>
      </c>
      <c r="P74" s="200" t="s">
        <v>628</v>
      </c>
      <c r="Q74" s="421">
        <v>60</v>
      </c>
      <c r="S74" t="s">
        <v>488</v>
      </c>
      <c r="T74" t="s">
        <v>494</v>
      </c>
      <c r="U74" t="str">
        <f t="shared" si="14"/>
        <v>ADMINISTRACIÓN DE EMPRESAS_A DISTANCIA</v>
      </c>
      <c r="V74" t="s">
        <v>502</v>
      </c>
      <c r="X74" s="187" t="str">
        <f>+'3.Plan de Estudios'!E34</f>
        <v>MARKETING</v>
      </c>
      <c r="Y74" t="str">
        <f>IF('3.Plan de Estudios'!AC34="","",'3.Plan de Estudios'!AC34)</f>
        <v/>
      </c>
      <c r="Z74" t="str">
        <f t="shared" si="15"/>
        <v>MARKETING-</v>
      </c>
      <c r="AA74" s="89" t="str">
        <f t="shared" si="3"/>
        <v/>
      </c>
      <c r="AB74" t="str">
        <f t="shared" si="12"/>
        <v/>
      </c>
      <c r="AC74" t="str">
        <f t="shared" si="16"/>
        <v/>
      </c>
      <c r="AD74" t="str">
        <f>CONCATENATE(AC338,AC339,AC340,AC341,AC342)</f>
        <v/>
      </c>
      <c r="AF74" t="str">
        <f>IFERROR(MID('4.Electivos'!Y82,FIND(":",'4.Electivos'!Y82)+1,FIND(":",'4.Electivos'!Y82,FIND(":",'4.Electivos'!Y82)+1)-FIND(":",'4.Electivos'!Y82)-1),"")</f>
        <v/>
      </c>
      <c r="AG74" t="str">
        <f>IFERROR(MID('4.Electivos'!Z82,FIND(":",'4.Electivos'!Z82)+1,FIND(":",'4.Electivos'!Z82,FIND(":",'4.Electivos'!Z82)+1)-FIND(":",'4.Electivos'!Z82)-1),"")</f>
        <v/>
      </c>
      <c r="AH74" t="str">
        <f>IFERROR(MID('4.Electivos'!AA82,FIND(":",'4.Electivos'!AA82)+1,FIND(":",'4.Electivos'!AA82,FIND(":",'4.Electivos'!AA82)+1)-FIND(":",'4.Electivos'!AA82)-1),"")</f>
        <v/>
      </c>
      <c r="AI74" t="str">
        <f>IFERROR(MID('4.Electivos'!AB82,FIND(":",'4.Electivos'!AB82)+1,FIND(":",'4.Electivos'!AB82,FIND(":",'4.Electivos'!AB82)+1)-FIND(":",'4.Electivos'!AB82)-1),"")</f>
        <v/>
      </c>
      <c r="AJ74" t="str">
        <f>IFERROR(MID('4.Electivos'!AC82,FIND(":",'4.Electivos'!AC82)+1,FIND(":",'4.Electivos'!AC82,FIND(":",'4.Electivos'!AC82)+1)-FIND(":",'4.Electivos'!AC82)-1),"")</f>
        <v/>
      </c>
      <c r="AL74" t="str">
        <f t="shared" si="11"/>
        <v/>
      </c>
    </row>
    <row r="75" spans="1:38" ht="15.75">
      <c r="A75" t="str">
        <f>IF(AND(SUM('3.Plan de Estudios'!L63:O63)&gt;0,SUM('3.Plan de Estudios'!J63,'3.Plan de Estudios'!K63)&gt;0),"Teórico-Práctico",IF(SUM('3.Plan de Estudios'!J63,'3.Plan de Estudios'!K63)&gt;0,"Teórico","Práctico"))</f>
        <v>Teórico-Práctico</v>
      </c>
      <c r="B75" t="str">
        <f>IF(AND(SUM('4.Electivos'!L49:O49)&gt;0,SUM('4.Electivos'!J49,'4.Electivos'!K49)&gt;0),"Teórico-Práctico",IF(SUM('4.Electivos'!J49,'4.Electivos'!K49)&gt;0,"Teórico","Práctico"))</f>
        <v>Teórico</v>
      </c>
      <c r="I75" s="200" t="s">
        <v>2</v>
      </c>
      <c r="J75" s="200" t="s">
        <v>618</v>
      </c>
      <c r="K75" s="200" t="str">
        <f t="shared" si="13"/>
        <v>ECONOMÍA Y NEGOCIOS INTERNACIONALES_PRESENCIAL</v>
      </c>
      <c r="L75" s="200" t="s">
        <v>619</v>
      </c>
      <c r="M75" s="200" t="s">
        <v>772</v>
      </c>
      <c r="N75" s="200" t="s">
        <v>773</v>
      </c>
      <c r="O75" s="200" t="s">
        <v>6</v>
      </c>
      <c r="P75" s="200" t="s">
        <v>628</v>
      </c>
      <c r="Q75" s="421">
        <v>60</v>
      </c>
      <c r="S75" t="s">
        <v>526</v>
      </c>
      <c r="T75" t="s">
        <v>498</v>
      </c>
      <c r="U75" t="str">
        <f t="shared" si="14"/>
        <v>CONTABILIDAD_SEMIPRESENCIAL</v>
      </c>
      <c r="V75" t="s">
        <v>533</v>
      </c>
      <c r="X75" s="187" t="str">
        <f>+'3.Plan de Estudios'!E34</f>
        <v>MARKETING</v>
      </c>
      <c r="Y75" t="str">
        <f>IF('3.Plan de Estudios'!AE34="","",'3.Plan de Estudios'!AE34)</f>
        <v/>
      </c>
      <c r="Z75" t="str">
        <f t="shared" si="15"/>
        <v>MARKETING-</v>
      </c>
      <c r="AA75" s="89" t="str">
        <f t="shared" si="3"/>
        <v/>
      </c>
      <c r="AB75" t="str">
        <f t="shared" si="12"/>
        <v/>
      </c>
      <c r="AC75" t="str">
        <f t="shared" si="16"/>
        <v/>
      </c>
      <c r="AD75" t="str">
        <f>CONCATENATE(AC343,AC344,AC345,AC346,AC347)</f>
        <v/>
      </c>
      <c r="AF75" t="str">
        <f>IFERROR(MID('4.Electivos'!Y83,FIND(":",'4.Electivos'!Y83)+1,FIND(":",'4.Electivos'!Y83,FIND(":",'4.Electivos'!Y83)+1)-FIND(":",'4.Electivos'!Y83)-1),"")</f>
        <v/>
      </c>
      <c r="AG75" t="str">
        <f>IFERROR(MID('4.Electivos'!Z83,FIND(":",'4.Electivos'!Z83)+1,FIND(":",'4.Electivos'!Z83,FIND(":",'4.Electivos'!Z83)+1)-FIND(":",'4.Electivos'!Z83)-1),"")</f>
        <v/>
      </c>
      <c r="AH75" t="str">
        <f>IFERROR(MID('4.Electivos'!AA83,FIND(":",'4.Electivos'!AA83)+1,FIND(":",'4.Electivos'!AA83,FIND(":",'4.Electivos'!AA83)+1)-FIND(":",'4.Electivos'!AA83)-1),"")</f>
        <v/>
      </c>
      <c r="AI75" t="str">
        <f>IFERROR(MID('4.Electivos'!AB83,FIND(":",'4.Electivos'!AB83)+1,FIND(":",'4.Electivos'!AB83,FIND(":",'4.Electivos'!AB83)+1)-FIND(":",'4.Electivos'!AB83)-1),"")</f>
        <v/>
      </c>
      <c r="AJ75" t="str">
        <f>IFERROR(MID('4.Electivos'!AC83,FIND(":",'4.Electivos'!AC83)+1,FIND(":",'4.Electivos'!AC83,FIND(":",'4.Electivos'!AC83)+1)-FIND(":",'4.Electivos'!AC83)-1),"")</f>
        <v/>
      </c>
      <c r="AL75" t="str">
        <f t="shared" si="11"/>
        <v/>
      </c>
    </row>
    <row r="76" spans="1:38" ht="15.75">
      <c r="A76" t="str">
        <f>IF(AND(SUM('3.Plan de Estudios'!L64:O64)&gt;0,SUM('3.Plan de Estudios'!J64,'3.Plan de Estudios'!K64)&gt;0),"Teórico-Práctico",IF(SUM('3.Plan de Estudios'!J64,'3.Plan de Estudios'!K64)&gt;0,"Teórico","Práctico"))</f>
        <v>Teórico-Práctico</v>
      </c>
      <c r="B76" t="str">
        <f>IF(AND(SUM('4.Electivos'!L50:O50)&gt;0,SUM('4.Electivos'!J50,'4.Electivos'!K50)&gt;0),"Teórico-Práctico",IF(SUM('4.Electivos'!J50,'4.Electivos'!K50)&gt;0,"Teórico","Práctico"))</f>
        <v>Teórico</v>
      </c>
      <c r="I76" s="200" t="s">
        <v>2</v>
      </c>
      <c r="J76" s="200" t="s">
        <v>618</v>
      </c>
      <c r="K76" s="200" t="str">
        <f t="shared" si="13"/>
        <v>ECONOMÍA Y NEGOCIOS INTERNACIONALES_SEMIPRESENCIAL</v>
      </c>
      <c r="L76" s="200" t="s">
        <v>774</v>
      </c>
      <c r="M76" s="200" t="s">
        <v>772</v>
      </c>
      <c r="N76" s="200" t="s">
        <v>773</v>
      </c>
      <c r="O76" s="200" t="s">
        <v>498</v>
      </c>
      <c r="P76" s="200" t="s">
        <v>628</v>
      </c>
      <c r="Q76" s="421">
        <v>60</v>
      </c>
      <c r="S76" t="s">
        <v>555</v>
      </c>
      <c r="T76" t="s">
        <v>498</v>
      </c>
      <c r="U76" t="str">
        <f t="shared" si="14"/>
        <v>INGENIERÍA EMPRESARIAL Y DE SISTEMAS_SEMIPRESENCIAL</v>
      </c>
      <c r="V76" t="s">
        <v>561</v>
      </c>
      <c r="X76" s="187" t="str">
        <f>+'3.Plan de Estudios'!E34</f>
        <v>MARKETING</v>
      </c>
      <c r="Y76" t="str">
        <f>IF('3.Plan de Estudios'!AG34="","",'3.Plan de Estudios'!AG34)</f>
        <v/>
      </c>
      <c r="Z76" t="str">
        <f t="shared" si="15"/>
        <v>MARKETING-</v>
      </c>
      <c r="AA76" s="89" t="str">
        <f t="shared" si="3"/>
        <v/>
      </c>
      <c r="AB76" t="str">
        <f t="shared" si="12"/>
        <v/>
      </c>
      <c r="AC76" t="str">
        <f t="shared" si="16"/>
        <v/>
      </c>
      <c r="AD76" t="str">
        <f>CONCATENATE(AC348,AC349,AC350,AC351,AC352)</f>
        <v/>
      </c>
      <c r="AF76" t="str">
        <f>IFERROR(MID('4.Electivos'!Y84,FIND(":",'4.Electivos'!Y84)+1,FIND(":",'4.Electivos'!Y84,FIND(":",'4.Electivos'!Y84)+1)-FIND(":",'4.Electivos'!Y84)-1),"")</f>
        <v/>
      </c>
      <c r="AG76" t="str">
        <f>IFERROR(MID('4.Electivos'!Z84,FIND(":",'4.Electivos'!Z84)+1,FIND(":",'4.Electivos'!Z84,FIND(":",'4.Electivos'!Z84)+1)-FIND(":",'4.Electivos'!Z84)-1),"")</f>
        <v/>
      </c>
      <c r="AH76" t="str">
        <f>IFERROR(MID('4.Electivos'!AA84,FIND(":",'4.Electivos'!AA84)+1,FIND(":",'4.Electivos'!AA84,FIND(":",'4.Electivos'!AA84)+1)-FIND(":",'4.Electivos'!AA84)-1),"")</f>
        <v/>
      </c>
      <c r="AI76" t="str">
        <f>IFERROR(MID('4.Electivos'!AB84,FIND(":",'4.Electivos'!AB84)+1,FIND(":",'4.Electivos'!AB84,FIND(":",'4.Electivos'!AB84)+1)-FIND(":",'4.Electivos'!AB84)-1),"")</f>
        <v/>
      </c>
      <c r="AJ76" t="str">
        <f>IFERROR(MID('4.Electivos'!AC84,FIND(":",'4.Electivos'!AC84)+1,FIND(":",'4.Electivos'!AC84,FIND(":",'4.Electivos'!AC84)+1)-FIND(":",'4.Electivos'!AC84)-1),"")</f>
        <v/>
      </c>
      <c r="AL76" t="str">
        <f t="shared" si="11"/>
        <v/>
      </c>
    </row>
    <row r="77" spans="1:38" ht="15.75">
      <c r="A77" t="str">
        <f>IF(AND(SUM('3.Plan de Estudios'!L65:O65)&gt;0,SUM('3.Plan de Estudios'!J65,'3.Plan de Estudios'!K65)&gt;0),"Teórico-Práctico",IF(SUM('3.Plan de Estudios'!J65,'3.Plan de Estudios'!K65)&gt;0,"Teórico","Práctico"))</f>
        <v>Teórico-Práctico</v>
      </c>
      <c r="B77" t="str">
        <f>IF(AND(SUM('4.Electivos'!L51:O51)&gt;0,SUM('4.Electivos'!J51,'4.Electivos'!K51)&gt;0),"Teórico-Práctico",IF(SUM('4.Electivos'!J51,'4.Electivos'!K51)&gt;0,"Teórico","Práctico"))</f>
        <v>Teórico</v>
      </c>
      <c r="I77" s="200" t="s">
        <v>2</v>
      </c>
      <c r="J77" s="200" t="s">
        <v>618</v>
      </c>
      <c r="K77" s="200" t="str">
        <f t="shared" si="13"/>
        <v>ECONOMÍA Y NEGOCIOS INTERNACIONALES_A DISTANCIA</v>
      </c>
      <c r="L77" s="200" t="s">
        <v>775</v>
      </c>
      <c r="M77" s="200" t="s">
        <v>772</v>
      </c>
      <c r="N77" s="200" t="s">
        <v>773</v>
      </c>
      <c r="O77" s="200" t="s">
        <v>494</v>
      </c>
      <c r="P77" s="200" t="s">
        <v>628</v>
      </c>
      <c r="Q77" s="421">
        <v>60</v>
      </c>
      <c r="S77" t="s">
        <v>505</v>
      </c>
      <c r="T77" t="s">
        <v>498</v>
      </c>
      <c r="U77" t="str">
        <f t="shared" si="14"/>
        <v>ADMINISTRACIÓN Y FINANZAS_SEMIPRESENCIAL</v>
      </c>
      <c r="V77" t="s">
        <v>510</v>
      </c>
      <c r="X77" s="187" t="str">
        <f>+'3.Plan de Estudios'!E34</f>
        <v>MARKETING</v>
      </c>
      <c r="Y77" t="str">
        <f>IF('3.Plan de Estudios'!AI34="","",'3.Plan de Estudios'!AI34)</f>
        <v/>
      </c>
      <c r="Z77" t="str">
        <f t="shared" si="15"/>
        <v>MARKETING-</v>
      </c>
      <c r="AA77" s="89" t="str">
        <f t="shared" si="3"/>
        <v/>
      </c>
      <c r="AB77" t="str">
        <f t="shared" si="12"/>
        <v/>
      </c>
      <c r="AC77" t="str">
        <f t="shared" si="16"/>
        <v/>
      </c>
      <c r="AD77" t="str">
        <f>CONCATENATE(AC353,AC354,AC355,AC356,AC357)</f>
        <v xml:space="preserve"> Comprensión y expresión del idioma inglés</v>
      </c>
      <c r="AF77" t="str">
        <f>IFERROR(MID('4.Electivos'!Y85,FIND(":",'4.Electivos'!Y85)+1,FIND(":",'4.Electivos'!Y85,FIND(":",'4.Electivos'!Y85)+1)-FIND(":",'4.Electivos'!Y85)-1),"")</f>
        <v/>
      </c>
      <c r="AG77" t="str">
        <f>IFERROR(MID('4.Electivos'!Z85,FIND(":",'4.Electivos'!Z85)+1,FIND(":",'4.Electivos'!Z85,FIND(":",'4.Electivos'!Z85)+1)-FIND(":",'4.Electivos'!Z85)-1),"")</f>
        <v/>
      </c>
      <c r="AH77" t="str">
        <f>IFERROR(MID('4.Electivos'!AA85,FIND(":",'4.Electivos'!AA85)+1,FIND(":",'4.Electivos'!AA85,FIND(":",'4.Electivos'!AA85)+1)-FIND(":",'4.Electivos'!AA85)-1),"")</f>
        <v/>
      </c>
      <c r="AI77" t="str">
        <f>IFERROR(MID('4.Electivos'!AB85,FIND(":",'4.Electivos'!AB85)+1,FIND(":",'4.Electivos'!AB85,FIND(":",'4.Electivos'!AB85)+1)-FIND(":",'4.Electivos'!AB85)-1),"")</f>
        <v/>
      </c>
      <c r="AJ77" t="str">
        <f>IFERROR(MID('4.Electivos'!AC85,FIND(":",'4.Electivos'!AC85)+1,FIND(":",'4.Electivos'!AC85,FIND(":",'4.Electivos'!AC85)+1)-FIND(":",'4.Electivos'!AC85)-1),"")</f>
        <v/>
      </c>
      <c r="AL77" t="str">
        <f t="shared" si="11"/>
        <v/>
      </c>
    </row>
    <row r="78" spans="1:38" ht="15.75">
      <c r="A78" t="str">
        <f>IF(AND(SUM('3.Plan de Estudios'!L66:O66)&gt;0,SUM('3.Plan de Estudios'!J66,'3.Plan de Estudios'!K66)&gt;0),"Teórico-Práctico",IF(SUM('3.Plan de Estudios'!J66,'3.Plan de Estudios'!K66)&gt;0,"Teórico","Práctico"))</f>
        <v>Teórico-Práctico</v>
      </c>
      <c r="B78" t="str">
        <f>IF(AND(SUM('4.Electivos'!L52:O52)&gt;0,SUM('4.Electivos'!J52,'4.Electivos'!K52)&gt;0),"Teórico-Práctico",IF(SUM('4.Electivos'!J52,'4.Electivos'!K52)&gt;0,"Teórico","Práctico"))</f>
        <v>Teórico</v>
      </c>
      <c r="I78" s="200" t="s">
        <v>2</v>
      </c>
      <c r="J78" s="200" t="s">
        <v>776</v>
      </c>
      <c r="K78" s="200" t="str">
        <f t="shared" si="13"/>
        <v>EDUCACIÓN_PRESENCIAL</v>
      </c>
      <c r="L78" s="200" t="s">
        <v>624</v>
      </c>
      <c r="M78" s="200" t="s">
        <v>777</v>
      </c>
      <c r="N78" s="200" t="s">
        <v>778</v>
      </c>
      <c r="O78" s="200" t="s">
        <v>6</v>
      </c>
      <c r="P78" s="200" t="s">
        <v>628</v>
      </c>
      <c r="Q78" s="421">
        <v>60</v>
      </c>
      <c r="S78" t="s">
        <v>515</v>
      </c>
      <c r="T78" t="s">
        <v>498</v>
      </c>
      <c r="U78" t="str">
        <f t="shared" si="14"/>
        <v>COMUNICACIÓN Y PUBLICIDAD_SEMIPRESENCIAL</v>
      </c>
      <c r="V78" t="s">
        <v>522</v>
      </c>
      <c r="X78" s="202" t="str">
        <f>+'3.Plan de Estudios'!E35</f>
        <v>PSICOLOGÍA GENERAL</v>
      </c>
      <c r="Y78" s="202" t="str">
        <f>IF('3.Plan de Estudios'!AA35="","",'3.Plan de Estudios'!AA35)</f>
        <v xml:space="preserve">CP1: Orientación educativa:N1 Establece las orientaciones fundamentales del sentido educativo en los docentes y los alumnos. </v>
      </c>
      <c r="Z78" t="str">
        <f t="shared" si="15"/>
        <v>PSICOLOGÍA GENERAL-CP1: Orientación educativa:N1 Establece las orientaciones fundamentales del sentido educativo en los</v>
      </c>
      <c r="AA78" s="89" t="str">
        <f t="shared" si="3"/>
        <v>a</v>
      </c>
      <c r="AB78" t="str">
        <f t="shared" si="12"/>
        <v xml:space="preserve"> Orientación educativa</v>
      </c>
      <c r="AC78" t="str">
        <f>AB78</f>
        <v xml:space="preserve"> Orientación educativa</v>
      </c>
      <c r="AD78" t="str">
        <f>CONCATENATE(AC358,AC359,AC360,AC361,AC362)</f>
        <v xml:space="preserve"> Comprensión y expresión del idioma inglés, Comunicación Bilingüe</v>
      </c>
      <c r="AF78" t="str">
        <f>IFERROR(MID('4.Electivos'!Y86,FIND(":",'4.Electivos'!Y86)+1,FIND(":",'4.Electivos'!Y86,FIND(":",'4.Electivos'!Y86)+1)-FIND(":",'4.Electivos'!Y86)-1),"")</f>
        <v/>
      </c>
      <c r="AG78" t="str">
        <f>IFERROR(MID('4.Electivos'!Z86,FIND(":",'4.Electivos'!Z86)+1,FIND(":",'4.Electivos'!Z86,FIND(":",'4.Electivos'!Z86)+1)-FIND(":",'4.Electivos'!Z86)-1),"")</f>
        <v/>
      </c>
      <c r="AH78" t="str">
        <f>IFERROR(MID('4.Electivos'!AA86,FIND(":",'4.Electivos'!AA86)+1,FIND(":",'4.Electivos'!AA86,FIND(":",'4.Electivos'!AA86)+1)-FIND(":",'4.Electivos'!AA86)-1),"")</f>
        <v/>
      </c>
      <c r="AI78" t="str">
        <f>IFERROR(MID('4.Electivos'!AB86,FIND(":",'4.Electivos'!AB86)+1,FIND(":",'4.Electivos'!AB86,FIND(":",'4.Electivos'!AB86)+1)-FIND(":",'4.Electivos'!AB86)-1),"")</f>
        <v/>
      </c>
      <c r="AJ78" t="str">
        <f>IFERROR(MID('4.Electivos'!AC86,FIND(":",'4.Electivos'!AC86)+1,FIND(":",'4.Electivos'!AC86,FIND(":",'4.Electivos'!AC86)+1)-FIND(":",'4.Electivos'!AC86)-1),"")</f>
        <v/>
      </c>
      <c r="AL78" t="str">
        <f t="shared" si="11"/>
        <v/>
      </c>
    </row>
    <row r="79" spans="1:38" ht="15.75">
      <c r="A79" t="str">
        <f>IF(AND(SUM('3.Plan de Estudios'!L67:O67)&gt;0,SUM('3.Plan de Estudios'!J67,'3.Plan de Estudios'!K67)&gt;0),"Teórico-Práctico",IF(SUM('3.Plan de Estudios'!J67,'3.Plan de Estudios'!K67)&gt;0,"Teórico","Práctico"))</f>
        <v>Teórico</v>
      </c>
      <c r="B79" t="str">
        <f>IF(AND(SUM('4.Electivos'!L53:O53)&gt;0,SUM('4.Electivos'!J53,'4.Electivos'!K53)&gt;0),"Teórico-Práctico",IF(SUM('4.Electivos'!J53,'4.Electivos'!K53)&gt;0,"Teórico","Práctico"))</f>
        <v>Teórico</v>
      </c>
      <c r="I79" s="200" t="s">
        <v>2</v>
      </c>
      <c r="J79" s="200" t="s">
        <v>629</v>
      </c>
      <c r="K79" s="200" t="str">
        <f t="shared" si="13"/>
        <v>EDUCACIÓN CON ESPECIALIDAD EN CIENCIA Y TECNOLOGÍA_PRESENCIAL</v>
      </c>
      <c r="L79" s="200" t="s">
        <v>630</v>
      </c>
      <c r="M79" s="200" t="s">
        <v>777</v>
      </c>
      <c r="N79" s="200" t="s">
        <v>779</v>
      </c>
      <c r="O79" s="200" t="s">
        <v>6</v>
      </c>
      <c r="P79" s="200" t="s">
        <v>628</v>
      </c>
      <c r="Q79" s="421">
        <v>60</v>
      </c>
      <c r="S79" t="s">
        <v>737</v>
      </c>
      <c r="T79" t="s">
        <v>494</v>
      </c>
      <c r="U79" t="str">
        <f t="shared" si="14"/>
        <v>CIENCIA DE DATOS_A DISTANCIA</v>
      </c>
      <c r="V79" t="s">
        <v>738</v>
      </c>
      <c r="X79" s="202" t="str">
        <f>+'3.Plan de Estudios'!E35</f>
        <v>PSICOLOGÍA GENERAL</v>
      </c>
      <c r="Y79" s="202" t="str">
        <f>IF('3.Plan de Estudios'!AC35="","",'3.Plan de Estudios'!AC35)</f>
        <v/>
      </c>
      <c r="Z79" t="str">
        <f t="shared" si="15"/>
        <v>PSICOLOGÍA GENERAL-</v>
      </c>
      <c r="AA79" s="89" t="str">
        <f t="shared" si="3"/>
        <v/>
      </c>
      <c r="AB79" t="str">
        <f t="shared" si="12"/>
        <v/>
      </c>
      <c r="AC79" t="str">
        <f t="shared" si="16"/>
        <v/>
      </c>
      <c r="AD79" t="str">
        <f>CONCATENATE(AC363,AC364,AC365,AC366,AC367)</f>
        <v xml:space="preserve"> Investigación Educativa, Investigación</v>
      </c>
      <c r="AF79" t="str">
        <f>IFERROR(MID('4.Electivos'!Y87,FIND(":",'4.Electivos'!Y87)+1,FIND(":",'4.Electivos'!Y87,FIND(":",'4.Electivos'!Y87)+1)-FIND(":",'4.Electivos'!Y87)-1),"")</f>
        <v/>
      </c>
      <c r="AG79" t="str">
        <f>IFERROR(MID('4.Electivos'!Z87,FIND(":",'4.Electivos'!Z87)+1,FIND(":",'4.Electivos'!Z87,FIND(":",'4.Electivos'!Z87)+1)-FIND(":",'4.Electivos'!Z87)-1),"")</f>
        <v/>
      </c>
      <c r="AH79" t="str">
        <f>IFERROR(MID('4.Electivos'!AA87,FIND(":",'4.Electivos'!AA87)+1,FIND(":",'4.Electivos'!AA87,FIND(":",'4.Electivos'!AA87)+1)-FIND(":",'4.Electivos'!AA87)-1),"")</f>
        <v/>
      </c>
      <c r="AI79" t="str">
        <f>IFERROR(MID('4.Electivos'!AB87,FIND(":",'4.Electivos'!AB87)+1,FIND(":",'4.Electivos'!AB87,FIND(":",'4.Electivos'!AB87)+1)-FIND(":",'4.Electivos'!AB87)-1),"")</f>
        <v/>
      </c>
      <c r="AJ79" t="str">
        <f>IFERROR(MID('4.Electivos'!AC87,FIND(":",'4.Electivos'!AC87)+1,FIND(":",'4.Electivos'!AC87,FIND(":",'4.Electivos'!AC87)+1)-FIND(":",'4.Electivos'!AC87)-1),"")</f>
        <v/>
      </c>
      <c r="AL79" t="str">
        <f t="shared" si="11"/>
        <v/>
      </c>
    </row>
    <row r="80" spans="1:38" ht="15.75">
      <c r="A80" t="str">
        <f>IF(AND(SUM('3.Plan de Estudios'!L68:O68)&gt;0,SUM('3.Plan de Estudios'!J68,'3.Plan de Estudios'!K68)&gt;0),"Teórico-Práctico",IF(SUM('3.Plan de Estudios'!J68,'3.Plan de Estudios'!K68)&gt;0,"Teórico","Práctico"))</f>
        <v>Teórico</v>
      </c>
      <c r="B80" t="str">
        <f>IF(AND(SUM('4.Electivos'!L54:O54)&gt;0,SUM('4.Electivos'!J54,'4.Electivos'!K54)&gt;0),"Teórico-Práctico",IF(SUM('4.Electivos'!J54,'4.Electivos'!K54)&gt;0,"Teórico","Práctico"))</f>
        <v>Teórico-Práctico</v>
      </c>
      <c r="I80" s="200" t="s">
        <v>2</v>
      </c>
      <c r="J80" s="200" t="s">
        <v>632</v>
      </c>
      <c r="K80" s="200" t="str">
        <f t="shared" si="13"/>
        <v>EDUCACIÓN CON ESPECIALIDAD EN LETRAS Y HUMANIDADES_PRESENCIAL</v>
      </c>
      <c r="L80" s="200" t="s">
        <v>633</v>
      </c>
      <c r="M80" s="200" t="s">
        <v>777</v>
      </c>
      <c r="N80" s="200" t="s">
        <v>780</v>
      </c>
      <c r="O80" s="200" t="s">
        <v>6</v>
      </c>
      <c r="P80" s="200" t="s">
        <v>628</v>
      </c>
      <c r="Q80" s="421">
        <v>60</v>
      </c>
      <c r="X80" s="202" t="str">
        <f>+'3.Plan de Estudios'!E35</f>
        <v>PSICOLOGÍA GENERAL</v>
      </c>
      <c r="Y80" s="202" t="str">
        <f>IF('3.Plan de Estudios'!AE35="","",'3.Plan de Estudios'!AE35)</f>
        <v/>
      </c>
      <c r="Z80" t="str">
        <f t="shared" si="15"/>
        <v>PSICOLOGÍA GENERAL-</v>
      </c>
      <c r="AA80" s="89" t="str">
        <f t="shared" si="3"/>
        <v/>
      </c>
      <c r="AB80" t="str">
        <f t="shared" si="12"/>
        <v/>
      </c>
      <c r="AC80" t="str">
        <f t="shared" si="16"/>
        <v/>
      </c>
      <c r="AD80" t="str">
        <f>CONCATENATE(AC368,AC369,AC370,AC371,AC372)</f>
        <v xml:space="preserve"> Investigación Educativa, Desarrollo enseñanza y aprendizaje</v>
      </c>
      <c r="AF80" t="str">
        <f>IFERROR(MID('4.Electivos'!Y88,FIND(":",'4.Electivos'!Y88)+1,FIND(":",'4.Electivos'!Y88,FIND(":",'4.Electivos'!Y88)+1)-FIND(":",'4.Electivos'!Y88)-1),"")</f>
        <v/>
      </c>
      <c r="AG80" t="str">
        <f>IFERROR(MID('4.Electivos'!Z88,FIND(":",'4.Electivos'!Z88)+1,FIND(":",'4.Electivos'!Z88,FIND(":",'4.Electivos'!Z88)+1)-FIND(":",'4.Electivos'!Z88)-1),"")</f>
        <v/>
      </c>
      <c r="AH80" t="str">
        <f>IFERROR(MID('4.Electivos'!AA88,FIND(":",'4.Electivos'!AA88)+1,FIND(":",'4.Electivos'!AA88,FIND(":",'4.Electivos'!AA88)+1)-FIND(":",'4.Electivos'!AA88)-1),"")</f>
        <v/>
      </c>
      <c r="AI80" t="str">
        <f>IFERROR(MID('4.Electivos'!AB88,FIND(":",'4.Electivos'!AB88)+1,FIND(":",'4.Electivos'!AB88,FIND(":",'4.Electivos'!AB88)+1)-FIND(":",'4.Electivos'!AB88)-1),"")</f>
        <v/>
      </c>
      <c r="AJ80" t="str">
        <f>IFERROR(MID('4.Electivos'!AC88,FIND(":",'4.Electivos'!AC88)+1,FIND(":",'4.Electivos'!AC88,FIND(":",'4.Electivos'!AC88)+1)-FIND(":",'4.Electivos'!AC88)-1),"")</f>
        <v/>
      </c>
      <c r="AL80" t="str">
        <f t="shared" si="11"/>
        <v/>
      </c>
    </row>
    <row r="81" spans="1:38" ht="15.75">
      <c r="A81" t="str">
        <f>IF(AND(SUM('3.Plan de Estudios'!L69:O69)&gt;0,SUM('3.Plan de Estudios'!J69,'3.Plan de Estudios'!K69)&gt;0),"Teórico-Práctico",IF(SUM('3.Plan de Estudios'!J69,'3.Plan de Estudios'!K69)&gt;0,"Teórico","Práctico"))</f>
        <v>Práctico</v>
      </c>
      <c r="B81" t="str">
        <f>IF(AND(SUM('4.Electivos'!L55:O55)&gt;0,SUM('4.Electivos'!J55,'4.Electivos'!K55)&gt;0),"Teórico-Práctico",IF(SUM('4.Electivos'!J55,'4.Electivos'!K55)&gt;0,"Teórico","Práctico"))</f>
        <v>Práctico</v>
      </c>
      <c r="I81" s="200" t="s">
        <v>2</v>
      </c>
      <c r="J81" s="200" t="s">
        <v>635</v>
      </c>
      <c r="K81" s="200" t="str">
        <f t="shared" si="13"/>
        <v>EDUCACIÓN INICIAL_PRESENCIAL</v>
      </c>
      <c r="L81" s="200" t="s">
        <v>636</v>
      </c>
      <c r="M81" s="200" t="s">
        <v>777</v>
      </c>
      <c r="N81" s="200" t="s">
        <v>781</v>
      </c>
      <c r="O81" s="200" t="s">
        <v>6</v>
      </c>
      <c r="P81" s="200" t="s">
        <v>628</v>
      </c>
      <c r="Q81" s="421">
        <v>60</v>
      </c>
      <c r="X81" s="202" t="str">
        <f>+'3.Plan de Estudios'!E35</f>
        <v>PSICOLOGÍA GENERAL</v>
      </c>
      <c r="Y81" s="202" t="str">
        <f>IF('3.Plan de Estudios'!AG35="","",'3.Plan de Estudios'!AG35)</f>
        <v/>
      </c>
      <c r="Z81" t="str">
        <f t="shared" si="15"/>
        <v>PSICOLOGÍA GENERAL-</v>
      </c>
      <c r="AA81" s="89" t="str">
        <f t="shared" si="3"/>
        <v/>
      </c>
      <c r="AB81" t="str">
        <f t="shared" si="12"/>
        <v/>
      </c>
      <c r="AC81" t="str">
        <f t="shared" si="16"/>
        <v/>
      </c>
      <c r="AD81" t="str">
        <f>CONCATENATE(AC373,AC374,AC375,AC376,AC377)</f>
        <v/>
      </c>
      <c r="AF81" t="str">
        <f>IFERROR(MID('4.Electivos'!Y89,FIND(":",'4.Electivos'!Y89)+1,FIND(":",'4.Electivos'!Y89,FIND(":",'4.Electivos'!Y89)+1)-FIND(":",'4.Electivos'!Y89)-1),"")</f>
        <v/>
      </c>
      <c r="AG81" t="str">
        <f>IFERROR(MID('4.Electivos'!Z89,FIND(":",'4.Electivos'!Z89)+1,FIND(":",'4.Electivos'!Z89,FIND(":",'4.Electivos'!Z89)+1)-FIND(":",'4.Electivos'!Z89)-1),"")</f>
        <v/>
      </c>
      <c r="AH81" t="str">
        <f>IFERROR(MID('4.Electivos'!AA89,FIND(":",'4.Electivos'!AA89)+1,FIND(":",'4.Electivos'!AA89,FIND(":",'4.Electivos'!AA89)+1)-FIND(":",'4.Electivos'!AA89)-1),"")</f>
        <v/>
      </c>
      <c r="AI81" t="str">
        <f>IFERROR(MID('4.Electivos'!AB89,FIND(":",'4.Electivos'!AB89)+1,FIND(":",'4.Electivos'!AB89,FIND(":",'4.Electivos'!AB89)+1)-FIND(":",'4.Electivos'!AB89)-1),"")</f>
        <v/>
      </c>
      <c r="AJ81" t="str">
        <f>IFERROR(MID('4.Electivos'!AC89,FIND(":",'4.Electivos'!AC89)+1,FIND(":",'4.Electivos'!AC89,FIND(":",'4.Electivos'!AC89)+1)-FIND(":",'4.Electivos'!AC89)-1),"")</f>
        <v/>
      </c>
      <c r="AL81" t="str">
        <f t="shared" si="11"/>
        <v/>
      </c>
    </row>
    <row r="82" spans="1:38" ht="15.75">
      <c r="A82" t="str">
        <f>IF(AND(SUM('3.Plan de Estudios'!L70:O70)&gt;0,SUM('3.Plan de Estudios'!J70,'3.Plan de Estudios'!K70)&gt;0),"Teórico-Práctico",IF(SUM('3.Plan de Estudios'!J70,'3.Plan de Estudios'!K70)&gt;0,"Teórico","Práctico"))</f>
        <v>Práctico</v>
      </c>
      <c r="B82" t="str">
        <f>IF(AND(SUM('4.Electivos'!L56:O56)&gt;0,SUM('4.Electivos'!J56,'4.Electivos'!K56)&gt;0),"Teórico-Práctico",IF(SUM('4.Electivos'!J56,'4.Electivos'!K56)&gt;0,"Teórico","Práctico"))</f>
        <v>Práctico</v>
      </c>
      <c r="I82" s="200" t="s">
        <v>2</v>
      </c>
      <c r="J82" s="200" t="s">
        <v>782</v>
      </c>
      <c r="K82" s="200" t="str">
        <f t="shared" si="13"/>
        <v>EDUCACIÓN INICIAL INTERCULTURAL BILINGÜE_PRESENCIAL</v>
      </c>
      <c r="L82" s="200" t="s">
        <v>641</v>
      </c>
      <c r="M82" s="200" t="s">
        <v>218</v>
      </c>
      <c r="N82" s="200" t="s">
        <v>783</v>
      </c>
      <c r="O82" s="200" t="s">
        <v>6</v>
      </c>
      <c r="P82" s="200" t="s">
        <v>628</v>
      </c>
      <c r="Q82" s="421">
        <v>60</v>
      </c>
      <c r="X82" s="202" t="str">
        <f>+'3.Plan de Estudios'!$E$35</f>
        <v>PSICOLOGÍA GENERAL</v>
      </c>
      <c r="Y82" s="202" t="str">
        <f>IF('3.Plan de Estudios'!AI35="","",'3.Plan de Estudios'!AI35)</f>
        <v/>
      </c>
      <c r="Z82" t="str">
        <f t="shared" si="15"/>
        <v>PSICOLOGÍA GENERAL-</v>
      </c>
      <c r="AA82" s="89" t="str">
        <f t="shared" si="3"/>
        <v/>
      </c>
      <c r="AB82" t="str">
        <f t="shared" si="12"/>
        <v/>
      </c>
      <c r="AC82" t="str">
        <f t="shared" si="16"/>
        <v/>
      </c>
      <c r="AD82" t="str">
        <f>CONCATENATE(AC378,AC379,AC380,AC381,AC382)</f>
        <v/>
      </c>
      <c r="AF82" t="str">
        <f>IFERROR(MID('4.Electivos'!Y90,FIND(":",'4.Electivos'!Y90)+1,FIND(":",'4.Electivos'!Y90,FIND(":",'4.Electivos'!Y90)+1)-FIND(":",'4.Electivos'!Y90)-1),"")</f>
        <v/>
      </c>
      <c r="AG82" t="str">
        <f>IFERROR(MID('4.Electivos'!Z90,FIND(":",'4.Electivos'!Z90)+1,FIND(":",'4.Electivos'!Z90,FIND(":",'4.Electivos'!Z90)+1)-FIND(":",'4.Electivos'!Z90)-1),"")</f>
        <v/>
      </c>
      <c r="AH82" t="str">
        <f>IFERROR(MID('4.Electivos'!AA90,FIND(":",'4.Electivos'!AA90)+1,FIND(":",'4.Electivos'!AA90,FIND(":",'4.Electivos'!AA90)+1)-FIND(":",'4.Electivos'!AA90)-1),"")</f>
        <v/>
      </c>
      <c r="AI82" t="str">
        <f>IFERROR(MID('4.Electivos'!AB90,FIND(":",'4.Electivos'!AB90)+1,FIND(":",'4.Electivos'!AB90,FIND(":",'4.Electivos'!AB90)+1)-FIND(":",'4.Electivos'!AB90)-1),"")</f>
        <v/>
      </c>
      <c r="AJ82" t="str">
        <f>IFERROR(MID('4.Electivos'!AC90,FIND(":",'4.Electivos'!AC90)+1,FIND(":",'4.Electivos'!AC90,FIND(":",'4.Electivos'!AC90)+1)-FIND(":",'4.Electivos'!AC90)-1),"")</f>
        <v/>
      </c>
      <c r="AL82" t="str">
        <f t="shared" si="11"/>
        <v/>
      </c>
    </row>
    <row r="83" spans="1:38" ht="15.75">
      <c r="A83" t="str">
        <f>IF(AND(SUM('3.Plan de Estudios'!L71:O71)&gt;0,SUM('3.Plan de Estudios'!J71,'3.Plan de Estudios'!K71)&gt;0),"Teórico-Práctico",IF(SUM('3.Plan de Estudios'!J71,'3.Plan de Estudios'!K71)&gt;0,"Teórico","Práctico"))</f>
        <v>Práctico</v>
      </c>
      <c r="B83" t="str">
        <f>IF(AND(SUM('4.Electivos'!L57:O57)&gt;0,SUM('4.Electivos'!J57,'4.Electivos'!K57)&gt;0),"Teórico-Práctico",IF(SUM('4.Electivos'!J57,'4.Electivos'!K57)&gt;0,"Teórico","Práctico"))</f>
        <v>Práctico</v>
      </c>
      <c r="I83" s="200" t="s">
        <v>2</v>
      </c>
      <c r="J83" s="200" t="s">
        <v>647</v>
      </c>
      <c r="K83" s="200" t="str">
        <f t="shared" si="13"/>
        <v>EDUCACIÓN PRIMARIA_PRESENCIAL</v>
      </c>
      <c r="L83" s="200" t="s">
        <v>648</v>
      </c>
      <c r="M83" s="200" t="s">
        <v>777</v>
      </c>
      <c r="N83" s="200" t="s">
        <v>784</v>
      </c>
      <c r="O83" s="200" t="s">
        <v>6</v>
      </c>
      <c r="P83" s="200" t="s">
        <v>628</v>
      </c>
      <c r="Q83" s="421">
        <v>60</v>
      </c>
      <c r="X83">
        <f>+'3.Plan de Estudios'!$E$36</f>
        <v>0</v>
      </c>
      <c r="Y83" t="str">
        <f>IF('3.Plan de Estudios'!AA36="","",'3.Plan de Estudios'!AA36)</f>
        <v/>
      </c>
      <c r="Z83" t="str">
        <f t="shared" si="15"/>
        <v>0-</v>
      </c>
      <c r="AA83" s="89" t="str">
        <f t="shared" si="3"/>
        <v/>
      </c>
      <c r="AB83" t="str">
        <f t="shared" si="12"/>
        <v/>
      </c>
      <c r="AC83" t="str">
        <f>AB83</f>
        <v/>
      </c>
      <c r="AD83" t="str">
        <f>CONCATENATE(AC383,AC384,AC385,AC386,AC387)</f>
        <v/>
      </c>
      <c r="AF83" t="str">
        <f>IFERROR(MID('4.Electivos'!Y91,FIND(":",'4.Electivos'!Y91)+1,FIND(":",'4.Electivos'!Y91,FIND(":",'4.Electivos'!Y91)+1)-FIND(":",'4.Electivos'!Y91)-1),"")</f>
        <v/>
      </c>
      <c r="AG83" t="str">
        <f>IFERROR(MID('4.Electivos'!Z91,FIND(":",'4.Electivos'!Z91)+1,FIND(":",'4.Electivos'!Z91,FIND(":",'4.Electivos'!Z91)+1)-FIND(":",'4.Electivos'!Z91)-1),"")</f>
        <v/>
      </c>
      <c r="AH83" t="str">
        <f>IFERROR(MID('4.Electivos'!AA91,FIND(":",'4.Electivos'!AA91)+1,FIND(":",'4.Electivos'!AA91,FIND(":",'4.Electivos'!AA91)+1)-FIND(":",'4.Electivos'!AA91)-1),"")</f>
        <v/>
      </c>
      <c r="AI83" t="str">
        <f>IFERROR(MID('4.Electivos'!AB91,FIND(":",'4.Electivos'!AB91)+1,FIND(":",'4.Electivos'!AB91,FIND(":",'4.Electivos'!AB91)+1)-FIND(":",'4.Electivos'!AB91)-1),"")</f>
        <v/>
      </c>
      <c r="AJ83" t="str">
        <f>IFERROR(MID('4.Electivos'!AC91,FIND(":",'4.Electivos'!AC91)+1,FIND(":",'4.Electivos'!AC91,FIND(":",'4.Electivos'!AC91)+1)-FIND(":",'4.Electivos'!AC91)-1),"")</f>
        <v/>
      </c>
      <c r="AL83" t="str">
        <f t="shared" si="11"/>
        <v/>
      </c>
    </row>
    <row r="84" spans="1:38" ht="15.75">
      <c r="A84" t="str">
        <f>IF(AND(SUM('3.Plan de Estudios'!L72:O72)&gt;0,SUM('3.Plan de Estudios'!J72,'3.Plan de Estudios'!K72)&gt;0),"Teórico-Práctico",IF(SUM('3.Plan de Estudios'!J72,'3.Plan de Estudios'!K72)&gt;0,"Teórico","Práctico"))</f>
        <v>Práctico</v>
      </c>
      <c r="B84" t="str">
        <f>IF(AND(SUM('4.Electivos'!L58:O58)&gt;0,SUM('4.Electivos'!J58,'4.Electivos'!K58)&gt;0),"Teórico-Práctico",IF(SUM('4.Electivos'!J58,'4.Electivos'!K58)&gt;0,"Teórico","Práctico"))</f>
        <v>Práctico</v>
      </c>
      <c r="I84" s="200" t="s">
        <v>2</v>
      </c>
      <c r="J84" s="200" t="s">
        <v>785</v>
      </c>
      <c r="K84" s="200" t="str">
        <f t="shared" si="13"/>
        <v>EDUCACIÓN PRIMARIA INTERCULTURAL BILINGÜE_PRESENCIAL</v>
      </c>
      <c r="L84" s="200" t="s">
        <v>652</v>
      </c>
      <c r="M84" s="200" t="s">
        <v>218</v>
      </c>
      <c r="N84" s="200" t="s">
        <v>786</v>
      </c>
      <c r="O84" s="200" t="s">
        <v>6</v>
      </c>
      <c r="P84" s="200" t="s">
        <v>628</v>
      </c>
      <c r="Q84" s="421">
        <v>60</v>
      </c>
      <c r="X84">
        <f>+'3.Plan de Estudios'!$E$36</f>
        <v>0</v>
      </c>
      <c r="Y84" t="str">
        <f>IF('3.Plan de Estudios'!AC36="","",'3.Plan de Estudios'!AC36)</f>
        <v/>
      </c>
      <c r="Z84" t="str">
        <f t="shared" si="15"/>
        <v>0-</v>
      </c>
      <c r="AA84" s="89" t="str">
        <f t="shared" si="3"/>
        <v/>
      </c>
      <c r="AB84" t="str">
        <f t="shared" si="12"/>
        <v/>
      </c>
      <c r="AC84" t="str">
        <f t="shared" si="16"/>
        <v/>
      </c>
      <c r="AD84" t="str">
        <f>CONCATENATE(AC388,AC389,AC390,AC391,AC392)</f>
        <v/>
      </c>
      <c r="AF84" t="str">
        <f>IFERROR(MID('4.Electivos'!Y92,FIND(":",'4.Electivos'!Y92)+1,FIND(":",'4.Electivos'!Y92,FIND(":",'4.Electivos'!Y92)+1)-FIND(":",'4.Electivos'!Y92)-1),"")</f>
        <v/>
      </c>
      <c r="AG84" t="str">
        <f>IFERROR(MID('4.Electivos'!Z92,FIND(":",'4.Electivos'!Z92)+1,FIND(":",'4.Electivos'!Z92,FIND(":",'4.Electivos'!Z92)+1)-FIND(":",'4.Electivos'!Z92)-1),"")</f>
        <v/>
      </c>
      <c r="AH84" t="str">
        <f>IFERROR(MID('4.Electivos'!AA92,FIND(":",'4.Electivos'!AA92)+1,FIND(":",'4.Electivos'!AA92,FIND(":",'4.Electivos'!AA92)+1)-FIND(":",'4.Electivos'!AA92)-1),"")</f>
        <v/>
      </c>
      <c r="AI84" t="str">
        <f>IFERROR(MID('4.Electivos'!AB92,FIND(":",'4.Electivos'!AB92)+1,FIND(":",'4.Electivos'!AB92,FIND(":",'4.Electivos'!AB92)+1)-FIND(":",'4.Electivos'!AB92)-1),"")</f>
        <v/>
      </c>
      <c r="AJ84" t="str">
        <f>IFERROR(MID('4.Electivos'!AC92,FIND(":",'4.Electivos'!AC92)+1,FIND(":",'4.Electivos'!AC92,FIND(":",'4.Electivos'!AC92)+1)-FIND(":",'4.Electivos'!AC92)-1),"")</f>
        <v/>
      </c>
      <c r="AL84" t="str">
        <f t="shared" si="11"/>
        <v/>
      </c>
    </row>
    <row r="85" spans="1:38" ht="15.75">
      <c r="A85" t="str">
        <f>IF(AND(SUM('3.Plan de Estudios'!L74:O74)&gt;0,SUM('3.Plan de Estudios'!J74,'3.Plan de Estudios'!K74)&gt;0),"Teórico-Práctico",IF(SUM('3.Plan de Estudios'!J74,'3.Plan de Estudios'!K74)&gt;0,"Teórico","Práctico"))</f>
        <v>Teórico-Práctico</v>
      </c>
      <c r="B85" t="str">
        <f>IF(AND(SUM('4.Electivos'!L59:O59)&gt;0,SUM('4.Electivos'!J59,'4.Electivos'!K59)&gt;0),"Teórico-Práctico",IF(SUM('4.Electivos'!J59,'4.Electivos'!K59)&gt;0,"Teórico","Práctico"))</f>
        <v>Teórico</v>
      </c>
      <c r="I85" s="200" t="s">
        <v>2</v>
      </c>
      <c r="J85" s="200" t="s">
        <v>655</v>
      </c>
      <c r="K85" s="200" t="str">
        <f t="shared" si="13"/>
        <v>EDUCACIÓN SECUNDARIA CON ESPECIALIDAD EN BIOLOGÍA Y QUÍMICA_PRESENCIAL</v>
      </c>
      <c r="L85" s="200" t="s">
        <v>656</v>
      </c>
      <c r="M85" s="200" t="s">
        <v>218</v>
      </c>
      <c r="N85" s="200" t="s">
        <v>787</v>
      </c>
      <c r="O85" s="200" t="s">
        <v>6</v>
      </c>
      <c r="P85" s="200" t="s">
        <v>628</v>
      </c>
      <c r="Q85" s="421">
        <v>60</v>
      </c>
      <c r="X85">
        <f>+'3.Plan de Estudios'!$E$36</f>
        <v>0</v>
      </c>
      <c r="Y85" t="str">
        <f>IF('3.Plan de Estudios'!AE36="","",'3.Plan de Estudios'!AE36)</f>
        <v/>
      </c>
      <c r="Z85" t="str">
        <f t="shared" si="15"/>
        <v>0-</v>
      </c>
      <c r="AA85" s="89" t="str">
        <f t="shared" si="3"/>
        <v/>
      </c>
      <c r="AB85" t="str">
        <f t="shared" si="12"/>
        <v/>
      </c>
      <c r="AC85" t="str">
        <f t="shared" si="16"/>
        <v/>
      </c>
      <c r="AD85" t="str">
        <f>CONCATENATE(AC393,AC394,AC395,AC396,AC397)</f>
        <v/>
      </c>
      <c r="AF85" t="str">
        <f>IFERROR(MID('4.Electivos'!Y93,FIND(":",'4.Electivos'!Y93)+1,FIND(":",'4.Electivos'!Y93,FIND(":",'4.Electivos'!Y93)+1)-FIND(":",'4.Electivos'!Y93)-1),"")</f>
        <v/>
      </c>
      <c r="AG85" t="str">
        <f>IFERROR(MID('4.Electivos'!Z93,FIND(":",'4.Electivos'!Z93)+1,FIND(":",'4.Electivos'!Z93,FIND(":",'4.Electivos'!Z93)+1)-FIND(":",'4.Electivos'!Z93)-1),"")</f>
        <v/>
      </c>
      <c r="AH85" t="str">
        <f>IFERROR(MID('4.Electivos'!AA93,FIND(":",'4.Electivos'!AA93)+1,FIND(":",'4.Electivos'!AA93,FIND(":",'4.Electivos'!AA93)+1)-FIND(":",'4.Electivos'!AA93)-1),"")</f>
        <v/>
      </c>
      <c r="AI85" t="str">
        <f>IFERROR(MID('4.Electivos'!AB93,FIND(":",'4.Electivos'!AB93)+1,FIND(":",'4.Electivos'!AB93,FIND(":",'4.Electivos'!AB93)+1)-FIND(":",'4.Electivos'!AB93)-1),"")</f>
        <v/>
      </c>
      <c r="AJ85" t="str">
        <f>IFERROR(MID('4.Electivos'!AC93,FIND(":",'4.Electivos'!AC93)+1,FIND(":",'4.Electivos'!AC93,FIND(":",'4.Electivos'!AC93)+1)-FIND(":",'4.Electivos'!AC93)-1),"")</f>
        <v/>
      </c>
      <c r="AL85" t="str">
        <f t="shared" si="11"/>
        <v/>
      </c>
    </row>
    <row r="86" spans="1:38" ht="15.75">
      <c r="A86" t="str">
        <f>IF(AND(SUM('3.Plan de Estudios'!L75:O75)&gt;0,SUM('3.Plan de Estudios'!J75,'3.Plan de Estudios'!K75)&gt;0),"Teórico-Práctico",IF(SUM('3.Plan de Estudios'!J75,'3.Plan de Estudios'!K75)&gt;0,"Teórico","Práctico"))</f>
        <v>Teórico-Práctico</v>
      </c>
      <c r="B86" t="str">
        <f>IF(AND(SUM('4.Electivos'!L60:O60)&gt;0,SUM('4.Electivos'!J60,'4.Electivos'!K60)&gt;0),"Teórico-Práctico",IF(SUM('4.Electivos'!J60,'4.Electivos'!K60)&gt;0,"Teórico","Práctico"))</f>
        <v>Teórico</v>
      </c>
      <c r="I86" s="200" t="s">
        <v>2</v>
      </c>
      <c r="J86" s="200" t="s">
        <v>660</v>
      </c>
      <c r="K86" s="200" t="str">
        <f t="shared" si="13"/>
        <v>EDUCACIÓN SECUNDARIA CON ESPECIALIDAD EN CIENCIAS SOCIALES_PRESENCIAL</v>
      </c>
      <c r="L86" s="200" t="s">
        <v>661</v>
      </c>
      <c r="M86" s="200" t="s">
        <v>218</v>
      </c>
      <c r="N86" s="200" t="s">
        <v>788</v>
      </c>
      <c r="O86" s="200" t="s">
        <v>6</v>
      </c>
      <c r="P86" s="200" t="s">
        <v>628</v>
      </c>
      <c r="Q86" s="421">
        <v>60</v>
      </c>
      <c r="X86">
        <f>+'3.Plan de Estudios'!$E$36</f>
        <v>0</v>
      </c>
      <c r="Y86" t="str">
        <f>IF('3.Plan de Estudios'!AE36="","",'3.Plan de Estudios'!AG36)</f>
        <v/>
      </c>
      <c r="Z86" t="str">
        <f t="shared" si="15"/>
        <v>0-</v>
      </c>
      <c r="AA86" s="89" t="str">
        <f t="shared" si="3"/>
        <v/>
      </c>
      <c r="AB86" t="str">
        <f t="shared" si="12"/>
        <v/>
      </c>
      <c r="AC86" t="str">
        <f t="shared" si="16"/>
        <v/>
      </c>
      <c r="AD86" t="str">
        <f>CONCATENATE(AC398,AC399,AC400,AC401,AC402)</f>
        <v/>
      </c>
      <c r="AF86" t="str">
        <f>IFERROR(MID('4.Electivos'!Y94,FIND(":",'4.Electivos'!Y94)+1,FIND(":",'4.Electivos'!Y94,FIND(":",'4.Electivos'!Y94)+1)-FIND(":",'4.Electivos'!Y94)-1),"")</f>
        <v/>
      </c>
      <c r="AG86" t="str">
        <f>IFERROR(MID('4.Electivos'!Z94,FIND(":",'4.Electivos'!Z94)+1,FIND(":",'4.Electivos'!Z94,FIND(":",'4.Electivos'!Z94)+1)-FIND(":",'4.Electivos'!Z94)-1),"")</f>
        <v/>
      </c>
      <c r="AH86" t="str">
        <f>IFERROR(MID('4.Electivos'!AA94,FIND(":",'4.Electivos'!AA94)+1,FIND(":",'4.Electivos'!AA94,FIND(":",'4.Electivos'!AA94)+1)-FIND(":",'4.Electivos'!AA94)-1),"")</f>
        <v/>
      </c>
      <c r="AI86" t="str">
        <f>IFERROR(MID('4.Electivos'!AB94,FIND(":",'4.Electivos'!AB94)+1,FIND(":",'4.Electivos'!AB94,FIND(":",'4.Electivos'!AB94)+1)-FIND(":",'4.Electivos'!AB94)-1),"")</f>
        <v/>
      </c>
      <c r="AJ86" t="str">
        <f>IFERROR(MID('4.Electivos'!AC94,FIND(":",'4.Electivos'!AC94)+1,FIND(":",'4.Electivos'!AC94,FIND(":",'4.Electivos'!AC94)+1)-FIND(":",'4.Electivos'!AC94)-1),"")</f>
        <v/>
      </c>
      <c r="AL86" t="str">
        <f t="shared" si="11"/>
        <v/>
      </c>
    </row>
    <row r="87" spans="1:38" ht="15.75">
      <c r="A87" t="str">
        <f>IF(AND(SUM('3.Plan de Estudios'!L76:O76)&gt;0,SUM('3.Plan de Estudios'!J76,'3.Plan de Estudios'!K76)&gt;0),"Teórico-Práctico",IF(SUM('3.Plan de Estudios'!J76,'3.Plan de Estudios'!K76)&gt;0,"Teórico","Práctico"))</f>
        <v>Teórico</v>
      </c>
      <c r="B87" t="str">
        <f>IF(AND(SUM('4.Electivos'!L61:O61)&gt;0,SUM('4.Electivos'!J61,'4.Electivos'!K61)&gt;0),"Teórico-Práctico",IF(SUM('4.Electivos'!J61,'4.Electivos'!K61)&gt;0,"Teórico","Práctico"))</f>
        <v>Teórico</v>
      </c>
      <c r="I87" s="200" t="s">
        <v>2</v>
      </c>
      <c r="J87" s="200" t="s">
        <v>663</v>
      </c>
      <c r="K87" s="200" t="str">
        <f t="shared" si="13"/>
        <v>EDUCACIÓN SECUNDARIA CON ESPECIALIDAD EN INFORMÁTICA_PRESENCIAL</v>
      </c>
      <c r="L87" s="200" t="s">
        <v>664</v>
      </c>
      <c r="M87" s="200" t="s">
        <v>218</v>
      </c>
      <c r="N87" s="200" t="s">
        <v>789</v>
      </c>
      <c r="O87" s="200" t="s">
        <v>6</v>
      </c>
      <c r="P87" s="200" t="s">
        <v>628</v>
      </c>
      <c r="Q87" s="421">
        <v>60</v>
      </c>
      <c r="X87">
        <f>+'3.Plan de Estudios'!$E$36</f>
        <v>0</v>
      </c>
      <c r="Y87" t="str">
        <f>IF('3.Plan de Estudios'!AI36="","",'3.Plan de Estudios'!AI36)</f>
        <v/>
      </c>
      <c r="Z87" t="str">
        <f t="shared" si="15"/>
        <v>0-</v>
      </c>
      <c r="AA87" s="89" t="str">
        <f t="shared" si="3"/>
        <v/>
      </c>
      <c r="AB87" t="str">
        <f t="shared" si="12"/>
        <v/>
      </c>
      <c r="AC87" t="str">
        <f t="shared" si="16"/>
        <v/>
      </c>
      <c r="AD87" t="str">
        <f>CONCATENATE(AC403,AC404,AC405,AC406,AC407)</f>
        <v xml:space="preserve"> Desarrollo enseñanza y aprendizaje, Gestión de Recursos</v>
      </c>
      <c r="AF87" t="str">
        <f>IFERROR(MID('4.Electivos'!Y95,FIND(":",'4.Electivos'!Y95)+1,FIND(":",'4.Electivos'!Y95,FIND(":",'4.Electivos'!Y95)+1)-FIND(":",'4.Electivos'!Y95)-1),"")</f>
        <v/>
      </c>
      <c r="AG87" t="str">
        <f>IFERROR(MID('4.Electivos'!Z95,FIND(":",'4.Electivos'!Z95)+1,FIND(":",'4.Electivos'!Z95,FIND(":",'4.Electivos'!Z95)+1)-FIND(":",'4.Electivos'!Z95)-1),"")</f>
        <v/>
      </c>
      <c r="AH87" t="str">
        <f>IFERROR(MID('4.Electivos'!AA95,FIND(":",'4.Electivos'!AA95)+1,FIND(":",'4.Electivos'!AA95,FIND(":",'4.Electivos'!AA95)+1)-FIND(":",'4.Electivos'!AA95)-1),"")</f>
        <v/>
      </c>
      <c r="AI87" t="str">
        <f>IFERROR(MID('4.Electivos'!AB95,FIND(":",'4.Electivos'!AB95)+1,FIND(":",'4.Electivos'!AB95,FIND(":",'4.Electivos'!AB95)+1)-FIND(":",'4.Electivos'!AB95)-1),"")</f>
        <v/>
      </c>
      <c r="AJ87" t="str">
        <f>IFERROR(MID('4.Electivos'!AC95,FIND(":",'4.Electivos'!AC95)+1,FIND(":",'4.Electivos'!AC95,FIND(":",'4.Electivos'!AC95)+1)-FIND(":",'4.Electivos'!AC95)-1),"")</f>
        <v/>
      </c>
      <c r="AL87" t="str">
        <f t="shared" si="11"/>
        <v/>
      </c>
    </row>
    <row r="88" spans="1:38" ht="15.75">
      <c r="A88" t="str">
        <f>IF(AND(SUM('3.Plan de Estudios'!L77:O77)&gt;0,SUM('3.Plan de Estudios'!J77,'3.Plan de Estudios'!K77)&gt;0),"Teórico-Práctico",IF(SUM('3.Plan de Estudios'!J77,'3.Plan de Estudios'!K77)&gt;0,"Teórico","Práctico"))</f>
        <v>Teórico</v>
      </c>
      <c r="B88" t="str">
        <f>IF(AND(SUM('4.Electivos'!L62:O62)&gt;0,SUM('4.Electivos'!J62,'4.Electivos'!K62)&gt;0),"Teórico-Práctico",IF(SUM('4.Electivos'!J62,'4.Electivos'!K62)&gt;0,"Teórico","Práctico"))</f>
        <v>Teórico</v>
      </c>
      <c r="I88" s="200" t="s">
        <v>2</v>
      </c>
      <c r="J88" s="200" t="s">
        <v>4</v>
      </c>
      <c r="K88" s="200" t="str">
        <f t="shared" si="13"/>
        <v>EDUCACIÓN SECUNDARIA CON ESPECIALIDAD EN INGLÉS_PRESENCIAL</v>
      </c>
      <c r="L88" s="200" t="s">
        <v>215</v>
      </c>
      <c r="M88" s="200" t="s">
        <v>218</v>
      </c>
      <c r="N88" s="200" t="s">
        <v>790</v>
      </c>
      <c r="O88" s="200" t="s">
        <v>6</v>
      </c>
      <c r="P88" s="200" t="s">
        <v>628</v>
      </c>
      <c r="Q88" s="421">
        <v>60</v>
      </c>
      <c r="X88" s="222">
        <f>+'3.Plan de Estudios'!$E$37</f>
        <v>0</v>
      </c>
      <c r="Y88" s="222" t="str">
        <f>IF('3.Plan de Estudios'!AA37="","",'3.Plan de Estudios'!AA37)</f>
        <v/>
      </c>
      <c r="Z88" t="str">
        <f t="shared" si="15"/>
        <v>0-</v>
      </c>
      <c r="AA88" s="89" t="str">
        <f t="shared" si="3"/>
        <v/>
      </c>
      <c r="AB88" t="str">
        <f t="shared" si="12"/>
        <v/>
      </c>
      <c r="AC88" t="str">
        <f>AB88</f>
        <v/>
      </c>
      <c r="AD88" t="str">
        <f>CONCATENATE(AC408,AC409,AC410,AC411,AC412)</f>
        <v xml:space="preserve"> Desarrollo de gestión educativa, Comunicación Integral</v>
      </c>
      <c r="AF88" t="str">
        <f>IFERROR(MID('4.Electivos'!Y96,FIND(":",'4.Electivos'!Y96)+1,FIND(":",'4.Electivos'!Y96,FIND(":",'4.Electivos'!Y96)+1)-FIND(":",'4.Electivos'!Y96)-1),"")</f>
        <v/>
      </c>
      <c r="AG88" t="str">
        <f>IFERROR(MID('4.Electivos'!Z96,FIND(":",'4.Electivos'!Z96)+1,FIND(":",'4.Electivos'!Z96,FIND(":",'4.Electivos'!Z96)+1)-FIND(":",'4.Electivos'!Z96)-1),"")</f>
        <v/>
      </c>
      <c r="AH88" t="str">
        <f>IFERROR(MID('4.Electivos'!AA96,FIND(":",'4.Electivos'!AA96)+1,FIND(":",'4.Electivos'!AA96,FIND(":",'4.Electivos'!AA96)+1)-FIND(":",'4.Electivos'!AA96)-1),"")</f>
        <v/>
      </c>
      <c r="AI88" t="str">
        <f>IFERROR(MID('4.Electivos'!AB96,FIND(":",'4.Electivos'!AB96)+1,FIND(":",'4.Electivos'!AB96,FIND(":",'4.Electivos'!AB96)+1)-FIND(":",'4.Electivos'!AB96)-1),"")</f>
        <v/>
      </c>
      <c r="AJ88" t="str">
        <f>IFERROR(MID('4.Electivos'!AC96,FIND(":",'4.Electivos'!AC96)+1,FIND(":",'4.Electivos'!AC96,FIND(":",'4.Electivos'!AC96)+1)-FIND(":",'4.Electivos'!AC96)-1),"")</f>
        <v/>
      </c>
      <c r="AL88" t="str">
        <f t="shared" si="11"/>
        <v/>
      </c>
    </row>
    <row r="89" spans="1:38" ht="15.75">
      <c r="A89" t="str">
        <f>IF(AND(SUM('3.Plan de Estudios'!L78:O78)&gt;0,SUM('3.Plan de Estudios'!J78,'3.Plan de Estudios'!K78)&gt;0),"Teórico-Práctico",IF(SUM('3.Plan de Estudios'!J78,'3.Plan de Estudios'!K78)&gt;0,"Teórico","Práctico"))</f>
        <v>Teórico-Práctico</v>
      </c>
      <c r="B89" t="str">
        <f>IF(AND(SUM('4.Electivos'!L63:O63)&gt;0,SUM('4.Electivos'!J63,'4.Electivos'!K63)&gt;0),"Teórico-Práctico",IF(SUM('4.Electivos'!J63,'4.Electivos'!K63)&gt;0,"Teórico","Práctico"))</f>
        <v>Teórico</v>
      </c>
      <c r="I89" s="200" t="s">
        <v>2</v>
      </c>
      <c r="J89" s="200" t="s">
        <v>670</v>
      </c>
      <c r="K89" s="200" t="str">
        <f t="shared" si="13"/>
        <v>EDUCACIÓN SECUNDARIA CON ESPECIALIDAD EN LENGUAJE Y LITERATURA_PRESENCIAL</v>
      </c>
      <c r="L89" s="200" t="s">
        <v>671</v>
      </c>
      <c r="M89" s="200" t="s">
        <v>218</v>
      </c>
      <c r="N89" s="200" t="s">
        <v>791</v>
      </c>
      <c r="O89" s="200" t="s">
        <v>6</v>
      </c>
      <c r="P89" s="200" t="s">
        <v>628</v>
      </c>
      <c r="Q89" s="421">
        <v>60</v>
      </c>
      <c r="X89" s="222">
        <f>+'3.Plan de Estudios'!$E$37</f>
        <v>0</v>
      </c>
      <c r="Y89" s="222" t="str">
        <f>IF('3.Plan de Estudios'!AC37="","",'3.Plan de Estudios'!AC37)</f>
        <v/>
      </c>
      <c r="Z89" t="str">
        <f t="shared" si="15"/>
        <v>0-</v>
      </c>
      <c r="AA89" s="89" t="str">
        <f t="shared" si="3"/>
        <v/>
      </c>
      <c r="AB89" t="str">
        <f t="shared" si="12"/>
        <v/>
      </c>
      <c r="AC89" t="str">
        <f t="shared" si="16"/>
        <v/>
      </c>
      <c r="AD89" t="str">
        <f>CONCATENATE(AC413,AC414,AC415,AC416,AC417)</f>
        <v xml:space="preserve"> Desarrollo enseñanza y aprendizaje</v>
      </c>
      <c r="AF89" t="str">
        <f>IFERROR(MID('4.Electivos'!Y97,FIND(":",'4.Electivos'!Y97)+1,FIND(":",'4.Electivos'!Y97,FIND(":",'4.Electivos'!Y97)+1)-FIND(":",'4.Electivos'!Y97)-1),"")</f>
        <v/>
      </c>
      <c r="AG89" t="str">
        <f>IFERROR(MID('4.Electivos'!Z97,FIND(":",'4.Electivos'!Z97)+1,FIND(":",'4.Electivos'!Z97,FIND(":",'4.Electivos'!Z97)+1)-FIND(":",'4.Electivos'!Z97)-1),"")</f>
        <v/>
      </c>
      <c r="AH89" t="str">
        <f>IFERROR(MID('4.Electivos'!AA97,FIND(":",'4.Electivos'!AA97)+1,FIND(":",'4.Electivos'!AA97,FIND(":",'4.Electivos'!AA97)+1)-FIND(":",'4.Electivos'!AA97)-1),"")</f>
        <v/>
      </c>
      <c r="AI89" t="str">
        <f>IFERROR(MID('4.Electivos'!AB97,FIND(":",'4.Electivos'!AB97)+1,FIND(":",'4.Electivos'!AB97,FIND(":",'4.Electivos'!AB97)+1)-FIND(":",'4.Electivos'!AB97)-1),"")</f>
        <v/>
      </c>
      <c r="AJ89" t="str">
        <f>IFERROR(MID('4.Electivos'!AC97,FIND(":",'4.Electivos'!AC97)+1,FIND(":",'4.Electivos'!AC97,FIND(":",'4.Electivos'!AC97)+1)-FIND(":",'4.Electivos'!AC97)-1),"")</f>
        <v/>
      </c>
      <c r="AL89" t="str">
        <f t="shared" si="11"/>
        <v/>
      </c>
    </row>
    <row r="90" spans="1:38" ht="15.75">
      <c r="A90" t="str">
        <f>IF(AND(SUM('3.Plan de Estudios'!L79:O79)&gt;0,SUM('3.Plan de Estudios'!J79,'3.Plan de Estudios'!K79)&gt;0),"Teórico-Práctico",IF(SUM('3.Plan de Estudios'!J79,'3.Plan de Estudios'!K79)&gt;0,"Teórico","Práctico"))</f>
        <v>Teórico-Práctico</v>
      </c>
      <c r="B90" t="str">
        <f>IF(AND(SUM('4.Electivos'!L64:O64)&gt;0,SUM('4.Electivos'!J64,'4.Electivos'!K64)&gt;0),"Teórico-Práctico",IF(SUM('4.Electivos'!J64,'4.Electivos'!K64)&gt;0,"Teórico","Práctico"))</f>
        <v>Teórico-Práctico</v>
      </c>
      <c r="I90" s="200" t="s">
        <v>2</v>
      </c>
      <c r="J90" s="200" t="s">
        <v>674</v>
      </c>
      <c r="K90" s="200" t="str">
        <f t="shared" si="13"/>
        <v>EDUCACIÓN SECUNDARIA CON ESPECIALIDAD EN MATEMÁTICA Y FÍSICA_PRESENCIAL</v>
      </c>
      <c r="L90" s="200" t="s">
        <v>675</v>
      </c>
      <c r="M90" s="200" t="s">
        <v>218</v>
      </c>
      <c r="N90" s="200" t="s">
        <v>792</v>
      </c>
      <c r="O90" s="200" t="s">
        <v>6</v>
      </c>
      <c r="P90" s="200" t="s">
        <v>628</v>
      </c>
      <c r="Q90" s="421">
        <v>60</v>
      </c>
      <c r="X90" s="222">
        <f>+'3.Plan de Estudios'!$E$37</f>
        <v>0</v>
      </c>
      <c r="Y90" s="222" t="str">
        <f>IF('3.Plan de Estudios'!AE37="","",'3.Plan de Estudios'!AE37)</f>
        <v/>
      </c>
      <c r="Z90" t="str">
        <f t="shared" si="15"/>
        <v>0-</v>
      </c>
      <c r="AA90" s="89" t="str">
        <f t="shared" si="3"/>
        <v/>
      </c>
      <c r="AB90" t="str">
        <f t="shared" si="12"/>
        <v/>
      </c>
      <c r="AC90" t="str">
        <f t="shared" si="16"/>
        <v/>
      </c>
      <c r="AD90" t="str">
        <f>CONCATENATE(AC418,AC419,AC420,AC421,AC422)</f>
        <v xml:space="preserve"> Desarrollo enseñanza y aprendizaje</v>
      </c>
      <c r="AF90" t="str">
        <f>IFERROR(MID('4.Electivos'!Y98,FIND(":",'4.Electivos'!Y98)+1,FIND(":",'4.Electivos'!Y98,FIND(":",'4.Electivos'!Y98)+1)-FIND(":",'4.Electivos'!Y98)-1),"")</f>
        <v/>
      </c>
      <c r="AG90" t="str">
        <f>IFERROR(MID('4.Electivos'!Z98,FIND(":",'4.Electivos'!Z98)+1,FIND(":",'4.Electivos'!Z98,FIND(":",'4.Electivos'!Z98)+1)-FIND(":",'4.Electivos'!Z98)-1),"")</f>
        <v/>
      </c>
      <c r="AH90" t="str">
        <f>IFERROR(MID('4.Electivos'!AA98,FIND(":",'4.Electivos'!AA98)+1,FIND(":",'4.Electivos'!AA98,FIND(":",'4.Electivos'!AA98)+1)-FIND(":",'4.Electivos'!AA98)-1),"")</f>
        <v/>
      </c>
      <c r="AI90" t="str">
        <f>IFERROR(MID('4.Electivos'!AB98,FIND(":",'4.Electivos'!AB98)+1,FIND(":",'4.Electivos'!AB98,FIND(":",'4.Electivos'!AB98)+1)-FIND(":",'4.Electivos'!AB98)-1),"")</f>
        <v/>
      </c>
      <c r="AJ90" t="str">
        <f>IFERROR(MID('4.Electivos'!AC98,FIND(":",'4.Electivos'!AC98)+1,FIND(":",'4.Electivos'!AC98,FIND(":",'4.Electivos'!AC98)+1)-FIND(":",'4.Electivos'!AC98)-1),"")</f>
        <v/>
      </c>
      <c r="AL90" t="str">
        <f t="shared" si="11"/>
        <v/>
      </c>
    </row>
    <row r="91" spans="1:38" ht="15.75">
      <c r="A91" t="str">
        <f>IF(AND(SUM('3.Plan de Estudios'!L80:O80)&gt;0,SUM('3.Plan de Estudios'!J80,'3.Plan de Estudios'!K80)&gt;0),"Teórico-Práctico",IF(SUM('3.Plan de Estudios'!J80,'3.Plan de Estudios'!K80)&gt;0,"Teórico","Práctico"))</f>
        <v>Práctico</v>
      </c>
      <c r="B91" t="str">
        <f>IF(AND(SUM('4.Electivos'!L65:O65)&gt;0,SUM('4.Electivos'!J65,'4.Electivos'!K65)&gt;0),"Teórico-Práctico",IF(SUM('4.Electivos'!J65,'4.Electivos'!K65)&gt;0,"Teórico","Práctico"))</f>
        <v>Práctico</v>
      </c>
      <c r="I91" s="200" t="s">
        <v>2</v>
      </c>
      <c r="J91" s="200" t="s">
        <v>793</v>
      </c>
      <c r="K91" s="200" t="str">
        <f t="shared" si="13"/>
        <v>ENFERMERÍA_PRESENCIAL</v>
      </c>
      <c r="L91" s="200" t="s">
        <v>794</v>
      </c>
      <c r="M91" s="200" t="s">
        <v>795</v>
      </c>
      <c r="N91" s="200" t="s">
        <v>796</v>
      </c>
      <c r="O91" s="200" t="s">
        <v>6</v>
      </c>
      <c r="P91" s="200" t="s">
        <v>11</v>
      </c>
      <c r="Q91" s="421">
        <v>60</v>
      </c>
      <c r="X91" s="222">
        <f>+'3.Plan de Estudios'!$E$37</f>
        <v>0</v>
      </c>
      <c r="Y91" s="222" t="str">
        <f>IF('3.Plan de Estudios'!AE37="","",'3.Plan de Estudios'!AG37)</f>
        <v/>
      </c>
      <c r="Z91" t="str">
        <f t="shared" si="15"/>
        <v>0-</v>
      </c>
      <c r="AA91" s="89" t="str">
        <f t="shared" si="3"/>
        <v/>
      </c>
      <c r="AB91" t="str">
        <f t="shared" si="12"/>
        <v/>
      </c>
      <c r="AC91" t="str">
        <f t="shared" si="16"/>
        <v/>
      </c>
      <c r="AD91" t="str">
        <f>CONCATENATE(AC423,AC424,AC425,AC426,AC427)</f>
        <v xml:space="preserve"> Investigación Educativa, Investigación, Comunicación Integral</v>
      </c>
      <c r="AF91" t="str">
        <f>IFERROR(MID('4.Electivos'!Y99,FIND(":",'4.Electivos'!Y99)+1,FIND(":",'4.Electivos'!Y99,FIND(":",'4.Electivos'!Y99)+1)-FIND(":",'4.Electivos'!Y99)-1),"")</f>
        <v/>
      </c>
      <c r="AG91" t="str">
        <f>IFERROR(MID('4.Electivos'!Z99,FIND(":",'4.Electivos'!Z99)+1,FIND(":",'4.Electivos'!Z99,FIND(":",'4.Electivos'!Z99)+1)-FIND(":",'4.Electivos'!Z99)-1),"")</f>
        <v/>
      </c>
      <c r="AH91" t="str">
        <f>IFERROR(MID('4.Electivos'!AA99,FIND(":",'4.Electivos'!AA99)+1,FIND(":",'4.Electivos'!AA99,FIND(":",'4.Electivos'!AA99)+1)-FIND(":",'4.Electivos'!AA99)-1),"")</f>
        <v/>
      </c>
      <c r="AI91" t="str">
        <f>IFERROR(MID('4.Electivos'!AB99,FIND(":",'4.Electivos'!AB99)+1,FIND(":",'4.Electivos'!AB99,FIND(":",'4.Electivos'!AB99)+1)-FIND(":",'4.Electivos'!AB99)-1),"")</f>
        <v/>
      </c>
      <c r="AJ91" t="str">
        <f>IFERROR(MID('4.Electivos'!AC99,FIND(":",'4.Electivos'!AC99)+1,FIND(":",'4.Electivos'!AC99,FIND(":",'4.Electivos'!AC99)+1)-FIND(":",'4.Electivos'!AC99)-1),"")</f>
        <v/>
      </c>
      <c r="AL91" t="str">
        <f t="shared" si="11"/>
        <v/>
      </c>
    </row>
    <row r="92" spans="1:38" ht="15.75">
      <c r="A92" t="str">
        <f>IF(AND(SUM('3.Plan de Estudios'!L81:O81)&gt;0,SUM('3.Plan de Estudios'!J81,'3.Plan de Estudios'!K81)&gt;0),"Teórico-Práctico",IF(SUM('3.Plan de Estudios'!J81,'3.Plan de Estudios'!K81)&gt;0,"Teórico","Práctico"))</f>
        <v>Práctico</v>
      </c>
      <c r="B92" t="str">
        <f>IF(AND(SUM('4.Electivos'!L66:O66)&gt;0,SUM('4.Electivos'!J66,'4.Electivos'!K66)&gt;0),"Teórico-Práctico",IF(SUM('4.Electivos'!J66,'4.Electivos'!K66)&gt;0,"Teórico","Práctico"))</f>
        <v>Práctico</v>
      </c>
      <c r="I92" s="200" t="s">
        <v>2</v>
      </c>
      <c r="J92" s="200" t="s">
        <v>793</v>
      </c>
      <c r="K92" s="200" t="str">
        <f t="shared" si="13"/>
        <v>ENFERMERÍA_SEMIPRESENCIAL</v>
      </c>
      <c r="L92" s="200" t="s">
        <v>797</v>
      </c>
      <c r="M92" s="200" t="s">
        <v>795</v>
      </c>
      <c r="N92" s="200" t="s">
        <v>796</v>
      </c>
      <c r="O92" s="200" t="s">
        <v>498</v>
      </c>
      <c r="P92" s="200" t="s">
        <v>11</v>
      </c>
      <c r="Q92" s="421">
        <v>60</v>
      </c>
      <c r="X92" s="222">
        <f>+'3.Plan de Estudios'!$E$37</f>
        <v>0</v>
      </c>
      <c r="Y92" s="222" t="str">
        <f>IF('3.Plan de Estudios'!AI37="","",'3.Plan de Estudios'!AI37)</f>
        <v/>
      </c>
      <c r="Z92" t="str">
        <f t="shared" si="15"/>
        <v>0-</v>
      </c>
      <c r="AA92" s="89" t="str">
        <f t="shared" si="3"/>
        <v/>
      </c>
      <c r="AB92" t="str">
        <f t="shared" si="12"/>
        <v/>
      </c>
      <c r="AC92" t="str">
        <f t="shared" si="16"/>
        <v/>
      </c>
      <c r="AD92" t="str">
        <f>CONCATENATE(AC428,AC429,AC430,AC431,AC432)</f>
        <v/>
      </c>
      <c r="AF92" t="str">
        <f>IFERROR(MID('4.Electivos'!Y100,FIND(":",'4.Electivos'!Y100)+1,FIND(":",'4.Electivos'!Y100,FIND(":",'4.Electivos'!Y100)+1)-FIND(":",'4.Electivos'!Y100)-1),"")</f>
        <v/>
      </c>
      <c r="AG92" t="str">
        <f>IFERROR(MID('4.Electivos'!Z100,FIND(":",'4.Electivos'!Z100)+1,FIND(":",'4.Electivos'!Z100,FIND(":",'4.Electivos'!Z100)+1)-FIND(":",'4.Electivos'!Z100)-1),"")</f>
        <v/>
      </c>
      <c r="AH92" t="str">
        <f>IFERROR(MID('4.Electivos'!AA100,FIND(":",'4.Electivos'!AA100)+1,FIND(":",'4.Electivos'!AA100,FIND(":",'4.Electivos'!AA100)+1)-FIND(":",'4.Electivos'!AA100)-1),"")</f>
        <v/>
      </c>
      <c r="AI92" t="str">
        <f>IFERROR(MID('4.Electivos'!AB100,FIND(":",'4.Electivos'!AB100)+1,FIND(":",'4.Electivos'!AB100,FIND(":",'4.Electivos'!AB100)+1)-FIND(":",'4.Electivos'!AB100)-1),"")</f>
        <v/>
      </c>
      <c r="AJ92" t="str">
        <f>IFERROR(MID('4.Electivos'!AC100,FIND(":",'4.Electivos'!AC100)+1,FIND(":",'4.Electivos'!AC100,FIND(":",'4.Electivos'!AC100)+1)-FIND(":",'4.Electivos'!AC100)-1),"")</f>
        <v/>
      </c>
      <c r="AL92" t="str">
        <f t="shared" si="11"/>
        <v/>
      </c>
    </row>
    <row r="93" spans="1:38" ht="15.75">
      <c r="A93" t="str">
        <f>IF(AND(SUM('3.Plan de Estudios'!L82:O82)&gt;0,SUM('3.Plan de Estudios'!J82,'3.Plan de Estudios'!K82)&gt;0),"Teórico-Práctico",IF(SUM('3.Plan de Estudios'!J82,'3.Plan de Estudios'!K82)&gt;0,"Teórico","Práctico"))</f>
        <v>Práctico</v>
      </c>
      <c r="B93" t="str">
        <f>IF(AND(SUM('4.Electivos'!L67:O67)&gt;0,SUM('4.Electivos'!J67,'4.Electivos'!K67)&gt;0),"Teórico-Práctico",IF(SUM('4.Electivos'!J67,'4.Electivos'!K67)&gt;0,"Teórico","Práctico"))</f>
        <v>Práctico</v>
      </c>
      <c r="I93" s="200" t="s">
        <v>2</v>
      </c>
      <c r="J93" s="200" t="s">
        <v>678</v>
      </c>
      <c r="K93" s="200" t="str">
        <f t="shared" si="13"/>
        <v>GESTIÓN E INNOVACIÓN EN GASTRONOMÍA_PRESENCIAL</v>
      </c>
      <c r="L93" s="200" t="s">
        <v>679</v>
      </c>
      <c r="M93" s="200" t="s">
        <v>798</v>
      </c>
      <c r="N93" s="200" t="s">
        <v>799</v>
      </c>
      <c r="O93" s="200" t="s">
        <v>6</v>
      </c>
      <c r="P93" s="200" t="s">
        <v>628</v>
      </c>
      <c r="Q93" s="421">
        <v>60</v>
      </c>
      <c r="X93">
        <f>+'3.Plan de Estudios'!$E$38</f>
        <v>0</v>
      </c>
      <c r="Y93" t="str">
        <f>IF('3.Plan de Estudios'!AA38="","",'3.Plan de Estudios'!AA38)</f>
        <v/>
      </c>
      <c r="Z93" t="str">
        <f t="shared" si="15"/>
        <v>0-</v>
      </c>
      <c r="AA93" s="89" t="str">
        <f t="shared" si="3"/>
        <v/>
      </c>
      <c r="AB93" t="str">
        <f t="shared" si="12"/>
        <v/>
      </c>
      <c r="AC93" t="str">
        <f>AB93</f>
        <v/>
      </c>
      <c r="AD93" t="str">
        <f>CONCATENATE(AC433,AC434,AC435,AC436,AC437)</f>
        <v/>
      </c>
      <c r="AF93" t="str">
        <f>IFERROR(MID('4.Electivos'!Y101,FIND(":",'4.Electivos'!Y101)+1,FIND(":",'4.Electivos'!Y101,FIND(":",'4.Electivos'!Y101)+1)-FIND(":",'4.Electivos'!Y101)-1),"")</f>
        <v/>
      </c>
      <c r="AG93" t="str">
        <f>IFERROR(MID('4.Electivos'!Z101,FIND(":",'4.Electivos'!Z101)+1,FIND(":",'4.Electivos'!Z101,FIND(":",'4.Electivos'!Z101)+1)-FIND(":",'4.Electivos'!Z101)-1),"")</f>
        <v/>
      </c>
      <c r="AH93" t="str">
        <f>IFERROR(MID('4.Electivos'!AA101,FIND(":",'4.Electivos'!AA101)+1,FIND(":",'4.Electivos'!AA101,FIND(":",'4.Electivos'!AA101)+1)-FIND(":",'4.Electivos'!AA101)-1),"")</f>
        <v/>
      </c>
      <c r="AI93" t="str">
        <f>IFERROR(MID('4.Electivos'!AB101,FIND(":",'4.Electivos'!AB101)+1,FIND(":",'4.Electivos'!AB101,FIND(":",'4.Electivos'!AB101)+1)-FIND(":",'4.Electivos'!AB101)-1),"")</f>
        <v/>
      </c>
      <c r="AJ93" t="str">
        <f>IFERROR(MID('4.Electivos'!AC101,FIND(":",'4.Electivos'!AC101)+1,FIND(":",'4.Electivos'!AC101,FIND(":",'4.Electivos'!AC101)+1)-FIND(":",'4.Electivos'!AC101)-1),"")</f>
        <v/>
      </c>
      <c r="AL93" t="str">
        <f t="shared" si="11"/>
        <v/>
      </c>
    </row>
    <row r="94" spans="1:38" ht="15.75">
      <c r="A94" t="str">
        <f>IF(AND(SUM('3.Plan de Estudios'!L83:O83)&gt;0,SUM('3.Plan de Estudios'!J83,'3.Plan de Estudios'!K83)&gt;0),"Teórico-Práctico",IF(SUM('3.Plan de Estudios'!J83,'3.Plan de Estudios'!K83)&gt;0,"Teórico","Práctico"))</f>
        <v>Práctico</v>
      </c>
      <c r="B94" t="str">
        <f>IF(AND(SUM('4.Electivos'!L68:O68)&gt;0,SUM('4.Electivos'!J68,'4.Electivos'!K68)&gt;0),"Teórico-Práctico",IF(SUM('4.Electivos'!J68,'4.Electivos'!K68)&gt;0,"Teórico","Práctico"))</f>
        <v>Práctico</v>
      </c>
      <c r="I94" s="200" t="s">
        <v>2</v>
      </c>
      <c r="J94" s="200" t="s">
        <v>678</v>
      </c>
      <c r="K94" s="200" t="str">
        <f t="shared" si="13"/>
        <v>GESTIÓN E INNOVACIÓN EN GASTRONOMÍA_SEMIPRESENCIAL</v>
      </c>
      <c r="L94" s="200" t="s">
        <v>800</v>
      </c>
      <c r="M94" s="200" t="s">
        <v>798</v>
      </c>
      <c r="N94" s="200" t="s">
        <v>799</v>
      </c>
      <c r="O94" s="200" t="s">
        <v>498</v>
      </c>
      <c r="P94" s="200" t="s">
        <v>628</v>
      </c>
      <c r="Q94" s="421">
        <v>60</v>
      </c>
      <c r="X94">
        <f>+'3.Plan de Estudios'!$E$38</f>
        <v>0</v>
      </c>
      <c r="Y94" t="str">
        <f>IF('3.Plan de Estudios'!AC38="","",'3.Plan de Estudios'!AC38)</f>
        <v/>
      </c>
      <c r="Z94" t="str">
        <f t="shared" si="15"/>
        <v>0-</v>
      </c>
      <c r="AA94" s="89" t="str">
        <f t="shared" si="3"/>
        <v/>
      </c>
      <c r="AB94" t="str">
        <f t="shared" si="12"/>
        <v/>
      </c>
      <c r="AC94" t="str">
        <f t="shared" si="16"/>
        <v/>
      </c>
      <c r="AD94" t="str">
        <f>CONCATENATE(AC438,AC439,AC440,AC441,AC442)</f>
        <v/>
      </c>
      <c r="AF94" t="str">
        <f>IFERROR(MID('4.Electivos'!Y102,FIND(":",'4.Electivos'!Y102)+1,FIND(":",'4.Electivos'!Y102,FIND(":",'4.Electivos'!Y102)+1)-FIND(":",'4.Electivos'!Y102)-1),"")</f>
        <v/>
      </c>
      <c r="AG94" t="str">
        <f>IFERROR(MID('4.Electivos'!Z102,FIND(":",'4.Electivos'!Z102)+1,FIND(":",'4.Electivos'!Z102,FIND(":",'4.Electivos'!Z102)+1)-FIND(":",'4.Electivos'!Z102)-1),"")</f>
        <v/>
      </c>
      <c r="AH94" t="str">
        <f>IFERROR(MID('4.Electivos'!AA102,FIND(":",'4.Electivos'!AA102)+1,FIND(":",'4.Electivos'!AA102,FIND(":",'4.Electivos'!AA102)+1)-FIND(":",'4.Electivos'!AA102)-1),"")</f>
        <v/>
      </c>
      <c r="AI94" t="str">
        <f>IFERROR(MID('4.Electivos'!AB102,FIND(":",'4.Electivos'!AB102)+1,FIND(":",'4.Electivos'!AB102,FIND(":",'4.Electivos'!AB102)+1)-FIND(":",'4.Electivos'!AB102)-1),"")</f>
        <v/>
      </c>
      <c r="AJ94" t="str">
        <f>IFERROR(MID('4.Electivos'!AC102,FIND(":",'4.Electivos'!AC102)+1,FIND(":",'4.Electivos'!AC102,FIND(":",'4.Electivos'!AC102)+1)-FIND(":",'4.Electivos'!AC102)-1),"")</f>
        <v/>
      </c>
      <c r="AL94" t="str">
        <f t="shared" si="11"/>
        <v/>
      </c>
    </row>
    <row r="95" spans="1:38" ht="15.75">
      <c r="A95" t="str">
        <f>IF(AND(SUM('3.Plan de Estudios'!L85:O85)&gt;0,SUM('3.Plan de Estudios'!J85,'3.Plan de Estudios'!K85)&gt;0),"Teórico-Práctico",IF(SUM('3.Plan de Estudios'!J85,'3.Plan de Estudios'!K85)&gt;0,"Teórico","Práctico"))</f>
        <v>Teórico</v>
      </c>
      <c r="B95" t="str">
        <f>IF(AND(SUM('4.Electivos'!L69:O69)&gt;0,SUM('4.Electivos'!J69,'4.Electivos'!K69)&gt;0),"Teórico-Práctico",IF(SUM('4.Electivos'!J69,'4.Electivos'!K69)&gt;0,"Teórico","Práctico"))</f>
        <v>Práctico</v>
      </c>
      <c r="I95" s="200" t="s">
        <v>2</v>
      </c>
      <c r="J95" s="200" t="s">
        <v>678</v>
      </c>
      <c r="K95" s="200" t="str">
        <f t="shared" si="13"/>
        <v>GESTIÓN E INNOVACIÓN EN GASTRONOMÍA_A DISTANCIA</v>
      </c>
      <c r="L95" s="200" t="s">
        <v>801</v>
      </c>
      <c r="M95" s="200" t="s">
        <v>798</v>
      </c>
      <c r="N95" s="200" t="s">
        <v>799</v>
      </c>
      <c r="O95" s="200" t="s">
        <v>494</v>
      </c>
      <c r="P95" s="200" t="s">
        <v>628</v>
      </c>
      <c r="Q95" s="421">
        <v>60</v>
      </c>
      <c r="X95">
        <f>+'3.Plan de Estudios'!$E$38</f>
        <v>0</v>
      </c>
      <c r="Y95" t="str">
        <f>IF('3.Plan de Estudios'!AE38="","",'3.Plan de Estudios'!AE38)</f>
        <v/>
      </c>
      <c r="Z95" t="str">
        <f t="shared" si="15"/>
        <v>0-</v>
      </c>
      <c r="AA95" s="89" t="str">
        <f t="shared" si="3"/>
        <v/>
      </c>
      <c r="AB95" t="str">
        <f t="shared" si="12"/>
        <v/>
      </c>
      <c r="AC95" t="str">
        <f t="shared" si="16"/>
        <v/>
      </c>
      <c r="AD95" t="str">
        <f>CONCATENATE(AC443,AC444,AC445,AC446,AC447)</f>
        <v/>
      </c>
      <c r="AF95" t="str">
        <f>IFERROR(MID('4.Electivos'!Y103,FIND(":",'4.Electivos'!Y103)+1,FIND(":",'4.Electivos'!Y103,FIND(":",'4.Electivos'!Y103)+1)-FIND(":",'4.Electivos'!Y103)-1),"")</f>
        <v/>
      </c>
      <c r="AG95" t="str">
        <f>IFERROR(MID('4.Electivos'!Z103,FIND(":",'4.Electivos'!Z103)+1,FIND(":",'4.Electivos'!Z103,FIND(":",'4.Electivos'!Z103)+1)-FIND(":",'4.Electivos'!Z103)-1),"")</f>
        <v/>
      </c>
      <c r="AH95" t="str">
        <f>IFERROR(MID('4.Electivos'!AA103,FIND(":",'4.Electivos'!AA103)+1,FIND(":",'4.Electivos'!AA103,FIND(":",'4.Electivos'!AA103)+1)-FIND(":",'4.Electivos'!AA103)-1),"")</f>
        <v/>
      </c>
      <c r="AI95" t="str">
        <f>IFERROR(MID('4.Electivos'!AB103,FIND(":",'4.Electivos'!AB103)+1,FIND(":",'4.Electivos'!AB103,FIND(":",'4.Electivos'!AB103)+1)-FIND(":",'4.Electivos'!AB103)-1),"")</f>
        <v/>
      </c>
      <c r="AJ95" t="str">
        <f>IFERROR(MID('4.Electivos'!AC103,FIND(":",'4.Electivos'!AC103)+1,FIND(":",'4.Electivos'!AC103,FIND(":",'4.Electivos'!AC103)+1)-FIND(":",'4.Electivos'!AC103)-1),"")</f>
        <v/>
      </c>
      <c r="AL95" t="str">
        <f t="shared" si="11"/>
        <v/>
      </c>
    </row>
    <row r="96" spans="1:38" ht="15.75">
      <c r="A96" t="str">
        <f>IF(AND(SUM('3.Plan de Estudios'!L86:O86)&gt;0,SUM('3.Plan de Estudios'!J86,'3.Plan de Estudios'!K86)&gt;0),"Teórico-Práctico",IF(SUM('3.Plan de Estudios'!J86,'3.Plan de Estudios'!K86)&gt;0,"Teórico","Práctico"))</f>
        <v>Teórico-Práctico</v>
      </c>
      <c r="B96" t="str">
        <f>IF(AND(SUM('4.Electivos'!L70:O70)&gt;0,SUM('4.Electivos'!J70,'4.Electivos'!K70)&gt;0),"Teórico-Práctico",IF(SUM('4.Electivos'!J70,'4.Electivos'!K70)&gt;0,"Teórico","Práctico"))</f>
        <v>Práctico</v>
      </c>
      <c r="I96" s="200" t="s">
        <v>2</v>
      </c>
      <c r="J96" s="200" t="s">
        <v>802</v>
      </c>
      <c r="K96" s="200" t="str">
        <f t="shared" si="13"/>
        <v>INGENIERÍA AGROINDUSTRIAL_PRESENCIAL</v>
      </c>
      <c r="L96" s="200" t="s">
        <v>684</v>
      </c>
      <c r="M96" s="200" t="s">
        <v>803</v>
      </c>
      <c r="N96" s="200" t="s">
        <v>804</v>
      </c>
      <c r="O96" s="200" t="s">
        <v>6</v>
      </c>
      <c r="P96" s="200" t="s">
        <v>628</v>
      </c>
      <c r="Q96" s="421">
        <v>60</v>
      </c>
      <c r="X96">
        <f>+'3.Plan de Estudios'!$E$38</f>
        <v>0</v>
      </c>
      <c r="Y96" t="str">
        <f>IF('3.Plan de Estudios'!AG38="","",'3.Plan de Estudios'!AG38)</f>
        <v/>
      </c>
      <c r="Z96" t="str">
        <f t="shared" si="15"/>
        <v>0-</v>
      </c>
      <c r="AA96" s="89" t="str">
        <f t="shared" si="3"/>
        <v/>
      </c>
      <c r="AB96" t="str">
        <f t="shared" si="12"/>
        <v/>
      </c>
      <c r="AC96" t="str">
        <f t="shared" si="16"/>
        <v/>
      </c>
      <c r="AD96" t="str">
        <f>CONCATENATE(AC448,AC449,AC450,AC451,AC452)</f>
        <v/>
      </c>
      <c r="AF96" t="str">
        <f>IFERROR(MID('4.Electivos'!Y104,FIND(":",'4.Electivos'!Y104)+1,FIND(":",'4.Electivos'!Y104,FIND(":",'4.Electivos'!Y104)+1)-FIND(":",'4.Electivos'!Y104)-1),"")</f>
        <v/>
      </c>
      <c r="AG96" t="str">
        <f>IFERROR(MID('4.Electivos'!Z104,FIND(":",'4.Electivos'!Z104)+1,FIND(":",'4.Electivos'!Z104,FIND(":",'4.Electivos'!Z104)+1)-FIND(":",'4.Electivos'!Z104)-1),"")</f>
        <v/>
      </c>
      <c r="AH96" t="str">
        <f>IFERROR(MID('4.Electivos'!AA104,FIND(":",'4.Electivos'!AA104)+1,FIND(":",'4.Electivos'!AA104,FIND(":",'4.Electivos'!AA104)+1)-FIND(":",'4.Electivos'!AA104)-1),"")</f>
        <v/>
      </c>
      <c r="AI96" t="str">
        <f>IFERROR(MID('4.Electivos'!AB104,FIND(":",'4.Electivos'!AB104)+1,FIND(":",'4.Electivos'!AB104,FIND(":",'4.Electivos'!AB104)+1)-FIND(":",'4.Electivos'!AB104)-1),"")</f>
        <v/>
      </c>
      <c r="AJ96" t="str">
        <f>IFERROR(MID('4.Electivos'!AC104,FIND(":",'4.Electivos'!AC104)+1,FIND(":",'4.Electivos'!AC104,FIND(":",'4.Electivos'!AC104)+1)-FIND(":",'4.Electivos'!AC104)-1),"")</f>
        <v/>
      </c>
      <c r="AL96" t="str">
        <f t="shared" si="11"/>
        <v/>
      </c>
    </row>
    <row r="97" spans="1:38" ht="15.75">
      <c r="A97" t="str">
        <f>IF(AND(SUM('3.Plan de Estudios'!L87:O87)&gt;0,SUM('3.Plan de Estudios'!J87,'3.Plan de Estudios'!K87)&gt;0),"Teórico-Práctico",IF(SUM('3.Plan de Estudios'!J87,'3.Plan de Estudios'!K87)&gt;0,"Teórico","Práctico"))</f>
        <v>Teórico</v>
      </c>
      <c r="B97" t="str">
        <f>IF(AND(SUM('4.Electivos'!L71:O71)&gt;0,SUM('4.Electivos'!J71,'4.Electivos'!K71)&gt;0),"Teórico-Práctico",IF(SUM('4.Electivos'!J71,'4.Electivos'!K71)&gt;0,"Teórico","Práctico"))</f>
        <v>Práctico</v>
      </c>
      <c r="I97" s="200" t="s">
        <v>2</v>
      </c>
      <c r="J97" s="200" t="s">
        <v>802</v>
      </c>
      <c r="K97" s="200" t="str">
        <f t="shared" si="13"/>
        <v>INGENIERÍA AGROINDUSTRIAL_SEMIPRESENCIAL</v>
      </c>
      <c r="L97" s="200" t="s">
        <v>805</v>
      </c>
      <c r="M97" s="200" t="s">
        <v>803</v>
      </c>
      <c r="N97" s="200" t="s">
        <v>804</v>
      </c>
      <c r="O97" s="200" t="s">
        <v>498</v>
      </c>
      <c r="P97" s="200" t="s">
        <v>628</v>
      </c>
      <c r="Q97" s="421">
        <v>60</v>
      </c>
      <c r="X97">
        <f>+'3.Plan de Estudios'!$E$38</f>
        <v>0</v>
      </c>
      <c r="Y97" t="str">
        <f>IF('3.Plan de Estudios'!AI38="","",'3.Plan de Estudios'!AI38)</f>
        <v/>
      </c>
      <c r="Z97" t="str">
        <f t="shared" si="15"/>
        <v>0-</v>
      </c>
      <c r="AA97" s="89" t="str">
        <f t="shared" si="3"/>
        <v/>
      </c>
      <c r="AB97" t="str">
        <f t="shared" si="12"/>
        <v/>
      </c>
      <c r="AC97" t="str">
        <f t="shared" si="16"/>
        <v/>
      </c>
      <c r="AD97" t="str">
        <f>CONCATENATE(AC453,AC454,AC455,AC456,AC457)</f>
        <v xml:space="preserve"> Orientación educativa, Desarrollo Humano</v>
      </c>
      <c r="AF97" t="str">
        <f>IFERROR(MID('4.Electivos'!Y105,FIND(":",'4.Electivos'!Y105)+1,FIND(":",'4.Electivos'!Y105,FIND(":",'4.Electivos'!Y105)+1)-FIND(":",'4.Electivos'!Y105)-1),"")</f>
        <v/>
      </c>
      <c r="AG97" t="str">
        <f>IFERROR(MID('4.Electivos'!Z105,FIND(":",'4.Electivos'!Z105)+1,FIND(":",'4.Electivos'!Z105,FIND(":",'4.Electivos'!Z105)+1)-FIND(":",'4.Electivos'!Z105)-1),"")</f>
        <v/>
      </c>
      <c r="AH97" t="str">
        <f>IFERROR(MID('4.Electivos'!AA105,FIND(":",'4.Electivos'!AA105)+1,FIND(":",'4.Electivos'!AA105,FIND(":",'4.Electivos'!AA105)+1)-FIND(":",'4.Electivos'!AA105)-1),"")</f>
        <v/>
      </c>
      <c r="AI97" t="str">
        <f>IFERROR(MID('4.Electivos'!AB105,FIND(":",'4.Electivos'!AB105)+1,FIND(":",'4.Electivos'!AB105,FIND(":",'4.Electivos'!AB105)+1)-FIND(":",'4.Electivos'!AB105)-1),"")</f>
        <v/>
      </c>
      <c r="AJ97" t="str">
        <f>IFERROR(MID('4.Electivos'!AC105,FIND(":",'4.Electivos'!AC105)+1,FIND(":",'4.Electivos'!AC105,FIND(":",'4.Electivos'!AC105)+1)-FIND(":",'4.Electivos'!AC105)-1),"")</f>
        <v/>
      </c>
      <c r="AL97" t="str">
        <f t="shared" si="11"/>
        <v/>
      </c>
    </row>
    <row r="98" spans="1:38" ht="15.75">
      <c r="A98" t="str">
        <f>IF(AND(SUM('3.Plan de Estudios'!L88:O88)&gt;0,SUM('3.Plan de Estudios'!J88,'3.Plan de Estudios'!K88)&gt;0),"Teórico-Práctico",IF(SUM('3.Plan de Estudios'!J88,'3.Plan de Estudios'!K88)&gt;0,"Teórico","Práctico"))</f>
        <v>Teórico-Práctico</v>
      </c>
      <c r="B98" t="str">
        <f>IF(AND(SUM('4.Electivos'!L72:O72)&gt;0,SUM('4.Electivos'!J72,'4.Electivos'!K72)&gt;0),"Teórico-Práctico",IF(SUM('4.Electivos'!J72,'4.Electivos'!K72)&gt;0,"Teórico","Práctico"))</f>
        <v>Práctico</v>
      </c>
      <c r="I98" s="200" t="s">
        <v>2</v>
      </c>
      <c r="J98" s="200" t="s">
        <v>802</v>
      </c>
      <c r="K98" s="200" t="str">
        <f t="shared" si="13"/>
        <v>INGENIERÍA AGROINDUSTRIAL_A DISTANCIA</v>
      </c>
      <c r="L98" s="200" t="s">
        <v>806</v>
      </c>
      <c r="M98" s="200" t="s">
        <v>803</v>
      </c>
      <c r="N98" s="200" t="s">
        <v>804</v>
      </c>
      <c r="O98" s="200" t="s">
        <v>494</v>
      </c>
      <c r="P98" s="200" t="s">
        <v>628</v>
      </c>
      <c r="Q98" s="421">
        <v>60</v>
      </c>
      <c r="X98" s="186">
        <f>+'3.Plan de Estudios'!$E$39</f>
        <v>0</v>
      </c>
      <c r="Y98" t="str">
        <f>IF('3.Plan de Estudios'!AA39="","",'3.Plan de Estudios'!AA39)</f>
        <v/>
      </c>
      <c r="Z98" t="str">
        <f t="shared" si="15"/>
        <v>0-</v>
      </c>
      <c r="AA98" s="89" t="str">
        <f t="shared" si="3"/>
        <v/>
      </c>
      <c r="AB98" t="str">
        <f t="shared" si="12"/>
        <v/>
      </c>
      <c r="AC98" t="str">
        <f>AB98</f>
        <v/>
      </c>
      <c r="AD98" t="str">
        <f>CONCATENATE(AC458,AC459,AC460,AC461,AC462)</f>
        <v xml:space="preserve"> Investigación Educativa, Investigación</v>
      </c>
      <c r="AF98" t="str">
        <f>IFERROR(MID('4.Electivos'!Y106,FIND(":",'4.Electivos'!Y106)+1,FIND(":",'4.Electivos'!Y106,FIND(":",'4.Electivos'!Y106)+1)-FIND(":",'4.Electivos'!Y106)-1),"")</f>
        <v/>
      </c>
      <c r="AG98" t="str">
        <f>IFERROR(MID('4.Electivos'!Z106,FIND(":",'4.Electivos'!Z106)+1,FIND(":",'4.Electivos'!Z106,FIND(":",'4.Electivos'!Z106)+1)-FIND(":",'4.Electivos'!Z106)-1),"")</f>
        <v/>
      </c>
      <c r="AH98" t="str">
        <f>IFERROR(MID('4.Electivos'!AA106,FIND(":",'4.Electivos'!AA106)+1,FIND(":",'4.Electivos'!AA106,FIND(":",'4.Electivos'!AA106)+1)-FIND(":",'4.Electivos'!AA106)-1),"")</f>
        <v/>
      </c>
      <c r="AI98" t="str">
        <f>IFERROR(MID('4.Electivos'!AB106,FIND(":",'4.Electivos'!AB106)+1,FIND(":",'4.Electivos'!AB106,FIND(":",'4.Electivos'!AB106)+1)-FIND(":",'4.Electivos'!AB106)-1),"")</f>
        <v/>
      </c>
      <c r="AJ98" t="str">
        <f>IFERROR(MID('4.Electivos'!AC106,FIND(":",'4.Electivos'!AC106)+1,FIND(":",'4.Electivos'!AC106,FIND(":",'4.Electivos'!AC106)+1)-FIND(":",'4.Electivos'!AC106)-1),"")</f>
        <v/>
      </c>
      <c r="AL98" t="str">
        <f t="shared" si="11"/>
        <v/>
      </c>
    </row>
    <row r="99" spans="1:38" ht="15.75">
      <c r="A99" t="str">
        <f>IF(AND(SUM('3.Plan de Estudios'!L89:O89)&gt;0,SUM('3.Plan de Estudios'!J89,'3.Plan de Estudios'!K89)&gt;0),"Teórico-Práctico",IF(SUM('3.Plan de Estudios'!J89,'3.Plan de Estudios'!K89)&gt;0,"Teórico","Práctico"))</f>
        <v>Teórico</v>
      </c>
      <c r="B99" t="str">
        <f>IF(AND(SUM('4.Electivos'!L73:O73)&gt;0,SUM('4.Electivos'!J73,'4.Electivos'!K73)&gt;0),"Teórico-Práctico",IF(SUM('4.Electivos'!J73,'4.Electivos'!K73)&gt;0,"Teórico","Práctico"))</f>
        <v>Práctico</v>
      </c>
      <c r="I99" s="200" t="s">
        <v>2</v>
      </c>
      <c r="J99" s="200" t="s">
        <v>687</v>
      </c>
      <c r="K99" s="200" t="str">
        <f t="shared" si="13"/>
        <v>INGENIERÍA AMBIENTAL_PRESENCIAL</v>
      </c>
      <c r="L99" s="200" t="s">
        <v>688</v>
      </c>
      <c r="M99" s="200" t="s">
        <v>807</v>
      </c>
      <c r="N99" s="200" t="s">
        <v>808</v>
      </c>
      <c r="O99" s="200" t="s">
        <v>6</v>
      </c>
      <c r="P99" s="200" t="s">
        <v>628</v>
      </c>
      <c r="Q99" s="421">
        <v>60</v>
      </c>
      <c r="X99" s="186">
        <f>+'3.Plan de Estudios'!$E$39</f>
        <v>0</v>
      </c>
      <c r="Y99" t="str">
        <f>IF('3.Plan de Estudios'!AC39="","",'3.Plan de Estudios'!AC39)</f>
        <v/>
      </c>
      <c r="Z99" t="str">
        <f t="shared" si="15"/>
        <v>0-</v>
      </c>
      <c r="AA99" s="89" t="str">
        <f t="shared" si="3"/>
        <v/>
      </c>
      <c r="AB99" t="str">
        <f t="shared" si="12"/>
        <v/>
      </c>
      <c r="AC99" t="str">
        <f t="shared" si="16"/>
        <v/>
      </c>
      <c r="AD99" t="str">
        <f>CONCATENATE(AC463,AC464,AC465,AC466,AC467)</f>
        <v xml:space="preserve"> Orientación educativa</v>
      </c>
      <c r="AF99" t="str">
        <f>IFERROR(MID('4.Electivos'!Y107,FIND(":",'4.Electivos'!Y107)+1,FIND(":",'4.Electivos'!Y107,FIND(":",'4.Electivos'!Y107)+1)-FIND(":",'4.Electivos'!Y107)-1),"")</f>
        <v/>
      </c>
      <c r="AG99" t="str">
        <f>IFERROR(MID('4.Electivos'!Z107,FIND(":",'4.Electivos'!Z107)+1,FIND(":",'4.Electivos'!Z107,FIND(":",'4.Electivos'!Z107)+1)-FIND(":",'4.Electivos'!Z107)-1),"")</f>
        <v/>
      </c>
      <c r="AH99" t="str">
        <f>IFERROR(MID('4.Electivos'!AA107,FIND(":",'4.Electivos'!AA107)+1,FIND(":",'4.Electivos'!AA107,FIND(":",'4.Electivos'!AA107)+1)-FIND(":",'4.Electivos'!AA107)-1),"")</f>
        <v/>
      </c>
      <c r="AI99" t="str">
        <f>IFERROR(MID('4.Electivos'!AB107,FIND(":",'4.Electivos'!AB107)+1,FIND(":",'4.Electivos'!AB107,FIND(":",'4.Electivos'!AB107)+1)-FIND(":",'4.Electivos'!AB107)-1),"")</f>
        <v/>
      </c>
      <c r="AJ99" t="str">
        <f>IFERROR(MID('4.Electivos'!AC107,FIND(":",'4.Electivos'!AC107)+1,FIND(":",'4.Electivos'!AC107,FIND(":",'4.Electivos'!AC107)+1)-FIND(":",'4.Electivos'!AC107)-1),"")</f>
        <v/>
      </c>
      <c r="AL99" t="str">
        <f t="shared" si="11"/>
        <v/>
      </c>
    </row>
    <row r="100" spans="1:38" ht="15.75">
      <c r="A100" t="str">
        <f>IF(AND(SUM('3.Plan de Estudios'!L90:O90)&gt;0,SUM('3.Plan de Estudios'!J90,'3.Plan de Estudios'!K90)&gt;0),"Teórico-Práctico",IF(SUM('3.Plan de Estudios'!J90,'3.Plan de Estudios'!K90)&gt;0,"Teórico","Práctico"))</f>
        <v>Práctico</v>
      </c>
      <c r="B100" t="str">
        <f>IF(AND(SUM('4.Electivos'!L74:O74)&gt;0,SUM('4.Electivos'!J74,'4.Electivos'!K74)&gt;0),"Teórico-Práctico",IF(SUM('4.Electivos'!J74,'4.Electivos'!K74)&gt;0,"Teórico","Práctico"))</f>
        <v>Práctico</v>
      </c>
      <c r="I100" s="200" t="s">
        <v>2</v>
      </c>
      <c r="J100" s="200" t="s">
        <v>687</v>
      </c>
      <c r="K100" s="200" t="str">
        <f t="shared" si="13"/>
        <v>INGENIERÍA AMBIENTAL_SEMIPRESENCIAL</v>
      </c>
      <c r="L100" s="200" t="s">
        <v>809</v>
      </c>
      <c r="M100" s="200" t="s">
        <v>807</v>
      </c>
      <c r="N100" s="200" t="s">
        <v>808</v>
      </c>
      <c r="O100" s="200" t="s">
        <v>498</v>
      </c>
      <c r="P100" s="200" t="s">
        <v>628</v>
      </c>
      <c r="Q100" s="421">
        <v>60</v>
      </c>
      <c r="X100" s="186">
        <f>+'3.Plan de Estudios'!$E$39</f>
        <v>0</v>
      </c>
      <c r="Y100" t="str">
        <f>IF('3.Plan de Estudios'!AE39="","",'3.Plan de Estudios'!AE39)</f>
        <v/>
      </c>
      <c r="Z100" t="str">
        <f t="shared" si="15"/>
        <v>0-</v>
      </c>
      <c r="AA100" s="89" t="str">
        <f t="shared" si="3"/>
        <v/>
      </c>
      <c r="AB100" t="str">
        <f t="shared" si="12"/>
        <v/>
      </c>
      <c r="AC100" t="str">
        <f t="shared" si="16"/>
        <v/>
      </c>
      <c r="AD100" t="str">
        <f>CONCATENATE(AC468,AC469,AC470,AC471,AC472)</f>
        <v xml:space="preserve"> Desarrollo de gestión educativa</v>
      </c>
      <c r="AF100" t="str">
        <f>IFERROR(MID('4.Electivos'!Y108,FIND(":",'4.Electivos'!Y108)+1,FIND(":",'4.Electivos'!Y108,FIND(":",'4.Electivos'!Y108)+1)-FIND(":",'4.Electivos'!Y108)-1),"")</f>
        <v/>
      </c>
      <c r="AG100" t="str">
        <f>IFERROR(MID('4.Electivos'!Z108,FIND(":",'4.Electivos'!Z108)+1,FIND(":",'4.Electivos'!Z108,FIND(":",'4.Electivos'!Z108)+1)-FIND(":",'4.Electivos'!Z108)-1),"")</f>
        <v/>
      </c>
      <c r="AH100" t="str">
        <f>IFERROR(MID('4.Electivos'!AA108,FIND(":",'4.Electivos'!AA108)+1,FIND(":",'4.Electivos'!AA108,FIND(":",'4.Electivos'!AA108)+1)-FIND(":",'4.Electivos'!AA108)-1),"")</f>
        <v/>
      </c>
      <c r="AI100" t="str">
        <f>IFERROR(MID('4.Electivos'!AB108,FIND(":",'4.Electivos'!AB108)+1,FIND(":",'4.Electivos'!AB108,FIND(":",'4.Electivos'!AB108)+1)-FIND(":",'4.Electivos'!AB108)-1),"")</f>
        <v/>
      </c>
      <c r="AJ100" t="str">
        <f>IFERROR(MID('4.Electivos'!AC108,FIND(":",'4.Electivos'!AC108)+1,FIND(":",'4.Electivos'!AC108,FIND(":",'4.Electivos'!AC108)+1)-FIND(":",'4.Electivos'!AC108)-1),"")</f>
        <v/>
      </c>
      <c r="AL100" t="str">
        <f>CONCATENATE(AF100,IF(AG100="","",CONCATENATE(",",AG100)),IF(AH100="","",CONCATENATE(",",AH100)),IF(AI100="","",CONCATENATE(",",AI100)),IF(AJ100="","",CONCATENATE(",",AJ100)))</f>
        <v/>
      </c>
    </row>
    <row r="101" spans="1:38" ht="15.75">
      <c r="A101" t="str">
        <f>IF(AND(SUM('3.Plan de Estudios'!L91:O91)&gt;0,SUM('3.Plan de Estudios'!J91,'3.Plan de Estudios'!K91)&gt;0),"Teórico-Práctico",IF(SUM('3.Plan de Estudios'!J91,'3.Plan de Estudios'!K91)&gt;0,"Teórico","Práctico"))</f>
        <v>Práctico</v>
      </c>
      <c r="B101" t="str">
        <f>IF(AND(SUM('4.Electivos'!L75:O75)&gt;0,SUM('4.Electivos'!J75,'4.Electivos'!K75)&gt;0),"Teórico-Práctico",IF(SUM('4.Electivos'!J75,'4.Electivos'!K75)&gt;0,"Teórico","Práctico"))</f>
        <v>Práctico</v>
      </c>
      <c r="I101" s="200" t="s">
        <v>2</v>
      </c>
      <c r="J101" s="200" t="s">
        <v>687</v>
      </c>
      <c r="K101" s="200" t="str">
        <f t="shared" si="13"/>
        <v>INGENIERÍA AMBIENTAL_A DISTANCIA</v>
      </c>
      <c r="L101" s="200" t="s">
        <v>810</v>
      </c>
      <c r="M101" s="200" t="s">
        <v>807</v>
      </c>
      <c r="N101" s="200" t="s">
        <v>808</v>
      </c>
      <c r="O101" s="200" t="s">
        <v>494</v>
      </c>
      <c r="P101" s="200" t="s">
        <v>628</v>
      </c>
      <c r="Q101" s="421">
        <v>60</v>
      </c>
      <c r="X101" s="186">
        <f>+'3.Plan de Estudios'!$E$39</f>
        <v>0</v>
      </c>
      <c r="Y101" t="str">
        <f>IF('3.Plan de Estudios'!AG39="","",'3.Plan de Estudios'!AG39)</f>
        <v/>
      </c>
      <c r="Z101" t="str">
        <f t="shared" si="15"/>
        <v>0-</v>
      </c>
      <c r="AA101" s="89" t="str">
        <f t="shared" si="3"/>
        <v/>
      </c>
      <c r="AB101" t="str">
        <f t="shared" si="12"/>
        <v/>
      </c>
      <c r="AC101" t="str">
        <f t="shared" si="16"/>
        <v/>
      </c>
      <c r="AD101" t="str">
        <f>CONCATENATE(AC473,AC474,AC475,AC476,AC477)</f>
        <v/>
      </c>
    </row>
    <row r="102" spans="1:38" ht="15.75">
      <c r="A102" t="str">
        <f>IF(AND(SUM('3.Plan de Estudios'!L92:O92)&gt;0,SUM('3.Plan de Estudios'!J92,'3.Plan de Estudios'!K92)&gt;0),"Teórico-Práctico",IF(SUM('3.Plan de Estudios'!J92,'3.Plan de Estudios'!K92)&gt;0,"Teórico","Práctico"))</f>
        <v>Práctico</v>
      </c>
      <c r="B102" t="str">
        <f>IF(AND(SUM('4.Electivos'!L76:O76)&gt;0,SUM('4.Electivos'!J76,'4.Electivos'!K76)&gt;0),"Teórico-Práctico",IF(SUM('4.Electivos'!J76,'4.Electivos'!K76)&gt;0,"Teórico","Práctico"))</f>
        <v>Práctico</v>
      </c>
      <c r="I102" s="200" t="s">
        <v>2</v>
      </c>
      <c r="J102" s="200" t="s">
        <v>811</v>
      </c>
      <c r="K102" s="200" t="str">
        <f t="shared" si="13"/>
        <v>INGENIERÍA BIOTECNOLÓGICA_PRESENCIAL</v>
      </c>
      <c r="L102" s="200" t="s">
        <v>812</v>
      </c>
      <c r="M102" s="200" t="s">
        <v>813</v>
      </c>
      <c r="N102" s="200" t="s">
        <v>814</v>
      </c>
      <c r="O102" s="200" t="s">
        <v>6</v>
      </c>
      <c r="P102" s="200" t="s">
        <v>11</v>
      </c>
      <c r="Q102" s="421">
        <v>60</v>
      </c>
      <c r="X102" s="188">
        <f>+'3.Plan de Estudios'!$E$39</f>
        <v>0</v>
      </c>
      <c r="Y102" s="185" t="str">
        <f>IF('3.Plan de Estudios'!AI39="","",'3.Plan de Estudios'!AI39)</f>
        <v/>
      </c>
      <c r="Z102" t="str">
        <f t="shared" si="15"/>
        <v>0-</v>
      </c>
      <c r="AA102" s="89" t="str">
        <f t="shared" si="3"/>
        <v/>
      </c>
      <c r="AB102" t="str">
        <f t="shared" si="12"/>
        <v/>
      </c>
      <c r="AC102" t="str">
        <f t="shared" si="16"/>
        <v/>
      </c>
      <c r="AD102" t="str">
        <f>CONCATENATE(AC478,AC479,AC480,AC481,AC482)</f>
        <v/>
      </c>
    </row>
    <row r="103" spans="1:38" ht="15.75">
      <c r="A103" t="str">
        <f>IF(AND(SUM('3.Plan de Estudios'!L93:O93)&gt;0,SUM('3.Plan de Estudios'!J93,'3.Plan de Estudios'!K93)&gt;0),"Teórico-Práctico",IF(SUM('3.Plan de Estudios'!J93,'3.Plan de Estudios'!K93)&gt;0,"Teórico","Práctico"))</f>
        <v>Práctico</v>
      </c>
      <c r="B103" t="str">
        <f>IF(AND(SUM('4.Electivos'!L77:O77)&gt;0,SUM('4.Electivos'!J77,'4.Electivos'!K77)&gt;0),"Teórico-Práctico",IF(SUM('4.Electivos'!J77,'4.Electivos'!K77)&gt;0,"Teórico","Práctico"))</f>
        <v>Práctico</v>
      </c>
      <c r="I103" s="200" t="s">
        <v>2</v>
      </c>
      <c r="J103" s="200" t="s">
        <v>811</v>
      </c>
      <c r="K103" s="200" t="str">
        <f t="shared" si="13"/>
        <v>INGENIERÍA BIOTECNOLÓGICA_SEMIPRESENCIAL</v>
      </c>
      <c r="L103" s="200" t="s">
        <v>815</v>
      </c>
      <c r="M103" s="200" t="s">
        <v>813</v>
      </c>
      <c r="N103" s="200" t="s">
        <v>814</v>
      </c>
      <c r="O103" s="200" t="s">
        <v>498</v>
      </c>
      <c r="P103" s="200" t="s">
        <v>11</v>
      </c>
      <c r="Q103" s="421">
        <v>60</v>
      </c>
      <c r="X103" s="183" t="str">
        <f>+'3.Plan de Estudios'!$E$41</f>
        <v>ENGLISH III</v>
      </c>
      <c r="Y103" t="str">
        <f>IF('3.Plan de Estudios'!AA41="","",'3.Plan de Estudios'!AA41)</f>
        <v>CG2: Comunicación Bilingüe:N1 Aplica las competencias correspondientes al nivel A2 según los estándares del Marco de Referencia de la Comunidad Europea (CEFR).</v>
      </c>
      <c r="Z103" t="str">
        <f t="shared" si="15"/>
        <v>ENGLISH III-CG2: Comunicación Bilingüe:N1 Aplica las competencias correspondientes al nivel A2 según los estánda</v>
      </c>
      <c r="AA103" s="89" t="str">
        <f t="shared" si="3"/>
        <v>a</v>
      </c>
      <c r="AB103" t="str">
        <f t="shared" si="12"/>
        <v xml:space="preserve"> Comunicación Bilingüe</v>
      </c>
      <c r="AC103" t="str">
        <f>AB103</f>
        <v xml:space="preserve"> Comunicación Bilingüe</v>
      </c>
      <c r="AD103" t="str">
        <f>CONCATENATE(AC483,AC484,AC485,AC486,AC487)</f>
        <v/>
      </c>
    </row>
    <row r="104" spans="1:38" ht="15.75">
      <c r="A104" t="str">
        <f>IF(AND(SUM('3.Plan de Estudios'!L94:O94)&gt;0,SUM('3.Plan de Estudios'!J94,'3.Plan de Estudios'!K94)&gt;0),"Teórico-Práctico",IF(SUM('3.Plan de Estudios'!J94,'3.Plan de Estudios'!K94)&gt;0,"Teórico","Práctico"))</f>
        <v>Práctico</v>
      </c>
      <c r="B104" t="str">
        <f>IF(AND(SUM('4.Electivos'!L78:O78)&gt;0,SUM('4.Electivos'!J78,'4.Electivos'!K78)&gt;0),"Teórico-Práctico",IF(SUM('4.Electivos'!J78,'4.Electivos'!K78)&gt;0,"Teórico","Práctico"))</f>
        <v>Práctico</v>
      </c>
      <c r="I104" s="200" t="s">
        <v>2</v>
      </c>
      <c r="J104" s="200" t="s">
        <v>811</v>
      </c>
      <c r="K104" s="200" t="str">
        <f t="shared" si="13"/>
        <v>INGENIERÍA BIOTECNOLÓGICA_A DISTANCIA</v>
      </c>
      <c r="L104" s="200" t="s">
        <v>816</v>
      </c>
      <c r="M104" s="200" t="s">
        <v>813</v>
      </c>
      <c r="N104" s="200" t="s">
        <v>814</v>
      </c>
      <c r="O104" s="200" t="s">
        <v>494</v>
      </c>
      <c r="P104" s="200" t="s">
        <v>11</v>
      </c>
      <c r="Q104" s="421">
        <v>60</v>
      </c>
      <c r="X104" s="183" t="str">
        <f>+'3.Plan de Estudios'!$E$41</f>
        <v>ENGLISH III</v>
      </c>
      <c r="Y104" t="str">
        <f>IF('3.Plan de Estudios'!AC41="","",'3.Plan de Estudios'!AC41)</f>
        <v/>
      </c>
      <c r="Z104" t="str">
        <f t="shared" si="15"/>
        <v>ENGLISH III-</v>
      </c>
      <c r="AA104" s="89" t="str">
        <f t="shared" si="3"/>
        <v/>
      </c>
      <c r="AB104" t="str">
        <f t="shared" si="12"/>
        <v/>
      </c>
      <c r="AC104" t="str">
        <f t="shared" si="16"/>
        <v/>
      </c>
      <c r="AD104" t="str">
        <f>CONCATENATE(AC488,AC489,AC490,AC491,AC492)</f>
        <v/>
      </c>
    </row>
    <row r="105" spans="1:38" ht="15.75">
      <c r="A105" t="str">
        <f>IF(AND(SUM('3.Plan de Estudios'!L96:O96)&gt;0,SUM('3.Plan de Estudios'!J96,'3.Plan de Estudios'!K96)&gt;0),"Teórico-Práctico",IF(SUM('3.Plan de Estudios'!J96,'3.Plan de Estudios'!K96)&gt;0,"Teórico","Práctico"))</f>
        <v>Teórico-Práctico</v>
      </c>
      <c r="B105" t="str">
        <f>IF(AND(SUM('4.Electivos'!L79:O79)&gt;0,SUM('4.Electivos'!J79,'4.Electivos'!K79)&gt;0),"Teórico-Práctico",IF(SUM('4.Electivos'!J79,'4.Electivos'!K79)&gt;0,"Teórico","Práctico"))</f>
        <v>Práctico</v>
      </c>
      <c r="I105" s="200" t="s">
        <v>2</v>
      </c>
      <c r="J105" s="200" t="s">
        <v>546</v>
      </c>
      <c r="K105" s="200" t="str">
        <f t="shared" si="13"/>
        <v>INGENIERÍA CIVIL_PRESENCIAL</v>
      </c>
      <c r="L105" s="200" t="s">
        <v>690</v>
      </c>
      <c r="M105" s="200" t="s">
        <v>548</v>
      </c>
      <c r="N105" s="200" t="s">
        <v>549</v>
      </c>
      <c r="O105" s="200" t="s">
        <v>6</v>
      </c>
      <c r="P105" s="200" t="s">
        <v>628</v>
      </c>
      <c r="Q105" s="421">
        <v>60</v>
      </c>
      <c r="X105" s="183" t="str">
        <f>+'3.Plan de Estudios'!$E$41</f>
        <v>ENGLISH III</v>
      </c>
      <c r="Y105" t="str">
        <f>IF('3.Plan de Estudios'!AE41="","",'3.Plan de Estudios'!AE41)</f>
        <v/>
      </c>
      <c r="Z105" t="str">
        <f t="shared" si="15"/>
        <v>ENGLISH III-</v>
      </c>
      <c r="AA105" s="89" t="str">
        <f t="shared" si="3"/>
        <v/>
      </c>
      <c r="AB105" t="str">
        <f t="shared" si="12"/>
        <v/>
      </c>
      <c r="AC105" t="str">
        <f t="shared" si="16"/>
        <v/>
      </c>
      <c r="AD105" t="str">
        <f>CONCATENATE(AC493,AC494,AC495,AC496,AC497)</f>
        <v/>
      </c>
    </row>
    <row r="106" spans="1:38" ht="15.75">
      <c r="A106" t="str">
        <f>IF(AND(SUM('3.Plan de Estudios'!L97:O97)&gt;0,SUM('3.Plan de Estudios'!J97,'3.Plan de Estudios'!K97)&gt;0),"Teórico-Práctico",IF(SUM('3.Plan de Estudios'!J97,'3.Plan de Estudios'!K97)&gt;0,"Teórico","Práctico"))</f>
        <v>Teórico-Práctico</v>
      </c>
      <c r="B106" t="str">
        <f>IF(AND(SUM('4.Electivos'!L80:O80)&gt;0,SUM('4.Electivos'!J80,'4.Electivos'!K80)&gt;0),"Teórico-Práctico",IF(SUM('4.Electivos'!J80,'4.Electivos'!K80)&gt;0,"Teórico","Práctico"))</f>
        <v>Práctico</v>
      </c>
      <c r="I106" s="200" t="s">
        <v>2</v>
      </c>
      <c r="J106" s="200" t="s">
        <v>546</v>
      </c>
      <c r="K106" s="200" t="str">
        <f t="shared" si="13"/>
        <v>INGENIERÍA CIVIL_SEMIPRESENCIAL</v>
      </c>
      <c r="L106" s="200" t="s">
        <v>817</v>
      </c>
      <c r="M106" s="200" t="s">
        <v>548</v>
      </c>
      <c r="N106" s="200" t="s">
        <v>549</v>
      </c>
      <c r="O106" s="200" t="s">
        <v>498</v>
      </c>
      <c r="P106" s="200" t="s">
        <v>628</v>
      </c>
      <c r="Q106" s="421">
        <v>60</v>
      </c>
      <c r="X106" s="183" t="str">
        <f>+'3.Plan de Estudios'!$E$41</f>
        <v>ENGLISH III</v>
      </c>
      <c r="Y106" t="str">
        <f>IF('3.Plan de Estudios'!AG41="","",'3.Plan de Estudios'!AG41)</f>
        <v/>
      </c>
      <c r="Z106" t="str">
        <f t="shared" si="15"/>
        <v>ENGLISH III-</v>
      </c>
      <c r="AA106" s="89" t="str">
        <f t="shared" si="3"/>
        <v/>
      </c>
      <c r="AB106" t="str">
        <f t="shared" si="12"/>
        <v/>
      </c>
      <c r="AC106" t="str">
        <f t="shared" si="16"/>
        <v/>
      </c>
      <c r="AD106" t="str">
        <f>CONCATENATE(AC498,AC499,AC500,AC501,AC502)</f>
        <v/>
      </c>
    </row>
    <row r="107" spans="1:38" ht="15.75">
      <c r="A107" t="str">
        <f>IF(AND(SUM('3.Plan de Estudios'!L98:O98)&gt;0,SUM('3.Plan de Estudios'!J98,'3.Plan de Estudios'!K98)&gt;0),"Teórico-Práctico",IF(SUM('3.Plan de Estudios'!J98,'3.Plan de Estudios'!K98)&gt;0,"Teórico","Práctico"))</f>
        <v>Teórico</v>
      </c>
      <c r="B107" t="str">
        <f>IF(AND(SUM('4.Electivos'!L81:O81)&gt;0,SUM('4.Electivos'!J81,'4.Electivos'!K81)&gt;0),"Teórico-Práctico",IF(SUM('4.Electivos'!J81,'4.Electivos'!K81)&gt;0,"Teórico","Práctico"))</f>
        <v>Práctico</v>
      </c>
      <c r="I107" s="200" t="s">
        <v>2</v>
      </c>
      <c r="J107" s="200" t="s">
        <v>546</v>
      </c>
      <c r="K107" s="200" t="str">
        <f t="shared" si="13"/>
        <v>INGENIERÍA CIVIL_A DISTANCIA</v>
      </c>
      <c r="L107" s="200" t="s">
        <v>818</v>
      </c>
      <c r="M107" s="200" t="s">
        <v>548</v>
      </c>
      <c r="N107" s="200" t="s">
        <v>549</v>
      </c>
      <c r="O107" s="200" t="s">
        <v>494</v>
      </c>
      <c r="P107" s="200" t="s">
        <v>628</v>
      </c>
      <c r="Q107" s="421">
        <v>60</v>
      </c>
      <c r="X107" s="183" t="str">
        <f>+'3.Plan de Estudios'!$E$41</f>
        <v>ENGLISH III</v>
      </c>
      <c r="Y107" t="str">
        <f>IF('3.Plan de Estudios'!AI41="","",'3.Plan de Estudios'!AI41)</f>
        <v/>
      </c>
      <c r="Z107" t="str">
        <f t="shared" si="15"/>
        <v>ENGLISH III-</v>
      </c>
      <c r="AA107" s="89" t="str">
        <f t="shared" si="3"/>
        <v/>
      </c>
      <c r="AB107" t="str">
        <f t="shared" si="12"/>
        <v/>
      </c>
      <c r="AC107" t="str">
        <f t="shared" si="16"/>
        <v/>
      </c>
      <c r="AD107" t="str">
        <f>CONCATENATE(AC503,AC504,AC505,AC506,AC507)</f>
        <v/>
      </c>
    </row>
    <row r="108" spans="1:38" ht="15.75">
      <c r="A108" t="str">
        <f>IF(AND(SUM('3.Plan de Estudios'!L99:O99)&gt;0,SUM('3.Plan de Estudios'!J99,'3.Plan de Estudios'!K99)&gt;0),"Teórico-Práctico",IF(SUM('3.Plan de Estudios'!J99,'3.Plan de Estudios'!K99)&gt;0,"Teórico","Práctico"))</f>
        <v>Teórico-Práctico</v>
      </c>
      <c r="B108" t="str">
        <f>IF(AND(SUM('4.Electivos'!L82:O82)&gt;0,SUM('4.Electivos'!J82,'4.Electivos'!K82)&gt;0),"Teórico-Práctico",IF(SUM('4.Electivos'!J82,'4.Electivos'!K82)&gt;0,"Teórico","Práctico"))</f>
        <v>Práctico</v>
      </c>
      <c r="I108" s="200" t="s">
        <v>2</v>
      </c>
      <c r="J108" s="200" t="s">
        <v>694</v>
      </c>
      <c r="K108" s="200" t="str">
        <f t="shared" si="13"/>
        <v>INGENIERÍA DE CONSTRUCCIÓN_PRESENCIAL</v>
      </c>
      <c r="L108" s="200" t="s">
        <v>695</v>
      </c>
      <c r="M108" s="200" t="s">
        <v>819</v>
      </c>
      <c r="N108" s="200" t="s">
        <v>820</v>
      </c>
      <c r="O108" s="200" t="s">
        <v>6</v>
      </c>
      <c r="P108" s="200" t="s">
        <v>628</v>
      </c>
      <c r="Q108" s="421">
        <v>60</v>
      </c>
      <c r="X108" s="186" t="str">
        <f>+'3.Plan de Estudios'!$E$42</f>
        <v>ESTADÍSTICA GENERAL</v>
      </c>
      <c r="Y108" t="str">
        <f>IF('3.Plan de Estudios'!AA42="","",'3.Plan de Estudios'!AA42)</f>
        <v>CG3: Investigación:N1 Reconoce y plantea adecuadamente que es un problema de investigación y los objetivos de la misma.</v>
      </c>
      <c r="Z108" t="str">
        <f t="shared" si="15"/>
        <v>ESTADÍSTICA GENERAL-CG3: Investigación:N1 Reconoce y plantea adecuadamente que es un problema de investigación y los obj</v>
      </c>
      <c r="AA108" s="89" t="str">
        <f t="shared" ref="AA108:AA171" si="17">+IF(Y108="","","a")</f>
        <v>a</v>
      </c>
      <c r="AB108" t="str">
        <f t="shared" si="12"/>
        <v xml:space="preserve"> Investigación</v>
      </c>
      <c r="AC108" t="str">
        <f>AB108</f>
        <v xml:space="preserve"> Investigación</v>
      </c>
      <c r="AD108" t="str">
        <f>CONCATENATE(AC508,AC509,AC510,AC511,AC512)</f>
        <v/>
      </c>
    </row>
    <row r="109" spans="1:38" ht="15.75">
      <c r="A109" t="str">
        <f>IF(AND(SUM('3.Plan de Estudios'!L100:O100)&gt;0,SUM('3.Plan de Estudios'!J100,'3.Plan de Estudios'!K100)&gt;0),"Teórico-Práctico",IF(SUM('3.Plan de Estudios'!J100,'3.Plan de Estudios'!K100)&gt;0,"Teórico","Práctico"))</f>
        <v>Teórico</v>
      </c>
      <c r="B109" t="str">
        <f>IF(AND(SUM('4.Electivos'!L83:O83)&gt;0,SUM('4.Electivos'!J83,'4.Electivos'!K83)&gt;0),"Teórico-Práctico",IF(SUM('4.Electivos'!J83,'4.Electivos'!K83)&gt;0,"Teórico","Práctico"))</f>
        <v>Práctico</v>
      </c>
      <c r="I109" s="200" t="s">
        <v>2</v>
      </c>
      <c r="J109" s="200" t="s">
        <v>698</v>
      </c>
      <c r="K109" s="200" t="str">
        <f t="shared" si="13"/>
        <v>INGENIERÍA DE SISTEMAS DE INFORMACIÓN_PRESENCIAL</v>
      </c>
      <c r="L109" s="200" t="s">
        <v>699</v>
      </c>
      <c r="M109" s="200" t="s">
        <v>821</v>
      </c>
      <c r="N109" s="200" t="s">
        <v>822</v>
      </c>
      <c r="O109" s="200" t="s">
        <v>6</v>
      </c>
      <c r="P109" s="200" t="s">
        <v>628</v>
      </c>
      <c r="Q109" s="421">
        <v>60</v>
      </c>
      <c r="X109" s="186" t="str">
        <f>+'3.Plan de Estudios'!$E$42</f>
        <v>ESTADÍSTICA GENERAL</v>
      </c>
      <c r="Y109" t="str">
        <f>IF('3.Plan de Estudios'!AC42="","",'3.Plan de Estudios'!AC42)</f>
        <v/>
      </c>
      <c r="Z109" t="str">
        <f t="shared" si="15"/>
        <v>ESTADÍSTICA GENERAL-</v>
      </c>
      <c r="AA109" s="89" t="str">
        <f t="shared" si="17"/>
        <v/>
      </c>
      <c r="AB109" t="str">
        <f t="shared" si="12"/>
        <v/>
      </c>
      <c r="AC109" t="str">
        <f t="shared" si="16"/>
        <v/>
      </c>
      <c r="AD109" t="str">
        <f>CONCATENATE(AC513,AC514,AC515,AC516,AC517)</f>
        <v/>
      </c>
    </row>
    <row r="110" spans="1:38" ht="15.75">
      <c r="A110" t="str">
        <f>IF(AND(SUM('3.Plan de Estudios'!L101:O101)&gt;0,SUM('3.Plan de Estudios'!J101,'3.Plan de Estudios'!K101)&gt;0),"Teórico-Práctico",IF(SUM('3.Plan de Estudios'!J101,'3.Plan de Estudios'!K101)&gt;0,"Teórico","Práctico"))</f>
        <v>Práctico</v>
      </c>
      <c r="B110" t="str">
        <f>IF(AND(SUM('4.Electivos'!L84:O84)&gt;0,SUM('4.Electivos'!J84,'4.Electivos'!K84)&gt;0),"Teórico-Práctico",IF(SUM('4.Electivos'!J84,'4.Electivos'!K84)&gt;0,"Teórico","Práctico"))</f>
        <v>Práctico</v>
      </c>
      <c r="I110" s="200" t="s">
        <v>2</v>
      </c>
      <c r="J110" s="200" t="s">
        <v>698</v>
      </c>
      <c r="K110" s="200" t="str">
        <f t="shared" si="13"/>
        <v>INGENIERÍA DE SISTEMAS DE INFORMACIÓN_SEMIPRESENCIAL</v>
      </c>
      <c r="L110" s="200" t="s">
        <v>823</v>
      </c>
      <c r="M110" s="200" t="s">
        <v>821</v>
      </c>
      <c r="N110" s="200" t="s">
        <v>822</v>
      </c>
      <c r="O110" s="200" t="s">
        <v>498</v>
      </c>
      <c r="P110" s="200" t="s">
        <v>628</v>
      </c>
      <c r="Q110" s="421">
        <v>60</v>
      </c>
      <c r="X110" s="186" t="str">
        <f>+'3.Plan de Estudios'!$E$42</f>
        <v>ESTADÍSTICA GENERAL</v>
      </c>
      <c r="Y110" t="str">
        <f>IF('3.Plan de Estudios'!AE42="","",'3.Plan de Estudios'!AE42)</f>
        <v/>
      </c>
      <c r="Z110" t="str">
        <f t="shared" si="15"/>
        <v>ESTADÍSTICA GENERAL-</v>
      </c>
      <c r="AA110" s="89" t="str">
        <f t="shared" si="17"/>
        <v/>
      </c>
      <c r="AB110" t="str">
        <f t="shared" si="12"/>
        <v/>
      </c>
      <c r="AC110" t="str">
        <f t="shared" si="16"/>
        <v/>
      </c>
      <c r="AD110" t="str">
        <f>CONCATENATE(AC518,AC519,AC520,AC521,AC522)</f>
        <v/>
      </c>
    </row>
    <row r="111" spans="1:38" ht="15.75">
      <c r="A111" t="str">
        <f>IF(AND(SUM('3.Plan de Estudios'!L102:O102)&gt;0,SUM('3.Plan de Estudios'!J102,'3.Plan de Estudios'!K102)&gt;0),"Teórico-Práctico",IF(SUM('3.Plan de Estudios'!J102,'3.Plan de Estudios'!K102)&gt;0,"Teórico","Práctico"))</f>
        <v>Práctico</v>
      </c>
      <c r="B111" t="str">
        <f>IF(AND(SUM('4.Electivos'!L85:O85)&gt;0,SUM('4.Electivos'!J85,'4.Electivos'!K85)&gt;0),"Teórico-Práctico",IF(SUM('4.Electivos'!J85,'4.Electivos'!K85)&gt;0,"Teórico","Práctico"))</f>
        <v>Práctico</v>
      </c>
      <c r="I111" s="200" t="s">
        <v>2</v>
      </c>
      <c r="J111" s="200" t="s">
        <v>698</v>
      </c>
      <c r="K111" s="200" t="str">
        <f t="shared" si="13"/>
        <v>INGENIERÍA DE SISTEMAS DE INFORMACIÓN_A DISTANCIA</v>
      </c>
      <c r="L111" s="200" t="s">
        <v>824</v>
      </c>
      <c r="M111" s="200" t="s">
        <v>821</v>
      </c>
      <c r="N111" s="200" t="s">
        <v>822</v>
      </c>
      <c r="O111" s="200" t="s">
        <v>494</v>
      </c>
      <c r="P111" s="200" t="s">
        <v>628</v>
      </c>
      <c r="Q111" s="421">
        <v>60</v>
      </c>
      <c r="X111" s="186" t="str">
        <f>+'3.Plan de Estudios'!$E$42</f>
        <v>ESTADÍSTICA GENERAL</v>
      </c>
      <c r="Y111" t="str">
        <f>IF('3.Plan de Estudios'!AG42="","",'3.Plan de Estudios'!AG42)</f>
        <v/>
      </c>
      <c r="Z111" t="str">
        <f t="shared" si="15"/>
        <v>ESTADÍSTICA GENERAL-</v>
      </c>
      <c r="AA111" s="89" t="str">
        <f t="shared" si="17"/>
        <v/>
      </c>
      <c r="AB111" t="str">
        <f t="shared" si="12"/>
        <v/>
      </c>
      <c r="AC111" t="str">
        <f t="shared" si="16"/>
        <v/>
      </c>
      <c r="AD111" t="str">
        <f>CONCATENATE(AC523,AC524,AC525,AC526,AC527)</f>
        <v/>
      </c>
    </row>
    <row r="112" spans="1:38" ht="15.75">
      <c r="A112" t="str">
        <f>IF(AND(SUM('3.Plan de Estudios'!L103:O103)&gt;0,SUM('3.Plan de Estudios'!J103,'3.Plan de Estudios'!K103)&gt;0),"Teórico-Práctico",IF(SUM('3.Plan de Estudios'!J103,'3.Plan de Estudios'!K103)&gt;0,"Teórico","Práctico"))</f>
        <v>Práctico</v>
      </c>
      <c r="B112" t="str">
        <f>IF(AND(SUM('4.Electivos'!L86:O86)&gt;0,SUM('4.Electivos'!J86,'4.Electivos'!K86)&gt;0),"Teórico-Práctico",IF(SUM('4.Electivos'!J86,'4.Electivos'!K86)&gt;0,"Teórico","Práctico"))</f>
        <v>Práctico</v>
      </c>
      <c r="I112" s="200" t="s">
        <v>2</v>
      </c>
      <c r="J112" s="200" t="s">
        <v>702</v>
      </c>
      <c r="K112" s="200" t="str">
        <f t="shared" si="13"/>
        <v>INGENIERÍA DE SOFTWARE_PRESENCIAL</v>
      </c>
      <c r="L112" s="200" t="s">
        <v>703</v>
      </c>
      <c r="M112" s="200" t="s">
        <v>825</v>
      </c>
      <c r="N112" s="200" t="s">
        <v>826</v>
      </c>
      <c r="O112" s="200" t="s">
        <v>6</v>
      </c>
      <c r="P112" s="200" t="s">
        <v>628</v>
      </c>
      <c r="Q112" s="421">
        <v>60</v>
      </c>
      <c r="X112" s="186" t="str">
        <f>+'3.Plan de Estudios'!$E$42</f>
        <v>ESTADÍSTICA GENERAL</v>
      </c>
      <c r="Y112" t="str">
        <f>IF('3.Plan de Estudios'!AI42="","",'3.Plan de Estudios'!AI42)</f>
        <v/>
      </c>
      <c r="Z112" t="str">
        <f t="shared" si="15"/>
        <v>ESTADÍSTICA GENERAL-</v>
      </c>
      <c r="AA112" s="89" t="str">
        <f t="shared" si="17"/>
        <v/>
      </c>
      <c r="AB112" t="str">
        <f t="shared" si="12"/>
        <v/>
      </c>
      <c r="AC112" t="str">
        <f t="shared" si="16"/>
        <v/>
      </c>
      <c r="AD112" t="str">
        <f>CONCATENATE(AC528,AC529,AC530,AC531,AC532)</f>
        <v/>
      </c>
    </row>
    <row r="113" spans="1:30" ht="15.75">
      <c r="A113" t="str">
        <f>IF(AND(SUM('3.Plan de Estudios'!L104:O104)&gt;0,SUM('3.Plan de Estudios'!J104,'3.Plan de Estudios'!K104)&gt;0),"Teórico-Práctico",IF(SUM('3.Plan de Estudios'!J104,'3.Plan de Estudios'!K104)&gt;0,"Teórico","Práctico"))</f>
        <v>Práctico</v>
      </c>
      <c r="B113" t="str">
        <f>IF(AND(SUM('4.Electivos'!L87:O87)&gt;0,SUM('4.Electivos'!J87,'4.Electivos'!K87)&gt;0),"Teórico-Práctico",IF(SUM('4.Electivos'!J87,'4.Electivos'!K87)&gt;0,"Teórico","Práctico"))</f>
        <v>Práctico</v>
      </c>
      <c r="I113" s="200" t="s">
        <v>2</v>
      </c>
      <c r="J113" s="200" t="s">
        <v>702</v>
      </c>
      <c r="K113" s="200" t="str">
        <f t="shared" si="13"/>
        <v>INGENIERÍA DE SOFTWARE_SEMIPRESENCIAL</v>
      </c>
      <c r="L113" s="200" t="s">
        <v>827</v>
      </c>
      <c r="M113" s="200" t="s">
        <v>825</v>
      </c>
      <c r="N113" s="200" t="s">
        <v>826</v>
      </c>
      <c r="O113" s="200" t="s">
        <v>498</v>
      </c>
      <c r="P113" s="200" t="s">
        <v>628</v>
      </c>
      <c r="Q113" s="421">
        <v>60</v>
      </c>
      <c r="X113" s="183" t="str">
        <f>+'3.Plan de Estudios'!$E$43</f>
        <v>INFORMÁTICA APLICADA A LA EDUCACIÓN</v>
      </c>
      <c r="Y113" t="str">
        <f>IF('3.Plan de Estudios'!AA43="","",'3.Plan de Estudios'!AA43)</f>
        <v>CP2: Desarrollo de gestión educativa:N1 Desarrolla algunos principios básicos de la gestión educativa para brindar un adecuado servicio educativo.</v>
      </c>
      <c r="Z113" t="str">
        <f t="shared" si="15"/>
        <v>INFORMÁTICA APLICADA A LA EDUCACIÓN-CP2: Desarrollo de gestión educativa:N1 Desarrolla algunos principios básicos de la gestión educativ</v>
      </c>
      <c r="AA113" s="89" t="str">
        <f t="shared" si="17"/>
        <v>a</v>
      </c>
      <c r="AB113" t="str">
        <f t="shared" si="12"/>
        <v xml:space="preserve"> Desarrollo de gestión educativa</v>
      </c>
      <c r="AC113" t="str">
        <f>AB113</f>
        <v xml:space="preserve"> Desarrollo de gestión educativa</v>
      </c>
      <c r="AD113" t="str">
        <f>CONCATENATE(AC533,AC534,AC535,AC536,AC537)</f>
        <v/>
      </c>
    </row>
    <row r="114" spans="1:30" ht="15.75">
      <c r="A114" t="str">
        <f>IF(AND(SUM('3.Plan de Estudios'!L105:O105)&gt;0,SUM('3.Plan de Estudios'!J105,'3.Plan de Estudios'!K105)&gt;0),"Teórico-Práctico",IF(SUM('3.Plan de Estudios'!J105,'3.Plan de Estudios'!K105)&gt;0,"Teórico","Práctico"))</f>
        <v>Práctico</v>
      </c>
      <c r="B114" t="str">
        <f>IF(AND(SUM('4.Electivos'!L88:O88)&gt;0,SUM('4.Electivos'!J88,'4.Electivos'!K88)&gt;0),"Teórico-Práctico",IF(SUM('4.Electivos'!J88,'4.Electivos'!K88)&gt;0,"Teórico","Práctico"))</f>
        <v>Práctico</v>
      </c>
      <c r="I114" s="200" t="s">
        <v>2</v>
      </c>
      <c r="J114" s="200" t="s">
        <v>702</v>
      </c>
      <c r="K114" s="200" t="str">
        <f t="shared" si="13"/>
        <v>INGENIERÍA DE SOFTWARE_A DISTANCIA</v>
      </c>
      <c r="L114" s="200" t="s">
        <v>828</v>
      </c>
      <c r="M114" s="200" t="s">
        <v>825</v>
      </c>
      <c r="N114" s="200" t="s">
        <v>826</v>
      </c>
      <c r="O114" s="200" t="s">
        <v>494</v>
      </c>
      <c r="P114" s="200" t="s">
        <v>628</v>
      </c>
      <c r="Q114" s="421">
        <v>60</v>
      </c>
      <c r="X114" s="183" t="str">
        <f>+'3.Plan de Estudios'!$E$43</f>
        <v>INFORMÁTICA APLICADA A LA EDUCACIÓN</v>
      </c>
      <c r="Y114" t="str">
        <f>IF('3.Plan de Estudios'!AC43="","",'3.Plan de Estudios'!AC43)</f>
        <v>CG4: Gestión de Recursos:N1 Reconoce la teoría de gestión y sus componentes de manera aplicada para comprender la lógica empresarial.</v>
      </c>
      <c r="Z114" t="str">
        <f t="shared" si="15"/>
        <v xml:space="preserve">INFORMÁTICA APLICADA A LA EDUCACIÓN-CG4: Gestión de Recursos:N1 Reconoce la teoría de gestión y sus componentes de manera aplicada para </v>
      </c>
      <c r="AA114" s="89" t="str">
        <f t="shared" si="17"/>
        <v>a</v>
      </c>
      <c r="AB114" t="str">
        <f t="shared" si="12"/>
        <v xml:space="preserve"> Gestión de Recursos</v>
      </c>
      <c r="AC114" t="str">
        <f t="shared" si="16"/>
        <v>, Gestión de Recursos</v>
      </c>
      <c r="AD114" t="str">
        <f>CONCATENATE(AC538,AC539,AC540,AC541,AC542)</f>
        <v/>
      </c>
    </row>
    <row r="115" spans="1:30" ht="15.75">
      <c r="A115" t="str">
        <f>IF(AND(SUM('3.Plan de Estudios'!L107:O107)&gt;0,SUM('3.Plan de Estudios'!J107,'3.Plan de Estudios'!K107)&gt;0),"Teórico-Práctico",IF(SUM('3.Plan de Estudios'!J107,'3.Plan de Estudios'!K107)&gt;0,"Teórico","Práctico"))</f>
        <v>Teórico-Práctico</v>
      </c>
      <c r="B115" t="str">
        <f>IF(AND(SUM('4.Electivos'!L89:O89)&gt;0,SUM('4.Electivos'!J89,'4.Electivos'!K89)&gt;0),"Teórico-Práctico",IF(SUM('4.Electivos'!J89,'4.Electivos'!K89)&gt;0,"Teórico","Práctico"))</f>
        <v>Práctico</v>
      </c>
      <c r="I115" s="200" t="s">
        <v>2</v>
      </c>
      <c r="J115" s="200" t="s">
        <v>707</v>
      </c>
      <c r="K115" s="200" t="str">
        <f t="shared" si="13"/>
        <v>INGENIERÍA DEL AGUA_PRESENCIAL</v>
      </c>
      <c r="L115" s="200" t="s">
        <v>708</v>
      </c>
      <c r="M115" s="200" t="s">
        <v>829</v>
      </c>
      <c r="N115" s="200" t="s">
        <v>830</v>
      </c>
      <c r="O115" s="200" t="s">
        <v>6</v>
      </c>
      <c r="P115" s="200" t="s">
        <v>628</v>
      </c>
      <c r="Q115" s="421">
        <v>60</v>
      </c>
      <c r="X115" s="183" t="str">
        <f>+'3.Plan de Estudios'!$E$43</f>
        <v>INFORMÁTICA APLICADA A LA EDUCACIÓN</v>
      </c>
      <c r="Y115" t="str">
        <f>IF('3.Plan de Estudios'!AE43="","",'3.Plan de Estudios'!AE43)</f>
        <v/>
      </c>
      <c r="Z115" t="str">
        <f t="shared" si="15"/>
        <v>INFORMÁTICA APLICADA A LA EDUCACIÓN-</v>
      </c>
      <c r="AA115" s="89" t="str">
        <f t="shared" si="17"/>
        <v/>
      </c>
      <c r="AB115" t="str">
        <f t="shared" si="12"/>
        <v/>
      </c>
      <c r="AC115" t="str">
        <f t="shared" si="16"/>
        <v/>
      </c>
      <c r="AD115" t="str">
        <f>CONCATENATE(AC543,AC544,AC545,AC546,AC547)</f>
        <v/>
      </c>
    </row>
    <row r="116" spans="1:30" ht="15.75">
      <c r="A116" t="str">
        <f>IF(AND(SUM('3.Plan de Estudios'!L108:O108)&gt;0,SUM('3.Plan de Estudios'!J108,'3.Plan de Estudios'!K108)&gt;0),"Teórico-Práctico",IF(SUM('3.Plan de Estudios'!J108,'3.Plan de Estudios'!K108)&gt;0,"Teórico","Práctico"))</f>
        <v>Teórico</v>
      </c>
      <c r="B116" t="str">
        <f>IF(AND(SUM('4.Electivos'!L90:O90)&gt;0,SUM('4.Electivos'!J90,'4.Electivos'!K90)&gt;0),"Teórico-Práctico",IF(SUM('4.Electivos'!J90,'4.Electivos'!K90)&gt;0,"Teórico","Práctico"))</f>
        <v>Práctico</v>
      </c>
      <c r="I116" s="200" t="s">
        <v>2</v>
      </c>
      <c r="J116" s="200" t="s">
        <v>712</v>
      </c>
      <c r="K116" s="200" t="str">
        <f t="shared" si="13"/>
        <v>INGENIERÍA EMPRESARIAL_PRESENCIAL</v>
      </c>
      <c r="L116" s="200" t="s">
        <v>713</v>
      </c>
      <c r="M116" s="200" t="s">
        <v>831</v>
      </c>
      <c r="N116" s="200" t="s">
        <v>832</v>
      </c>
      <c r="O116" s="200" t="s">
        <v>6</v>
      </c>
      <c r="P116" s="200" t="s">
        <v>628</v>
      </c>
      <c r="Q116" s="421">
        <v>60</v>
      </c>
      <c r="X116" s="183" t="str">
        <f>+'3.Plan de Estudios'!$E$43</f>
        <v>INFORMÁTICA APLICADA A LA EDUCACIÓN</v>
      </c>
      <c r="Y116" t="str">
        <f>IF('3.Plan de Estudios'!AG43="","",'3.Plan de Estudios'!AG43)</f>
        <v/>
      </c>
      <c r="Z116" t="str">
        <f t="shared" si="15"/>
        <v>INFORMÁTICA APLICADA A LA EDUCACIÓN-</v>
      </c>
      <c r="AA116" s="89" t="str">
        <f t="shared" si="17"/>
        <v/>
      </c>
      <c r="AB116" t="str">
        <f t="shared" si="12"/>
        <v/>
      </c>
      <c r="AC116" t="str">
        <f t="shared" si="16"/>
        <v/>
      </c>
      <c r="AD116" t="str">
        <f>CONCATENATE(AC548,AC549,AC550,AC551,AC552)</f>
        <v/>
      </c>
    </row>
    <row r="117" spans="1:30" ht="15.75">
      <c r="A117" t="str">
        <f>IF(AND(SUM('3.Plan de Estudios'!L109:O109)&gt;0,SUM('3.Plan de Estudios'!J109,'3.Plan de Estudios'!K109)&gt;0),"Teórico-Práctico",IF(SUM('3.Plan de Estudios'!J109,'3.Plan de Estudios'!K109)&gt;0,"Teórico","Práctico"))</f>
        <v>Teórico-Práctico</v>
      </c>
      <c r="B117" t="str">
        <f>IF(AND(SUM('4.Electivos'!L91:O91)&gt;0,SUM('4.Electivos'!J91,'4.Electivos'!K91)&gt;0),"Teórico-Práctico",IF(SUM('4.Electivos'!J91,'4.Electivos'!K91)&gt;0,"Teórico","Práctico"))</f>
        <v>Práctico</v>
      </c>
      <c r="I117" s="200" t="s">
        <v>2</v>
      </c>
      <c r="J117" s="200" t="s">
        <v>712</v>
      </c>
      <c r="K117" s="200" t="str">
        <f t="shared" si="13"/>
        <v>INGENIERÍA EMPRESARIAL_SEMIPRESENCIAL</v>
      </c>
      <c r="L117" s="200" t="s">
        <v>833</v>
      </c>
      <c r="M117" s="200" t="s">
        <v>831</v>
      </c>
      <c r="N117" s="200" t="s">
        <v>832</v>
      </c>
      <c r="O117" s="200" t="s">
        <v>498</v>
      </c>
      <c r="P117" s="200" t="s">
        <v>628</v>
      </c>
      <c r="Q117" s="421">
        <v>60</v>
      </c>
      <c r="X117" s="183" t="str">
        <f>+'3.Plan de Estudios'!$E$43</f>
        <v>INFORMÁTICA APLICADA A LA EDUCACIÓN</v>
      </c>
      <c r="Y117" t="str">
        <f>IF('3.Plan de Estudios'!AI43="","",'3.Plan de Estudios'!AI43)</f>
        <v/>
      </c>
      <c r="Z117" t="str">
        <f t="shared" si="15"/>
        <v>INFORMÁTICA APLICADA A LA EDUCACIÓN-</v>
      </c>
      <c r="AA117" s="89" t="str">
        <f t="shared" si="17"/>
        <v/>
      </c>
      <c r="AB117" t="str">
        <f t="shared" si="12"/>
        <v/>
      </c>
      <c r="AC117" t="str">
        <f t="shared" si="16"/>
        <v/>
      </c>
      <c r="AD117" t="str">
        <f>CONCATENATE(AC553,AC554,AC555,AC556,AC557)</f>
        <v/>
      </c>
    </row>
    <row r="118" spans="1:30" ht="15.75">
      <c r="A118" t="str">
        <f>IF(AND(SUM('3.Plan de Estudios'!L110:O110)&gt;0,SUM('3.Plan de Estudios'!J110,'3.Plan de Estudios'!K110)&gt;0),"Teórico-Práctico",IF(SUM('3.Plan de Estudios'!J110,'3.Plan de Estudios'!K110)&gt;0,"Teórico","Práctico"))</f>
        <v>Teórico-Práctico</v>
      </c>
      <c r="B118" t="str">
        <f>IF(AND(SUM('4.Electivos'!L92:O92)&gt;0,SUM('4.Electivos'!J92,'4.Electivos'!K92)&gt;0),"Teórico-Práctico",IF(SUM('4.Electivos'!J92,'4.Electivos'!K92)&gt;0,"Teórico","Práctico"))</f>
        <v>Práctico</v>
      </c>
      <c r="I118" s="200" t="s">
        <v>2</v>
      </c>
      <c r="J118" s="200" t="s">
        <v>712</v>
      </c>
      <c r="K118" s="200" t="str">
        <f t="shared" si="13"/>
        <v>INGENIERÍA EMPRESARIAL_A DISTANCIA</v>
      </c>
      <c r="L118" s="200" t="s">
        <v>834</v>
      </c>
      <c r="M118" s="200" t="s">
        <v>831</v>
      </c>
      <c r="N118" s="200" t="s">
        <v>832</v>
      </c>
      <c r="O118" s="200" t="s">
        <v>494</v>
      </c>
      <c r="P118" s="200" t="s">
        <v>628</v>
      </c>
      <c r="Q118" s="421">
        <v>60</v>
      </c>
      <c r="X118" s="186" t="str">
        <f>+'3.Plan de Estudios'!$E$44</f>
        <v>INTERPRETACIÓN DE TEXTOS</v>
      </c>
      <c r="Y118" t="str">
        <f>IF('3.Plan de Estudios'!AA44="","",'3.Plan de Estudios'!AA44)</f>
        <v>CP5: Comprensión y expresión del idioma inglés:N1 Emplea el uso de las TIC para el proceso de sistematización del proceso enseñanza aprendizaje.</v>
      </c>
      <c r="Z118" t="str">
        <f t="shared" si="15"/>
        <v>INTERPRETACIÓN DE TEXTOS-CP5: Comprensión y expresión del idioma inglés:N1 Emplea el uso de las TIC para el proceso de sistem</v>
      </c>
      <c r="AA118" s="89" t="str">
        <f t="shared" si="17"/>
        <v>a</v>
      </c>
      <c r="AB118" t="str">
        <f t="shared" si="12"/>
        <v xml:space="preserve"> Comprensión y expresión del idioma inglés</v>
      </c>
      <c r="AC118" t="str">
        <f>AB118</f>
        <v xml:space="preserve"> Comprensión y expresión del idioma inglés</v>
      </c>
      <c r="AD118" t="str">
        <f>CONCATENATE(AC558,AC559,AC560,AC561,AC562)</f>
        <v/>
      </c>
    </row>
    <row r="119" spans="1:30" ht="15.75">
      <c r="A119" t="str">
        <f>IF(AND(SUM('3.Plan de Estudios'!L111:O111)&gt;0,SUM('3.Plan de Estudios'!J111,'3.Plan de Estudios'!K111)&gt;0),"Teórico-Práctico",IF(SUM('3.Plan de Estudios'!J111,'3.Plan de Estudios'!K111)&gt;0,"Teórico","Práctico"))</f>
        <v>Teórico-Práctico</v>
      </c>
      <c r="B119" t="str">
        <f>IF(AND(SUM('4.Electivos'!L93:O93)&gt;0,SUM('4.Electivos'!J93,'4.Electivos'!K93)&gt;0),"Teórico-Práctico",IF(SUM('4.Electivos'!J93,'4.Electivos'!K93)&gt;0,"Teórico","Práctico"))</f>
        <v>Práctico</v>
      </c>
      <c r="I119" s="200" t="s">
        <v>2</v>
      </c>
      <c r="J119" s="200" t="s">
        <v>717</v>
      </c>
      <c r="K119" s="200" t="str">
        <f t="shared" si="13"/>
        <v>INGENIERÍA EN INDUSTRIAS ALIMENTARIAS_PRESENCIAL</v>
      </c>
      <c r="L119" s="200" t="s">
        <v>718</v>
      </c>
      <c r="M119" s="200" t="s">
        <v>835</v>
      </c>
      <c r="N119" s="200" t="s">
        <v>836</v>
      </c>
      <c r="O119" s="200" t="s">
        <v>6</v>
      </c>
      <c r="P119" s="200" t="s">
        <v>628</v>
      </c>
      <c r="Q119" s="421">
        <v>60</v>
      </c>
      <c r="X119" s="186" t="str">
        <f>+'3.Plan de Estudios'!$E$44</f>
        <v>INTERPRETACIÓN DE TEXTOS</v>
      </c>
      <c r="Y119" t="str">
        <f>IF('3.Plan de Estudios'!AC44="","",'3.Plan de Estudios'!AC44)</f>
        <v/>
      </c>
      <c r="Z119" t="str">
        <f t="shared" si="15"/>
        <v>INTERPRETACIÓN DE TEXTOS-</v>
      </c>
      <c r="AA119" s="89" t="str">
        <f t="shared" si="17"/>
        <v/>
      </c>
      <c r="AB119" t="str">
        <f t="shared" si="12"/>
        <v/>
      </c>
      <c r="AC119" t="str">
        <f t="shared" si="16"/>
        <v/>
      </c>
      <c r="AD119" t="str">
        <f>CONCATENATE(AC563,AC564,AC565,AC566,AC567)</f>
        <v/>
      </c>
    </row>
    <row r="120" spans="1:30" ht="15.75">
      <c r="A120" t="str">
        <f>IF(AND(SUM('3.Plan de Estudios'!L112:O112)&gt;0,SUM('3.Plan de Estudios'!J112,'3.Plan de Estudios'!K112)&gt;0),"Teórico-Práctico",IF(SUM('3.Plan de Estudios'!J112,'3.Plan de Estudios'!K112)&gt;0,"Teórico","Práctico"))</f>
        <v>Teórico</v>
      </c>
      <c r="B120" t="str">
        <f>IF(AND(SUM('4.Electivos'!L94:O94)&gt;0,SUM('4.Electivos'!J94,'4.Electivos'!K94)&gt;0),"Teórico-Práctico",IF(SUM('4.Electivos'!J94,'4.Electivos'!K94)&gt;0,"Teórico","Práctico"))</f>
        <v>Práctico</v>
      </c>
      <c r="I120" s="200" t="s">
        <v>2</v>
      </c>
      <c r="J120" s="200" t="s">
        <v>717</v>
      </c>
      <c r="K120" s="200" t="str">
        <f t="shared" si="13"/>
        <v>INGENIERÍA EN INDUSTRIAS ALIMENTARIAS_SEMIPRESENCIAL</v>
      </c>
      <c r="L120" s="200" t="s">
        <v>837</v>
      </c>
      <c r="M120" s="200" t="s">
        <v>835</v>
      </c>
      <c r="N120" s="200" t="s">
        <v>836</v>
      </c>
      <c r="O120" s="200" t="s">
        <v>498</v>
      </c>
      <c r="P120" s="200" t="s">
        <v>628</v>
      </c>
      <c r="Q120" s="421">
        <v>60</v>
      </c>
      <c r="X120" s="186" t="str">
        <f>+'3.Plan de Estudios'!$E$44</f>
        <v>INTERPRETACIÓN DE TEXTOS</v>
      </c>
      <c r="Y120" t="str">
        <f>IF('3.Plan de Estudios'!AE44="","",'3.Plan de Estudios'!AE44)</f>
        <v/>
      </c>
      <c r="Z120" t="str">
        <f t="shared" si="15"/>
        <v>INTERPRETACIÓN DE TEXTOS-</v>
      </c>
      <c r="AA120" s="89" t="str">
        <f t="shared" si="17"/>
        <v/>
      </c>
      <c r="AB120" t="str">
        <f t="shared" si="12"/>
        <v/>
      </c>
      <c r="AC120" t="str">
        <f t="shared" si="16"/>
        <v/>
      </c>
      <c r="AD120" t="str">
        <f>CONCATENATE(AC568,AC569,AC570,AC571,AC572)</f>
        <v/>
      </c>
    </row>
    <row r="121" spans="1:30" ht="15.75">
      <c r="A121" t="str">
        <f>IF(AND(SUM('3.Plan de Estudios'!L113:O113)&gt;0,SUM('3.Plan de Estudios'!J113,'3.Plan de Estudios'!K113)&gt;0),"Teórico-Práctico",IF(SUM('3.Plan de Estudios'!J113,'3.Plan de Estudios'!K113)&gt;0,"Teórico","Práctico"))</f>
        <v>Práctico</v>
      </c>
      <c r="B121" t="str">
        <f>IF(AND(SUM('4.Electivos'!L95:O95)&gt;0,SUM('4.Electivos'!J95,'4.Electivos'!K95)&gt;0),"Teórico-Práctico",IF(SUM('4.Electivos'!J95,'4.Electivos'!K95)&gt;0,"Teórico","Práctico"))</f>
        <v>Práctico</v>
      </c>
      <c r="I121" s="200" t="s">
        <v>2</v>
      </c>
      <c r="J121" s="200" t="s">
        <v>717</v>
      </c>
      <c r="K121" s="200" t="str">
        <f t="shared" si="13"/>
        <v>INGENIERÍA EN INDUSTRIAS ALIMENTARIAS_A DISTANCIA</v>
      </c>
      <c r="L121" s="200" t="s">
        <v>838</v>
      </c>
      <c r="M121" s="200" t="s">
        <v>835</v>
      </c>
      <c r="N121" s="200" t="s">
        <v>836</v>
      </c>
      <c r="O121" s="200" t="s">
        <v>494</v>
      </c>
      <c r="P121" s="200" t="s">
        <v>628</v>
      </c>
      <c r="Q121" s="421">
        <v>60</v>
      </c>
      <c r="X121" s="186" t="str">
        <f>+'3.Plan de Estudios'!$E$44</f>
        <v>INTERPRETACIÓN DE TEXTOS</v>
      </c>
      <c r="Y121" t="str">
        <f>IF('3.Plan de Estudios'!AG44="","",'3.Plan de Estudios'!AG44)</f>
        <v/>
      </c>
      <c r="Z121" t="str">
        <f t="shared" si="15"/>
        <v>INTERPRETACIÓN DE TEXTOS-</v>
      </c>
      <c r="AA121" s="89" t="str">
        <f t="shared" si="17"/>
        <v/>
      </c>
      <c r="AB121" t="str">
        <f t="shared" si="12"/>
        <v/>
      </c>
      <c r="AC121" t="str">
        <f t="shared" si="16"/>
        <v/>
      </c>
      <c r="AD121" t="str">
        <f>CONCATENATE(AC573,AC574,AC575,AC576,AC577)</f>
        <v/>
      </c>
    </row>
    <row r="122" spans="1:30" ht="15.75">
      <c r="A122" t="str">
        <f>IF(AND(SUM('3.Plan de Estudios'!L114:O114)&gt;0,SUM('3.Plan de Estudios'!J114,'3.Plan de Estudios'!K114)&gt;0),"Teórico-Práctico",IF(SUM('3.Plan de Estudios'!J114,'3.Plan de Estudios'!K114)&gt;0,"Teórico","Práctico"))</f>
        <v>Práctico</v>
      </c>
      <c r="B122" t="str">
        <f>IF(AND(SUM('4.Electivos'!L96:O96)&gt;0,SUM('4.Electivos'!J96,'4.Electivos'!K96)&gt;0),"Teórico-Práctico",IF(SUM('4.Electivos'!J96,'4.Electivos'!K96)&gt;0,"Teórico","Práctico"))</f>
        <v>Práctico</v>
      </c>
      <c r="I122" s="200" t="s">
        <v>2</v>
      </c>
      <c r="J122" s="200" t="s">
        <v>722</v>
      </c>
      <c r="K122" s="200" t="str">
        <f t="shared" si="13"/>
        <v>INGENIERÍA INDUSTRIAL Y COMERCIAL_PRESENCIAL</v>
      </c>
      <c r="L122" s="200" t="s">
        <v>723</v>
      </c>
      <c r="M122" s="200" t="s">
        <v>839</v>
      </c>
      <c r="N122" s="200" t="s">
        <v>840</v>
      </c>
      <c r="O122" s="200" t="s">
        <v>6</v>
      </c>
      <c r="P122" s="200" t="s">
        <v>628</v>
      </c>
      <c r="Q122" s="421">
        <v>60</v>
      </c>
      <c r="X122" s="186" t="str">
        <f>+'3.Plan de Estudios'!$E$44</f>
        <v>INTERPRETACIÓN DE TEXTOS</v>
      </c>
      <c r="Y122" t="str">
        <f>IF('3.Plan de Estudios'!AI44="","",'3.Plan de Estudios'!AI44)</f>
        <v/>
      </c>
      <c r="Z122" t="str">
        <f t="shared" si="15"/>
        <v>INTERPRETACIÓN DE TEXTOS-</v>
      </c>
      <c r="AA122" s="89" t="str">
        <f t="shared" si="17"/>
        <v/>
      </c>
      <c r="AB122" t="str">
        <f t="shared" si="12"/>
        <v/>
      </c>
      <c r="AC122" t="str">
        <f t="shared" si="16"/>
        <v/>
      </c>
      <c r="AD122" t="str">
        <f>CONCATENATE(AC578,AC579,AC580,AC581,AC582)</f>
        <v/>
      </c>
    </row>
    <row r="123" spans="1:30" ht="15.75">
      <c r="A123" t="str">
        <f>IF(AND(SUM('3.Plan de Estudios'!L115:O115)&gt;0,SUM('3.Plan de Estudios'!J115,'3.Plan de Estudios'!K115)&gt;0),"Teórico-Práctico",IF(SUM('3.Plan de Estudios'!J115,'3.Plan de Estudios'!K115)&gt;0,"Teórico","Práctico"))</f>
        <v>Práctico</v>
      </c>
      <c r="B123" t="str">
        <f>IF(AND(SUM('4.Electivos'!L97:O97)&gt;0,SUM('4.Electivos'!J97,'4.Electivos'!K97)&gt;0),"Teórico-Práctico",IF(SUM('4.Electivos'!J97,'4.Electivos'!K97)&gt;0,"Teórico","Práctico"))</f>
        <v>Práctico</v>
      </c>
      <c r="I123" s="200" t="s">
        <v>2</v>
      </c>
      <c r="J123" s="200" t="s">
        <v>722</v>
      </c>
      <c r="K123" s="200" t="str">
        <f t="shared" si="13"/>
        <v>INGENIERÍA INDUSTRIAL Y COMERCIAL_SEMIPRESENCIAL</v>
      </c>
      <c r="L123" s="200" t="s">
        <v>841</v>
      </c>
      <c r="M123" s="200" t="s">
        <v>839</v>
      </c>
      <c r="N123" s="200" t="s">
        <v>840</v>
      </c>
      <c r="O123" s="200" t="s">
        <v>498</v>
      </c>
      <c r="P123" s="200" t="s">
        <v>628</v>
      </c>
      <c r="Q123" s="421">
        <v>60</v>
      </c>
      <c r="X123" s="183" t="str">
        <f>+'3.Plan de Estudios'!$E$45</f>
        <v>REALIDAD NACIONAL Y GLOBALIZACIÓN</v>
      </c>
      <c r="Y123" t="str">
        <f>IF('3.Plan de Estudios'!AA45="","",'3.Plan de Estudios'!AA45)</f>
        <v xml:space="preserve">CP1: Orientación educativa:N1 Establece las orientaciones fundamentales del sentido educativo en los docentes y los alumnos. </v>
      </c>
      <c r="Z123" t="str">
        <f t="shared" si="15"/>
        <v>REALIDAD NACIONAL Y GLOBALIZACIÓN-CP1: Orientación educativa:N1 Establece las orientaciones fundamentales del sentido educativo en los</v>
      </c>
      <c r="AA123" s="89" t="str">
        <f t="shared" si="17"/>
        <v>a</v>
      </c>
      <c r="AB123" t="str">
        <f t="shared" si="12"/>
        <v xml:space="preserve"> Orientación educativa</v>
      </c>
      <c r="AC123" t="str">
        <f>AB123</f>
        <v xml:space="preserve"> Orientación educativa</v>
      </c>
      <c r="AD123" t="str">
        <f>CONCATENATE(AC583,AC584,AC585,AC586,AC587)</f>
        <v/>
      </c>
    </row>
    <row r="124" spans="1:30" ht="15.75">
      <c r="A124" t="str">
        <f>IF(AND(SUM('3.Plan de Estudios'!L116:O116)&gt;0,SUM('3.Plan de Estudios'!J116,'3.Plan de Estudios'!K116)&gt;0),"Teórico-Práctico",IF(SUM('3.Plan de Estudios'!J116,'3.Plan de Estudios'!K116)&gt;0,"Teórico","Práctico"))</f>
        <v>Práctico</v>
      </c>
      <c r="B124" t="str">
        <f>IF(AND(SUM('4.Electivos'!L98:O98)&gt;0,SUM('4.Electivos'!J98,'4.Electivos'!K98)&gt;0),"Teórico-Práctico",IF(SUM('4.Electivos'!J98,'4.Electivos'!K98)&gt;0,"Teórico","Práctico"))</f>
        <v>Práctico</v>
      </c>
      <c r="I124" s="200" t="s">
        <v>2</v>
      </c>
      <c r="J124" s="200" t="s">
        <v>722</v>
      </c>
      <c r="K124" s="200" t="str">
        <f t="shared" si="13"/>
        <v>INGENIERÍA INDUSTRIAL Y COMERCIAL_A DISTANCIA</v>
      </c>
      <c r="L124" s="200" t="s">
        <v>842</v>
      </c>
      <c r="M124" s="200" t="s">
        <v>839</v>
      </c>
      <c r="N124" s="200" t="s">
        <v>840</v>
      </c>
      <c r="O124" s="200" t="s">
        <v>494</v>
      </c>
      <c r="P124" s="200" t="s">
        <v>628</v>
      </c>
      <c r="Q124" s="421">
        <v>60</v>
      </c>
      <c r="X124" s="183" t="str">
        <f>+'3.Plan de Estudios'!$E$45</f>
        <v>REALIDAD NACIONAL Y GLOBALIZACIÓN</v>
      </c>
      <c r="Y124" t="str">
        <f>IF('3.Plan de Estudios'!AC45="","",'3.Plan de Estudios'!AC45)</f>
        <v>CG5: Desarrollo Humano:N1 Identifica sus capacidades y/o cualidades personales y académicas mediante ejercicios y base teórica conducente al fortalecimiento del autoconocimiento.</v>
      </c>
      <c r="Z124" t="str">
        <f t="shared" si="15"/>
        <v>REALIDAD NACIONAL Y GLOBALIZACIÓN-CG5: Desarrollo Humano:N1 Identifica sus capacidades y/o cualidades personales y académicas mediante</v>
      </c>
      <c r="AA124" s="89" t="str">
        <f t="shared" si="17"/>
        <v>a</v>
      </c>
      <c r="AB124" t="str">
        <f t="shared" si="12"/>
        <v xml:space="preserve"> Desarrollo Humano</v>
      </c>
      <c r="AC124" t="str">
        <f t="shared" si="16"/>
        <v>, Desarrollo Humano</v>
      </c>
      <c r="AD124" t="str">
        <f>CONCATENATE(AC588,AC589,AC590,AC591,AC592)</f>
        <v/>
      </c>
    </row>
    <row r="125" spans="1:30" ht="15.75">
      <c r="A125" t="str">
        <f>IF(AND(SUM('3.Plan de Estudios'!L118:O118)&gt;0,SUM('3.Plan de Estudios'!J118,'3.Plan de Estudios'!K118)&gt;0),"Teórico-Práctico",IF(SUM('3.Plan de Estudios'!J118,'3.Plan de Estudios'!K118)&gt;0,"Teórico","Práctico"))</f>
        <v>Teórico-Práctico</v>
      </c>
      <c r="B125" t="str">
        <f>IF(AND(SUM('4.Electivos'!L99:O99)&gt;0,SUM('4.Electivos'!J99,'4.Electivos'!K99)&gt;0),"Teórico-Práctico",IF(SUM('4.Electivos'!J99,'4.Electivos'!K99)&gt;0,"Teórico","Práctico"))</f>
        <v>Práctico</v>
      </c>
      <c r="I125" s="200" t="s">
        <v>2</v>
      </c>
      <c r="J125" s="200" t="s">
        <v>725</v>
      </c>
      <c r="K125" s="200" t="str">
        <f t="shared" si="13"/>
        <v>INGENIERÍA LOGÍSTICA Y DE TRANSPORTE_PRESENCIAL</v>
      </c>
      <c r="L125" s="200" t="s">
        <v>726</v>
      </c>
      <c r="M125" s="200" t="s">
        <v>843</v>
      </c>
      <c r="N125" s="200" t="s">
        <v>844</v>
      </c>
      <c r="O125" s="200" t="s">
        <v>6</v>
      </c>
      <c r="P125" s="200" t="s">
        <v>628</v>
      </c>
      <c r="Q125" s="421">
        <v>60</v>
      </c>
      <c r="X125" s="183" t="str">
        <f>+'3.Plan de Estudios'!$E$45</f>
        <v>REALIDAD NACIONAL Y GLOBALIZACIÓN</v>
      </c>
      <c r="Y125" t="str">
        <f>IF('3.Plan de Estudios'!AE45="","",'3.Plan de Estudios'!AE45)</f>
        <v/>
      </c>
      <c r="Z125" t="str">
        <f t="shared" si="15"/>
        <v>REALIDAD NACIONAL Y GLOBALIZACIÓN-</v>
      </c>
      <c r="AA125" s="89" t="str">
        <f t="shared" si="17"/>
        <v/>
      </c>
      <c r="AB125" t="str">
        <f t="shared" si="12"/>
        <v/>
      </c>
      <c r="AC125" t="str">
        <f t="shared" si="16"/>
        <v/>
      </c>
      <c r="AD125" t="str">
        <f>CONCATENATE(AC593,AC594,AC595,AC596,AC597)</f>
        <v/>
      </c>
    </row>
    <row r="126" spans="1:30" ht="15.75">
      <c r="A126" t="str">
        <f>IF(AND(SUM('3.Plan de Estudios'!L119:O119)&gt;0,SUM('3.Plan de Estudios'!J119,'3.Plan de Estudios'!K119)&gt;0),"Teórico-Práctico",IF(SUM('3.Plan de Estudios'!J119,'3.Plan de Estudios'!K119)&gt;0,"Teórico","Práctico"))</f>
        <v>Teórico-Práctico</v>
      </c>
      <c r="B126" t="str">
        <f>IF(AND(SUM('4.Electivos'!L100:O100)&gt;0,SUM('4.Electivos'!J100,'4.Electivos'!K100)&gt;0),"Teórico-Práctico",IF(SUM('4.Electivos'!J100,'4.Electivos'!K100)&gt;0,"Teórico","Práctico"))</f>
        <v>Práctico</v>
      </c>
      <c r="I126" s="200" t="s">
        <v>2</v>
      </c>
      <c r="J126" s="200" t="s">
        <v>729</v>
      </c>
      <c r="K126" s="200" t="str">
        <f t="shared" si="13"/>
        <v>INGENIERÍA MECÁNICA_PRESENCIAL</v>
      </c>
      <c r="L126" s="200" t="s">
        <v>730</v>
      </c>
      <c r="M126" s="200" t="s">
        <v>845</v>
      </c>
      <c r="N126" s="200" t="s">
        <v>846</v>
      </c>
      <c r="O126" s="200" t="s">
        <v>6</v>
      </c>
      <c r="P126" s="200" t="s">
        <v>628</v>
      </c>
      <c r="Q126" s="421">
        <v>60</v>
      </c>
      <c r="X126" s="183" t="str">
        <f>+'3.Plan de Estudios'!$E$45</f>
        <v>REALIDAD NACIONAL Y GLOBALIZACIÓN</v>
      </c>
      <c r="Y126" t="str">
        <f>IF('3.Plan de Estudios'!AG45="","",'3.Plan de Estudios'!AG45)</f>
        <v/>
      </c>
      <c r="Z126" t="str">
        <f t="shared" si="15"/>
        <v>REALIDAD NACIONAL Y GLOBALIZACIÓN-</v>
      </c>
      <c r="AA126" s="89" t="str">
        <f t="shared" si="17"/>
        <v/>
      </c>
      <c r="AB126" t="str">
        <f t="shared" si="12"/>
        <v/>
      </c>
      <c r="AC126" t="str">
        <f t="shared" si="16"/>
        <v/>
      </c>
      <c r="AD126" t="str">
        <f>CONCATENATE(AC598,AC599,AC600,AC601,AC602)</f>
        <v/>
      </c>
    </row>
    <row r="127" spans="1:30" ht="15.75">
      <c r="A127" t="str">
        <f>IF(AND(SUM('3.Plan de Estudios'!L120:O120)&gt;0,SUM('3.Plan de Estudios'!J120,'3.Plan de Estudios'!K120)&gt;0),"Teórico-Práctico",IF(SUM('3.Plan de Estudios'!J120,'3.Plan de Estudios'!K120)&gt;0,"Teórico","Práctico"))</f>
        <v>Teórico</v>
      </c>
      <c r="B127" t="str">
        <f>IF(AND(SUM('4.Electivos'!L101:O101)&gt;0,SUM('4.Electivos'!J101,'4.Electivos'!K101)&gt;0),"Teórico-Práctico",IF(SUM('4.Electivos'!J101,'4.Electivos'!K101)&gt;0,"Teórico","Práctico"))</f>
        <v>Práctico</v>
      </c>
      <c r="I127" s="200" t="s">
        <v>2</v>
      </c>
      <c r="J127" s="200" t="s">
        <v>732</v>
      </c>
      <c r="K127" s="200" t="str">
        <f t="shared" si="13"/>
        <v>INGENIERÍA MECATRÓNICA_PRESENCIAL</v>
      </c>
      <c r="L127" s="200" t="s">
        <v>733</v>
      </c>
      <c r="M127" s="200" t="s">
        <v>847</v>
      </c>
      <c r="N127" s="200" t="s">
        <v>848</v>
      </c>
      <c r="O127" s="200" t="s">
        <v>6</v>
      </c>
      <c r="P127" s="200" t="s">
        <v>628</v>
      </c>
      <c r="Q127" s="421">
        <v>60</v>
      </c>
      <c r="X127" s="183" t="str">
        <f>+'3.Plan de Estudios'!$E$45</f>
        <v>REALIDAD NACIONAL Y GLOBALIZACIÓN</v>
      </c>
      <c r="Y127" t="str">
        <f>IF('3.Plan de Estudios'!AI45="","",'3.Plan de Estudios'!AI45)</f>
        <v/>
      </c>
      <c r="Z127" t="str">
        <f t="shared" si="15"/>
        <v>REALIDAD NACIONAL Y GLOBALIZACIÓN-</v>
      </c>
      <c r="AA127" s="89" t="str">
        <f t="shared" si="17"/>
        <v/>
      </c>
      <c r="AB127" t="str">
        <f t="shared" si="12"/>
        <v/>
      </c>
      <c r="AC127" t="str">
        <f t="shared" si="16"/>
        <v/>
      </c>
      <c r="AD127" t="str">
        <f>CONCATENATE(AC603,AC604,AC605,AC606,AC607)</f>
        <v/>
      </c>
    </row>
    <row r="128" spans="1:30" ht="15.75">
      <c r="A128" t="str">
        <f>IF(AND(SUM('3.Plan de Estudios'!L121:O121)&gt;0,SUM('3.Plan de Estudios'!J121,'3.Plan de Estudios'!K121)&gt;0),"Teórico-Práctico",IF(SUM('3.Plan de Estudios'!J121,'3.Plan de Estudios'!K121)&gt;0,"Teórico","Práctico"))</f>
        <v>Teórico-Práctico</v>
      </c>
      <c r="B128" t="str">
        <f>IF(AND(SUM('4.Electivos'!L102:O102)&gt;0,SUM('4.Electivos'!J102,'4.Electivos'!K102)&gt;0),"Teórico-Práctico",IF(SUM('4.Electivos'!J102,'4.Electivos'!K102)&gt;0,"Teórico","Práctico"))</f>
        <v>Práctico</v>
      </c>
      <c r="I128" s="200" t="s">
        <v>2</v>
      </c>
      <c r="J128" s="200" t="s">
        <v>732</v>
      </c>
      <c r="K128" s="200" t="str">
        <f t="shared" si="13"/>
        <v>INGENIERÍA MECATRÓNICA_SEMIPRESENCIAL</v>
      </c>
      <c r="L128" s="200" t="s">
        <v>849</v>
      </c>
      <c r="M128" s="200" t="s">
        <v>847</v>
      </c>
      <c r="N128" s="200" t="s">
        <v>848</v>
      </c>
      <c r="O128" s="200" t="s">
        <v>498</v>
      </c>
      <c r="P128" s="200" t="s">
        <v>628</v>
      </c>
      <c r="Q128" s="421">
        <v>60</v>
      </c>
      <c r="X128" s="223" t="str">
        <f>+'3.Plan de Estudios'!$E$46</f>
        <v>TEORÍA DE LA EDUCACIÓN</v>
      </c>
      <c r="Y128" s="222" t="str">
        <f>IF('3.Plan de Estudios'!AA46="","",'3.Plan de Estudios'!AA46)</f>
        <v>CP3: Desarrollo enseñanza y aprendizaje:N1 Promueve el desarrollo de la identidad del maestro para acrecentar el aprendizaje de los alumnos.</v>
      </c>
      <c r="Z128" t="str">
        <f t="shared" si="15"/>
        <v>TEORÍA DE LA EDUCACIÓN-CP3: Desarrollo enseñanza y aprendizaje:N1 Promueve el desarrollo de la identidad del maestro para a</v>
      </c>
      <c r="AA128" s="89" t="str">
        <f t="shared" si="17"/>
        <v>a</v>
      </c>
      <c r="AB128" t="str">
        <f t="shared" si="12"/>
        <v xml:space="preserve"> Desarrollo enseñanza y aprendizaje</v>
      </c>
      <c r="AC128" t="str">
        <f>AB128</f>
        <v xml:space="preserve"> Desarrollo enseñanza y aprendizaje</v>
      </c>
      <c r="AD128" t="str">
        <f>CONCATENATE(AC608,AC609,AC610,AC611,AC612)</f>
        <v/>
      </c>
    </row>
    <row r="129" spans="1:30" ht="15.75">
      <c r="A129" t="str">
        <f>IF(AND(SUM('3.Plan de Estudios'!L122:O122)&gt;0,SUM('3.Plan de Estudios'!J122,'3.Plan de Estudios'!K122)&gt;0),"Teórico-Práctico",IF(SUM('3.Plan de Estudios'!J122,'3.Plan de Estudios'!K122)&gt;0,"Teórico","Práctico"))</f>
        <v>Teórico</v>
      </c>
      <c r="B129" t="str">
        <f>IF(AND(SUM('4.Electivos'!L103:O103)&gt;0,SUM('4.Electivos'!J103,'4.Electivos'!K103)&gt;0),"Teórico-Práctico",IF(SUM('4.Electivos'!J103,'4.Electivos'!K103)&gt;0,"Teórico","Práctico"))</f>
        <v>Práctico</v>
      </c>
      <c r="I129" s="200" t="s">
        <v>2</v>
      </c>
      <c r="J129" s="200" t="s">
        <v>732</v>
      </c>
      <c r="K129" s="200" t="str">
        <f t="shared" si="13"/>
        <v>INGENIERÍA MECATRÓNICA_A DISTANCIA</v>
      </c>
      <c r="L129" s="200" t="s">
        <v>850</v>
      </c>
      <c r="M129" s="200" t="s">
        <v>847</v>
      </c>
      <c r="N129" s="200" t="s">
        <v>848</v>
      </c>
      <c r="O129" s="200" t="s">
        <v>494</v>
      </c>
      <c r="P129" s="200" t="s">
        <v>628</v>
      </c>
      <c r="Q129" s="421">
        <v>60</v>
      </c>
      <c r="X129" s="223" t="str">
        <f>+'3.Plan de Estudios'!$E$46</f>
        <v>TEORÍA DE LA EDUCACIÓN</v>
      </c>
      <c r="Y129" s="222" t="str">
        <f>IF('3.Plan de Estudios'!AC46="","",'3.Plan de Estudios'!AC46)</f>
        <v/>
      </c>
      <c r="Z129" t="str">
        <f t="shared" si="15"/>
        <v>TEORÍA DE LA EDUCACIÓN-</v>
      </c>
      <c r="AA129" s="89" t="str">
        <f t="shared" si="17"/>
        <v/>
      </c>
      <c r="AB129" t="str">
        <f t="shared" si="12"/>
        <v/>
      </c>
      <c r="AC129" t="str">
        <f t="shared" si="16"/>
        <v/>
      </c>
      <c r="AD129" t="str">
        <f>CONCATENATE(AC613,AC614,AC615,AC616,AC617)</f>
        <v/>
      </c>
    </row>
    <row r="130" spans="1:30" ht="15.75">
      <c r="A130" t="str">
        <f>IF(AND(SUM('3.Plan de Estudios'!L123:O123)&gt;0,SUM('3.Plan de Estudios'!J123,'3.Plan de Estudios'!K123)&gt;0),"Teórico-Práctico",IF(SUM('3.Plan de Estudios'!J123,'3.Plan de Estudios'!K123)&gt;0,"Teórico","Práctico"))</f>
        <v>Práctico</v>
      </c>
      <c r="B130" t="str">
        <f>IF(AND(SUM('4.Electivos'!L104:O104)&gt;0,SUM('4.Electivos'!J104,'4.Electivos'!K104)&gt;0),"Teórico-Práctico",IF(SUM('4.Electivos'!J104,'4.Electivos'!K104)&gt;0,"Teórico","Práctico"))</f>
        <v>Práctico</v>
      </c>
      <c r="I130" s="200" t="s">
        <v>2</v>
      </c>
      <c r="J130" s="200" t="s">
        <v>735</v>
      </c>
      <c r="K130" s="200" t="str">
        <f t="shared" si="13"/>
        <v>INGENIERÍA QUÍMICA_PRESENCIAL</v>
      </c>
      <c r="L130" s="200" t="s">
        <v>736</v>
      </c>
      <c r="M130" s="200" t="s">
        <v>851</v>
      </c>
      <c r="N130" s="200" t="s">
        <v>852</v>
      </c>
      <c r="O130" s="200" t="s">
        <v>6</v>
      </c>
      <c r="P130" s="200" t="s">
        <v>628</v>
      </c>
      <c r="Q130" s="421">
        <v>60</v>
      </c>
      <c r="X130" s="223" t="str">
        <f>+'3.Plan de Estudios'!$E$46</f>
        <v>TEORÍA DE LA EDUCACIÓN</v>
      </c>
      <c r="Y130" s="222" t="str">
        <f>IF('3.Plan de Estudios'!AE46="","",'3.Plan de Estudios'!AE46)</f>
        <v/>
      </c>
      <c r="Z130" t="str">
        <f t="shared" si="15"/>
        <v>TEORÍA DE LA EDUCACIÓN-</v>
      </c>
      <c r="AA130" s="89" t="str">
        <f t="shared" si="17"/>
        <v/>
      </c>
      <c r="AB130" t="str">
        <f t="shared" si="12"/>
        <v/>
      </c>
      <c r="AC130" t="str">
        <f t="shared" si="16"/>
        <v/>
      </c>
      <c r="AD130" t="str">
        <f>CONCATENATE(AC618,AC619,AC620,AC621,AC622)</f>
        <v/>
      </c>
    </row>
    <row r="131" spans="1:30" ht="15.75">
      <c r="A131" t="str">
        <f>IF(AND(SUM('3.Plan de Estudios'!L124:O124)&gt;0,SUM('3.Plan de Estudios'!J124,'3.Plan de Estudios'!K124)&gt;0),"Teórico-Práctico",IF(SUM('3.Plan de Estudios'!J124,'3.Plan de Estudios'!K124)&gt;0,"Teórico","Práctico"))</f>
        <v>Práctico</v>
      </c>
      <c r="B131" t="str">
        <f>IF(AND(SUM('4.Electivos'!L105:O105)&gt;0,SUM('4.Electivos'!J105,'4.Electivos'!K105)&gt;0),"Teórico-Práctico",IF(SUM('4.Electivos'!J105,'4.Electivos'!K105)&gt;0,"Teórico","Práctico"))</f>
        <v>Práctico</v>
      </c>
      <c r="I131" s="200" t="s">
        <v>2</v>
      </c>
      <c r="J131" s="200" t="s">
        <v>741</v>
      </c>
      <c r="K131" s="200" t="str">
        <f t="shared" si="13"/>
        <v>INTERNATIONAL BUSINESS_PRESENCIAL</v>
      </c>
      <c r="L131" s="200" t="s">
        <v>742</v>
      </c>
      <c r="M131" s="200" t="s">
        <v>853</v>
      </c>
      <c r="N131" s="200" t="s">
        <v>854</v>
      </c>
      <c r="O131" s="200" t="s">
        <v>6</v>
      </c>
      <c r="P131" s="200" t="s">
        <v>628</v>
      </c>
      <c r="Q131" s="421">
        <v>60</v>
      </c>
      <c r="X131" s="223" t="str">
        <f>+'3.Plan de Estudios'!$E$46</f>
        <v>TEORÍA DE LA EDUCACIÓN</v>
      </c>
      <c r="Y131" s="222" t="str">
        <f>IF('3.Plan de Estudios'!AG46="","",'3.Plan de Estudios'!AG46)</f>
        <v/>
      </c>
      <c r="Z131" t="str">
        <f t="shared" si="15"/>
        <v>TEORÍA DE LA EDUCACIÓN-</v>
      </c>
      <c r="AA131" s="89" t="str">
        <f t="shared" si="17"/>
        <v/>
      </c>
      <c r="AB131" t="str">
        <f t="shared" ref="AB131:AB177" si="18">IFERROR(MID(Y131,FIND(":",Y131)+1,FIND(":",Y131,FIND(":",Y131)+1)-FIND(":",Y131)-1),"")</f>
        <v/>
      </c>
      <c r="AC131" t="str">
        <f t="shared" si="16"/>
        <v/>
      </c>
      <c r="AD131" t="str">
        <f>CONCATENATE(AC623,AC624,AC625,AC626,AC627)</f>
        <v/>
      </c>
    </row>
    <row r="132" spans="1:30" ht="15.75">
      <c r="A132" t="str">
        <f>IF(AND(SUM('3.Plan de Estudios'!L125:O125)&gt;0,SUM('3.Plan de Estudios'!J125,'3.Plan de Estudios'!K125)&gt;0),"Teórico-Práctico",IF(SUM('3.Plan de Estudios'!J125,'3.Plan de Estudios'!K125)&gt;0,"Teórico","Práctico"))</f>
        <v>Práctico</v>
      </c>
      <c r="B132" t="str">
        <f>IF(AND(SUM('4.Electivos'!L106:O106)&gt;0,SUM('4.Electivos'!J106,'4.Electivos'!K106)&gt;0),"Teórico-Práctico",IF(SUM('4.Electivos'!J106,'4.Electivos'!K106)&gt;0,"Teórico","Práctico"))</f>
        <v>Práctico</v>
      </c>
      <c r="I132" s="200" t="s">
        <v>2</v>
      </c>
      <c r="J132" s="200" t="s">
        <v>741</v>
      </c>
      <c r="K132" s="200" t="str">
        <f t="shared" ref="K132:K152" si="19">+CONCATENATE(J132,"_",O132)</f>
        <v>INTERNATIONAL BUSINESS_SEMIPRESENCIAL</v>
      </c>
      <c r="L132" s="200" t="s">
        <v>744</v>
      </c>
      <c r="M132" s="200" t="s">
        <v>853</v>
      </c>
      <c r="N132" s="200" t="s">
        <v>854</v>
      </c>
      <c r="O132" s="200" t="s">
        <v>498</v>
      </c>
      <c r="P132" s="200" t="s">
        <v>628</v>
      </c>
      <c r="Q132" s="421">
        <v>60</v>
      </c>
      <c r="X132" s="223" t="str">
        <f>+'3.Plan de Estudios'!$E$46</f>
        <v>TEORÍA DE LA EDUCACIÓN</v>
      </c>
      <c r="Y132" s="222" t="str">
        <f>IF('3.Plan de Estudios'!AI46="","",'3.Plan de Estudios'!AI46)</f>
        <v/>
      </c>
      <c r="Z132" t="str">
        <f t="shared" si="15"/>
        <v>TEORÍA DE LA EDUCACIÓN-</v>
      </c>
      <c r="AA132" s="89" t="str">
        <f t="shared" si="17"/>
        <v/>
      </c>
      <c r="AB132" t="str">
        <f t="shared" si="18"/>
        <v/>
      </c>
      <c r="AC132" t="str">
        <f t="shared" si="16"/>
        <v/>
      </c>
      <c r="AD132" t="str">
        <f>CONCATENATE(AC628,AC629,AC630,AC631,AC632)</f>
        <v/>
      </c>
    </row>
    <row r="133" spans="1:30" ht="15.75">
      <c r="A133" t="str">
        <f>IF(AND(SUM('3.Plan de Estudios'!L126:O126)&gt;0,SUM('3.Plan de Estudios'!J126,'3.Plan de Estudios'!K126)&gt;0),"Teórico-Práctico",IF(SUM('3.Plan de Estudios'!J126,'3.Plan de Estudios'!K126)&gt;0,"Teórico","Práctico"))</f>
        <v>Práctico</v>
      </c>
      <c r="B133" t="str">
        <f>IF(AND(SUM('4.Electivos'!L107:O107)&gt;0,SUM('4.Electivos'!J107,'4.Electivos'!K107)&gt;0),"Teórico-Práctico",IF(SUM('4.Electivos'!J107,'4.Electivos'!K107)&gt;0,"Teórico","Práctico"))</f>
        <v>Práctico</v>
      </c>
      <c r="I133" s="200" t="s">
        <v>2</v>
      </c>
      <c r="J133" s="200" t="s">
        <v>741</v>
      </c>
      <c r="K133" s="200" t="str">
        <f t="shared" si="19"/>
        <v>INTERNATIONAL BUSINESS_A DISTANCIA</v>
      </c>
      <c r="L133" s="200" t="s">
        <v>855</v>
      </c>
      <c r="M133" s="200" t="s">
        <v>853</v>
      </c>
      <c r="N133" s="200" t="s">
        <v>854</v>
      </c>
      <c r="O133" s="200" t="s">
        <v>494</v>
      </c>
      <c r="P133" s="200" t="s">
        <v>628</v>
      </c>
      <c r="Q133" s="421">
        <v>60</v>
      </c>
      <c r="X133" s="183">
        <f>+'3.Plan de Estudios'!$E$47</f>
        <v>0</v>
      </c>
      <c r="Y133" t="str">
        <f>IF('3.Plan de Estudios'!AA47="","",'3.Plan de Estudios'!AA47)</f>
        <v/>
      </c>
      <c r="Z133" t="str">
        <f t="shared" ref="Z133:Z177" si="20">CONCATENATE(X133,"-",MID(Y133,1,100))</f>
        <v>0-</v>
      </c>
      <c r="AA133" s="89" t="str">
        <f t="shared" si="17"/>
        <v/>
      </c>
      <c r="AB133" t="str">
        <f t="shared" si="18"/>
        <v/>
      </c>
      <c r="AC133" t="str">
        <f>AB133</f>
        <v/>
      </c>
      <c r="AD133" t="str">
        <f>CONCATENATE(AC633,AC634,AC635,AC636,AC637)</f>
        <v/>
      </c>
    </row>
    <row r="134" spans="1:30" ht="15.75">
      <c r="A134" t="str">
        <f>IF(AND(SUM('3.Plan de Estudios'!L127:O127)&gt;0,SUM('3.Plan de Estudios'!J127,'3.Plan de Estudios'!K127)&gt;0),"Teórico-Práctico",IF(SUM('3.Plan de Estudios'!J127,'3.Plan de Estudios'!K127)&gt;0,"Teórico","Práctico"))</f>
        <v>Práctico</v>
      </c>
      <c r="B134" t="str">
        <f>IF(AND(SUM('4.Electivos'!L108:O108)&gt;0,SUM('4.Electivos'!J108,'4.Electivos'!K108)&gt;0),"Teórico-Práctico",IF(SUM('4.Electivos'!J108,'4.Electivos'!K108)&gt;0,"Teórico","Práctico"))</f>
        <v>Práctico</v>
      </c>
      <c r="I134" s="200" t="s">
        <v>2</v>
      </c>
      <c r="J134" s="200" t="s">
        <v>264</v>
      </c>
      <c r="K134" s="200" t="str">
        <f t="shared" si="19"/>
        <v>MARKETING_PRESENCIAL</v>
      </c>
      <c r="L134" s="200" t="s">
        <v>747</v>
      </c>
      <c r="M134" s="200" t="s">
        <v>856</v>
      </c>
      <c r="N134" s="200" t="s">
        <v>857</v>
      </c>
      <c r="O134" s="200" t="s">
        <v>6</v>
      </c>
      <c r="P134" s="200" t="s">
        <v>628</v>
      </c>
      <c r="Q134" s="421">
        <v>60</v>
      </c>
      <c r="X134" s="183">
        <f>+'3.Plan de Estudios'!$E$47</f>
        <v>0</v>
      </c>
      <c r="Y134" t="str">
        <f>IF('3.Plan de Estudios'!AC47="","",'3.Plan de Estudios'!AC47)</f>
        <v/>
      </c>
      <c r="Z134" t="str">
        <f t="shared" si="20"/>
        <v>0-</v>
      </c>
      <c r="AA134" s="89" t="str">
        <f t="shared" si="17"/>
        <v/>
      </c>
      <c r="AB134" t="str">
        <f t="shared" si="18"/>
        <v/>
      </c>
      <c r="AC134" t="str">
        <f t="shared" ref="AC134:AC177" si="21">IF(AB134="","",CONCATENATE(",",AB134))</f>
        <v/>
      </c>
      <c r="AD134" t="str">
        <f>CONCATENATE(AC638,AC639,AC640,AC641,AC642)</f>
        <v/>
      </c>
    </row>
    <row r="135" spans="1:30" ht="15.75">
      <c r="A135" t="str">
        <f>IF(AND(SUM('3.Plan de Estudios'!L129:O129)&gt;0,SUM('3.Plan de Estudios'!J129,'3.Plan de Estudios'!K129)&gt;0),"Teórico-Práctico",IF(SUM('3.Plan de Estudios'!J129,'3.Plan de Estudios'!K129)&gt;0,"Teórico","Práctico"))</f>
        <v>Práctico</v>
      </c>
      <c r="I135" s="200" t="s">
        <v>2</v>
      </c>
      <c r="J135" s="200" t="s">
        <v>264</v>
      </c>
      <c r="K135" s="200" t="str">
        <f t="shared" si="19"/>
        <v>MARKETING_SEMIPRESENCIAL</v>
      </c>
      <c r="L135" s="200" t="s">
        <v>750</v>
      </c>
      <c r="M135" s="200" t="s">
        <v>856</v>
      </c>
      <c r="N135" s="200" t="s">
        <v>857</v>
      </c>
      <c r="O135" s="200" t="s">
        <v>498</v>
      </c>
      <c r="P135" s="200" t="s">
        <v>628</v>
      </c>
      <c r="Q135" s="421">
        <v>60</v>
      </c>
      <c r="X135" s="183">
        <f>+'3.Plan de Estudios'!$E$47</f>
        <v>0</v>
      </c>
      <c r="Y135" t="str">
        <f>IF('3.Plan de Estudios'!AE47="","",'3.Plan de Estudios'!AE47)</f>
        <v/>
      </c>
      <c r="Z135" t="str">
        <f t="shared" si="20"/>
        <v>0-</v>
      </c>
      <c r="AA135" s="89" t="str">
        <f t="shared" si="17"/>
        <v/>
      </c>
      <c r="AB135" t="str">
        <f t="shared" si="18"/>
        <v/>
      </c>
      <c r="AC135" t="str">
        <f t="shared" si="21"/>
        <v/>
      </c>
      <c r="AD135" t="str">
        <f>CONCATENATE(AC643,AC644,AC645,AC646,AC647)</f>
        <v/>
      </c>
    </row>
    <row r="136" spans="1:30" ht="15.75">
      <c r="A136" t="str">
        <f>IF(AND(SUM('3.Plan de Estudios'!L130:O130)&gt;0,SUM('3.Plan de Estudios'!J130,'3.Plan de Estudios'!K130)&gt;0),"Teórico-Práctico",IF(SUM('3.Plan de Estudios'!J130,'3.Plan de Estudios'!K130)&gt;0,"Teórico","Práctico"))</f>
        <v>Práctico</v>
      </c>
      <c r="I136" s="200" t="s">
        <v>2</v>
      </c>
      <c r="J136" s="200" t="s">
        <v>264</v>
      </c>
      <c r="K136" s="200" t="str">
        <f t="shared" si="19"/>
        <v>MARKETING_A DISTANCIA</v>
      </c>
      <c r="L136" s="200" t="s">
        <v>858</v>
      </c>
      <c r="M136" s="200" t="s">
        <v>856</v>
      </c>
      <c r="N136" s="200" t="s">
        <v>857</v>
      </c>
      <c r="O136" s="200" t="s">
        <v>494</v>
      </c>
      <c r="P136" s="200" t="s">
        <v>628</v>
      </c>
      <c r="Q136" s="421">
        <v>60</v>
      </c>
      <c r="X136" s="183">
        <f>+'3.Plan de Estudios'!$E$47</f>
        <v>0</v>
      </c>
      <c r="Y136" t="str">
        <f>IF('3.Plan de Estudios'!AG47="","",'3.Plan de Estudios'!AG47)</f>
        <v/>
      </c>
      <c r="Z136" t="str">
        <f t="shared" si="20"/>
        <v>0-</v>
      </c>
      <c r="AA136" s="89" t="str">
        <f t="shared" si="17"/>
        <v/>
      </c>
      <c r="AB136" t="str">
        <f t="shared" si="18"/>
        <v/>
      </c>
      <c r="AC136" t="str">
        <f t="shared" si="21"/>
        <v/>
      </c>
      <c r="AD136" t="str">
        <f>CONCATENATE(AC648,AC649,AC650,AC651,AC652)</f>
        <v/>
      </c>
    </row>
    <row r="137" spans="1:30" ht="15.75">
      <c r="A137" t="str">
        <f>IF(AND(SUM('3.Plan de Estudios'!L131:O131)&gt;0,SUM('3.Plan de Estudios'!J131,'3.Plan de Estudios'!K131)&gt;0),"Teórico-Práctico",IF(SUM('3.Plan de Estudios'!J131,'3.Plan de Estudios'!K131)&gt;0,"Teórico","Práctico"))</f>
        <v>Práctico</v>
      </c>
      <c r="I137" s="200" t="s">
        <v>2</v>
      </c>
      <c r="J137" s="200" t="s">
        <v>691</v>
      </c>
      <c r="K137" s="200" t="str">
        <f t="shared" si="19"/>
        <v>MEDICINA HUMANA_PRESENCIAL</v>
      </c>
      <c r="L137" s="200" t="s">
        <v>752</v>
      </c>
      <c r="M137" s="200" t="s">
        <v>859</v>
      </c>
      <c r="N137" s="200" t="s">
        <v>860</v>
      </c>
      <c r="O137" s="200" t="s">
        <v>6</v>
      </c>
      <c r="P137" s="200" t="s">
        <v>628</v>
      </c>
      <c r="Q137" s="421">
        <f>12*7</f>
        <v>84</v>
      </c>
      <c r="X137" s="183">
        <f>+'3.Plan de Estudios'!$E$47</f>
        <v>0</v>
      </c>
      <c r="Y137" t="str">
        <f>IF('3.Plan de Estudios'!AI47="","",'3.Plan de Estudios'!AI47)</f>
        <v/>
      </c>
      <c r="Z137" t="str">
        <f t="shared" si="20"/>
        <v>0-</v>
      </c>
      <c r="AA137" s="89" t="str">
        <f t="shared" si="17"/>
        <v/>
      </c>
      <c r="AB137" t="str">
        <f t="shared" si="18"/>
        <v/>
      </c>
      <c r="AC137" t="str">
        <f t="shared" si="21"/>
        <v/>
      </c>
      <c r="AD137" t="str">
        <f>CONCATENATE(AC653,AC654,AC655,AC656,AC657)</f>
        <v/>
      </c>
    </row>
    <row r="138" spans="1:30" ht="15.75">
      <c r="A138" t="str">
        <f>IF(AND(SUM('3.Plan de Estudios'!L132:O132)&gt;0,SUM('3.Plan de Estudios'!J132,'3.Plan de Estudios'!K132)&gt;0),"Teórico-Práctico",IF(SUM('3.Plan de Estudios'!J132,'3.Plan de Estudios'!K132)&gt;0,"Teórico","Práctico"))</f>
        <v>Práctico</v>
      </c>
      <c r="B138" s="300" t="s">
        <v>861</v>
      </c>
      <c r="C138" s="301" t="s">
        <v>470</v>
      </c>
      <c r="D138" s="301"/>
      <c r="E138" s="300" t="s">
        <v>862</v>
      </c>
      <c r="I138" s="200" t="s">
        <v>2</v>
      </c>
      <c r="J138" s="200" t="s">
        <v>863</v>
      </c>
      <c r="K138" s="200" t="str">
        <f t="shared" si="19"/>
        <v>MEDICINA VETERINARIA_SEMIPRESENCIAL</v>
      </c>
      <c r="L138" s="200" t="s">
        <v>864</v>
      </c>
      <c r="M138" s="200" t="s">
        <v>865</v>
      </c>
      <c r="N138" s="200" t="s">
        <v>866</v>
      </c>
      <c r="O138" s="200" t="s">
        <v>498</v>
      </c>
      <c r="P138" s="200" t="s">
        <v>11</v>
      </c>
      <c r="Q138" s="421">
        <v>60</v>
      </c>
      <c r="X138" s="223">
        <f>+'3.Plan de Estudios'!$E$48</f>
        <v>0</v>
      </c>
      <c r="Y138" s="222" t="str">
        <f>IF('3.Plan de Estudios'!AA48="","",'3.Plan de Estudios'!AA48)</f>
        <v/>
      </c>
      <c r="Z138" t="str">
        <f t="shared" si="20"/>
        <v>0-</v>
      </c>
      <c r="AA138" s="89" t="str">
        <f t="shared" si="17"/>
        <v/>
      </c>
      <c r="AB138" t="str">
        <f t="shared" si="18"/>
        <v/>
      </c>
      <c r="AC138" t="str">
        <f>AB138</f>
        <v/>
      </c>
      <c r="AD138" t="str">
        <f>CONCATENATE(AC658,AC659,AC660,AC661,AC662)</f>
        <v/>
      </c>
    </row>
    <row r="139" spans="1:30" ht="15.75">
      <c r="A139" t="str">
        <f>IF(AND(SUM('3.Plan de Estudios'!L133:O133)&gt;0,SUM('3.Plan de Estudios'!J133,'3.Plan de Estudios'!K133)&gt;0),"Teórico-Práctico",IF(SUM('3.Plan de Estudios'!J133,'3.Plan de Estudios'!K133)&gt;0,"Teórico","Práctico"))</f>
        <v>Práctico</v>
      </c>
      <c r="B139" s="200" t="s">
        <v>286</v>
      </c>
      <c r="C139" s="302" t="s">
        <v>487</v>
      </c>
      <c r="D139" s="302" t="s">
        <v>867</v>
      </c>
      <c r="E139" s="200" t="s">
        <v>868</v>
      </c>
      <c r="I139" s="200" t="s">
        <v>2</v>
      </c>
      <c r="J139" s="200" t="s">
        <v>753</v>
      </c>
      <c r="K139" s="200" t="str">
        <f t="shared" si="19"/>
        <v>MULTIMEDIA Y FOTOGRAFÍA PUBLICITARIA_PRESENCIAL</v>
      </c>
      <c r="L139" s="200" t="s">
        <v>754</v>
      </c>
      <c r="M139" s="200" t="s">
        <v>869</v>
      </c>
      <c r="N139" s="200" t="s">
        <v>870</v>
      </c>
      <c r="O139" s="200" t="s">
        <v>6</v>
      </c>
      <c r="P139" s="200" t="s">
        <v>628</v>
      </c>
      <c r="Q139" s="421">
        <v>60</v>
      </c>
      <c r="X139" s="223">
        <f>+'3.Plan de Estudios'!$E$48</f>
        <v>0</v>
      </c>
      <c r="Y139" s="222" t="str">
        <f>IF('3.Plan de Estudios'!AC48="","",'3.Plan de Estudios'!AC48)</f>
        <v/>
      </c>
      <c r="Z139" t="str">
        <f t="shared" si="20"/>
        <v>0-</v>
      </c>
      <c r="AA139" s="89" t="str">
        <f t="shared" si="17"/>
        <v/>
      </c>
      <c r="AB139" t="str">
        <f t="shared" si="18"/>
        <v/>
      </c>
      <c r="AC139" t="str">
        <f t="shared" si="21"/>
        <v/>
      </c>
      <c r="AD139" t="str">
        <f>CONCATENATE(AC663,AC664,AC665,AC666,AC667)</f>
        <v/>
      </c>
    </row>
    <row r="140" spans="1:30" ht="15.75">
      <c r="A140" t="str">
        <f>IF(AND(SUM('3.Plan de Estudios'!L134:O134)&gt;0,SUM('3.Plan de Estudios'!J134,'3.Plan de Estudios'!K134)&gt;0),"Teórico-Práctico",IF(SUM('3.Plan de Estudios'!J134,'3.Plan de Estudios'!K134)&gt;0,"Teórico","Práctico"))</f>
        <v>Práctico</v>
      </c>
      <c r="B140" s="200" t="s">
        <v>871</v>
      </c>
      <c r="C140" s="302" t="s">
        <v>487</v>
      </c>
      <c r="D140" s="302" t="s">
        <v>872</v>
      </c>
      <c r="E140" s="200" t="s">
        <v>873</v>
      </c>
      <c r="I140" s="200" t="s">
        <v>2</v>
      </c>
      <c r="J140" s="200" t="s">
        <v>755</v>
      </c>
      <c r="K140" s="200" t="str">
        <f t="shared" si="19"/>
        <v>MÚSICA_SEMIPRESENCIAL</v>
      </c>
      <c r="L140" s="200" t="s">
        <v>874</v>
      </c>
      <c r="M140" s="200" t="s">
        <v>875</v>
      </c>
      <c r="N140" s="200" t="s">
        <v>876</v>
      </c>
      <c r="O140" s="200" t="s">
        <v>498</v>
      </c>
      <c r="P140" s="200" t="s">
        <v>628</v>
      </c>
      <c r="Q140" s="421">
        <v>60</v>
      </c>
      <c r="X140" s="223">
        <f>+'3.Plan de Estudios'!$E$48</f>
        <v>0</v>
      </c>
      <c r="Y140" s="222" t="str">
        <f>IF('3.Plan de Estudios'!AE48="","",'3.Plan de Estudios'!AE48)</f>
        <v/>
      </c>
      <c r="Z140" t="str">
        <f t="shared" si="20"/>
        <v>0-</v>
      </c>
      <c r="AA140" s="89" t="str">
        <f t="shared" si="17"/>
        <v/>
      </c>
      <c r="AB140" t="str">
        <f t="shared" si="18"/>
        <v/>
      </c>
      <c r="AC140" t="str">
        <f t="shared" si="21"/>
        <v/>
      </c>
      <c r="AD140" t="str">
        <f>CONCATENATE(AC668,AC669,AC670,AC671,AC672)</f>
        <v/>
      </c>
    </row>
    <row r="141" spans="1:30" ht="15.75">
      <c r="A141" t="str">
        <f>IF(AND(SUM('3.Plan de Estudios'!L135:O135)&gt;0,SUM('3.Plan de Estudios'!J135,'3.Plan de Estudios'!K135)&gt;0),"Teórico-Práctico",IF(SUM('3.Plan de Estudios'!J135,'3.Plan de Estudios'!K135)&gt;0,"Teórico","Práctico"))</f>
        <v>Práctico</v>
      </c>
      <c r="B141" s="200" t="s">
        <v>877</v>
      </c>
      <c r="C141" s="302" t="s">
        <v>487</v>
      </c>
      <c r="D141" s="302" t="s">
        <v>878</v>
      </c>
      <c r="E141" s="200" t="s">
        <v>879</v>
      </c>
      <c r="I141" s="200" t="s">
        <v>2</v>
      </c>
      <c r="J141" s="200" t="s">
        <v>755</v>
      </c>
      <c r="K141" s="200" t="str">
        <f t="shared" si="19"/>
        <v>MÚSICA_PRESENCIAL</v>
      </c>
      <c r="L141" s="200" t="s">
        <v>756</v>
      </c>
      <c r="M141" s="200" t="s">
        <v>875</v>
      </c>
      <c r="N141" s="200" t="s">
        <v>876</v>
      </c>
      <c r="O141" s="200" t="s">
        <v>6</v>
      </c>
      <c r="P141" s="200" t="s">
        <v>628</v>
      </c>
      <c r="Q141" s="421">
        <v>60</v>
      </c>
      <c r="X141" s="223">
        <f>+'3.Plan de Estudios'!$E$48</f>
        <v>0</v>
      </c>
      <c r="Y141" s="222" t="str">
        <f>IF('3.Plan de Estudios'!AG48="","",'3.Plan de Estudios'!AG48)</f>
        <v/>
      </c>
      <c r="Z141" t="str">
        <f t="shared" si="20"/>
        <v>0-</v>
      </c>
      <c r="AA141" s="89" t="str">
        <f t="shared" si="17"/>
        <v/>
      </c>
      <c r="AB141" t="str">
        <f t="shared" si="18"/>
        <v/>
      </c>
      <c r="AC141" t="str">
        <f t="shared" si="21"/>
        <v/>
      </c>
      <c r="AD141" t="str">
        <f>CONCATENATE(AC673,AC674,AC675,AC676,AC677)</f>
        <v/>
      </c>
    </row>
    <row r="142" spans="1:30" ht="15.75">
      <c r="A142" t="str">
        <f>IF(AND(SUM('3.Plan de Estudios'!L136:O136)&gt;0,SUM('3.Plan de Estudios'!J136,'3.Plan de Estudios'!K136)&gt;0),"Teórico-Práctico",IF(SUM('3.Plan de Estudios'!J136,'3.Plan de Estudios'!K136)&gt;0,"Teórico","Práctico"))</f>
        <v>Práctico</v>
      </c>
      <c r="B142" s="200" t="s">
        <v>880</v>
      </c>
      <c r="C142" s="302" t="s">
        <v>487</v>
      </c>
      <c r="D142" s="302" t="s">
        <v>881</v>
      </c>
      <c r="E142" s="200" t="s">
        <v>882</v>
      </c>
      <c r="I142" s="200" t="s">
        <v>2</v>
      </c>
      <c r="J142" s="200" t="s">
        <v>594</v>
      </c>
      <c r="K142" s="200" t="str">
        <f t="shared" si="19"/>
        <v>NUTRICIÓN Y DIETÉTICA_PRESENCIAL</v>
      </c>
      <c r="L142" s="200" t="s">
        <v>760</v>
      </c>
      <c r="M142" s="200" t="s">
        <v>596</v>
      </c>
      <c r="N142" s="200" t="s">
        <v>597</v>
      </c>
      <c r="O142" s="200" t="s">
        <v>6</v>
      </c>
      <c r="P142" s="200" t="s">
        <v>628</v>
      </c>
      <c r="Q142" s="421">
        <v>60</v>
      </c>
      <c r="X142" s="223">
        <f>+'3.Plan de Estudios'!$E$48</f>
        <v>0</v>
      </c>
      <c r="Y142" s="222" t="str">
        <f>IF('3.Plan de Estudios'!AI48="","",'3.Plan de Estudios'!AI48)</f>
        <v/>
      </c>
      <c r="Z142" t="str">
        <f t="shared" si="20"/>
        <v>0-</v>
      </c>
      <c r="AA142" s="89" t="str">
        <f t="shared" si="17"/>
        <v/>
      </c>
      <c r="AB142" t="str">
        <f t="shared" si="18"/>
        <v/>
      </c>
      <c r="AC142" t="str">
        <f t="shared" si="21"/>
        <v/>
      </c>
      <c r="AD142" t="str">
        <f>CONCATENATE(AC678,AC679,AC680,AC681,AC682)</f>
        <v/>
      </c>
    </row>
    <row r="143" spans="1:30" ht="15.75">
      <c r="A143" t="str">
        <f>IF(AND(SUM('3.Plan de Estudios'!L137:O137)&gt;0,SUM('3.Plan de Estudios'!J137,'3.Plan de Estudios'!K137)&gt;0),"Teórico-Práctico",IF(SUM('3.Plan de Estudios'!J137,'3.Plan de Estudios'!K137)&gt;0,"Teórico","Práctico"))</f>
        <v>Práctico</v>
      </c>
      <c r="B143" s="200" t="s">
        <v>883</v>
      </c>
      <c r="C143" s="302" t="s">
        <v>487</v>
      </c>
      <c r="D143" s="302" t="s">
        <v>884</v>
      </c>
      <c r="E143" s="200" t="s">
        <v>885</v>
      </c>
      <c r="I143" s="200" t="s">
        <v>2</v>
      </c>
      <c r="J143" s="200" t="s">
        <v>594</v>
      </c>
      <c r="K143" s="200" t="str">
        <f t="shared" si="19"/>
        <v>NUTRICIÓN Y DIETÉTICA_SEMIPRESENCIAL</v>
      </c>
      <c r="L143" s="200" t="s">
        <v>886</v>
      </c>
      <c r="M143" s="200" t="s">
        <v>596</v>
      </c>
      <c r="N143" s="200" t="s">
        <v>597</v>
      </c>
      <c r="O143" s="200" t="s">
        <v>498</v>
      </c>
      <c r="P143" s="200" t="s">
        <v>628</v>
      </c>
      <c r="Q143" s="421">
        <v>60</v>
      </c>
      <c r="X143" s="183">
        <f>+'3.Plan de Estudios'!$E$49</f>
        <v>0</v>
      </c>
      <c r="Y143" t="str">
        <f>IF('3.Plan de Estudios'!AA49="","",'3.Plan de Estudios'!AA49)</f>
        <v/>
      </c>
      <c r="Z143" t="str">
        <f t="shared" si="20"/>
        <v>0-</v>
      </c>
      <c r="AA143" s="89" t="str">
        <f t="shared" si="17"/>
        <v/>
      </c>
      <c r="AB143" t="str">
        <f t="shared" si="18"/>
        <v/>
      </c>
      <c r="AC143" t="str">
        <f>AB143</f>
        <v/>
      </c>
      <c r="AD143" t="str">
        <f>CONCATENATE(AC683,AC684,AC685,AC686,AC687)</f>
        <v/>
      </c>
    </row>
    <row r="144" spans="1:30" ht="15.75">
      <c r="A144" t="str">
        <f>IF(AND(SUM('3.Plan de Estudios'!L138:O138)&gt;0,SUM('3.Plan de Estudios'!J138,'3.Plan de Estudios'!K138)&gt;0),"Teórico-Práctico",IF(SUM('3.Plan de Estudios'!J138,'3.Plan de Estudios'!K138)&gt;0,"Teórico","Práctico"))</f>
        <v>Práctico</v>
      </c>
      <c r="B144" s="200" t="s">
        <v>887</v>
      </c>
      <c r="C144" s="302" t="s">
        <v>487</v>
      </c>
      <c r="D144" s="302" t="s">
        <v>888</v>
      </c>
      <c r="E144" s="200" t="s">
        <v>889</v>
      </c>
      <c r="I144" s="200" t="s">
        <v>2</v>
      </c>
      <c r="J144" s="200" t="s">
        <v>594</v>
      </c>
      <c r="K144" s="200" t="str">
        <f t="shared" si="19"/>
        <v>NUTRICIÓN Y DIETÉTICA_A DISTANCIA</v>
      </c>
      <c r="L144" s="200" t="s">
        <v>890</v>
      </c>
      <c r="M144" s="200" t="s">
        <v>596</v>
      </c>
      <c r="N144" s="200" t="s">
        <v>597</v>
      </c>
      <c r="O144" s="200" t="s">
        <v>494</v>
      </c>
      <c r="P144" s="200" t="s">
        <v>628</v>
      </c>
      <c r="Q144" s="421">
        <v>60</v>
      </c>
      <c r="X144" s="183">
        <f>+'3.Plan de Estudios'!$E$49</f>
        <v>0</v>
      </c>
      <c r="Y144" t="str">
        <f>IF('3.Plan de Estudios'!AC49="","",'3.Plan de Estudios'!AC49)</f>
        <v/>
      </c>
      <c r="Z144" t="str">
        <f t="shared" si="20"/>
        <v>0-</v>
      </c>
      <c r="AA144" s="89" t="str">
        <f t="shared" si="17"/>
        <v/>
      </c>
      <c r="AB144" t="str">
        <f t="shared" si="18"/>
        <v/>
      </c>
      <c r="AC144" t="str">
        <f t="shared" si="21"/>
        <v/>
      </c>
      <c r="AD144" t="str">
        <f>CONCATENATE(AC688,AC689,AC690,AC691,AC692)</f>
        <v/>
      </c>
    </row>
    <row r="145" spans="1:30" ht="15.75">
      <c r="A145" t="str">
        <f>IF(AND(SUM('3.Plan de Estudios'!L140:O140)&gt;0,SUM('3.Plan de Estudios'!J140,'3.Plan de Estudios'!K140)&gt;0),"Teórico-Práctico",IF(SUM('3.Plan de Estudios'!J140,'3.Plan de Estudios'!K140)&gt;0,"Teórico","Práctico"))</f>
        <v>Práctico</v>
      </c>
      <c r="B145" s="200" t="s">
        <v>891</v>
      </c>
      <c r="C145" s="302" t="s">
        <v>487</v>
      </c>
      <c r="D145" s="302" t="s">
        <v>892</v>
      </c>
      <c r="E145" s="200" t="s">
        <v>893</v>
      </c>
      <c r="I145" s="200" t="s">
        <v>2</v>
      </c>
      <c r="J145" s="200" t="s">
        <v>609</v>
      </c>
      <c r="K145" s="200" t="str">
        <f t="shared" si="19"/>
        <v>PSICOLOGÍA_PRESENCIAL</v>
      </c>
      <c r="L145" s="200" t="s">
        <v>763</v>
      </c>
      <c r="M145" s="200" t="s">
        <v>611</v>
      </c>
      <c r="N145" s="200" t="s">
        <v>612</v>
      </c>
      <c r="O145" s="200" t="s">
        <v>6</v>
      </c>
      <c r="P145" s="200" t="s">
        <v>628</v>
      </c>
      <c r="Q145" s="421">
        <v>60</v>
      </c>
      <c r="X145" s="183">
        <f>+'3.Plan de Estudios'!$E$49</f>
        <v>0</v>
      </c>
      <c r="Y145" t="str">
        <f>IF('3.Plan de Estudios'!AE49="","",'3.Plan de Estudios'!AE49)</f>
        <v/>
      </c>
      <c r="Z145" t="str">
        <f t="shared" si="20"/>
        <v>0-</v>
      </c>
      <c r="AA145" s="89" t="str">
        <f t="shared" si="17"/>
        <v/>
      </c>
      <c r="AB145" t="str">
        <f t="shared" si="18"/>
        <v/>
      </c>
      <c r="AC145" t="str">
        <f t="shared" si="21"/>
        <v/>
      </c>
      <c r="AD145" t="str">
        <f>CONCATENATE(AC693,AC694,AC695,AC696,AC697)</f>
        <v/>
      </c>
    </row>
    <row r="146" spans="1:30" ht="15.75">
      <c r="A146" t="str">
        <f>IF(AND(SUM('3.Plan de Estudios'!L141:O141)&gt;0,SUM('3.Plan de Estudios'!J141,'3.Plan de Estudios'!K141)&gt;0),"Teórico-Práctico",IF(SUM('3.Plan de Estudios'!J141,'3.Plan de Estudios'!K141)&gt;0,"Teórico","Práctico"))</f>
        <v>Práctico</v>
      </c>
      <c r="B146" s="200" t="s">
        <v>894</v>
      </c>
      <c r="C146" s="302" t="s">
        <v>487</v>
      </c>
      <c r="D146" s="302" t="s">
        <v>895</v>
      </c>
      <c r="E146" s="200" t="s">
        <v>896</v>
      </c>
      <c r="I146" s="200" t="s">
        <v>2</v>
      </c>
      <c r="J146" s="200" t="s">
        <v>609</v>
      </c>
      <c r="K146" s="200" t="str">
        <f t="shared" si="19"/>
        <v>PSICOLOGÍA_SEMIPRESENCIAL</v>
      </c>
      <c r="L146" s="200" t="s">
        <v>897</v>
      </c>
      <c r="M146" s="200" t="s">
        <v>611</v>
      </c>
      <c r="N146" s="200" t="s">
        <v>612</v>
      </c>
      <c r="O146" s="200" t="s">
        <v>498</v>
      </c>
      <c r="P146" s="200" t="s">
        <v>628</v>
      </c>
      <c r="Q146" s="421">
        <v>60</v>
      </c>
      <c r="X146" s="183">
        <f>+'3.Plan de Estudios'!$E$49</f>
        <v>0</v>
      </c>
      <c r="Y146" t="str">
        <f>IF('3.Plan de Estudios'!AG49="","",'3.Plan de Estudios'!AG49)</f>
        <v/>
      </c>
      <c r="Z146" t="str">
        <f t="shared" si="20"/>
        <v>0-</v>
      </c>
      <c r="AA146" s="89" t="str">
        <f t="shared" si="17"/>
        <v/>
      </c>
      <c r="AB146" t="str">
        <f t="shared" si="18"/>
        <v/>
      </c>
      <c r="AC146" t="str">
        <f t="shared" si="21"/>
        <v/>
      </c>
      <c r="AD146" t="str">
        <f>CONCATENATE(AC698,AC699,AC700,AC701,AC702)</f>
        <v/>
      </c>
    </row>
    <row r="147" spans="1:30" ht="15.75">
      <c r="A147" t="str">
        <f>IF(AND(SUM('3.Plan de Estudios'!L142:O142)&gt;0,SUM('3.Plan de Estudios'!J142,'3.Plan de Estudios'!K142)&gt;0),"Teórico-Práctico",IF(SUM('3.Plan de Estudios'!J142,'3.Plan de Estudios'!K142)&gt;0,"Teórico","Práctico"))</f>
        <v>Práctico</v>
      </c>
      <c r="B147" s="200" t="s">
        <v>249</v>
      </c>
      <c r="C147" s="302" t="s">
        <v>487</v>
      </c>
      <c r="D147" s="302" t="s">
        <v>898</v>
      </c>
      <c r="E147" s="200" t="s">
        <v>899</v>
      </c>
      <c r="I147" s="200" t="s">
        <v>2</v>
      </c>
      <c r="J147" s="200" t="s">
        <v>609</v>
      </c>
      <c r="K147" s="200" t="str">
        <f t="shared" si="19"/>
        <v>PSICOLOGÍA_A DISTANCIA</v>
      </c>
      <c r="L147" s="200" t="s">
        <v>900</v>
      </c>
      <c r="M147" s="200" t="s">
        <v>611</v>
      </c>
      <c r="N147" s="200" t="s">
        <v>612</v>
      </c>
      <c r="O147" s="200" t="s">
        <v>494</v>
      </c>
      <c r="P147" s="200" t="s">
        <v>628</v>
      </c>
      <c r="Q147" s="421">
        <v>60</v>
      </c>
      <c r="X147" s="183">
        <f>+'3.Plan de Estudios'!$E$49</f>
        <v>0</v>
      </c>
      <c r="Y147" t="str">
        <f>IF('3.Plan de Estudios'!AI49="","",'3.Plan de Estudios'!AI49)</f>
        <v/>
      </c>
      <c r="Z147" t="str">
        <f t="shared" si="20"/>
        <v>0-</v>
      </c>
      <c r="AA147" s="89" t="str">
        <f t="shared" si="17"/>
        <v/>
      </c>
      <c r="AB147" t="str">
        <f t="shared" si="18"/>
        <v/>
      </c>
      <c r="AC147" t="str">
        <f t="shared" si="21"/>
        <v/>
      </c>
    </row>
    <row r="148" spans="1:30" ht="15.75">
      <c r="A148" t="str">
        <f>IF(AND(SUM('3.Plan de Estudios'!L143:O143)&gt;0,SUM('3.Plan de Estudios'!J143,'3.Plan de Estudios'!K143)&gt;0),"Teórico-Práctico",IF(SUM('3.Plan de Estudios'!J143,'3.Plan de Estudios'!K143)&gt;0,"Teórico","Práctico"))</f>
        <v>Práctico</v>
      </c>
      <c r="B148" s="200" t="s">
        <v>258</v>
      </c>
      <c r="C148" s="302" t="s">
        <v>487</v>
      </c>
      <c r="D148" s="302" t="s">
        <v>901</v>
      </c>
      <c r="E148" s="200" t="s">
        <v>902</v>
      </c>
      <c r="I148" s="200" t="s">
        <v>2</v>
      </c>
      <c r="J148" s="200" t="s">
        <v>765</v>
      </c>
      <c r="K148" s="200" t="str">
        <f t="shared" si="19"/>
        <v>RELACIONES INTERNACIONALES_PRESENCIAL</v>
      </c>
      <c r="L148" s="200" t="s">
        <v>766</v>
      </c>
      <c r="M148" s="200" t="s">
        <v>903</v>
      </c>
      <c r="N148" s="200" t="s">
        <v>904</v>
      </c>
      <c r="O148" s="200" t="s">
        <v>6</v>
      </c>
      <c r="P148" s="200" t="s">
        <v>628</v>
      </c>
      <c r="Q148" s="421">
        <v>60</v>
      </c>
      <c r="X148" s="223">
        <f>+'3.Plan de Estudios'!$E$50</f>
        <v>0</v>
      </c>
      <c r="Y148" s="222" t="str">
        <f>IF('3.Plan de Estudios'!AA50="","",'3.Plan de Estudios'!AA50)</f>
        <v/>
      </c>
      <c r="Z148" t="str">
        <f t="shared" si="20"/>
        <v>0-</v>
      </c>
      <c r="AA148" s="89" t="str">
        <f t="shared" si="17"/>
        <v/>
      </c>
      <c r="AB148" t="str">
        <f t="shared" si="18"/>
        <v/>
      </c>
      <c r="AC148" t="str">
        <f>AB148</f>
        <v/>
      </c>
    </row>
    <row r="149" spans="1:30" ht="15.75">
      <c r="A149" t="str">
        <f>IF(AND(SUM('3.Plan de Estudios'!L144:O144)&gt;0,SUM('3.Plan de Estudios'!J144,'3.Plan de Estudios'!K144)&gt;0),"Teórico-Práctico",IF(SUM('3.Plan de Estudios'!J144,'3.Plan de Estudios'!K144)&gt;0,"Teórico","Práctico"))</f>
        <v>Práctico</v>
      </c>
      <c r="B149" s="200" t="s">
        <v>268</v>
      </c>
      <c r="C149" s="302" t="s">
        <v>487</v>
      </c>
      <c r="D149" s="302" t="s">
        <v>905</v>
      </c>
      <c r="E149" s="200" t="s">
        <v>906</v>
      </c>
      <c r="I149" s="200" t="s">
        <v>2</v>
      </c>
      <c r="J149" s="200" t="s">
        <v>765</v>
      </c>
      <c r="K149" s="200" t="str">
        <f t="shared" si="19"/>
        <v>RELACIONES INTERNACIONALES_SEMIPRESENCIAL</v>
      </c>
      <c r="L149" s="200" t="s">
        <v>907</v>
      </c>
      <c r="M149" s="200" t="s">
        <v>903</v>
      </c>
      <c r="N149" s="200" t="s">
        <v>904</v>
      </c>
      <c r="O149" s="200" t="s">
        <v>498</v>
      </c>
      <c r="P149" s="200" t="s">
        <v>628</v>
      </c>
      <c r="Q149" s="421">
        <v>60</v>
      </c>
      <c r="X149" s="223">
        <f>+'3.Plan de Estudios'!$E$50</f>
        <v>0</v>
      </c>
      <c r="Y149" s="222" t="str">
        <f>IF('3.Plan de Estudios'!AC50="","",'3.Plan de Estudios'!AC50)</f>
        <v/>
      </c>
      <c r="Z149" t="str">
        <f t="shared" si="20"/>
        <v>0-</v>
      </c>
      <c r="AA149" s="89" t="str">
        <f t="shared" si="17"/>
        <v/>
      </c>
      <c r="AB149" t="str">
        <f t="shared" si="18"/>
        <v/>
      </c>
      <c r="AC149" t="str">
        <f t="shared" si="21"/>
        <v/>
      </c>
    </row>
    <row r="150" spans="1:30" ht="15.75">
      <c r="A150" t="str">
        <f>IF(AND(SUM('3.Plan de Estudios'!L145:O145)&gt;0,SUM('3.Plan de Estudios'!J145,'3.Plan de Estudios'!K145)&gt;0),"Teórico-Práctico",IF(SUM('3.Plan de Estudios'!J145,'3.Plan de Estudios'!K145)&gt;0,"Teórico","Práctico"))</f>
        <v>Práctico</v>
      </c>
      <c r="B150" s="200" t="s">
        <v>282</v>
      </c>
      <c r="C150" s="302" t="s">
        <v>487</v>
      </c>
      <c r="D150" s="302" t="s">
        <v>908</v>
      </c>
      <c r="E150" s="200" t="s">
        <v>909</v>
      </c>
      <c r="I150" s="200" t="s">
        <v>2</v>
      </c>
      <c r="J150" s="200" t="s">
        <v>765</v>
      </c>
      <c r="K150" s="200" t="str">
        <f t="shared" si="19"/>
        <v>RELACIONES INTERNACIONALES_A DISTANCIA</v>
      </c>
      <c r="L150" s="200" t="s">
        <v>910</v>
      </c>
      <c r="M150" s="200" t="s">
        <v>903</v>
      </c>
      <c r="N150" s="200" t="s">
        <v>904</v>
      </c>
      <c r="O150" s="200" t="s">
        <v>494</v>
      </c>
      <c r="P150" s="200" t="s">
        <v>628</v>
      </c>
      <c r="Q150" s="421">
        <v>60</v>
      </c>
      <c r="X150" s="223">
        <f>+'3.Plan de Estudios'!$E$50</f>
        <v>0</v>
      </c>
      <c r="Y150" s="222" t="str">
        <f>IF('3.Plan de Estudios'!AE50="","",'3.Plan de Estudios'!AE50)</f>
        <v/>
      </c>
      <c r="Z150" t="str">
        <f t="shared" si="20"/>
        <v>0-</v>
      </c>
      <c r="AA150" s="89" t="str">
        <f t="shared" si="17"/>
        <v/>
      </c>
      <c r="AB150" t="str">
        <f t="shared" si="18"/>
        <v/>
      </c>
      <c r="AC150" t="str">
        <f t="shared" si="21"/>
        <v/>
      </c>
    </row>
    <row r="151" spans="1:30" ht="15.75">
      <c r="A151" t="str">
        <f>IF(AND(SUM('3.Plan de Estudios'!L146:O146)&gt;0,SUM('3.Plan de Estudios'!J146,'3.Plan de Estudios'!K146)&gt;0),"Teórico-Práctico",IF(SUM('3.Plan de Estudios'!J146,'3.Plan de Estudios'!K146)&gt;0,"Teórico","Práctico"))</f>
        <v>Práctico</v>
      </c>
      <c r="B151" s="200" t="s">
        <v>911</v>
      </c>
      <c r="C151" s="302" t="s">
        <v>487</v>
      </c>
      <c r="D151" s="302" t="s">
        <v>912</v>
      </c>
      <c r="E151" s="200" t="s">
        <v>913</v>
      </c>
      <c r="I151" s="200" t="s">
        <v>2</v>
      </c>
      <c r="J151" s="200" t="s">
        <v>914</v>
      </c>
      <c r="K151" s="200" t="str">
        <f t="shared" si="19"/>
        <v>TECNOLOGÍA MÉDICA EN TERAPIA FÍSICA Y REHABILITACIÓN_PRESENCIAL</v>
      </c>
      <c r="L151" s="200" t="s">
        <v>915</v>
      </c>
      <c r="M151" s="200" t="s">
        <v>916</v>
      </c>
      <c r="N151" s="200" t="s">
        <v>917</v>
      </c>
      <c r="O151" s="200" t="s">
        <v>6</v>
      </c>
      <c r="P151" s="200" t="s">
        <v>11</v>
      </c>
      <c r="Q151" s="421">
        <v>60</v>
      </c>
      <c r="X151" s="223">
        <f>+'3.Plan de Estudios'!$E$50</f>
        <v>0</v>
      </c>
      <c r="Y151" s="222" t="str">
        <f>IF('3.Plan de Estudios'!AG50="","",'3.Plan de Estudios'!AG50)</f>
        <v/>
      </c>
      <c r="Z151" t="str">
        <f t="shared" si="20"/>
        <v>0-</v>
      </c>
      <c r="AA151" s="89" t="str">
        <f t="shared" si="17"/>
        <v/>
      </c>
      <c r="AB151" t="str">
        <f t="shared" si="18"/>
        <v/>
      </c>
      <c r="AC151" t="str">
        <f t="shared" si="21"/>
        <v/>
      </c>
    </row>
    <row r="152" spans="1:30" ht="15.75">
      <c r="A152" t="str">
        <f>IF(AND(SUM('3.Plan de Estudios'!L147:O147)&gt;0,SUM('3.Plan de Estudios'!J147,'3.Plan de Estudios'!K147)&gt;0),"Teórico-Práctico",IF(SUM('3.Plan de Estudios'!J147,'3.Plan de Estudios'!K147)&gt;0,"Teórico","Práctico"))</f>
        <v>Práctico</v>
      </c>
      <c r="B152" s="200" t="s">
        <v>918</v>
      </c>
      <c r="C152" s="302" t="s">
        <v>487</v>
      </c>
      <c r="D152" s="302" t="s">
        <v>919</v>
      </c>
      <c r="E152" s="200" t="s">
        <v>913</v>
      </c>
      <c r="I152" s="200" t="s">
        <v>2</v>
      </c>
      <c r="J152" s="200" t="s">
        <v>914</v>
      </c>
      <c r="K152" s="200" t="str">
        <f t="shared" si="19"/>
        <v>TECNOLOGÍA MÉDICA EN TERAPIA FÍSICA Y REHABILITACIÓN_SEMIPRESENCIAL</v>
      </c>
      <c r="L152" s="200" t="s">
        <v>920</v>
      </c>
      <c r="M152" s="200" t="s">
        <v>916</v>
      </c>
      <c r="N152" s="200" t="s">
        <v>917</v>
      </c>
      <c r="O152" s="200" t="s">
        <v>498</v>
      </c>
      <c r="P152" s="200" t="s">
        <v>11</v>
      </c>
      <c r="Q152" s="421">
        <v>60</v>
      </c>
      <c r="X152" s="224">
        <f>+'3.Plan de Estudios'!$E$50</f>
        <v>0</v>
      </c>
      <c r="Y152" s="225" t="str">
        <f>IF('3.Plan de Estudios'!AI50="","",'3.Plan de Estudios'!AI50)</f>
        <v/>
      </c>
      <c r="Z152" t="str">
        <f t="shared" si="20"/>
        <v>0-</v>
      </c>
      <c r="AA152" s="89" t="str">
        <f t="shared" si="17"/>
        <v/>
      </c>
      <c r="AB152" t="str">
        <f t="shared" si="18"/>
        <v/>
      </c>
      <c r="AC152" t="str">
        <f t="shared" si="21"/>
        <v/>
      </c>
    </row>
    <row r="153" spans="1:30" ht="15.75">
      <c r="A153" t="str">
        <f>IF(AND(SUM('3.Plan de Estudios'!L148:O148)&gt;0,SUM('3.Plan de Estudios'!J148,'3.Plan de Estudios'!K148)&gt;0),"Teórico-Práctico",IF(SUM('3.Plan de Estudios'!J148,'3.Plan de Estudios'!K148)&gt;0,"Teórico","Práctico"))</f>
        <v>Práctico</v>
      </c>
      <c r="B153" s="200" t="s">
        <v>921</v>
      </c>
      <c r="C153" s="302" t="s">
        <v>487</v>
      </c>
      <c r="D153" s="302" t="s">
        <v>922</v>
      </c>
      <c r="E153" s="200" t="s">
        <v>923</v>
      </c>
      <c r="X153" s="183" t="str">
        <f>+'3.Plan de Estudios'!$E$52</f>
        <v>DISEÑO Y PROGRAMACIÓN CURRICULAR</v>
      </c>
      <c r="Y153" t="str">
        <f>IF('3.Plan de Estudios'!AA52="","",'3.Plan de Estudios'!AA52)</f>
        <v>CP2: Desarrollo de gestión educativa:N1 Desarrolla algunos principios básicos de la gestión educativa para brindar un adecuado servicio educativo.</v>
      </c>
      <c r="Z153" t="str">
        <f t="shared" si="20"/>
        <v>DISEÑO Y PROGRAMACIÓN CURRICULAR-CP2: Desarrollo de gestión educativa:N1 Desarrolla algunos principios básicos de la gestión educativ</v>
      </c>
      <c r="AA153" s="89" t="str">
        <f t="shared" si="17"/>
        <v>a</v>
      </c>
      <c r="AB153" t="str">
        <f>IFERROR(MID(Y153,FIND(":",Y153)+1,FIND(":",Y153,FIND(":",Y153)+1)-FIND(":",Y153)-1),"")</f>
        <v xml:space="preserve"> Desarrollo de gestión educativa</v>
      </c>
      <c r="AC153" t="str">
        <f>AB153</f>
        <v xml:space="preserve"> Desarrollo de gestión educativa</v>
      </c>
    </row>
    <row r="154" spans="1:30" ht="15.75">
      <c r="A154" t="str">
        <f>IF(AND(SUM('3.Plan de Estudios'!L149:O149)&gt;0,SUM('3.Plan de Estudios'!J149,'3.Plan de Estudios'!K149)&gt;0),"Teórico-Práctico",IF(SUM('3.Plan de Estudios'!J149,'3.Plan de Estudios'!K149)&gt;0,"Teórico","Práctico"))</f>
        <v>Práctico</v>
      </c>
      <c r="B154" s="200" t="s">
        <v>924</v>
      </c>
      <c r="C154" s="302" t="s">
        <v>487</v>
      </c>
      <c r="D154" s="302" t="s">
        <v>925</v>
      </c>
      <c r="E154" s="200" t="s">
        <v>926</v>
      </c>
      <c r="X154" s="183" t="str">
        <f>+'3.Plan de Estudios'!$E$52</f>
        <v>DISEÑO Y PROGRAMACIÓN CURRICULAR</v>
      </c>
      <c r="Y154" t="str">
        <f>IF('3.Plan de Estudios'!AC52="","",'3.Plan de Estudios'!AC52)</f>
        <v>CP3: Desarrollo enseñanza y aprendizaje:N1 Promueve el desarrollo de la identidad del maestro para acrecentar el aprendizaje de los alumnos.</v>
      </c>
      <c r="Z154" t="str">
        <f t="shared" si="20"/>
        <v>DISEÑO Y PROGRAMACIÓN CURRICULAR-CP3: Desarrollo enseñanza y aprendizaje:N1 Promueve el desarrollo de la identidad del maestro para a</v>
      </c>
      <c r="AA154" s="89" t="str">
        <f t="shared" si="17"/>
        <v>a</v>
      </c>
      <c r="AB154" t="str">
        <f t="shared" si="18"/>
        <v xml:space="preserve"> Desarrollo enseñanza y aprendizaje</v>
      </c>
      <c r="AC154" t="str">
        <f t="shared" si="21"/>
        <v>, Desarrollo enseñanza y aprendizaje</v>
      </c>
    </row>
    <row r="155" spans="1:30" ht="15.75">
      <c r="A155" t="str">
        <f>IF(AND(SUM('3.Plan de Estudios'!L151:O151)&gt;0,SUM('3.Plan de Estudios'!J151,'3.Plan de Estudios'!K151)&gt;0),"Teórico-Práctico",IF(SUM('3.Plan de Estudios'!J151,'3.Plan de Estudios'!K151)&gt;0,"Teórico","Práctico"))</f>
        <v>Práctico</v>
      </c>
      <c r="B155" s="200" t="s">
        <v>927</v>
      </c>
      <c r="C155" s="302" t="s">
        <v>487</v>
      </c>
      <c r="D155" s="302" t="s">
        <v>928</v>
      </c>
      <c r="E155" s="200" t="s">
        <v>929</v>
      </c>
      <c r="X155" s="183" t="str">
        <f>+'3.Plan de Estudios'!$E$52</f>
        <v>DISEÑO Y PROGRAMACIÓN CURRICULAR</v>
      </c>
      <c r="Y155" t="str">
        <f>IF('3.Plan de Estudios'!AE52="","",'3.Plan de Estudios'!AE52)</f>
        <v/>
      </c>
      <c r="Z155" t="str">
        <f t="shared" si="20"/>
        <v>DISEÑO Y PROGRAMACIÓN CURRICULAR-</v>
      </c>
      <c r="AA155" s="89" t="str">
        <f t="shared" si="17"/>
        <v/>
      </c>
      <c r="AB155" t="str">
        <f t="shared" si="18"/>
        <v/>
      </c>
      <c r="AC155" t="str">
        <f t="shared" si="21"/>
        <v/>
      </c>
    </row>
    <row r="156" spans="1:30" ht="15.75">
      <c r="A156" t="str">
        <f>IF(AND(SUM('3.Plan de Estudios'!L152:O152)&gt;0,SUM('3.Plan de Estudios'!J152,'3.Plan de Estudios'!K152)&gt;0),"Teórico-Práctico",IF(SUM('3.Plan de Estudios'!J152,'3.Plan de Estudios'!K152)&gt;0,"Teórico","Práctico"))</f>
        <v>Práctico</v>
      </c>
      <c r="B156" s="200" t="s">
        <v>318</v>
      </c>
      <c r="C156" s="302" t="s">
        <v>487</v>
      </c>
      <c r="D156" s="302" t="s">
        <v>930</v>
      </c>
      <c r="E156" s="200" t="s">
        <v>913</v>
      </c>
      <c r="X156" s="183" t="str">
        <f>+'3.Plan de Estudios'!$E$52</f>
        <v>DISEÑO Y PROGRAMACIÓN CURRICULAR</v>
      </c>
      <c r="Y156" t="str">
        <f>IF('3.Plan de Estudios'!AG52="","",'3.Plan de Estudios'!AG52)</f>
        <v/>
      </c>
      <c r="Z156" t="str">
        <f t="shared" si="20"/>
        <v>DISEÑO Y PROGRAMACIÓN CURRICULAR-</v>
      </c>
      <c r="AA156" s="89" t="str">
        <f t="shared" si="17"/>
        <v/>
      </c>
      <c r="AB156" t="str">
        <f t="shared" si="18"/>
        <v/>
      </c>
      <c r="AC156" t="str">
        <f t="shared" si="21"/>
        <v/>
      </c>
    </row>
    <row r="157" spans="1:30" ht="15.75">
      <c r="A157" t="str">
        <f>IF(AND(SUM('3.Plan de Estudios'!L153:O153)&gt;0,SUM('3.Plan de Estudios'!J153,'3.Plan de Estudios'!K153)&gt;0),"Teórico-Práctico",IF(SUM('3.Plan de Estudios'!J153,'3.Plan de Estudios'!K153)&gt;0,"Teórico","Práctico"))</f>
        <v>Práctico</v>
      </c>
      <c r="B157" s="200" t="s">
        <v>931</v>
      </c>
      <c r="C157" s="302" t="s">
        <v>2</v>
      </c>
      <c r="D157" s="302" t="s">
        <v>932</v>
      </c>
      <c r="E157" s="200" t="s">
        <v>933</v>
      </c>
      <c r="X157" s="183" t="str">
        <f>+'3.Plan de Estudios'!$E$52</f>
        <v>DISEÑO Y PROGRAMACIÓN CURRICULAR</v>
      </c>
      <c r="Y157" t="str">
        <f>IF('3.Plan de Estudios'!AI52="","",'3.Plan de Estudios'!AI52)</f>
        <v/>
      </c>
      <c r="Z157" t="str">
        <f t="shared" si="20"/>
        <v>DISEÑO Y PROGRAMACIÓN CURRICULAR-</v>
      </c>
      <c r="AA157" s="89" t="str">
        <f t="shared" si="17"/>
        <v/>
      </c>
      <c r="AB157" t="str">
        <f t="shared" si="18"/>
        <v/>
      </c>
      <c r="AC157" t="str">
        <f t="shared" si="21"/>
        <v/>
      </c>
    </row>
    <row r="158" spans="1:30" ht="15.75">
      <c r="A158" t="str">
        <f>IF(AND(SUM('3.Plan de Estudios'!L154:O154)&gt;0,SUM('3.Plan de Estudios'!J154,'3.Plan de Estudios'!K154)&gt;0),"Teórico-Práctico",IF(SUM('3.Plan de Estudios'!J154,'3.Plan de Estudios'!K154)&gt;0,"Teórico","Práctico"))</f>
        <v>Práctico</v>
      </c>
      <c r="B158" s="200" t="s">
        <v>934</v>
      </c>
      <c r="C158" s="302" t="s">
        <v>2</v>
      </c>
      <c r="D158" s="302" t="s">
        <v>935</v>
      </c>
      <c r="E158" s="200" t="s">
        <v>936</v>
      </c>
      <c r="X158" s="223" t="str">
        <f>+'3.Plan de Estudios'!$E$53</f>
        <v>ENGLISH IV</v>
      </c>
      <c r="Y158" s="222" t="str">
        <f>IF('3.Plan de Estudios'!AA53="","",'3.Plan de Estudios'!AA53)</f>
        <v>CG2: Comunicación Bilingüe:N2 Aplica las competencias correspondientes al nivel B1 según los estándares del Marco de Referencia de la Comunidad Europea (CEFR).</v>
      </c>
      <c r="Z158" t="str">
        <f t="shared" si="20"/>
        <v>ENGLISH IV-CG2: Comunicación Bilingüe:N2 Aplica las competencias correspondientes al nivel B1 según los estánda</v>
      </c>
      <c r="AA158" s="89" t="str">
        <f t="shared" si="17"/>
        <v>a</v>
      </c>
      <c r="AB158" t="str">
        <f t="shared" si="18"/>
        <v xml:space="preserve"> Comunicación Bilingüe</v>
      </c>
      <c r="AC158" t="str">
        <f>AB158</f>
        <v xml:space="preserve"> Comunicación Bilingüe</v>
      </c>
    </row>
    <row r="159" spans="1:30" ht="15.75">
      <c r="A159" t="str">
        <f>IF(AND(SUM('3.Plan de Estudios'!L155:O155)&gt;0,SUM('3.Plan de Estudios'!J155,'3.Plan de Estudios'!K155)&gt;0),"Teórico-Práctico",IF(SUM('3.Plan de Estudios'!J155,'3.Plan de Estudios'!K155)&gt;0,"Teórico","Práctico"))</f>
        <v>Práctico</v>
      </c>
      <c r="B159" s="200" t="s">
        <v>937</v>
      </c>
      <c r="C159" s="302" t="s">
        <v>2</v>
      </c>
      <c r="D159" s="302" t="s">
        <v>938</v>
      </c>
      <c r="E159" s="200" t="s">
        <v>939</v>
      </c>
      <c r="X159" s="223" t="str">
        <f>+'3.Plan de Estudios'!$E$53</f>
        <v>ENGLISH IV</v>
      </c>
      <c r="Y159" s="222" t="str">
        <f>IF('3.Plan de Estudios'!AC53="","",'3.Plan de Estudios'!AC53)</f>
        <v/>
      </c>
      <c r="Z159" t="str">
        <f t="shared" si="20"/>
        <v>ENGLISH IV-</v>
      </c>
      <c r="AA159" s="89" t="str">
        <f t="shared" si="17"/>
        <v/>
      </c>
      <c r="AB159" t="str">
        <f t="shared" si="18"/>
        <v/>
      </c>
      <c r="AC159" t="str">
        <f t="shared" si="21"/>
        <v/>
      </c>
    </row>
    <row r="160" spans="1:30" ht="15.75">
      <c r="A160" t="str">
        <f>IF(AND(SUM('3.Plan de Estudios'!L156:O156)&gt;0,SUM('3.Plan de Estudios'!J156,'3.Plan de Estudios'!K156)&gt;0),"Teórico-Práctico",IF(SUM('3.Plan de Estudios'!J156,'3.Plan de Estudios'!K156)&gt;0,"Teórico","Práctico"))</f>
        <v>Práctico</v>
      </c>
      <c r="B160" s="200" t="s">
        <v>940</v>
      </c>
      <c r="C160" s="302" t="s">
        <v>2</v>
      </c>
      <c r="D160" s="302" t="s">
        <v>941</v>
      </c>
      <c r="E160" s="200" t="s">
        <v>942</v>
      </c>
      <c r="X160" s="223" t="str">
        <f>+'3.Plan de Estudios'!$E$53</f>
        <v>ENGLISH IV</v>
      </c>
      <c r="Y160" s="222" t="str">
        <f>IF('3.Plan de Estudios'!AE53="","",'3.Plan de Estudios'!AE53)</f>
        <v/>
      </c>
      <c r="Z160" t="str">
        <f t="shared" si="20"/>
        <v>ENGLISH IV-</v>
      </c>
      <c r="AA160" s="89" t="str">
        <f t="shared" si="17"/>
        <v/>
      </c>
      <c r="AB160" t="str">
        <f t="shared" si="18"/>
        <v/>
      </c>
      <c r="AC160" t="str">
        <f t="shared" si="21"/>
        <v/>
      </c>
    </row>
    <row r="161" spans="1:29" ht="15.75">
      <c r="A161" t="str">
        <f>IF(AND(SUM('3.Plan de Estudios'!L157:O157)&gt;0,SUM('3.Plan de Estudios'!J157,'3.Plan de Estudios'!K157)&gt;0),"Teórico-Práctico",IF(SUM('3.Plan de Estudios'!J157,'3.Plan de Estudios'!K157)&gt;0,"Teórico","Práctico"))</f>
        <v>Práctico</v>
      </c>
      <c r="B161" s="200" t="s">
        <v>943</v>
      </c>
      <c r="C161" s="302" t="s">
        <v>2</v>
      </c>
      <c r="D161" s="302" t="s">
        <v>944</v>
      </c>
      <c r="E161" s="200" t="s">
        <v>945</v>
      </c>
      <c r="X161" s="223" t="str">
        <f>+'3.Plan de Estudios'!$E$53</f>
        <v>ENGLISH IV</v>
      </c>
      <c r="Y161" s="222" t="str">
        <f>IF('3.Plan de Estudios'!AG53="","",'3.Plan de Estudios'!AG53)</f>
        <v/>
      </c>
      <c r="Z161" t="str">
        <f t="shared" si="20"/>
        <v>ENGLISH IV-</v>
      </c>
      <c r="AA161" s="89" t="str">
        <f t="shared" si="17"/>
        <v/>
      </c>
      <c r="AB161" t="str">
        <f t="shared" si="18"/>
        <v/>
      </c>
      <c r="AC161" t="str">
        <f t="shared" si="21"/>
        <v/>
      </c>
    </row>
    <row r="162" spans="1:29" ht="15.75">
      <c r="A162" t="str">
        <f>IF(AND(SUM('3.Plan de Estudios'!L158:O158)&gt;0,SUM('3.Plan de Estudios'!J158,'3.Plan de Estudios'!K158)&gt;0),"Teórico-Práctico",IF(SUM('3.Plan de Estudios'!J158,'3.Plan de Estudios'!K158)&gt;0,"Teórico","Práctico"))</f>
        <v>Práctico</v>
      </c>
      <c r="B162" s="200" t="s">
        <v>946</v>
      </c>
      <c r="C162" s="302" t="s">
        <v>2</v>
      </c>
      <c r="D162" s="302" t="s">
        <v>947</v>
      </c>
      <c r="E162" s="200" t="s">
        <v>948</v>
      </c>
      <c r="X162" s="223" t="str">
        <f>+'3.Plan de Estudios'!$E$53</f>
        <v>ENGLISH IV</v>
      </c>
      <c r="Y162" s="222" t="str">
        <f>IF('3.Plan de Estudios'!AI53="","",'3.Plan de Estudios'!AI53)</f>
        <v/>
      </c>
      <c r="Z162" t="str">
        <f t="shared" si="20"/>
        <v>ENGLISH IV-</v>
      </c>
      <c r="AA162" s="89" t="str">
        <f t="shared" si="17"/>
        <v/>
      </c>
      <c r="AB162" t="str">
        <f t="shared" si="18"/>
        <v/>
      </c>
      <c r="AC162" t="str">
        <f t="shared" si="21"/>
        <v/>
      </c>
    </row>
    <row r="163" spans="1:29" ht="15.75">
      <c r="A163" t="str">
        <f>IF(AND(SUM('3.Plan de Estudios'!L159:O159)&gt;0,SUM('3.Plan de Estudios'!J159,'3.Plan de Estudios'!K159)&gt;0),"Teórico-Práctico",IF(SUM('3.Plan de Estudios'!J159,'3.Plan de Estudios'!K159)&gt;0,"Teórico","Práctico"))</f>
        <v>Práctico</v>
      </c>
      <c r="B163" s="200" t="s">
        <v>276</v>
      </c>
      <c r="C163" s="302" t="s">
        <v>2</v>
      </c>
      <c r="D163" s="302" t="s">
        <v>949</v>
      </c>
      <c r="E163" s="200" t="s">
        <v>950</v>
      </c>
      <c r="X163" s="183" t="str">
        <f>+'3.Plan de Estudios'!$E$54</f>
        <v>ENGLISH VOCABULARY</v>
      </c>
      <c r="Y163" t="str">
        <f>IF('3.Plan de Estudios'!AA54="","",'3.Plan de Estudios'!AA54)</f>
        <v>CP5: Comprensión y expresión del idioma inglés:N1 Emplea el uso de las TIC para el proceso de sistematización del proceso enseñanza aprendizaje.</v>
      </c>
      <c r="Z163" t="str">
        <f t="shared" si="20"/>
        <v>ENGLISH VOCABULARY-CP5: Comprensión y expresión del idioma inglés:N1 Emplea el uso de las TIC para el proceso de sistem</v>
      </c>
      <c r="AA163" s="89" t="str">
        <f t="shared" si="17"/>
        <v>a</v>
      </c>
      <c r="AB163" t="str">
        <f t="shared" si="18"/>
        <v xml:space="preserve"> Comprensión y expresión del idioma inglés</v>
      </c>
      <c r="AC163" t="str">
        <f>AB163</f>
        <v xml:space="preserve"> Comprensión y expresión del idioma inglés</v>
      </c>
    </row>
    <row r="164" spans="1:29" ht="15.75">
      <c r="A164" t="str">
        <f>IF(AND(SUM('3.Plan de Estudios'!L160:O160)&gt;0,SUM('3.Plan de Estudios'!J160,'3.Plan de Estudios'!K160)&gt;0),"Teórico-Práctico",IF(SUM('3.Plan de Estudios'!J160,'3.Plan de Estudios'!K160)&gt;0,"Teórico","Práctico"))</f>
        <v>Práctico</v>
      </c>
      <c r="B164" s="200" t="s">
        <v>253</v>
      </c>
      <c r="C164" s="302" t="s">
        <v>2</v>
      </c>
      <c r="D164" s="302" t="s">
        <v>951</v>
      </c>
      <c r="E164" s="200" t="s">
        <v>952</v>
      </c>
      <c r="X164" s="183" t="str">
        <f>+'3.Plan de Estudios'!$E$54</f>
        <v>ENGLISH VOCABULARY</v>
      </c>
      <c r="Y164" t="str">
        <f>IF('3.Plan de Estudios'!AC54="","",'3.Plan de Estudios'!AC54)</f>
        <v/>
      </c>
      <c r="Z164" t="str">
        <f t="shared" si="20"/>
        <v>ENGLISH VOCABULARY-</v>
      </c>
      <c r="AA164" s="89" t="str">
        <f t="shared" si="17"/>
        <v/>
      </c>
      <c r="AB164" t="str">
        <f t="shared" si="18"/>
        <v/>
      </c>
      <c r="AC164" t="str">
        <f t="shared" si="21"/>
        <v/>
      </c>
    </row>
    <row r="165" spans="1:29" ht="15.75">
      <c r="A165" t="str">
        <f>IF(AND(SUM('3.Plan de Estudios'!L162:O162)&gt;0,SUM('3.Plan de Estudios'!J162,'3.Plan de Estudios'!K162)&gt;0),"Teórico-Práctico",IF(SUM('3.Plan de Estudios'!J162,'3.Plan de Estudios'!K162)&gt;0,"Teórico","Práctico"))</f>
        <v>Práctico</v>
      </c>
      <c r="B165" s="200" t="s">
        <v>953</v>
      </c>
      <c r="C165" s="302" t="s">
        <v>2</v>
      </c>
      <c r="D165" s="302" t="s">
        <v>954</v>
      </c>
      <c r="E165" s="200" t="s">
        <v>955</v>
      </c>
      <c r="X165" s="183" t="str">
        <f>+'3.Plan de Estudios'!$E$54</f>
        <v>ENGLISH VOCABULARY</v>
      </c>
      <c r="Y165" t="str">
        <f>IF('3.Plan de Estudios'!AE54="","",'3.Plan de Estudios'!AE54)</f>
        <v/>
      </c>
      <c r="Z165" t="str">
        <f t="shared" si="20"/>
        <v>ENGLISH VOCABULARY-</v>
      </c>
      <c r="AA165" s="89" t="str">
        <f t="shared" si="17"/>
        <v/>
      </c>
      <c r="AB165" t="str">
        <f t="shared" si="18"/>
        <v/>
      </c>
      <c r="AC165" t="str">
        <f t="shared" si="21"/>
        <v/>
      </c>
    </row>
    <row r="166" spans="1:29" ht="15.75">
      <c r="A166" t="str">
        <f>IF(AND(SUM('3.Plan de Estudios'!L163:O163)&gt;0,SUM('3.Plan de Estudios'!J163,'3.Plan de Estudios'!K163)&gt;0),"Teórico-Práctico",IF(SUM('3.Plan de Estudios'!J163,'3.Plan de Estudios'!K163)&gt;0,"Teórico","Práctico"))</f>
        <v>Práctico</v>
      </c>
      <c r="B166" s="200" t="s">
        <v>294</v>
      </c>
      <c r="C166" s="302" t="s">
        <v>2</v>
      </c>
      <c r="D166" s="302" t="s">
        <v>956</v>
      </c>
      <c r="E166" s="200" t="s">
        <v>957</v>
      </c>
      <c r="X166" s="183" t="str">
        <f>+'3.Plan de Estudios'!$E$54</f>
        <v>ENGLISH VOCABULARY</v>
      </c>
      <c r="Y166" t="str">
        <f>IF('3.Plan de Estudios'!AG54="","",'3.Plan de Estudios'!AG54)</f>
        <v/>
      </c>
      <c r="Z166" t="str">
        <f t="shared" si="20"/>
        <v>ENGLISH VOCABULARY-</v>
      </c>
      <c r="AA166" s="89" t="str">
        <f t="shared" si="17"/>
        <v/>
      </c>
      <c r="AB166" t="str">
        <f t="shared" si="18"/>
        <v/>
      </c>
      <c r="AC166" t="str">
        <f t="shared" si="21"/>
        <v/>
      </c>
    </row>
    <row r="167" spans="1:29" ht="15.75">
      <c r="A167" t="str">
        <f>IF(AND(SUM('3.Plan de Estudios'!L164:O164)&gt;0,SUM('3.Plan de Estudios'!J164,'3.Plan de Estudios'!K164)&gt;0),"Teórico-Práctico",IF(SUM('3.Plan de Estudios'!J164,'3.Plan de Estudios'!K164)&gt;0,"Teórico","Práctico"))</f>
        <v>Práctico</v>
      </c>
      <c r="B167" s="200" t="s">
        <v>249</v>
      </c>
      <c r="C167" s="302" t="s">
        <v>2</v>
      </c>
      <c r="D167" s="302" t="s">
        <v>958</v>
      </c>
      <c r="E167" s="200" t="s">
        <v>959</v>
      </c>
      <c r="X167" s="183" t="str">
        <f>+'3.Plan de Estudios'!$E$54</f>
        <v>ENGLISH VOCABULARY</v>
      </c>
      <c r="Y167" t="str">
        <f>IF('3.Plan de Estudios'!AI54="","",'3.Plan de Estudios'!AI54)</f>
        <v/>
      </c>
      <c r="Z167" t="str">
        <f t="shared" si="20"/>
        <v>ENGLISH VOCABULARY-</v>
      </c>
      <c r="AA167" s="89" t="str">
        <f t="shared" si="17"/>
        <v/>
      </c>
      <c r="AB167" t="str">
        <f t="shared" si="18"/>
        <v/>
      </c>
      <c r="AC167" t="str">
        <f t="shared" si="21"/>
        <v/>
      </c>
    </row>
    <row r="168" spans="1:29" ht="15.75">
      <c r="A168" t="str">
        <f>IF(AND(SUM('3.Plan de Estudios'!L165:O165)&gt;0,SUM('3.Plan de Estudios'!J165,'3.Plan de Estudios'!K165)&gt;0),"Teórico-Práctico",IF(SUM('3.Plan de Estudios'!J165,'3.Plan de Estudios'!K165)&gt;0,"Teórico","Práctico"))</f>
        <v>Práctico</v>
      </c>
      <c r="B168" s="200" t="s">
        <v>258</v>
      </c>
      <c r="C168" s="302" t="s">
        <v>2</v>
      </c>
      <c r="D168" s="302" t="s">
        <v>960</v>
      </c>
      <c r="E168" s="200" t="s">
        <v>961</v>
      </c>
      <c r="X168" s="223" t="str">
        <f>+'3.Plan de Estudios'!$E$55</f>
        <v>METODOLOGÍA DE LA INVESTIGACIÓN</v>
      </c>
      <c r="Y168" s="222" t="str">
        <f>IF('3.Plan de Estudios'!AA55="","",'3.Plan de Estudios'!AA55)</f>
        <v>CP4: Investigación Educativa:N1 Implementa el marco teórico del proyecto de investigación para la validación de los posibles instrumentos a aplicar.</v>
      </c>
      <c r="Z168" t="str">
        <f t="shared" si="20"/>
        <v>METODOLOGÍA DE LA INVESTIGACIÓN-CP4: Investigación Educativa:N1 Implementa el marco teórico del proyecto de investigación para la va</v>
      </c>
      <c r="AA168" s="89" t="str">
        <f t="shared" si="17"/>
        <v>a</v>
      </c>
      <c r="AB168" t="str">
        <f t="shared" si="18"/>
        <v xml:space="preserve"> Investigación Educativa</v>
      </c>
      <c r="AC168" t="str">
        <f>AB168</f>
        <v xml:space="preserve"> Investigación Educativa</v>
      </c>
    </row>
    <row r="169" spans="1:29" ht="15.75">
      <c r="A169" t="str">
        <f>IF(AND(SUM('3.Plan de Estudios'!L166:O166)&gt;0,SUM('3.Plan de Estudios'!J166,'3.Plan de Estudios'!K166)&gt;0),"Teórico-Práctico",IF(SUM('3.Plan de Estudios'!J166,'3.Plan de Estudios'!K166)&gt;0,"Teórico","Práctico"))</f>
        <v>Práctico</v>
      </c>
      <c r="B169" s="200" t="s">
        <v>268</v>
      </c>
      <c r="C169" s="302" t="s">
        <v>2</v>
      </c>
      <c r="D169" s="302" t="s">
        <v>962</v>
      </c>
      <c r="E169" s="200" t="s">
        <v>963</v>
      </c>
      <c r="X169" s="223" t="str">
        <f>+'3.Plan de Estudios'!$E$55</f>
        <v>METODOLOGÍA DE LA INVESTIGACIÓN</v>
      </c>
      <c r="Y169" s="222" t="str">
        <f>IF('3.Plan de Estudios'!AC55="","",'3.Plan de Estudios'!AC55)</f>
        <v>CG3: Investigación:N1 Reconoce y plantea adecuadamente que es un problema de investigación y los objetivos de la misma.</v>
      </c>
      <c r="Z169" t="str">
        <f t="shared" si="20"/>
        <v>METODOLOGÍA DE LA INVESTIGACIÓN-CG3: Investigación:N1 Reconoce y plantea adecuadamente que es un problema de investigación y los obj</v>
      </c>
      <c r="AA169" s="89" t="str">
        <f t="shared" si="17"/>
        <v>a</v>
      </c>
      <c r="AB169" t="str">
        <f t="shared" si="18"/>
        <v xml:space="preserve"> Investigación</v>
      </c>
      <c r="AC169" t="str">
        <f t="shared" si="21"/>
        <v>, Investigación</v>
      </c>
    </row>
    <row r="170" spans="1:29" ht="15.75">
      <c r="A170" t="str">
        <f>IF(AND(SUM('3.Plan de Estudios'!L167:O167)&gt;0,SUM('3.Plan de Estudios'!J167,'3.Plan de Estudios'!K167)&gt;0),"Teórico-Práctico",IF(SUM('3.Plan de Estudios'!J167,'3.Plan de Estudios'!K167)&gt;0,"Teórico","Práctico"))</f>
        <v>Práctico</v>
      </c>
      <c r="B170" s="200" t="s">
        <v>282</v>
      </c>
      <c r="C170" s="302" t="s">
        <v>2</v>
      </c>
      <c r="D170" s="302" t="s">
        <v>964</v>
      </c>
      <c r="E170" s="200" t="s">
        <v>965</v>
      </c>
      <c r="X170" s="223" t="str">
        <f>+'3.Plan de Estudios'!$E$55</f>
        <v>METODOLOGÍA DE LA INVESTIGACIÓN</v>
      </c>
      <c r="Y170" s="222" t="str">
        <f>IF('3.Plan de Estudios'!AE55="","",'3.Plan de Estudios'!AE55)</f>
        <v/>
      </c>
      <c r="Z170" t="str">
        <f t="shared" si="20"/>
        <v>METODOLOGÍA DE LA INVESTIGACIÓN-</v>
      </c>
      <c r="AA170" s="89" t="str">
        <f t="shared" si="17"/>
        <v/>
      </c>
      <c r="AB170" t="str">
        <f t="shared" si="18"/>
        <v/>
      </c>
      <c r="AC170" t="str">
        <f t="shared" si="21"/>
        <v/>
      </c>
    </row>
    <row r="171" spans="1:29" ht="15.75">
      <c r="A171" t="str">
        <f>IF(AND(SUM('3.Plan de Estudios'!L168:O168)&gt;0,SUM('3.Plan de Estudios'!J168,'3.Plan de Estudios'!K168)&gt;0),"Teórico-Práctico",IF(SUM('3.Plan de Estudios'!J168,'3.Plan de Estudios'!K168)&gt;0,"Teórico","Práctico"))</f>
        <v>Práctico</v>
      </c>
      <c r="B171" s="200" t="s">
        <v>240</v>
      </c>
      <c r="C171" s="302" t="s">
        <v>2</v>
      </c>
      <c r="D171" s="302" t="s">
        <v>966</v>
      </c>
      <c r="E171" s="200" t="s">
        <v>967</v>
      </c>
      <c r="X171" s="223" t="str">
        <f>+'3.Plan de Estudios'!$E$55</f>
        <v>METODOLOGÍA DE LA INVESTIGACIÓN</v>
      </c>
      <c r="Y171" s="222" t="str">
        <f>IF('3.Plan de Estudios'!AG55="","",'3.Plan de Estudios'!AG55)</f>
        <v/>
      </c>
      <c r="Z171" t="str">
        <f t="shared" si="20"/>
        <v>METODOLOGÍA DE LA INVESTIGACIÓN-</v>
      </c>
      <c r="AA171" s="89" t="str">
        <f t="shared" si="17"/>
        <v/>
      </c>
      <c r="AB171" t="str">
        <f t="shared" si="18"/>
        <v/>
      </c>
      <c r="AC171" t="str">
        <f t="shared" si="21"/>
        <v/>
      </c>
    </row>
    <row r="172" spans="1:29" ht="15.75">
      <c r="A172" t="str">
        <f>IF(AND(SUM('3.Plan de Estudios'!L169:O169)&gt;0,SUM('3.Plan de Estudios'!J169,'3.Plan de Estudios'!K169)&gt;0),"Teórico-Práctico",IF(SUM('3.Plan de Estudios'!J169,'3.Plan de Estudios'!K169)&gt;0,"Teórico","Práctico"))</f>
        <v>Práctico</v>
      </c>
      <c r="B172" s="200" t="s">
        <v>968</v>
      </c>
      <c r="C172" s="302" t="s">
        <v>2</v>
      </c>
      <c r="D172" s="302" t="s">
        <v>969</v>
      </c>
      <c r="E172" s="200" t="s">
        <v>970</v>
      </c>
      <c r="X172" s="223" t="str">
        <f>+'3.Plan de Estudios'!$E$55</f>
        <v>METODOLOGÍA DE LA INVESTIGACIÓN</v>
      </c>
      <c r="Y172" s="222" t="str">
        <f>IF('3.Plan de Estudios'!AI55="","",'3.Plan de Estudios'!AI55)</f>
        <v/>
      </c>
      <c r="Z172" t="str">
        <f t="shared" si="20"/>
        <v>METODOLOGÍA DE LA INVESTIGACIÓN-</v>
      </c>
      <c r="AA172" s="89" t="str">
        <f t="shared" ref="AA172:AA177" si="22">+IF(Y172="","","a")</f>
        <v/>
      </c>
      <c r="AB172" t="str">
        <f t="shared" si="18"/>
        <v/>
      </c>
      <c r="AC172" t="str">
        <f t="shared" si="21"/>
        <v/>
      </c>
    </row>
    <row r="173" spans="1:29" ht="15.75">
      <c r="A173" t="str">
        <f>IF(AND(SUM('3.Plan de Estudios'!L170:O170)&gt;0,SUM('3.Plan de Estudios'!J170,'3.Plan de Estudios'!K170)&gt;0),"Teórico-Práctico",IF(SUM('3.Plan de Estudios'!J170,'3.Plan de Estudios'!K170)&gt;0,"Teórico","Práctico"))</f>
        <v>Práctico</v>
      </c>
      <c r="B173" s="200" t="s">
        <v>288</v>
      </c>
      <c r="C173" s="302" t="s">
        <v>2</v>
      </c>
      <c r="D173" s="302" t="s">
        <v>971</v>
      </c>
      <c r="E173" s="200" t="s">
        <v>972</v>
      </c>
      <c r="X173" s="183" t="str">
        <f>+'3.Plan de Estudios'!$E$56</f>
        <v>PRINCIPIOS DE ECONOMÍA</v>
      </c>
      <c r="Y173" t="str">
        <f>IF('3.Plan de Estudios'!AA56="","",'3.Plan de Estudios'!AA56)</f>
        <v>CG4: Gestión de Recursos:N1 Reconoce la teoría de gestión y sus componentes de manera aplicada para comprender la lógica empresarial.</v>
      </c>
      <c r="Z173" t="str">
        <f t="shared" si="20"/>
        <v xml:space="preserve">PRINCIPIOS DE ECONOMÍA-CG4: Gestión de Recursos:N1 Reconoce la teoría de gestión y sus componentes de manera aplicada para </v>
      </c>
      <c r="AA173" s="89" t="str">
        <f t="shared" si="22"/>
        <v>a</v>
      </c>
      <c r="AB173" t="str">
        <f t="shared" si="18"/>
        <v xml:space="preserve"> Gestión de Recursos</v>
      </c>
      <c r="AC173" t="str">
        <f>AB173</f>
        <v xml:space="preserve"> Gestión de Recursos</v>
      </c>
    </row>
    <row r="174" spans="1:29" ht="15.75">
      <c r="A174" t="str">
        <f>IF(AND(SUM('3.Plan de Estudios'!L171:O171)&gt;0,SUM('3.Plan de Estudios'!J171,'3.Plan de Estudios'!K171)&gt;0),"Teórico-Práctico",IF(SUM('3.Plan de Estudios'!J171,'3.Plan de Estudios'!K171)&gt;0,"Teórico","Práctico"))</f>
        <v>Práctico</v>
      </c>
      <c r="B174" s="200" t="s">
        <v>264</v>
      </c>
      <c r="C174" s="302" t="s">
        <v>2</v>
      </c>
      <c r="D174" s="302" t="s">
        <v>973</v>
      </c>
      <c r="E174" s="200" t="s">
        <v>974</v>
      </c>
      <c r="X174" s="183" t="str">
        <f>+'3.Plan de Estudios'!$E$56</f>
        <v>PRINCIPIOS DE ECONOMÍA</v>
      </c>
      <c r="Y174" t="str">
        <f>IF('3.Plan de Estudios'!AC56="","",'3.Plan de Estudios'!AC56)</f>
        <v/>
      </c>
      <c r="Z174" t="str">
        <f t="shared" si="20"/>
        <v>PRINCIPIOS DE ECONOMÍA-</v>
      </c>
      <c r="AA174" s="89" t="str">
        <f t="shared" si="22"/>
        <v/>
      </c>
      <c r="AB174" t="str">
        <f t="shared" si="18"/>
        <v/>
      </c>
      <c r="AC174" t="str">
        <f t="shared" si="21"/>
        <v/>
      </c>
    </row>
    <row r="175" spans="1:29" ht="15.75">
      <c r="X175" s="183" t="str">
        <f>+'3.Plan de Estudios'!$E$56</f>
        <v>PRINCIPIOS DE ECONOMÍA</v>
      </c>
      <c r="Y175" t="str">
        <f>IF('3.Plan de Estudios'!AE56="","",'3.Plan de Estudios'!AE56)</f>
        <v/>
      </c>
      <c r="Z175" t="str">
        <f t="shared" si="20"/>
        <v>PRINCIPIOS DE ECONOMÍA-</v>
      </c>
      <c r="AA175" s="89" t="str">
        <f t="shared" si="22"/>
        <v/>
      </c>
      <c r="AB175" t="str">
        <f t="shared" si="18"/>
        <v/>
      </c>
      <c r="AC175" t="str">
        <f t="shared" si="21"/>
        <v/>
      </c>
    </row>
    <row r="176" spans="1:29" ht="15.75">
      <c r="X176" s="183" t="str">
        <f>+'3.Plan de Estudios'!$E$56</f>
        <v>PRINCIPIOS DE ECONOMÍA</v>
      </c>
      <c r="Y176" t="str">
        <f>IF('3.Plan de Estudios'!AG56="","",'3.Plan de Estudios'!AG56)</f>
        <v/>
      </c>
      <c r="Z176" t="str">
        <f t="shared" si="20"/>
        <v>PRINCIPIOS DE ECONOMÍA-</v>
      </c>
      <c r="AA176" s="89" t="str">
        <f t="shared" si="22"/>
        <v/>
      </c>
      <c r="AB176" t="str">
        <f t="shared" si="18"/>
        <v/>
      </c>
      <c r="AC176" t="str">
        <f t="shared" si="21"/>
        <v/>
      </c>
    </row>
    <row r="177" spans="1:31" ht="15.75">
      <c r="A177" t="str">
        <f>CONCATENATE(UPPER(LEFT(LOWER('7.Sumillas'!D8),1)),LOWER(MID('7.Sumillas'!D8,2,LEN('7.Sumillas'!D8))))</f>
        <v>Administración para los negocios</v>
      </c>
      <c r="X177" s="183" t="str">
        <f>+'3.Plan de Estudios'!$E$56</f>
        <v>PRINCIPIOS DE ECONOMÍA</v>
      </c>
      <c r="Y177" t="str">
        <f>IF('3.Plan de Estudios'!AI56="","",'3.Plan de Estudios'!AI56)</f>
        <v/>
      </c>
      <c r="Z177" t="str">
        <f t="shared" si="20"/>
        <v>PRINCIPIOS DE ECONOMÍA-</v>
      </c>
      <c r="AA177" s="89" t="str">
        <f t="shared" si="22"/>
        <v/>
      </c>
      <c r="AB177" t="str">
        <f t="shared" si="18"/>
        <v/>
      </c>
      <c r="AC177" t="str">
        <f t="shared" si="21"/>
        <v/>
      </c>
    </row>
    <row r="178" spans="1:31" ht="15.75">
      <c r="A178" t="str">
        <f>CONCATENATE(UPPER(LEFT(LOWER('7.Sumillas'!D9),1)),LOWER(MID('7.Sumillas'!D9,2,LEN('7.Sumillas'!D9))))</f>
        <v>Desarrollo humano</v>
      </c>
      <c r="X178" s="223">
        <f>+'3.Plan de Estudios'!$E$57</f>
        <v>0</v>
      </c>
      <c r="Y178" s="222" t="str">
        <f>IF('3.Plan de Estudios'!AA57="","",'3.Plan de Estudios'!AA57)</f>
        <v/>
      </c>
      <c r="Z178" t="str">
        <f t="shared" ref="Z178:Z241" si="23">CONCATENATE(X178,"-",MID(Y178,1,100))</f>
        <v>0-</v>
      </c>
      <c r="AA178" s="89" t="str">
        <f t="shared" ref="AA178:AA241" si="24">+IF(Y178="","","a")</f>
        <v/>
      </c>
      <c r="AB178" t="str">
        <f t="shared" ref="AB178:AB241" si="25">IFERROR(MID(Y178,FIND(":",Y178)+1,FIND(":",Y178,FIND(":",Y178)+1)-FIND(":",Y178)-1),"")</f>
        <v/>
      </c>
      <c r="AC178" t="str">
        <f>AB178</f>
        <v/>
      </c>
      <c r="AE178" s="1"/>
    </row>
    <row r="179" spans="1:31" ht="15.75">
      <c r="X179" s="223">
        <f>+'3.Plan de Estudios'!$E$57</f>
        <v>0</v>
      </c>
      <c r="Y179" s="222" t="str">
        <f>IF('3.Plan de Estudios'!AC57="","",'3.Plan de Estudios'!AC57)</f>
        <v/>
      </c>
      <c r="Z179" t="str">
        <f t="shared" si="23"/>
        <v>0-</v>
      </c>
      <c r="AA179" s="89" t="str">
        <f t="shared" si="24"/>
        <v/>
      </c>
      <c r="AB179" t="str">
        <f t="shared" si="25"/>
        <v/>
      </c>
      <c r="AC179" t="str">
        <f>IF(AB179="","",CONCATENATE(",",AB179))</f>
        <v/>
      </c>
      <c r="AE179" s="1"/>
    </row>
    <row r="180" spans="1:31" ht="15.75">
      <c r="X180" s="223">
        <f>+'3.Plan de Estudios'!$E$57</f>
        <v>0</v>
      </c>
      <c r="Y180" s="222" t="str">
        <f>IF('3.Plan de Estudios'!AE57="","",'3.Plan de Estudios'!AE57)</f>
        <v/>
      </c>
      <c r="Z180" t="str">
        <f t="shared" si="23"/>
        <v>0-</v>
      </c>
      <c r="AA180" s="89" t="str">
        <f t="shared" si="24"/>
        <v/>
      </c>
      <c r="AB180" t="str">
        <f t="shared" si="25"/>
        <v/>
      </c>
      <c r="AC180" t="str">
        <f>IF(AB180="","",CONCATENATE(",",AB180))</f>
        <v/>
      </c>
      <c r="AE180" s="1"/>
    </row>
    <row r="181" spans="1:31" ht="18" customHeight="1">
      <c r="A181" s="330" t="s">
        <v>975</v>
      </c>
      <c r="X181" s="223">
        <f>+'3.Plan de Estudios'!$E$57</f>
        <v>0</v>
      </c>
      <c r="Y181" s="222" t="str">
        <f>IF('3.Plan de Estudios'!AG57="","",'3.Plan de Estudios'!AG57)</f>
        <v/>
      </c>
      <c r="Z181" t="str">
        <f t="shared" si="23"/>
        <v>0-</v>
      </c>
      <c r="AA181" s="89" t="str">
        <f t="shared" si="24"/>
        <v/>
      </c>
      <c r="AB181" t="str">
        <f t="shared" si="25"/>
        <v/>
      </c>
      <c r="AC181" t="str">
        <f>IF(AB181="","",CONCATENATE(",",AB181))</f>
        <v/>
      </c>
      <c r="AE181" s="1"/>
    </row>
    <row r="182" spans="1:31" ht="15.75">
      <c r="X182" s="223">
        <f>+'3.Plan de Estudios'!$E$57</f>
        <v>0</v>
      </c>
      <c r="Y182" s="222" t="str">
        <f>IF('3.Plan de Estudios'!AI57="","",'3.Plan de Estudios'!AI57)</f>
        <v/>
      </c>
      <c r="Z182" t="str">
        <f t="shared" si="23"/>
        <v>0-</v>
      </c>
      <c r="AA182" s="89" t="str">
        <f t="shared" si="24"/>
        <v/>
      </c>
      <c r="AB182" t="str">
        <f t="shared" si="25"/>
        <v/>
      </c>
      <c r="AC182" t="str">
        <f>IF(AB182="","",CONCATENATE(",",AB182))</f>
        <v/>
      </c>
      <c r="AE182" s="340"/>
    </row>
    <row r="183" spans="1:31" ht="15.75">
      <c r="A183" s="62"/>
      <c r="X183" s="183">
        <f>+'3.Plan de Estudios'!$E$58</f>
        <v>0</v>
      </c>
      <c r="Y183" t="str">
        <f>IF('3.Plan de Estudios'!AA58="","",'3.Plan de Estudios'!AA58)</f>
        <v/>
      </c>
      <c r="Z183" t="str">
        <f t="shared" si="23"/>
        <v>0-</v>
      </c>
      <c r="AA183" s="89" t="str">
        <f t="shared" si="24"/>
        <v/>
      </c>
      <c r="AB183" t="str">
        <f t="shared" si="25"/>
        <v/>
      </c>
      <c r="AC183" t="str">
        <f>AB183</f>
        <v/>
      </c>
    </row>
    <row r="184" spans="1:31" ht="15.75">
      <c r="A184" s="335" t="s">
        <v>976</v>
      </c>
      <c r="G184" s="203" t="s">
        <v>977</v>
      </c>
      <c r="X184" s="183">
        <f>+'3.Plan de Estudios'!$E$58</f>
        <v>0</v>
      </c>
      <c r="Y184" t="str">
        <f>IF('3.Plan de Estudios'!AC58="","",'3.Plan de Estudios'!AC58)</f>
        <v/>
      </c>
      <c r="Z184" t="str">
        <f t="shared" si="23"/>
        <v>0-</v>
      </c>
      <c r="AA184" s="89" t="str">
        <f t="shared" si="24"/>
        <v/>
      </c>
      <c r="AB184" t="str">
        <f t="shared" si="25"/>
        <v/>
      </c>
      <c r="AC184" t="str">
        <f>IF(AB184="","",CONCATENATE(",",AB184))</f>
        <v/>
      </c>
    </row>
    <row r="185" spans="1:31" ht="15.75">
      <c r="A185" s="339" t="s">
        <v>978</v>
      </c>
      <c r="G185" s="200" t="s">
        <v>979</v>
      </c>
      <c r="H185" s="200" t="s">
        <v>980</v>
      </c>
      <c r="X185" s="331">
        <f>+'3.Plan de Estudios'!$E$58</f>
        <v>0</v>
      </c>
      <c r="Y185" s="329" t="str">
        <f>IF('3.Plan de Estudios'!AE58="","",'3.Plan de Estudios'!AE58)</f>
        <v/>
      </c>
      <c r="Z185" s="329" t="str">
        <f t="shared" si="23"/>
        <v>0-</v>
      </c>
      <c r="AA185" s="332" t="str">
        <f t="shared" si="24"/>
        <v/>
      </c>
      <c r="AB185" s="329" t="str">
        <f t="shared" si="25"/>
        <v/>
      </c>
      <c r="AC185" s="329" t="str">
        <f>IF(AB185="","",CONCATENATE(",",AB185))</f>
        <v/>
      </c>
      <c r="AE185" s="329"/>
    </row>
    <row r="186" spans="1:31" ht="15.75" customHeight="1">
      <c r="A186" s="339" t="s">
        <v>132</v>
      </c>
      <c r="G186" s="200" t="s">
        <v>981</v>
      </c>
      <c r="H186" s="200" t="s">
        <v>982</v>
      </c>
      <c r="X186" s="331">
        <f>+'3.Plan de Estudios'!$E$58</f>
        <v>0</v>
      </c>
      <c r="Y186" s="329" t="str">
        <f>IF('3.Plan de Estudios'!AG58="","",'3.Plan de Estudios'!AG58)</f>
        <v/>
      </c>
      <c r="Z186" s="329" t="str">
        <f t="shared" si="23"/>
        <v>0-</v>
      </c>
      <c r="AA186" s="332" t="str">
        <f t="shared" si="24"/>
        <v/>
      </c>
      <c r="AB186" s="329" t="str">
        <f t="shared" si="25"/>
        <v/>
      </c>
      <c r="AC186" s="329" t="str">
        <f>IF(AB186="","",CONCATENATE(",",AB186))</f>
        <v/>
      </c>
      <c r="AE186" s="329"/>
    </row>
    <row r="187" spans="1:31" ht="15.75" customHeight="1">
      <c r="A187" s="339" t="s">
        <v>983</v>
      </c>
      <c r="G187" s="200" t="s">
        <v>984</v>
      </c>
      <c r="H187" s="200" t="s">
        <v>985</v>
      </c>
      <c r="X187" s="331">
        <f>+'3.Plan de Estudios'!$E$58</f>
        <v>0</v>
      </c>
      <c r="Y187" s="329" t="str">
        <f>IF('3.Plan de Estudios'!AI58="","",'3.Plan de Estudios'!AI58)</f>
        <v/>
      </c>
      <c r="Z187" s="329" t="str">
        <f t="shared" si="23"/>
        <v>0-</v>
      </c>
      <c r="AA187" s="332" t="str">
        <f t="shared" si="24"/>
        <v/>
      </c>
      <c r="AB187" s="329" t="str">
        <f t="shared" si="25"/>
        <v/>
      </c>
      <c r="AC187" s="329" t="str">
        <f>IF(AB187="","",CONCATENATE(",",AB187))</f>
        <v/>
      </c>
      <c r="AE187" s="329"/>
    </row>
    <row r="188" spans="1:31" ht="15.75" customHeight="1">
      <c r="A188" s="339" t="s">
        <v>986</v>
      </c>
      <c r="G188" s="200" t="s">
        <v>987</v>
      </c>
      <c r="H188" s="200" t="s">
        <v>988</v>
      </c>
      <c r="X188" s="333">
        <f>+'3.Plan de Estudios'!$E$59</f>
        <v>0</v>
      </c>
      <c r="Y188" s="334" t="str">
        <f>IF('3.Plan de Estudios'!AA59="","",'3.Plan de Estudios'!AA59)</f>
        <v/>
      </c>
      <c r="Z188" s="329" t="str">
        <f t="shared" si="23"/>
        <v>0-</v>
      </c>
      <c r="AA188" s="332" t="str">
        <f t="shared" si="24"/>
        <v/>
      </c>
      <c r="AB188" s="329" t="str">
        <f t="shared" si="25"/>
        <v/>
      </c>
      <c r="AC188" s="329" t="str">
        <f>AB188</f>
        <v/>
      </c>
      <c r="AE188" s="329"/>
    </row>
    <row r="189" spans="1:31" ht="15.75" customHeight="1">
      <c r="A189" s="339" t="s">
        <v>989</v>
      </c>
      <c r="G189" s="200" t="s">
        <v>990</v>
      </c>
      <c r="H189" s="200" t="s">
        <v>991</v>
      </c>
      <c r="X189" s="333">
        <f>+'3.Plan de Estudios'!$E$59</f>
        <v>0</v>
      </c>
      <c r="Y189" s="334" t="str">
        <f>IF('3.Plan de Estudios'!AC59="","",'3.Plan de Estudios'!AC59)</f>
        <v/>
      </c>
      <c r="Z189" s="329" t="str">
        <f t="shared" si="23"/>
        <v>0-</v>
      </c>
      <c r="AA189" s="332" t="str">
        <f t="shared" si="24"/>
        <v/>
      </c>
      <c r="AB189" s="329" t="str">
        <f t="shared" si="25"/>
        <v/>
      </c>
      <c r="AC189" s="329" t="str">
        <f>IF(AB189="","",CONCATENATE(",",AB189))</f>
        <v/>
      </c>
      <c r="AE189" s="329"/>
    </row>
    <row r="190" spans="1:31" ht="15.75" customHeight="1">
      <c r="A190" s="339" t="s">
        <v>992</v>
      </c>
      <c r="G190" s="200" t="s">
        <v>993</v>
      </c>
      <c r="H190" s="200" t="s">
        <v>994</v>
      </c>
      <c r="X190" s="223">
        <f>+'3.Plan de Estudios'!$E$59</f>
        <v>0</v>
      </c>
      <c r="Y190" s="222" t="str">
        <f>IF('3.Plan de Estudios'!AE59="","",'3.Plan de Estudios'!AE59)</f>
        <v/>
      </c>
      <c r="Z190" t="str">
        <f t="shared" si="23"/>
        <v>0-</v>
      </c>
      <c r="AA190" s="89" t="str">
        <f t="shared" si="24"/>
        <v/>
      </c>
      <c r="AB190" t="str">
        <f t="shared" si="25"/>
        <v/>
      </c>
      <c r="AC190" t="str">
        <f>IF(AB190="","",CONCATENATE(",",AB190))</f>
        <v/>
      </c>
    </row>
    <row r="191" spans="1:31" ht="15.75" customHeight="1">
      <c r="A191" s="339" t="s">
        <v>995</v>
      </c>
      <c r="X191" s="223">
        <f>+'3.Plan de Estudios'!$E$59</f>
        <v>0</v>
      </c>
      <c r="Y191" s="222" t="str">
        <f>IF('3.Plan de Estudios'!AG59="","",'3.Plan de Estudios'!AG59)</f>
        <v/>
      </c>
      <c r="Z191" t="str">
        <f t="shared" si="23"/>
        <v>0-</v>
      </c>
      <c r="AA191" s="89" t="str">
        <f t="shared" si="24"/>
        <v/>
      </c>
      <c r="AB191" t="str">
        <f t="shared" si="25"/>
        <v/>
      </c>
      <c r="AC191" t="str">
        <f>IF(AB191="","",CONCATENATE(",",AB191))</f>
        <v/>
      </c>
    </row>
    <row r="192" spans="1:31" ht="15.75" customHeight="1">
      <c r="A192" s="339" t="s">
        <v>996</v>
      </c>
      <c r="X192" s="223">
        <f>+'3.Plan de Estudios'!$E$59</f>
        <v>0</v>
      </c>
      <c r="Y192" s="222" t="str">
        <f>IF('3.Plan de Estudios'!AI59="","",'3.Plan de Estudios'!AI59)</f>
        <v/>
      </c>
      <c r="Z192" t="str">
        <f t="shared" si="23"/>
        <v>0-</v>
      </c>
      <c r="AA192" s="89" t="str">
        <f t="shared" si="24"/>
        <v/>
      </c>
      <c r="AB192" t="str">
        <f t="shared" si="25"/>
        <v/>
      </c>
      <c r="AC192" t="str">
        <f>IF(AB192="","",CONCATENATE(",",AB192))</f>
        <v/>
      </c>
    </row>
    <row r="193" spans="1:31" ht="15.75" customHeight="1">
      <c r="X193" s="183">
        <f>+'3.Plan de Estudios'!$E$60</f>
        <v>0</v>
      </c>
      <c r="Y193" t="str">
        <f>IF('3.Plan de Estudios'!AA60="","",'3.Plan de Estudios'!AA60)</f>
        <v/>
      </c>
      <c r="Z193" t="str">
        <f t="shared" si="23"/>
        <v>0-</v>
      </c>
      <c r="AA193" s="89" t="str">
        <f t="shared" si="24"/>
        <v/>
      </c>
      <c r="AB193" t="str">
        <f t="shared" si="25"/>
        <v/>
      </c>
      <c r="AC193" t="str">
        <f>AB193</f>
        <v/>
      </c>
    </row>
    <row r="194" spans="1:31" ht="15.75" customHeight="1">
      <c r="X194" s="183">
        <f>+'3.Plan de Estudios'!$E$60</f>
        <v>0</v>
      </c>
      <c r="Y194" t="str">
        <f>IF('3.Plan de Estudios'!AC60="","",'3.Plan de Estudios'!AC60)</f>
        <v/>
      </c>
      <c r="Z194" t="str">
        <f t="shared" si="23"/>
        <v>0-</v>
      </c>
      <c r="AA194" s="89" t="str">
        <f t="shared" si="24"/>
        <v/>
      </c>
      <c r="AB194" t="str">
        <f t="shared" si="25"/>
        <v/>
      </c>
      <c r="AC194" t="str">
        <f>IF(AB194="","",CONCATENATE(",",AB194))</f>
        <v/>
      </c>
    </row>
    <row r="195" spans="1:31" ht="15.75" customHeight="1">
      <c r="A195" s="360" t="s">
        <v>997</v>
      </c>
      <c r="X195" s="183">
        <f>+'3.Plan de Estudios'!$E$60</f>
        <v>0</v>
      </c>
      <c r="Y195" t="str">
        <f>IF('3.Plan de Estudios'!AE60="","",'3.Plan de Estudios'!AE60)</f>
        <v/>
      </c>
      <c r="Z195" t="str">
        <f t="shared" si="23"/>
        <v>0-</v>
      </c>
      <c r="AA195" s="89" t="str">
        <f t="shared" si="24"/>
        <v/>
      </c>
      <c r="AB195" t="str">
        <f t="shared" si="25"/>
        <v/>
      </c>
      <c r="AC195" t="str">
        <f>IF(AB195="","",CONCATENATE(",",AB195))</f>
        <v/>
      </c>
    </row>
    <row r="196" spans="1:31" s="329" customFormat="1" ht="15.75" customHeight="1">
      <c r="A196" s="358" t="s">
        <v>998</v>
      </c>
      <c r="B196" s="359" t="s">
        <v>999</v>
      </c>
      <c r="I196"/>
      <c r="J196"/>
      <c r="K196"/>
      <c r="L196"/>
      <c r="M196"/>
      <c r="N196"/>
      <c r="O196"/>
      <c r="P196"/>
      <c r="Q196"/>
      <c r="X196" s="183">
        <f>+'3.Plan de Estudios'!$E$60</f>
        <v>0</v>
      </c>
      <c r="Y196" t="str">
        <f>IF('3.Plan de Estudios'!AG60="","",'3.Plan de Estudios'!AG60)</f>
        <v/>
      </c>
      <c r="Z196" t="str">
        <f t="shared" si="23"/>
        <v>0-</v>
      </c>
      <c r="AA196" s="89" t="str">
        <f t="shared" si="24"/>
        <v/>
      </c>
      <c r="AB196" t="str">
        <f t="shared" si="25"/>
        <v/>
      </c>
      <c r="AC196" t="str">
        <f>IF(AB196="","",CONCATENATE(",",AB196))</f>
        <v/>
      </c>
      <c r="AD196"/>
      <c r="AE196"/>
    </row>
    <row r="197" spans="1:31" s="329" customFormat="1" ht="15.75" customHeight="1">
      <c r="A197" s="358" t="s">
        <v>1000</v>
      </c>
      <c r="B197" s="359" t="s">
        <v>1001</v>
      </c>
      <c r="I197"/>
      <c r="J197"/>
      <c r="K197"/>
      <c r="L197"/>
      <c r="M197"/>
      <c r="N197"/>
      <c r="O197"/>
      <c r="P197"/>
      <c r="Q197"/>
      <c r="X197" s="183">
        <f>+'3.Plan de Estudios'!$E$60</f>
        <v>0</v>
      </c>
      <c r="Y197" t="str">
        <f>IF('3.Plan de Estudios'!AI60="","",'3.Plan de Estudios'!AI60)</f>
        <v/>
      </c>
      <c r="Z197" t="str">
        <f t="shared" si="23"/>
        <v>0-</v>
      </c>
      <c r="AA197" s="89" t="str">
        <f t="shared" si="24"/>
        <v/>
      </c>
      <c r="AB197" t="str">
        <f t="shared" si="25"/>
        <v/>
      </c>
      <c r="AC197" t="str">
        <f>IF(AB197="","",CONCATENATE(",",AB197))</f>
        <v/>
      </c>
      <c r="AD197"/>
      <c r="AE197"/>
    </row>
    <row r="198" spans="1:31" s="329" customFormat="1" ht="15.75" customHeight="1">
      <c r="A198" s="358" t="s">
        <v>1002</v>
      </c>
      <c r="B198" s="359" t="s">
        <v>1003</v>
      </c>
      <c r="I198"/>
      <c r="J198"/>
      <c r="K198"/>
      <c r="L198"/>
      <c r="M198"/>
      <c r="N198"/>
      <c r="O198"/>
      <c r="P198"/>
      <c r="Q198"/>
      <c r="X198" s="223">
        <f>+'3.Plan de Estudios'!$E$61</f>
        <v>0</v>
      </c>
      <c r="Y198" s="222" t="str">
        <f>IF('3.Plan de Estudios'!AA61="","",'3.Plan de Estudios'!AA61)</f>
        <v/>
      </c>
      <c r="Z198" t="str">
        <f t="shared" si="23"/>
        <v>0-</v>
      </c>
      <c r="AA198" s="89" t="str">
        <f t="shared" si="24"/>
        <v/>
      </c>
      <c r="AB198" t="str">
        <f t="shared" si="25"/>
        <v/>
      </c>
      <c r="AC198" t="str">
        <f>AB198</f>
        <v/>
      </c>
      <c r="AD198"/>
      <c r="AE198"/>
    </row>
    <row r="199" spans="1:31" s="329" customFormat="1" ht="15.75" customHeight="1">
      <c r="A199" s="358" t="s">
        <v>1004</v>
      </c>
      <c r="B199" s="359" t="s">
        <v>1005</v>
      </c>
      <c r="I199"/>
      <c r="J199"/>
      <c r="K199"/>
      <c r="L199"/>
      <c r="M199"/>
      <c r="N199"/>
      <c r="O199"/>
      <c r="P199"/>
      <c r="Q199"/>
      <c r="X199" s="223">
        <f>+'3.Plan de Estudios'!$E$61</f>
        <v>0</v>
      </c>
      <c r="Y199" s="222" t="str">
        <f>IF('3.Plan de Estudios'!AC61="","",'3.Plan de Estudios'!AC61)</f>
        <v/>
      </c>
      <c r="Z199" t="str">
        <f t="shared" si="23"/>
        <v>0-</v>
      </c>
      <c r="AA199" s="89" t="str">
        <f t="shared" si="24"/>
        <v/>
      </c>
      <c r="AB199" t="str">
        <f t="shared" si="25"/>
        <v/>
      </c>
      <c r="AC199" t="str">
        <f>IF(AB199="","",CONCATENATE(",",AB199))</f>
        <v/>
      </c>
      <c r="AD199"/>
      <c r="AE199"/>
    </row>
    <row r="200" spans="1:31" s="329" customFormat="1" ht="15.75" customHeight="1">
      <c r="A200" s="358" t="s">
        <v>1006</v>
      </c>
      <c r="B200" s="359" t="s">
        <v>1007</v>
      </c>
      <c r="I200"/>
      <c r="J200"/>
      <c r="K200"/>
      <c r="L200"/>
      <c r="M200"/>
      <c r="N200"/>
      <c r="O200"/>
      <c r="P200"/>
      <c r="Q200"/>
      <c r="X200" s="223">
        <f>+'3.Plan de Estudios'!$E$61</f>
        <v>0</v>
      </c>
      <c r="Y200" s="222" t="str">
        <f>IF('3.Plan de Estudios'!AE61="","",'3.Plan de Estudios'!AE61)</f>
        <v/>
      </c>
      <c r="Z200" t="str">
        <f t="shared" si="23"/>
        <v>0-</v>
      </c>
      <c r="AA200" s="89" t="str">
        <f t="shared" si="24"/>
        <v/>
      </c>
      <c r="AB200" t="str">
        <f t="shared" si="25"/>
        <v/>
      </c>
      <c r="AC200" t="str">
        <f>IF(AB200="","",CONCATENATE(",",AB200))</f>
        <v/>
      </c>
      <c r="AD200"/>
      <c r="AE200"/>
    </row>
    <row r="201" spans="1:31" ht="15.75" customHeight="1">
      <c r="A201" s="359" t="s">
        <v>1008</v>
      </c>
      <c r="B201" s="359" t="s">
        <v>1009</v>
      </c>
      <c r="X201" s="223">
        <f>+'3.Plan de Estudios'!$E$61</f>
        <v>0</v>
      </c>
      <c r="Y201" s="222" t="str">
        <f>IF('3.Plan de Estudios'!AG61="","",'3.Plan de Estudios'!AG61)</f>
        <v/>
      </c>
      <c r="Z201" t="str">
        <f t="shared" si="23"/>
        <v>0-</v>
      </c>
      <c r="AA201" s="89" t="str">
        <f t="shared" si="24"/>
        <v/>
      </c>
      <c r="AB201" t="str">
        <f t="shared" si="25"/>
        <v/>
      </c>
      <c r="AC201" t="str">
        <f>IF(AB201="","",CONCATENATE(",",AB201))</f>
        <v/>
      </c>
    </row>
    <row r="202" spans="1:31" ht="15.75" customHeight="1">
      <c r="A202" s="359" t="s">
        <v>1010</v>
      </c>
      <c r="B202" s="359" t="s">
        <v>1011</v>
      </c>
      <c r="X202" s="224">
        <f>+'3.Plan de Estudios'!$E$61</f>
        <v>0</v>
      </c>
      <c r="Y202" s="225" t="str">
        <f>IF('3.Plan de Estudios'!AI61="","",'3.Plan de Estudios'!AI61)</f>
        <v/>
      </c>
      <c r="Z202" t="str">
        <f t="shared" si="23"/>
        <v>0-</v>
      </c>
      <c r="AA202" s="89" t="str">
        <f t="shared" si="24"/>
        <v/>
      </c>
      <c r="AB202" t="str">
        <f t="shared" si="25"/>
        <v/>
      </c>
      <c r="AC202" t="str">
        <f>IF(AB202="","",CONCATENATE(",",AB202))</f>
        <v/>
      </c>
    </row>
    <row r="203" spans="1:31" ht="15.75" customHeight="1">
      <c r="A203" s="359" t="s">
        <v>1012</v>
      </c>
      <c r="B203" s="359" t="s">
        <v>1013</v>
      </c>
      <c r="X203" s="183" t="str">
        <f>+'3.Plan de Estudios'!$E$63</f>
        <v>ENGLISH V</v>
      </c>
      <c r="Y203" t="str">
        <f>IF('3.Plan de Estudios'!AA63="","",'3.Plan de Estudios'!AA63)</f>
        <v>CG2: Comunicación Bilingüe:N2 Aplica las competencias correspondientes al nivel B1 según los estándares del Marco de Referencia de la Comunidad Europea (CEFR).</v>
      </c>
      <c r="Z203" t="str">
        <f t="shared" si="23"/>
        <v>ENGLISH V-CG2: Comunicación Bilingüe:N2 Aplica las competencias correspondientes al nivel B1 según los estánda</v>
      </c>
      <c r="AA203" s="89" t="str">
        <f t="shared" si="24"/>
        <v>a</v>
      </c>
      <c r="AB203" t="str">
        <f t="shared" si="25"/>
        <v xml:space="preserve"> Comunicación Bilingüe</v>
      </c>
      <c r="AC203" t="str">
        <f>AB203</f>
        <v xml:space="preserve"> Comunicación Bilingüe</v>
      </c>
    </row>
    <row r="204" spans="1:31" ht="15.75" customHeight="1">
      <c r="A204" s="359" t="s">
        <v>1014</v>
      </c>
      <c r="B204" s="200" t="s">
        <v>1015</v>
      </c>
      <c r="X204" s="183" t="str">
        <f>+'3.Plan de Estudios'!$E$63</f>
        <v>ENGLISH V</v>
      </c>
      <c r="Y204" t="str">
        <f>IF('3.Plan de Estudios'!AC63="","",'3.Plan de Estudios'!AC63)</f>
        <v/>
      </c>
      <c r="Z204" t="str">
        <f t="shared" si="23"/>
        <v>ENGLISH V-</v>
      </c>
      <c r="AA204" s="89" t="str">
        <f t="shared" si="24"/>
        <v/>
      </c>
      <c r="AB204" t="str">
        <f t="shared" si="25"/>
        <v/>
      </c>
      <c r="AC204" t="str">
        <f>IF(AB204="","",CONCATENATE(",",AB204))</f>
        <v/>
      </c>
    </row>
    <row r="205" spans="1:31" ht="15.75" customHeight="1">
      <c r="X205" s="183" t="str">
        <f>+'3.Plan de Estudios'!$E$63</f>
        <v>ENGLISH V</v>
      </c>
      <c r="Y205" t="str">
        <f>IF('3.Plan de Estudios'!AE63="","",'3.Plan de Estudios'!AE63)</f>
        <v/>
      </c>
      <c r="Z205" t="str">
        <f t="shared" si="23"/>
        <v>ENGLISH V-</v>
      </c>
      <c r="AA205" s="89" t="str">
        <f t="shared" si="24"/>
        <v/>
      </c>
      <c r="AB205" t="str">
        <f t="shared" si="25"/>
        <v/>
      </c>
      <c r="AC205" t="str">
        <f>IF(AB205="","",CONCATENATE(",",AB205))</f>
        <v/>
      </c>
    </row>
    <row r="206" spans="1:31" ht="15.75" customHeight="1">
      <c r="X206" s="183" t="str">
        <f>+'3.Plan de Estudios'!$E$63</f>
        <v>ENGLISH V</v>
      </c>
      <c r="Y206" t="str">
        <f>IF('3.Plan de Estudios'!AG63="","",'3.Plan de Estudios'!AG63)</f>
        <v/>
      </c>
      <c r="Z206" t="str">
        <f t="shared" si="23"/>
        <v>ENGLISH V-</v>
      </c>
      <c r="AA206" s="89" t="str">
        <f t="shared" si="24"/>
        <v/>
      </c>
      <c r="AB206" t="str">
        <f t="shared" si="25"/>
        <v/>
      </c>
      <c r="AC206" t="str">
        <f>IF(AB206="","",CONCATENATE(",",AB206))</f>
        <v/>
      </c>
    </row>
    <row r="207" spans="1:31" ht="15.75" customHeight="1">
      <c r="X207" s="183" t="str">
        <f>+'3.Plan de Estudios'!$E$63</f>
        <v>ENGLISH V</v>
      </c>
      <c r="Y207" t="str">
        <f>IF('3.Plan de Estudios'!AI63="","",'3.Plan de Estudios'!AI63)</f>
        <v/>
      </c>
      <c r="Z207" t="str">
        <f t="shared" si="23"/>
        <v>ENGLISH V-</v>
      </c>
      <c r="AA207" s="89" t="str">
        <f t="shared" si="24"/>
        <v/>
      </c>
      <c r="AB207" t="str">
        <f t="shared" si="25"/>
        <v/>
      </c>
      <c r="AC207" t="str">
        <f>IF(AB207="","",CONCATENATE(",",AB207))</f>
        <v/>
      </c>
    </row>
    <row r="208" spans="1:31" ht="15.75" customHeight="1">
      <c r="X208" s="223" t="str">
        <f>+'3.Plan de Estudios'!$E$64</f>
        <v>ESTRATEGIAS DE ENSEÑANZA APRENDIZAJE</v>
      </c>
      <c r="Y208" s="222" t="str">
        <f>IF('3.Plan de Estudios'!AA64="","",'3.Plan de Estudios'!AA64)</f>
        <v>CP3: Desarrollo enseñanza y aprendizaje:N2 Efectúa, de manera eficaz, el mejoramiento de la enseñanza docente para elevar la calidad educativa.</v>
      </c>
      <c r="Z208" t="str">
        <f t="shared" si="23"/>
        <v>ESTRATEGIAS DE ENSEÑANZA APRENDIZAJE-CP3: Desarrollo enseñanza y aprendizaje:N2 Efectúa, de manera eficaz, el mejoramiento de la enseñanz</v>
      </c>
      <c r="AA208" s="89" t="str">
        <f t="shared" si="24"/>
        <v>a</v>
      </c>
      <c r="AB208" t="str">
        <f t="shared" si="25"/>
        <v xml:space="preserve"> Desarrollo enseñanza y aprendizaje</v>
      </c>
      <c r="AC208" t="str">
        <f>AB208</f>
        <v xml:space="preserve"> Desarrollo enseñanza y aprendizaje</v>
      </c>
    </row>
    <row r="209" spans="1:29" ht="15.75" customHeight="1">
      <c r="X209" s="223" t="str">
        <f>+'3.Plan de Estudios'!$E$64</f>
        <v>ESTRATEGIAS DE ENSEÑANZA APRENDIZAJE</v>
      </c>
      <c r="Y209" s="222" t="str">
        <f>IF('3.Plan de Estudios'!AC64="","",'3.Plan de Estudios'!AC64)</f>
        <v/>
      </c>
      <c r="Z209" t="str">
        <f t="shared" si="23"/>
        <v>ESTRATEGIAS DE ENSEÑANZA APRENDIZAJE-</v>
      </c>
      <c r="AA209" s="89" t="str">
        <f t="shared" si="24"/>
        <v/>
      </c>
      <c r="AB209" t="str">
        <f t="shared" si="25"/>
        <v/>
      </c>
      <c r="AC209" t="str">
        <f>IF(AB209="","",CONCATENATE(",",AB209))</f>
        <v/>
      </c>
    </row>
    <row r="210" spans="1:29" ht="15.75" customHeight="1">
      <c r="A210" t="s">
        <v>256</v>
      </c>
      <c r="B210" t="s">
        <v>1016</v>
      </c>
      <c r="X210" s="223" t="str">
        <f>+'3.Plan de Estudios'!$E$64</f>
        <v>ESTRATEGIAS DE ENSEÑANZA APRENDIZAJE</v>
      </c>
      <c r="Y210" s="222" t="str">
        <f>IF('3.Plan de Estudios'!AE64="","",'3.Plan de Estudios'!AE64)</f>
        <v/>
      </c>
      <c r="Z210" t="str">
        <f t="shared" si="23"/>
        <v>ESTRATEGIAS DE ENSEÑANZA APRENDIZAJE-</v>
      </c>
      <c r="AA210" s="89" t="str">
        <f t="shared" si="24"/>
        <v/>
      </c>
      <c r="AB210" t="str">
        <f t="shared" si="25"/>
        <v/>
      </c>
      <c r="AC210" t="str">
        <f>IF(AB210="","",CONCATENATE(",",AB210))</f>
        <v/>
      </c>
    </row>
    <row r="211" spans="1:29" ht="15.75" customHeight="1">
      <c r="A211" t="s">
        <v>247</v>
      </c>
      <c r="B211" t="s">
        <v>1017</v>
      </c>
      <c r="X211" s="223" t="str">
        <f>+'3.Plan de Estudios'!$E$64</f>
        <v>ESTRATEGIAS DE ENSEÑANZA APRENDIZAJE</v>
      </c>
      <c r="Y211" s="222" t="str">
        <f>IF('3.Plan de Estudios'!AG64="","",'3.Plan de Estudios'!AG64)</f>
        <v/>
      </c>
      <c r="Z211" t="str">
        <f t="shared" si="23"/>
        <v>ESTRATEGIAS DE ENSEÑANZA APRENDIZAJE-</v>
      </c>
      <c r="AA211" s="89" t="str">
        <f t="shared" si="24"/>
        <v/>
      </c>
      <c r="AB211" t="str">
        <f t="shared" si="25"/>
        <v/>
      </c>
      <c r="AC211" t="str">
        <f>IF(AB211="","",CONCATENATE(",",AB211))</f>
        <v/>
      </c>
    </row>
    <row r="212" spans="1:29" ht="15.75" customHeight="1">
      <c r="A212" t="s">
        <v>241</v>
      </c>
      <c r="B212" t="s">
        <v>1018</v>
      </c>
      <c r="X212" s="223" t="str">
        <f>+'3.Plan de Estudios'!$E$64</f>
        <v>ESTRATEGIAS DE ENSEÑANZA APRENDIZAJE</v>
      </c>
      <c r="Y212" s="222" t="str">
        <f>IF('3.Plan de Estudios'!AI64="","",'3.Plan de Estudios'!AI64)</f>
        <v/>
      </c>
      <c r="Z212" t="str">
        <f t="shared" si="23"/>
        <v>ESTRATEGIAS DE ENSEÑANZA APRENDIZAJE-</v>
      </c>
      <c r="AA212" s="89" t="str">
        <f t="shared" si="24"/>
        <v/>
      </c>
      <c r="AB212" t="str">
        <f t="shared" si="25"/>
        <v/>
      </c>
      <c r="AC212" t="str">
        <f>IF(AB212="","",CONCATENATE(",",AB212))</f>
        <v/>
      </c>
    </row>
    <row r="213" spans="1:29" ht="15.75" customHeight="1">
      <c r="X213" s="183" t="str">
        <f>+'3.Plan de Estudios'!$E$65</f>
        <v>ÉTICA Y CIUDADANÍA</v>
      </c>
      <c r="Y213" t="str">
        <f>IF('3.Plan de Estudios'!AA65="","",'3.Plan de Estudios'!AA65)</f>
        <v>CG5: Desarrollo Humano:N3 Demuestra sensibilidad y disposición social en las interacciones de su vida académica, con asertividad y empatía, para afrontar de manera satisfactoria las exigencias sociales y profesionales.</v>
      </c>
      <c r="Z213" t="str">
        <f t="shared" si="23"/>
        <v>ÉTICA Y CIUDADANÍA-CG5: Desarrollo Humano:N3 Demuestra sensibilidad y disposición social en las interacciones de su vid</v>
      </c>
      <c r="AA213" s="89" t="str">
        <f t="shared" si="24"/>
        <v>a</v>
      </c>
      <c r="AB213" t="str">
        <f t="shared" si="25"/>
        <v xml:space="preserve"> Desarrollo Humano</v>
      </c>
      <c r="AC213" t="str">
        <f>AB213</f>
        <v xml:space="preserve"> Desarrollo Humano</v>
      </c>
    </row>
    <row r="214" spans="1:29" ht="15.75" customHeight="1">
      <c r="X214" s="183" t="str">
        <f>+'3.Plan de Estudios'!$E$65</f>
        <v>ÉTICA Y CIUDADANÍA</v>
      </c>
      <c r="Y214" t="str">
        <f>IF('3.Plan de Estudios'!AC65="","",'3.Plan de Estudios'!AC65)</f>
        <v/>
      </c>
      <c r="Z214" t="str">
        <f t="shared" si="23"/>
        <v>ÉTICA Y CIUDADANÍA-</v>
      </c>
      <c r="AA214" s="89" t="str">
        <f t="shared" si="24"/>
        <v/>
      </c>
      <c r="AB214" t="str">
        <f t="shared" si="25"/>
        <v/>
      </c>
      <c r="AC214" t="str">
        <f>IF(AB214="","",CONCATENATE(",",AB214))</f>
        <v/>
      </c>
    </row>
    <row r="215" spans="1:29" ht="15.75" customHeight="1">
      <c r="B215" s="329"/>
      <c r="X215" s="183" t="str">
        <f>+'3.Plan de Estudios'!$E$65</f>
        <v>ÉTICA Y CIUDADANÍA</v>
      </c>
      <c r="Y215" t="str">
        <f>IF('3.Plan de Estudios'!AE65="","",'3.Plan de Estudios'!AE65)</f>
        <v/>
      </c>
      <c r="Z215" t="str">
        <f t="shared" si="23"/>
        <v>ÉTICA Y CIUDADANÍA-</v>
      </c>
      <c r="AA215" s="89" t="str">
        <f t="shared" si="24"/>
        <v/>
      </c>
      <c r="AB215" t="str">
        <f t="shared" si="25"/>
        <v/>
      </c>
      <c r="AC215" t="str">
        <f>IF(AB215="","",CONCATENATE(",",AB215))</f>
        <v/>
      </c>
    </row>
    <row r="216" spans="1:29" ht="15.75">
      <c r="X216" s="183" t="str">
        <f>+'3.Plan de Estudios'!$E$65</f>
        <v>ÉTICA Y CIUDADANÍA</v>
      </c>
      <c r="Y216" t="str">
        <f>IF('3.Plan de Estudios'!AG65="","",'3.Plan de Estudios'!AG65)</f>
        <v/>
      </c>
      <c r="Z216" t="str">
        <f t="shared" si="23"/>
        <v>ÉTICA Y CIUDADANÍA-</v>
      </c>
      <c r="AA216" s="89" t="str">
        <f t="shared" si="24"/>
        <v/>
      </c>
      <c r="AB216" t="str">
        <f t="shared" si="25"/>
        <v/>
      </c>
      <c r="AC216" t="str">
        <f>IF(AB216="","",CONCATENATE(",",AB216))</f>
        <v/>
      </c>
    </row>
    <row r="217" spans="1:29" ht="15.75">
      <c r="X217" s="183" t="str">
        <f>+'3.Plan de Estudios'!$E$65</f>
        <v>ÉTICA Y CIUDADANÍA</v>
      </c>
      <c r="Y217" t="str">
        <f>IF('3.Plan de Estudios'!AI65="","",'3.Plan de Estudios'!AI65)</f>
        <v/>
      </c>
      <c r="Z217" t="str">
        <f t="shared" si="23"/>
        <v>ÉTICA Y CIUDADANÍA-</v>
      </c>
      <c r="AA217" s="89" t="str">
        <f t="shared" si="24"/>
        <v/>
      </c>
      <c r="AB217" t="str">
        <f t="shared" si="25"/>
        <v/>
      </c>
      <c r="AC217" t="str">
        <f>IF(AB217="","",CONCATENATE(",",AB217))</f>
        <v/>
      </c>
    </row>
    <row r="218" spans="1:29" ht="15.75">
      <c r="X218" s="223" t="str">
        <f>+'3.Plan de Estudios'!$E$66</f>
        <v>FOUNDATIONS OF GENERAL LINGUISTICS</v>
      </c>
      <c r="Y218" s="222" t="str">
        <f>IF('3.Plan de Estudios'!AA66="","",'3.Plan de Estudios'!AA66)</f>
        <v xml:space="preserve">CP5: Comprensión y expresión del idioma inglés:N2 Comprende y desarrolla el pensamiento crítico de manera integral del idioma inglés como segunda lengua, perfeccionando ciertos aspectos fundamentales como el campo fonético y léxico. </v>
      </c>
      <c r="Z218" t="str">
        <f t="shared" si="23"/>
        <v>FOUNDATIONS OF GENERAL LINGUISTICS-CP5: Comprensión y expresión del idioma inglés:N2 Comprende y desarrolla el pensamiento crítico de m</v>
      </c>
      <c r="AA218" s="89" t="str">
        <f t="shared" si="24"/>
        <v>a</v>
      </c>
      <c r="AB218" t="str">
        <f t="shared" si="25"/>
        <v xml:space="preserve"> Comprensión y expresión del idioma inglés</v>
      </c>
      <c r="AC218" t="str">
        <f>AB218</f>
        <v xml:space="preserve"> Comprensión y expresión del idioma inglés</v>
      </c>
    </row>
    <row r="219" spans="1:29" ht="15.75">
      <c r="X219" s="223" t="str">
        <f>+'3.Plan de Estudios'!$E$66</f>
        <v>FOUNDATIONS OF GENERAL LINGUISTICS</v>
      </c>
      <c r="Y219" s="222" t="str">
        <f>IF('3.Plan de Estudios'!AC66="","",'3.Plan de Estudios'!AC66)</f>
        <v/>
      </c>
      <c r="Z219" t="str">
        <f t="shared" si="23"/>
        <v>FOUNDATIONS OF GENERAL LINGUISTICS-</v>
      </c>
      <c r="AA219" s="89" t="str">
        <f t="shared" si="24"/>
        <v/>
      </c>
      <c r="AB219" t="str">
        <f t="shared" si="25"/>
        <v/>
      </c>
      <c r="AC219" t="str">
        <f>IF(AB219="","",CONCATENATE(",",AB219))</f>
        <v/>
      </c>
    </row>
    <row r="220" spans="1:29" ht="15.75">
      <c r="X220" s="223" t="str">
        <f>+'3.Plan de Estudios'!$E$66</f>
        <v>FOUNDATIONS OF GENERAL LINGUISTICS</v>
      </c>
      <c r="Y220" s="222" t="str">
        <f>IF('3.Plan de Estudios'!AE66="","",'3.Plan de Estudios'!AE66)</f>
        <v/>
      </c>
      <c r="Z220" t="str">
        <f t="shared" si="23"/>
        <v>FOUNDATIONS OF GENERAL LINGUISTICS-</v>
      </c>
      <c r="AA220" s="89" t="str">
        <f t="shared" si="24"/>
        <v/>
      </c>
      <c r="AB220" t="str">
        <f t="shared" si="25"/>
        <v/>
      </c>
      <c r="AC220" t="str">
        <f>IF(AB220="","",CONCATENATE(",",AB220))</f>
        <v/>
      </c>
    </row>
    <row r="221" spans="1:29" ht="15.75">
      <c r="X221" s="223" t="str">
        <f>+'3.Plan de Estudios'!$E$66</f>
        <v>FOUNDATIONS OF GENERAL LINGUISTICS</v>
      </c>
      <c r="Y221" s="222" t="str">
        <f>IF('3.Plan de Estudios'!AG66="","",'3.Plan de Estudios'!AG66)</f>
        <v/>
      </c>
      <c r="Z221" t="str">
        <f t="shared" si="23"/>
        <v>FOUNDATIONS OF GENERAL LINGUISTICS-</v>
      </c>
      <c r="AA221" s="89" t="str">
        <f t="shared" si="24"/>
        <v/>
      </c>
      <c r="AB221" t="str">
        <f t="shared" si="25"/>
        <v/>
      </c>
      <c r="AC221" t="str">
        <f>IF(AB221="","",CONCATENATE(",",AB221))</f>
        <v/>
      </c>
    </row>
    <row r="222" spans="1:29" ht="15.75">
      <c r="X222" s="223" t="str">
        <f>+'3.Plan de Estudios'!$E$66</f>
        <v>FOUNDATIONS OF GENERAL LINGUISTICS</v>
      </c>
      <c r="Y222" s="222" t="str">
        <f>IF('3.Plan de Estudios'!AI66="","",'3.Plan de Estudios'!AI66)</f>
        <v/>
      </c>
      <c r="Z222" t="str">
        <f t="shared" si="23"/>
        <v>FOUNDATIONS OF GENERAL LINGUISTICS-</v>
      </c>
      <c r="AA222" s="89" t="str">
        <f t="shared" si="24"/>
        <v/>
      </c>
      <c r="AB222" t="str">
        <f t="shared" si="25"/>
        <v/>
      </c>
      <c r="AC222" t="str">
        <f>IF(AB222="","",CONCATENATE(",",AB222))</f>
        <v/>
      </c>
    </row>
    <row r="223" spans="1:29" ht="15.75">
      <c r="X223" s="183" t="str">
        <f>+'3.Plan de Estudios'!$E$67</f>
        <v>FUNDAMENTOS DE LAS FINANZAS</v>
      </c>
      <c r="Y223" t="str">
        <f>IF('3.Plan de Estudios'!AA67="","",'3.Plan de Estudios'!AA67)</f>
        <v>CG4: Gestión de Recursos:N2 Describe el mercado con el uso de herramientas de marketing y/o modelos económicos para definir objetivos empresariales.</v>
      </c>
      <c r="Z223" t="str">
        <f t="shared" si="23"/>
        <v xml:space="preserve">FUNDAMENTOS DE LAS FINANZAS-CG4: Gestión de Recursos:N2 Describe el mercado con el uso de herramientas de marketing y/o modelos </v>
      </c>
      <c r="AA223" s="89" t="str">
        <f t="shared" si="24"/>
        <v>a</v>
      </c>
      <c r="AB223" t="str">
        <f t="shared" si="25"/>
        <v xml:space="preserve"> Gestión de Recursos</v>
      </c>
      <c r="AC223" t="str">
        <f>AB223</f>
        <v xml:space="preserve"> Gestión de Recursos</v>
      </c>
    </row>
    <row r="224" spans="1:29" ht="15.75">
      <c r="X224" s="183" t="str">
        <f>+'3.Plan de Estudios'!$E$67</f>
        <v>FUNDAMENTOS DE LAS FINANZAS</v>
      </c>
      <c r="Y224" t="str">
        <f>IF('3.Plan de Estudios'!AC67="","",'3.Plan de Estudios'!AC67)</f>
        <v/>
      </c>
      <c r="Z224" t="str">
        <f t="shared" si="23"/>
        <v>FUNDAMENTOS DE LAS FINANZAS-</v>
      </c>
      <c r="AA224" s="89" t="str">
        <f t="shared" si="24"/>
        <v/>
      </c>
      <c r="AB224" t="str">
        <f t="shared" si="25"/>
        <v/>
      </c>
      <c r="AC224" t="str">
        <f>IF(AB224="","",CONCATENATE(",",AB224))</f>
        <v/>
      </c>
    </row>
    <row r="225" spans="24:29" ht="15.75">
      <c r="X225" s="183" t="str">
        <f>+'3.Plan de Estudios'!$E$67</f>
        <v>FUNDAMENTOS DE LAS FINANZAS</v>
      </c>
      <c r="Y225" t="str">
        <f>IF('3.Plan de Estudios'!AE67="","",'3.Plan de Estudios'!AE67)</f>
        <v/>
      </c>
      <c r="Z225" t="str">
        <f t="shared" si="23"/>
        <v>FUNDAMENTOS DE LAS FINANZAS-</v>
      </c>
      <c r="AA225" s="89" t="str">
        <f t="shared" si="24"/>
        <v/>
      </c>
      <c r="AB225" t="str">
        <f t="shared" si="25"/>
        <v/>
      </c>
      <c r="AC225" t="str">
        <f>IF(AB225="","",CONCATENATE(",",AB225))</f>
        <v/>
      </c>
    </row>
    <row r="226" spans="24:29" ht="15.75">
      <c r="X226" s="183" t="str">
        <f>+'3.Plan de Estudios'!$E$67</f>
        <v>FUNDAMENTOS DE LAS FINANZAS</v>
      </c>
      <c r="Y226" t="str">
        <f>IF('3.Plan de Estudios'!AG67="","",'3.Plan de Estudios'!AG67)</f>
        <v/>
      </c>
      <c r="Z226" t="str">
        <f t="shared" si="23"/>
        <v>FUNDAMENTOS DE LAS FINANZAS-</v>
      </c>
      <c r="AA226" s="89" t="str">
        <f t="shared" si="24"/>
        <v/>
      </c>
      <c r="AB226" t="str">
        <f t="shared" si="25"/>
        <v/>
      </c>
      <c r="AC226" t="str">
        <f>IF(AB226="","",CONCATENATE(",",AB226))</f>
        <v/>
      </c>
    </row>
    <row r="227" spans="24:29" ht="15.75">
      <c r="X227" s="183" t="str">
        <f>+'3.Plan de Estudios'!$E$67</f>
        <v>FUNDAMENTOS DE LAS FINANZAS</v>
      </c>
      <c r="Y227" t="str">
        <f>IF('3.Plan de Estudios'!AI67="","",'3.Plan de Estudios'!AI67)</f>
        <v/>
      </c>
      <c r="Z227" t="str">
        <f t="shared" si="23"/>
        <v>FUNDAMENTOS DE LAS FINANZAS-</v>
      </c>
      <c r="AA227" s="89" t="str">
        <f t="shared" si="24"/>
        <v/>
      </c>
      <c r="AB227" t="str">
        <f t="shared" si="25"/>
        <v/>
      </c>
      <c r="AC227" t="str">
        <f>IF(AB227="","",CONCATENATE(",",AB227))</f>
        <v/>
      </c>
    </row>
    <row r="228" spans="24:29" ht="15.75">
      <c r="X228" s="223" t="str">
        <f>+'3.Plan de Estudios'!$E$68</f>
        <v>PSICOLOGÍA EVOLUTIVA PARA EDUCACIÓN</v>
      </c>
      <c r="Y228" s="222" t="str">
        <f>IF('3.Plan de Estudios'!AA68="","",'3.Plan de Estudios'!AA68)</f>
        <v>CP1: Orientación educativa:N2 Concibe la observación educativa a nivel de la teoría, historia y psicología  para establecer las orientaciones básicas que permitan el desarrollo evolutivo.</v>
      </c>
      <c r="Z228" t="str">
        <f t="shared" si="23"/>
        <v>PSICOLOGÍA EVOLUTIVA PARA EDUCACIÓN-CP1: Orientación educativa:N2 Concibe la observación educativa a nivel de la teoría, historia y psic</v>
      </c>
      <c r="AA228" s="89" t="str">
        <f t="shared" si="24"/>
        <v>a</v>
      </c>
      <c r="AB228" t="str">
        <f t="shared" si="25"/>
        <v xml:space="preserve"> Orientación educativa</v>
      </c>
      <c r="AC228" t="str">
        <f>AB228</f>
        <v xml:space="preserve"> Orientación educativa</v>
      </c>
    </row>
    <row r="229" spans="24:29" ht="15.75">
      <c r="X229" s="223" t="str">
        <f>+'3.Plan de Estudios'!$E$68</f>
        <v>PSICOLOGÍA EVOLUTIVA PARA EDUCACIÓN</v>
      </c>
      <c r="Y229" s="222" t="str">
        <f>IF('3.Plan de Estudios'!AC68="","",'3.Plan de Estudios'!AC68)</f>
        <v>CG5: Desarrollo Humano:N2 Relaciona sus características personales, valores y capacidades a través del análisis de casos para interactuar de forma propositiva con su entorno social.</v>
      </c>
      <c r="Z229" t="str">
        <f t="shared" si="23"/>
        <v>PSICOLOGÍA EVOLUTIVA PARA EDUCACIÓN-CG5: Desarrollo Humano:N2 Relaciona sus características personales, valores y capacidades a través d</v>
      </c>
      <c r="AA229" s="89" t="str">
        <f t="shared" si="24"/>
        <v>a</v>
      </c>
      <c r="AB229" t="str">
        <f t="shared" si="25"/>
        <v xml:space="preserve"> Desarrollo Humano</v>
      </c>
      <c r="AC229" t="str">
        <f>IF(AB229="","",CONCATENATE(",",AB229))</f>
        <v>, Desarrollo Humano</v>
      </c>
    </row>
    <row r="230" spans="24:29" ht="15.75">
      <c r="X230" s="223" t="str">
        <f>+'3.Plan de Estudios'!$E$68</f>
        <v>PSICOLOGÍA EVOLUTIVA PARA EDUCACIÓN</v>
      </c>
      <c r="Y230" s="222" t="str">
        <f>IF('3.Plan de Estudios'!AE68="","",'3.Plan de Estudios'!AE68)</f>
        <v/>
      </c>
      <c r="Z230" t="str">
        <f t="shared" si="23"/>
        <v>PSICOLOGÍA EVOLUTIVA PARA EDUCACIÓN-</v>
      </c>
      <c r="AA230" s="89" t="str">
        <f t="shared" si="24"/>
        <v/>
      </c>
      <c r="AB230" t="str">
        <f t="shared" si="25"/>
        <v/>
      </c>
      <c r="AC230" t="str">
        <f>IF(AB230="","",CONCATENATE(",",AB230))</f>
        <v/>
      </c>
    </row>
    <row r="231" spans="24:29" ht="15.75">
      <c r="X231" s="223" t="str">
        <f>+'3.Plan de Estudios'!$E$68</f>
        <v>PSICOLOGÍA EVOLUTIVA PARA EDUCACIÓN</v>
      </c>
      <c r="Y231" s="222" t="str">
        <f>IF('3.Plan de Estudios'!AG68="","",'3.Plan de Estudios'!AG68)</f>
        <v/>
      </c>
      <c r="Z231" t="str">
        <f t="shared" si="23"/>
        <v>PSICOLOGÍA EVOLUTIVA PARA EDUCACIÓN-</v>
      </c>
      <c r="AA231" s="89" t="str">
        <f t="shared" si="24"/>
        <v/>
      </c>
      <c r="AB231" t="str">
        <f t="shared" si="25"/>
        <v/>
      </c>
      <c r="AC231" t="str">
        <f>IF(AB231="","",CONCATENATE(",",AB231))</f>
        <v/>
      </c>
    </row>
    <row r="232" spans="24:29" ht="15.75">
      <c r="X232" s="223" t="str">
        <f>+'3.Plan de Estudios'!$E$68</f>
        <v>PSICOLOGÍA EVOLUTIVA PARA EDUCACIÓN</v>
      </c>
      <c r="Y232" s="222" t="str">
        <f>IF('3.Plan de Estudios'!AI68="","",'3.Plan de Estudios'!AI68)</f>
        <v/>
      </c>
      <c r="Z232" t="str">
        <f t="shared" si="23"/>
        <v>PSICOLOGÍA EVOLUTIVA PARA EDUCACIÓN-</v>
      </c>
      <c r="AA232" s="89" t="str">
        <f t="shared" si="24"/>
        <v/>
      </c>
      <c r="AB232" t="str">
        <f t="shared" si="25"/>
        <v/>
      </c>
      <c r="AC232" t="str">
        <f>IF(AB232="","",CONCATENATE(",",AB232))</f>
        <v/>
      </c>
    </row>
    <row r="233" spans="24:29" ht="15.75">
      <c r="X233" s="183">
        <f>+'3.Plan de Estudios'!$E$69</f>
        <v>0</v>
      </c>
      <c r="Y233" t="str">
        <f>IF('3.Plan de Estudios'!AA69="","",'3.Plan de Estudios'!AA69)</f>
        <v/>
      </c>
      <c r="Z233" t="str">
        <f t="shared" si="23"/>
        <v>0-</v>
      </c>
      <c r="AA233" s="89" t="str">
        <f t="shared" si="24"/>
        <v/>
      </c>
      <c r="AB233" t="str">
        <f t="shared" si="25"/>
        <v/>
      </c>
      <c r="AC233" t="str">
        <f>AB233</f>
        <v/>
      </c>
    </row>
    <row r="234" spans="24:29" ht="15.75">
      <c r="X234" s="183">
        <f>+'3.Plan de Estudios'!$E$69</f>
        <v>0</v>
      </c>
      <c r="Y234" t="str">
        <f>IF('3.Plan de Estudios'!AC69="","",'3.Plan de Estudios'!AC69)</f>
        <v/>
      </c>
      <c r="Z234" t="str">
        <f t="shared" si="23"/>
        <v>0-</v>
      </c>
      <c r="AA234" s="89" t="str">
        <f t="shared" si="24"/>
        <v/>
      </c>
      <c r="AB234" t="str">
        <f t="shared" si="25"/>
        <v/>
      </c>
      <c r="AC234" t="str">
        <f>IF(AB234="","",CONCATENATE(",",AB234))</f>
        <v/>
      </c>
    </row>
    <row r="235" spans="24:29" ht="15.75">
      <c r="X235" s="183">
        <f>+'3.Plan de Estudios'!$E$69</f>
        <v>0</v>
      </c>
      <c r="Y235" t="str">
        <f>IF('3.Plan de Estudios'!AE69="","",'3.Plan de Estudios'!AE69)</f>
        <v/>
      </c>
      <c r="Z235" t="str">
        <f t="shared" si="23"/>
        <v>0-</v>
      </c>
      <c r="AA235" s="89" t="str">
        <f t="shared" si="24"/>
        <v/>
      </c>
      <c r="AB235" t="str">
        <f t="shared" si="25"/>
        <v/>
      </c>
      <c r="AC235" t="str">
        <f>IF(AB235="","",CONCATENATE(",",AB235))</f>
        <v/>
      </c>
    </row>
    <row r="236" spans="24:29" ht="15.75">
      <c r="X236" s="183">
        <f>+'3.Plan de Estudios'!$E$69</f>
        <v>0</v>
      </c>
      <c r="Y236" t="str">
        <f>IF('3.Plan de Estudios'!AG69="","",'3.Plan de Estudios'!AG69)</f>
        <v/>
      </c>
      <c r="Z236" t="str">
        <f t="shared" si="23"/>
        <v>0-</v>
      </c>
      <c r="AA236" s="89" t="str">
        <f t="shared" si="24"/>
        <v/>
      </c>
      <c r="AB236" t="str">
        <f t="shared" si="25"/>
        <v/>
      </c>
      <c r="AC236" t="str">
        <f>IF(AB236="","",CONCATENATE(",",AB236))</f>
        <v/>
      </c>
    </row>
    <row r="237" spans="24:29" ht="15.75">
      <c r="X237" s="183">
        <f>+'3.Plan de Estudios'!$E$69</f>
        <v>0</v>
      </c>
      <c r="Y237" t="str">
        <f>IF('3.Plan de Estudios'!AI69="","",'3.Plan de Estudios'!AI69)</f>
        <v/>
      </c>
      <c r="Z237" t="str">
        <f t="shared" si="23"/>
        <v>0-</v>
      </c>
      <c r="AA237" s="89" t="str">
        <f t="shared" si="24"/>
        <v/>
      </c>
      <c r="AB237" t="str">
        <f t="shared" si="25"/>
        <v/>
      </c>
      <c r="AC237" t="str">
        <f>IF(AB237="","",CONCATENATE(",",AB237))</f>
        <v/>
      </c>
    </row>
    <row r="238" spans="24:29" ht="15.75">
      <c r="X238" s="223">
        <f>+'3.Plan de Estudios'!$E$70</f>
        <v>0</v>
      </c>
      <c r="Y238" s="222" t="str">
        <f>IF('3.Plan de Estudios'!AA70="","",'3.Plan de Estudios'!AA70)</f>
        <v/>
      </c>
      <c r="Z238" t="str">
        <f t="shared" si="23"/>
        <v>0-</v>
      </c>
      <c r="AA238" s="89" t="str">
        <f t="shared" si="24"/>
        <v/>
      </c>
      <c r="AB238" t="str">
        <f t="shared" si="25"/>
        <v/>
      </c>
      <c r="AC238" t="str">
        <f>AB238</f>
        <v/>
      </c>
    </row>
    <row r="239" spans="24:29" ht="15.75">
      <c r="X239" s="223">
        <f>+'3.Plan de Estudios'!$E$70</f>
        <v>0</v>
      </c>
      <c r="Y239" s="222" t="str">
        <f>IF('3.Plan de Estudios'!AC70="","",'3.Plan de Estudios'!AC70)</f>
        <v/>
      </c>
      <c r="Z239" t="str">
        <f t="shared" si="23"/>
        <v>0-</v>
      </c>
      <c r="AA239" s="89" t="str">
        <f t="shared" si="24"/>
        <v/>
      </c>
      <c r="AB239" t="str">
        <f t="shared" si="25"/>
        <v/>
      </c>
      <c r="AC239" t="str">
        <f>IF(AB239="","",CONCATENATE(",",AB239))</f>
        <v/>
      </c>
    </row>
    <row r="240" spans="24:29" ht="15.75">
      <c r="X240" s="223">
        <f>+'3.Plan de Estudios'!$E$70</f>
        <v>0</v>
      </c>
      <c r="Y240" s="222" t="str">
        <f>IF('3.Plan de Estudios'!AE70="","",'3.Plan de Estudios'!AE70)</f>
        <v/>
      </c>
      <c r="Z240" t="str">
        <f t="shared" si="23"/>
        <v>0-</v>
      </c>
      <c r="AA240" s="89" t="str">
        <f t="shared" si="24"/>
        <v/>
      </c>
      <c r="AB240" t="str">
        <f t="shared" si="25"/>
        <v/>
      </c>
      <c r="AC240" t="str">
        <f>IF(AB240="","",CONCATENATE(",",AB240))</f>
        <v/>
      </c>
    </row>
    <row r="241" spans="24:29" ht="15.75">
      <c r="X241" s="223">
        <f>+'3.Plan de Estudios'!$E$70</f>
        <v>0</v>
      </c>
      <c r="Y241" s="222" t="str">
        <f>IF('3.Plan de Estudios'!AG70="","",'3.Plan de Estudios'!AG70)</f>
        <v/>
      </c>
      <c r="Z241" t="str">
        <f t="shared" si="23"/>
        <v>0-</v>
      </c>
      <c r="AA241" s="89" t="str">
        <f t="shared" si="24"/>
        <v/>
      </c>
      <c r="AB241" t="str">
        <f t="shared" si="25"/>
        <v/>
      </c>
      <c r="AC241" t="str">
        <f>IF(AB241="","",CONCATENATE(",",AB241))</f>
        <v/>
      </c>
    </row>
    <row r="242" spans="24:29" ht="15.75">
      <c r="X242" s="223">
        <f>+'3.Plan de Estudios'!$E$70</f>
        <v>0</v>
      </c>
      <c r="Y242" s="222" t="str">
        <f>IF('3.Plan de Estudios'!AI70="","",'3.Plan de Estudios'!AI70)</f>
        <v/>
      </c>
      <c r="Z242" t="str">
        <f t="shared" ref="Z242:Z305" si="26">CONCATENATE(X242,"-",MID(Y242,1,100))</f>
        <v>0-</v>
      </c>
      <c r="AA242" s="89" t="str">
        <f t="shared" ref="AA242:AA305" si="27">+IF(Y242="","","a")</f>
        <v/>
      </c>
      <c r="AB242" t="str">
        <f t="shared" ref="AB242:AB305" si="28">IFERROR(MID(Y242,FIND(":",Y242)+1,FIND(":",Y242,FIND(":",Y242)+1)-FIND(":",Y242)-1),"")</f>
        <v/>
      </c>
      <c r="AC242" t="str">
        <f>IF(AB242="","",CONCATENATE(",",AB242))</f>
        <v/>
      </c>
    </row>
    <row r="243" spans="24:29" ht="15.75">
      <c r="X243" s="183">
        <f>+'3.Plan de Estudios'!$E$71</f>
        <v>0</v>
      </c>
      <c r="Y243" t="str">
        <f>IF('3.Plan de Estudios'!AA71="","",'3.Plan de Estudios'!AA71)</f>
        <v/>
      </c>
      <c r="Z243" t="str">
        <f t="shared" si="26"/>
        <v>0-</v>
      </c>
      <c r="AA243" s="89" t="str">
        <f t="shared" si="27"/>
        <v/>
      </c>
      <c r="AB243" t="str">
        <f t="shared" si="28"/>
        <v/>
      </c>
      <c r="AC243" t="str">
        <f>AB243</f>
        <v/>
      </c>
    </row>
    <row r="244" spans="24:29" ht="15.75">
      <c r="X244" s="183">
        <f>+'3.Plan de Estudios'!$E$71</f>
        <v>0</v>
      </c>
      <c r="Y244" t="str">
        <f>IF('3.Plan de Estudios'!AC71="","",'3.Plan de Estudios'!AC71)</f>
        <v/>
      </c>
      <c r="Z244" t="str">
        <f t="shared" si="26"/>
        <v>0-</v>
      </c>
      <c r="AA244" s="89" t="str">
        <f t="shared" si="27"/>
        <v/>
      </c>
      <c r="AB244" t="str">
        <f t="shared" si="28"/>
        <v/>
      </c>
      <c r="AC244" t="str">
        <f>IF(AB244="","",CONCATENATE(",",AB244))</f>
        <v/>
      </c>
    </row>
    <row r="245" spans="24:29" ht="15.75">
      <c r="X245" s="183">
        <f>+'3.Plan de Estudios'!$E$71</f>
        <v>0</v>
      </c>
      <c r="Y245" t="str">
        <f>IF('3.Plan de Estudios'!AE71="","",'3.Plan de Estudios'!AE71)</f>
        <v/>
      </c>
      <c r="Z245" t="str">
        <f t="shared" si="26"/>
        <v>0-</v>
      </c>
      <c r="AA245" s="89" t="str">
        <f t="shared" si="27"/>
        <v/>
      </c>
      <c r="AB245" t="str">
        <f t="shared" si="28"/>
        <v/>
      </c>
      <c r="AC245" t="str">
        <f>IF(AB245="","",CONCATENATE(",",AB245))</f>
        <v/>
      </c>
    </row>
    <row r="246" spans="24:29" ht="15.75">
      <c r="X246" s="183">
        <f>+'3.Plan de Estudios'!$E$71</f>
        <v>0</v>
      </c>
      <c r="Y246" t="str">
        <f>IF('3.Plan de Estudios'!AG71="","",'3.Plan de Estudios'!AG71)</f>
        <v/>
      </c>
      <c r="Z246" t="str">
        <f t="shared" si="26"/>
        <v>0-</v>
      </c>
      <c r="AA246" s="89" t="str">
        <f t="shared" si="27"/>
        <v/>
      </c>
      <c r="AB246" t="str">
        <f t="shared" si="28"/>
        <v/>
      </c>
      <c r="AC246" t="str">
        <f>IF(AB246="","",CONCATENATE(",",AB246))</f>
        <v/>
      </c>
    </row>
    <row r="247" spans="24:29" ht="15.75">
      <c r="X247" s="183">
        <f>+'3.Plan de Estudios'!$E$71</f>
        <v>0</v>
      </c>
      <c r="Y247" t="str">
        <f>IF('3.Plan de Estudios'!AI71="","",'3.Plan de Estudios'!AI71)</f>
        <v/>
      </c>
      <c r="Z247" t="str">
        <f t="shared" si="26"/>
        <v>0-</v>
      </c>
      <c r="AA247" s="89" t="str">
        <f t="shared" si="27"/>
        <v/>
      </c>
      <c r="AB247" t="str">
        <f t="shared" si="28"/>
        <v/>
      </c>
      <c r="AC247" t="str">
        <f>IF(AB247="","",CONCATENATE(",",AB247))</f>
        <v/>
      </c>
    </row>
    <row r="248" spans="24:29" ht="15.75">
      <c r="X248" s="223">
        <f>+'3.Plan de Estudios'!$E$72</f>
        <v>0</v>
      </c>
      <c r="Y248" s="222" t="str">
        <f>IF('3.Plan de Estudios'!AA72="","",'3.Plan de Estudios'!AA72)</f>
        <v/>
      </c>
      <c r="Z248" t="str">
        <f t="shared" si="26"/>
        <v>0-</v>
      </c>
      <c r="AA248" s="89" t="str">
        <f t="shared" si="27"/>
        <v/>
      </c>
      <c r="AB248" t="str">
        <f t="shared" si="28"/>
        <v/>
      </c>
      <c r="AC248" t="str">
        <f>AB248</f>
        <v/>
      </c>
    </row>
    <row r="249" spans="24:29" ht="15.75">
      <c r="X249" s="223">
        <f>+'3.Plan de Estudios'!$E$72</f>
        <v>0</v>
      </c>
      <c r="Y249" s="222" t="str">
        <f>IF('3.Plan de Estudios'!AC72="","",'3.Plan de Estudios'!AC72)</f>
        <v/>
      </c>
      <c r="Z249" t="str">
        <f t="shared" si="26"/>
        <v>0-</v>
      </c>
      <c r="AA249" s="89" t="str">
        <f t="shared" si="27"/>
        <v/>
      </c>
      <c r="AB249" t="str">
        <f t="shared" si="28"/>
        <v/>
      </c>
      <c r="AC249" t="str">
        <f>IF(AB249="","",CONCATENATE(",",AB249))</f>
        <v/>
      </c>
    </row>
    <row r="250" spans="24:29" ht="15.75">
      <c r="X250" s="223">
        <f>+'3.Plan de Estudios'!$E$72</f>
        <v>0</v>
      </c>
      <c r="Y250" s="222" t="str">
        <f>IF('3.Plan de Estudios'!AE72="","",'3.Plan de Estudios'!AE72)</f>
        <v/>
      </c>
      <c r="Z250" t="str">
        <f t="shared" si="26"/>
        <v>0-</v>
      </c>
      <c r="AA250" s="89" t="str">
        <f t="shared" si="27"/>
        <v/>
      </c>
      <c r="AB250" t="str">
        <f t="shared" si="28"/>
        <v/>
      </c>
      <c r="AC250" t="str">
        <f>IF(AB250="","",CONCATENATE(",",AB250))</f>
        <v/>
      </c>
    </row>
    <row r="251" spans="24:29" ht="15.75">
      <c r="X251" s="223">
        <f>+'3.Plan de Estudios'!$E$72</f>
        <v>0</v>
      </c>
      <c r="Y251" s="222" t="str">
        <f>IF('3.Plan de Estudios'!AG72="","",'3.Plan de Estudios'!AG72)</f>
        <v/>
      </c>
      <c r="Z251" t="str">
        <f t="shared" si="26"/>
        <v>0-</v>
      </c>
      <c r="AA251" s="89" t="str">
        <f t="shared" si="27"/>
        <v/>
      </c>
      <c r="AB251" t="str">
        <f t="shared" si="28"/>
        <v/>
      </c>
      <c r="AC251" t="str">
        <f>IF(AB251="","",CONCATENATE(",",AB251))</f>
        <v/>
      </c>
    </row>
    <row r="252" spans="24:29" ht="15.75">
      <c r="X252" s="224">
        <f>+'3.Plan de Estudios'!$E$72</f>
        <v>0</v>
      </c>
      <c r="Y252" s="225" t="str">
        <f>IF('3.Plan de Estudios'!AI72="","",'3.Plan de Estudios'!AI72)</f>
        <v/>
      </c>
      <c r="Z252" t="str">
        <f t="shared" si="26"/>
        <v>0-</v>
      </c>
      <c r="AA252" s="89" t="str">
        <f t="shared" si="27"/>
        <v/>
      </c>
      <c r="AB252" t="str">
        <f t="shared" si="28"/>
        <v/>
      </c>
      <c r="AC252" t="str">
        <f>IF(AB252="","",CONCATENATE(",",AB252))</f>
        <v/>
      </c>
    </row>
    <row r="253" spans="24:29" ht="15.75">
      <c r="X253" s="183" t="str">
        <f>+'3.Plan de Estudios'!$E$74</f>
        <v>ENGLISH LANGUAGE PHONETICS</v>
      </c>
      <c r="Y253" t="str">
        <f>IF('3.Plan de Estudios'!AA74="","",'3.Plan de Estudios'!AA74)</f>
        <v xml:space="preserve">CP5: Comprensión y expresión del idioma inglés:N2 Comprende y desarrolla el pensamiento crítico de manera integral del idioma inglés como segunda lengua, perfeccionando ciertos aspectos fundamentales como el campo fonético y léxico. </v>
      </c>
      <c r="Z253" t="str">
        <f t="shared" si="26"/>
        <v>ENGLISH LANGUAGE PHONETICS-CP5: Comprensión y expresión del idioma inglés:N2 Comprende y desarrolla el pensamiento crítico de m</v>
      </c>
      <c r="AA253" s="89" t="str">
        <f t="shared" si="27"/>
        <v>a</v>
      </c>
      <c r="AB253" t="str">
        <f t="shared" si="28"/>
        <v xml:space="preserve"> Comprensión y expresión del idioma inglés</v>
      </c>
      <c r="AC253" t="str">
        <f>AB253</f>
        <v xml:space="preserve"> Comprensión y expresión del idioma inglés</v>
      </c>
    </row>
    <row r="254" spans="24:29" ht="15.75">
      <c r="X254" s="183" t="str">
        <f>+'3.Plan de Estudios'!$E$74</f>
        <v>ENGLISH LANGUAGE PHONETICS</v>
      </c>
      <c r="Y254" t="str">
        <f>IF('3.Plan de Estudios'!AC74="","",'3.Plan de Estudios'!AC74)</f>
        <v/>
      </c>
      <c r="Z254" t="str">
        <f t="shared" si="26"/>
        <v>ENGLISH LANGUAGE PHONETICS-</v>
      </c>
      <c r="AA254" s="89" t="str">
        <f t="shared" si="27"/>
        <v/>
      </c>
      <c r="AB254" t="str">
        <f t="shared" si="28"/>
        <v/>
      </c>
      <c r="AC254" t="str">
        <f>IF(AB254="","",CONCATENATE(",",AB254))</f>
        <v/>
      </c>
    </row>
    <row r="255" spans="24:29" ht="15.75">
      <c r="X255" s="183" t="str">
        <f>+'3.Plan de Estudios'!$E$74</f>
        <v>ENGLISH LANGUAGE PHONETICS</v>
      </c>
      <c r="Y255" t="str">
        <f>IF('3.Plan de Estudios'!AE74="","",'3.Plan de Estudios'!AE74)</f>
        <v/>
      </c>
      <c r="Z255" t="str">
        <f t="shared" si="26"/>
        <v>ENGLISH LANGUAGE PHONETICS-</v>
      </c>
      <c r="AA255" s="89" t="str">
        <f t="shared" si="27"/>
        <v/>
      </c>
      <c r="AB255" t="str">
        <f t="shared" si="28"/>
        <v/>
      </c>
      <c r="AC255" t="str">
        <f>IF(AB255="","",CONCATENATE(",",AB255))</f>
        <v/>
      </c>
    </row>
    <row r="256" spans="24:29" ht="15.75">
      <c r="X256" s="183" t="str">
        <f>+'3.Plan de Estudios'!$E$74</f>
        <v>ENGLISH LANGUAGE PHONETICS</v>
      </c>
      <c r="Y256" t="str">
        <f>IF('3.Plan de Estudios'!AG74="","",'3.Plan de Estudios'!AG74)</f>
        <v/>
      </c>
      <c r="Z256" t="str">
        <f t="shared" si="26"/>
        <v>ENGLISH LANGUAGE PHONETICS-</v>
      </c>
      <c r="AA256" s="89" t="str">
        <f t="shared" si="27"/>
        <v/>
      </c>
      <c r="AB256" t="str">
        <f t="shared" si="28"/>
        <v/>
      </c>
      <c r="AC256" t="str">
        <f>IF(AB256="","",CONCATENATE(",",AB256))</f>
        <v/>
      </c>
    </row>
    <row r="257" spans="24:29" ht="15.75">
      <c r="X257" s="183" t="str">
        <f>+'3.Plan de Estudios'!$E$74</f>
        <v>ENGLISH LANGUAGE PHONETICS</v>
      </c>
      <c r="Y257" t="str">
        <f>IF('3.Plan de Estudios'!AI74="","",'3.Plan de Estudios'!AI74)</f>
        <v/>
      </c>
      <c r="Z257" t="str">
        <f t="shared" si="26"/>
        <v>ENGLISH LANGUAGE PHONETICS-</v>
      </c>
      <c r="AA257" s="89" t="str">
        <f t="shared" si="27"/>
        <v/>
      </c>
      <c r="AB257" t="str">
        <f t="shared" si="28"/>
        <v/>
      </c>
      <c r="AC257" t="str">
        <f>IF(AB257="","",CONCATENATE(",",AB257))</f>
        <v/>
      </c>
    </row>
    <row r="258" spans="24:29" ht="15.75">
      <c r="X258" s="223" t="str">
        <f>+'3.Plan de Estudios'!$E$75</f>
        <v>ENGLISH VI: RREL</v>
      </c>
      <c r="Y258" s="222" t="str">
        <f>IF('3.Plan de Estudios'!AA75="","",'3.Plan de Estudios'!AA75)</f>
        <v>CG2: Comunicación Bilingüe:N3 Se desenvuelve en inglés utilizando las cuatro habilidades lingüísticas -comprensión auditiva, comprensión lectora, producción oral y producción escrita- con destreza y fluidez para el desempeño personal, académico y profesional.</v>
      </c>
      <c r="Z258" t="str">
        <f t="shared" si="26"/>
        <v>ENGLISH VI: RREL-CG2: Comunicación Bilingüe:N3 Se desenvuelve en inglés utilizando las cuatro habilidades lingüística</v>
      </c>
      <c r="AA258" s="89" t="str">
        <f t="shared" si="27"/>
        <v>a</v>
      </c>
      <c r="AB258" t="str">
        <f t="shared" si="28"/>
        <v xml:space="preserve"> Comunicación Bilingüe</v>
      </c>
      <c r="AC258" t="str">
        <f>AB258</f>
        <v xml:space="preserve"> Comunicación Bilingüe</v>
      </c>
    </row>
    <row r="259" spans="24:29" ht="15.75">
      <c r="X259" s="223" t="str">
        <f>+'3.Plan de Estudios'!$E$75</f>
        <v>ENGLISH VI: RREL</v>
      </c>
      <c r="Y259" s="222" t="str">
        <f>IF('3.Plan de Estudios'!AC75="","",'3.Plan de Estudios'!AC75)</f>
        <v/>
      </c>
      <c r="Z259" t="str">
        <f t="shared" si="26"/>
        <v>ENGLISH VI: RREL-</v>
      </c>
      <c r="AA259" s="89" t="str">
        <f t="shared" si="27"/>
        <v/>
      </c>
      <c r="AB259" t="str">
        <f t="shared" si="28"/>
        <v/>
      </c>
      <c r="AC259" t="str">
        <f>IF(AB259="","",CONCATENATE(",",AB259))</f>
        <v/>
      </c>
    </row>
    <row r="260" spans="24:29" ht="15.75">
      <c r="X260" s="223" t="str">
        <f>+'3.Plan de Estudios'!$E$75</f>
        <v>ENGLISH VI: RREL</v>
      </c>
      <c r="Y260" s="222" t="str">
        <f>IF('3.Plan de Estudios'!AE75="","",'3.Plan de Estudios'!AE75)</f>
        <v/>
      </c>
      <c r="Z260" t="str">
        <f t="shared" si="26"/>
        <v>ENGLISH VI: RREL-</v>
      </c>
      <c r="AA260" s="89" t="str">
        <f t="shared" si="27"/>
        <v/>
      </c>
      <c r="AB260" t="str">
        <f t="shared" si="28"/>
        <v/>
      </c>
      <c r="AC260" t="str">
        <f>IF(AB260="","",CONCATENATE(",",AB260))</f>
        <v/>
      </c>
    </row>
    <row r="261" spans="24:29" ht="15.75">
      <c r="X261" s="223" t="str">
        <f>+'3.Plan de Estudios'!$E$75</f>
        <v>ENGLISH VI: RREL</v>
      </c>
      <c r="Y261" s="222" t="str">
        <f>IF('3.Plan de Estudios'!AG75="","",'3.Plan de Estudios'!AG75)</f>
        <v/>
      </c>
      <c r="Z261" t="str">
        <f t="shared" si="26"/>
        <v>ENGLISH VI: RREL-</v>
      </c>
      <c r="AA261" s="89" t="str">
        <f t="shared" si="27"/>
        <v/>
      </c>
      <c r="AB261" t="str">
        <f t="shared" si="28"/>
        <v/>
      </c>
      <c r="AC261" t="str">
        <f>IF(AB261="","",CONCATENATE(",",AB261))</f>
        <v/>
      </c>
    </row>
    <row r="262" spans="24:29" ht="15.75">
      <c r="X262" s="223" t="str">
        <f>+'3.Plan de Estudios'!$E$75</f>
        <v>ENGLISH VI: RREL</v>
      </c>
      <c r="Y262" s="222" t="str">
        <f>IF('3.Plan de Estudios'!AI75="","",'3.Plan de Estudios'!AI75)</f>
        <v/>
      </c>
      <c r="Z262" t="str">
        <f t="shared" si="26"/>
        <v>ENGLISH VI: RREL-</v>
      </c>
      <c r="AA262" s="89" t="str">
        <f t="shared" si="27"/>
        <v/>
      </c>
      <c r="AB262" t="str">
        <f t="shared" si="28"/>
        <v/>
      </c>
      <c r="AC262" t="str">
        <f>IF(AB262="","",CONCATENATE(",",AB262))</f>
        <v/>
      </c>
    </row>
    <row r="263" spans="24:29" ht="15.75">
      <c r="X263" s="183" t="str">
        <f>+'3.Plan de Estudios'!$E$76</f>
        <v>GERENCIA DE INSTITUCIONES EDUCATIVAS</v>
      </c>
      <c r="Y263" t="str">
        <f>IF('3.Plan de Estudios'!AA76="","",'3.Plan de Estudios'!AA76)</f>
        <v xml:space="preserve">CP2: Desarrollo de gestión educativa:N2 Promueve la conformación de un conjunto de procesos organizados que permitan que las áreas de gestión educativa logren sus objetivos y metas. </v>
      </c>
      <c r="Z263" t="str">
        <f t="shared" si="26"/>
        <v>GERENCIA DE INSTITUCIONES EDUCATIVAS-CP2: Desarrollo de gestión educativa:N2 Promueve la conformación de un conjunto de procesos organiza</v>
      </c>
      <c r="AA263" s="89" t="str">
        <f t="shared" si="27"/>
        <v>a</v>
      </c>
      <c r="AB263" t="str">
        <f t="shared" si="28"/>
        <v xml:space="preserve"> Desarrollo de gestión educativa</v>
      </c>
      <c r="AC263" t="str">
        <f>AB263</f>
        <v xml:space="preserve"> Desarrollo de gestión educativa</v>
      </c>
    </row>
    <row r="264" spans="24:29" ht="15.75">
      <c r="X264" s="183" t="str">
        <f>+'3.Plan de Estudios'!$E$76</f>
        <v>GERENCIA DE INSTITUCIONES EDUCATIVAS</v>
      </c>
      <c r="Y264" t="str">
        <f>IF('3.Plan de Estudios'!AC76="","",'3.Plan de Estudios'!AC76)</f>
        <v>CG1: Comunicación Integral:N2 Elabora textos académicos escritos y comunicaciones orales con una estructura elaborada en el cual se reconoce la revisión de fuentes y documentación apropiada para comunicar sus ideas en un entorno académico y/o social.</v>
      </c>
      <c r="Z264" t="str">
        <f t="shared" si="26"/>
        <v>GERENCIA DE INSTITUCIONES EDUCATIVAS-CG1: Comunicación Integral:N2 Elabora textos académicos escritos y comunicaciones orales con una est</v>
      </c>
      <c r="AA264" s="89" t="str">
        <f t="shared" si="27"/>
        <v>a</v>
      </c>
      <c r="AB264" t="str">
        <f t="shared" si="28"/>
        <v xml:space="preserve"> Comunicación Integral</v>
      </c>
      <c r="AC264" t="str">
        <f>IF(AB264="","",CONCATENATE(",",AB264))</f>
        <v>, Comunicación Integral</v>
      </c>
    </row>
    <row r="265" spans="24:29" ht="15.75">
      <c r="X265" s="183" t="str">
        <f>+'3.Plan de Estudios'!$E$76</f>
        <v>GERENCIA DE INSTITUCIONES EDUCATIVAS</v>
      </c>
      <c r="Y265" t="str">
        <f>IF('3.Plan de Estudios'!AE76="","",'3.Plan de Estudios'!AE76)</f>
        <v/>
      </c>
      <c r="Z265" t="str">
        <f t="shared" si="26"/>
        <v>GERENCIA DE INSTITUCIONES EDUCATIVAS-</v>
      </c>
      <c r="AA265" s="89" t="str">
        <f t="shared" si="27"/>
        <v/>
      </c>
      <c r="AB265" t="str">
        <f t="shared" si="28"/>
        <v/>
      </c>
      <c r="AC265" t="str">
        <f>IF(AB265="","",CONCATENATE(",",AB265))</f>
        <v/>
      </c>
    </row>
    <row r="266" spans="24:29" ht="15.75">
      <c r="X266" s="183" t="str">
        <f>+'3.Plan de Estudios'!$E$76</f>
        <v>GERENCIA DE INSTITUCIONES EDUCATIVAS</v>
      </c>
      <c r="Y266" t="str">
        <f>IF('3.Plan de Estudios'!AG76="","",'3.Plan de Estudios'!AG76)</f>
        <v/>
      </c>
      <c r="Z266" t="str">
        <f t="shared" si="26"/>
        <v>GERENCIA DE INSTITUCIONES EDUCATIVAS-</v>
      </c>
      <c r="AA266" s="89" t="str">
        <f t="shared" si="27"/>
        <v/>
      </c>
      <c r="AB266" t="str">
        <f t="shared" si="28"/>
        <v/>
      </c>
      <c r="AC266" t="str">
        <f>IF(AB266="","",CONCATENATE(",",AB266))</f>
        <v/>
      </c>
    </row>
    <row r="267" spans="24:29" ht="15.75">
      <c r="X267" s="183" t="str">
        <f>+'3.Plan de Estudios'!$E$76</f>
        <v>GERENCIA DE INSTITUCIONES EDUCATIVAS</v>
      </c>
      <c r="Y267" t="str">
        <f>IF('3.Plan de Estudios'!AI76="","",'3.Plan de Estudios'!AI76)</f>
        <v/>
      </c>
      <c r="Z267" t="str">
        <f t="shared" si="26"/>
        <v>GERENCIA DE INSTITUCIONES EDUCATIVAS-</v>
      </c>
      <c r="AA267" s="89" t="str">
        <f t="shared" si="27"/>
        <v/>
      </c>
      <c r="AB267" t="str">
        <f t="shared" si="28"/>
        <v/>
      </c>
      <c r="AC267" t="str">
        <f>IF(AB267="","",CONCATENATE(",",AB267))</f>
        <v/>
      </c>
    </row>
    <row r="268" spans="24:29" ht="15.75">
      <c r="X268" s="223" t="str">
        <f>+'3.Plan de Estudios'!$E$77</f>
        <v>PUBLIC SPEAKING</v>
      </c>
      <c r="Y268" s="222" t="str">
        <f>IF('3.Plan de Estudios'!AA77="","",'3.Plan de Estudios'!AA77)</f>
        <v xml:space="preserve">CP5: Comprensión y expresión del idioma inglés:N2 Comprende y desarrolla el pensamiento crítico de manera integral del idioma inglés como segunda lengua, perfeccionando ciertos aspectos fundamentales como el campo fonético y léxico. </v>
      </c>
      <c r="Z268" t="str">
        <f t="shared" si="26"/>
        <v>PUBLIC SPEAKING-CP5: Comprensión y expresión del idioma inglés:N2 Comprende y desarrolla el pensamiento crítico de m</v>
      </c>
      <c r="AA268" s="89" t="str">
        <f t="shared" si="27"/>
        <v>a</v>
      </c>
      <c r="AB268" t="str">
        <f t="shared" si="28"/>
        <v xml:space="preserve"> Comprensión y expresión del idioma inglés</v>
      </c>
      <c r="AC268" t="str">
        <f>AB268</f>
        <v xml:space="preserve"> Comprensión y expresión del idioma inglés</v>
      </c>
    </row>
    <row r="269" spans="24:29" ht="15.75">
      <c r="X269" s="223" t="str">
        <f>+'3.Plan de Estudios'!$E$77</f>
        <v>PUBLIC SPEAKING</v>
      </c>
      <c r="Y269" s="222" t="str">
        <f>IF('3.Plan de Estudios'!AC77="","",'3.Plan de Estudios'!AC77)</f>
        <v/>
      </c>
      <c r="Z269" t="str">
        <f t="shared" si="26"/>
        <v>PUBLIC SPEAKING-</v>
      </c>
      <c r="AA269" s="89" t="str">
        <f t="shared" si="27"/>
        <v/>
      </c>
      <c r="AB269" t="str">
        <f t="shared" si="28"/>
        <v/>
      </c>
      <c r="AC269" t="str">
        <f>IF(AB269="","",CONCATENATE(",",AB269))</f>
        <v/>
      </c>
    </row>
    <row r="270" spans="24:29" ht="15.75">
      <c r="X270" s="223" t="str">
        <f>+'3.Plan de Estudios'!$E$77</f>
        <v>PUBLIC SPEAKING</v>
      </c>
      <c r="Y270" s="222" t="str">
        <f>IF('3.Plan de Estudios'!AE77="","",'3.Plan de Estudios'!AE77)</f>
        <v/>
      </c>
      <c r="Z270" t="str">
        <f t="shared" si="26"/>
        <v>PUBLIC SPEAKING-</v>
      </c>
      <c r="AA270" s="89" t="str">
        <f t="shared" si="27"/>
        <v/>
      </c>
      <c r="AB270" t="str">
        <f t="shared" si="28"/>
        <v/>
      </c>
      <c r="AC270" t="str">
        <f>IF(AB270="","",CONCATENATE(",",AB270))</f>
        <v/>
      </c>
    </row>
    <row r="271" spans="24:29" ht="15.75">
      <c r="X271" s="223" t="str">
        <f>+'3.Plan de Estudios'!$E$77</f>
        <v>PUBLIC SPEAKING</v>
      </c>
      <c r="Y271" s="222" t="str">
        <f>IF('3.Plan de Estudios'!AG77="","",'3.Plan de Estudios'!AG77)</f>
        <v/>
      </c>
      <c r="Z271" t="str">
        <f t="shared" si="26"/>
        <v>PUBLIC SPEAKING-</v>
      </c>
      <c r="AA271" s="89" t="str">
        <f t="shared" si="27"/>
        <v/>
      </c>
      <c r="AB271" t="str">
        <f t="shared" si="28"/>
        <v/>
      </c>
      <c r="AC271" t="str">
        <f>IF(AB271="","",CONCATENATE(",",AB271))</f>
        <v/>
      </c>
    </row>
    <row r="272" spans="24:29" ht="15.75">
      <c r="X272" s="223" t="str">
        <f>+'3.Plan de Estudios'!$E$77</f>
        <v>PUBLIC SPEAKING</v>
      </c>
      <c r="Y272" s="222" t="str">
        <f>IF('3.Plan de Estudios'!AI77="","",'3.Plan de Estudios'!AI77)</f>
        <v/>
      </c>
      <c r="Z272" t="str">
        <f t="shared" si="26"/>
        <v>PUBLIC SPEAKING-</v>
      </c>
      <c r="AA272" s="89" t="str">
        <f t="shared" si="27"/>
        <v/>
      </c>
      <c r="AB272" t="str">
        <f t="shared" si="28"/>
        <v/>
      </c>
      <c r="AC272" t="str">
        <f>IF(AB272="","",CONCATENATE(",",AB272))</f>
        <v/>
      </c>
    </row>
    <row r="273" spans="9:29" ht="15.75">
      <c r="X273" s="183" t="str">
        <f>+'3.Plan de Estudios'!$E$78</f>
        <v>SOFTWARE EDUCATIVO</v>
      </c>
      <c r="Y273" t="str">
        <f>IF('3.Plan de Estudios'!AA78="","",'3.Plan de Estudios'!AA78)</f>
        <v xml:space="preserve">CP2: Desarrollo de gestión educativa:N2 Promueve la conformación de un conjunto de procesos organizados que permitan que las áreas de gestión educativa logren sus objetivos y metas. </v>
      </c>
      <c r="Z273" t="str">
        <f t="shared" si="26"/>
        <v>SOFTWARE EDUCATIVO-CP2: Desarrollo de gestión educativa:N2 Promueve la conformación de un conjunto de procesos organiza</v>
      </c>
      <c r="AA273" s="89" t="str">
        <f t="shared" si="27"/>
        <v>a</v>
      </c>
      <c r="AB273" t="str">
        <f t="shared" si="28"/>
        <v xml:space="preserve"> Desarrollo de gestión educativa</v>
      </c>
      <c r="AC273" t="str">
        <f>AB273</f>
        <v xml:space="preserve"> Desarrollo de gestión educativa</v>
      </c>
    </row>
    <row r="274" spans="9:29" ht="15.75">
      <c r="I274" s="200"/>
      <c r="J274" s="200"/>
      <c r="X274" s="183" t="str">
        <f>+'3.Plan de Estudios'!$E$78</f>
        <v>SOFTWARE EDUCATIVO</v>
      </c>
      <c r="Y274" t="str">
        <f>IF('3.Plan de Estudios'!AC78="","",'3.Plan de Estudios'!AC78)</f>
        <v>CG4: Gestión de Recursos:N2 Describe el mercado con el uso de herramientas de marketing y/o modelos económicos para definir objetivos empresariales.</v>
      </c>
      <c r="Z274" t="str">
        <f t="shared" si="26"/>
        <v xml:space="preserve">SOFTWARE EDUCATIVO-CG4: Gestión de Recursos:N2 Describe el mercado con el uso de herramientas de marketing y/o modelos </v>
      </c>
      <c r="AA274" s="89" t="str">
        <f t="shared" si="27"/>
        <v>a</v>
      </c>
      <c r="AB274" t="str">
        <f t="shared" si="28"/>
        <v xml:space="preserve"> Gestión de Recursos</v>
      </c>
      <c r="AC274" t="str">
        <f>IF(AB274="","",CONCATENATE(",",AB274))</f>
        <v>, Gestión de Recursos</v>
      </c>
    </row>
    <row r="275" spans="9:29" ht="15.75">
      <c r="I275" s="200"/>
      <c r="J275" s="200"/>
      <c r="X275" s="183" t="str">
        <f>+'3.Plan de Estudios'!$E$78</f>
        <v>SOFTWARE EDUCATIVO</v>
      </c>
      <c r="Y275" t="str">
        <f>IF('3.Plan de Estudios'!AE78="","",'3.Plan de Estudios'!AE78)</f>
        <v/>
      </c>
      <c r="Z275" t="str">
        <f t="shared" si="26"/>
        <v>SOFTWARE EDUCATIVO-</v>
      </c>
      <c r="AA275" s="89" t="str">
        <f t="shared" si="27"/>
        <v/>
      </c>
      <c r="AB275" t="str">
        <f t="shared" si="28"/>
        <v/>
      </c>
      <c r="AC275" t="str">
        <f>IF(AB275="","",CONCATENATE(",",AB275))</f>
        <v/>
      </c>
    </row>
    <row r="276" spans="9:29" ht="15.75">
      <c r="I276" s="200"/>
      <c r="J276" s="200"/>
      <c r="X276" s="183" t="str">
        <f>+'3.Plan de Estudios'!$E$78</f>
        <v>SOFTWARE EDUCATIVO</v>
      </c>
      <c r="Y276" t="str">
        <f>IF('3.Plan de Estudios'!AG78="","",'3.Plan de Estudios'!AG78)</f>
        <v/>
      </c>
      <c r="Z276" t="str">
        <f t="shared" si="26"/>
        <v>SOFTWARE EDUCATIVO-</v>
      </c>
      <c r="AA276" s="89" t="str">
        <f t="shared" si="27"/>
        <v/>
      </c>
      <c r="AB276" t="str">
        <f t="shared" si="28"/>
        <v/>
      </c>
      <c r="AC276" t="str">
        <f>IF(AB276="","",CONCATENATE(",",AB276))</f>
        <v/>
      </c>
    </row>
    <row r="277" spans="9:29" ht="15.75">
      <c r="I277" s="200"/>
      <c r="J277" s="200"/>
      <c r="X277" s="183" t="str">
        <f>+'3.Plan de Estudios'!$E$78</f>
        <v>SOFTWARE EDUCATIVO</v>
      </c>
      <c r="Y277" t="str">
        <f>IF('3.Plan de Estudios'!AI78="","",'3.Plan de Estudios'!AI78)</f>
        <v/>
      </c>
      <c r="Z277" t="str">
        <f t="shared" si="26"/>
        <v>SOFTWARE EDUCATIVO-</v>
      </c>
      <c r="AA277" s="89" t="str">
        <f t="shared" si="27"/>
        <v/>
      </c>
      <c r="AB277" t="str">
        <f t="shared" si="28"/>
        <v/>
      </c>
      <c r="AC277" t="str">
        <f>IF(AB277="","",CONCATENATE(",",AB277))</f>
        <v/>
      </c>
    </row>
    <row r="278" spans="9:29" ht="15.75">
      <c r="I278" s="200"/>
      <c r="J278" s="200"/>
      <c r="X278" s="223" t="str">
        <f>+'3.Plan de Estudios'!$E$79</f>
        <v>TEACHING ENGLISH AS SECOND LANGUAGE: METHODS &amp; S. I</v>
      </c>
      <c r="Y278" s="222" t="str">
        <f>IF('3.Plan de Estudios'!AA79="","",'3.Plan de Estudios'!AA79)</f>
        <v xml:space="preserve">CP5: Comprensión y expresión del idioma inglés:N2 Comprende y desarrolla el pensamiento crítico de manera integral del idioma inglés como segunda lengua, perfeccionando ciertos aspectos fundamentales como el campo fonético y léxico. </v>
      </c>
      <c r="Z278" t="str">
        <f t="shared" si="26"/>
        <v>TEACHING ENGLISH AS SECOND LANGUAGE: METHODS &amp; S. I-CP5: Comprensión y expresión del idioma inglés:N2 Comprende y desarrolla el pensamiento crítico de m</v>
      </c>
      <c r="AA278" s="89" t="str">
        <f t="shared" si="27"/>
        <v>a</v>
      </c>
      <c r="AB278" t="str">
        <f t="shared" si="28"/>
        <v xml:space="preserve"> Comprensión y expresión del idioma inglés</v>
      </c>
      <c r="AC278" t="str">
        <f>AB278</f>
        <v xml:space="preserve"> Comprensión y expresión del idioma inglés</v>
      </c>
    </row>
    <row r="279" spans="9:29" ht="15.75">
      <c r="I279" s="200"/>
      <c r="J279" s="200"/>
      <c r="X279" s="223" t="str">
        <f>+'3.Plan de Estudios'!$E$79</f>
        <v>TEACHING ENGLISH AS SECOND LANGUAGE: METHODS &amp; S. I</v>
      </c>
      <c r="Y279" s="222" t="str">
        <f>IF('3.Plan de Estudios'!AC79="","",'3.Plan de Estudios'!AC79)</f>
        <v/>
      </c>
      <c r="Z279" t="str">
        <f t="shared" si="26"/>
        <v>TEACHING ENGLISH AS SECOND LANGUAGE: METHODS &amp; S. I-</v>
      </c>
      <c r="AA279" s="89" t="str">
        <f t="shared" si="27"/>
        <v/>
      </c>
      <c r="AB279" t="str">
        <f t="shared" si="28"/>
        <v/>
      </c>
      <c r="AC279" t="str">
        <f>IF(AB279="","",CONCATENATE(",",AB279))</f>
        <v/>
      </c>
    </row>
    <row r="280" spans="9:29" ht="15.75">
      <c r="X280" s="223" t="str">
        <f>+'3.Plan de Estudios'!$E$79</f>
        <v>TEACHING ENGLISH AS SECOND LANGUAGE: METHODS &amp; S. I</v>
      </c>
      <c r="Y280" s="222" t="str">
        <f>IF('3.Plan de Estudios'!AE79="","",'3.Plan de Estudios'!AE79)</f>
        <v/>
      </c>
      <c r="Z280" t="str">
        <f t="shared" si="26"/>
        <v>TEACHING ENGLISH AS SECOND LANGUAGE: METHODS &amp; S. I-</v>
      </c>
      <c r="AA280" s="89" t="str">
        <f t="shared" si="27"/>
        <v/>
      </c>
      <c r="AB280" t="str">
        <f t="shared" si="28"/>
        <v/>
      </c>
      <c r="AC280" t="str">
        <f>IF(AB280="","",CONCATENATE(",",AB280))</f>
        <v/>
      </c>
    </row>
    <row r="281" spans="9:29" ht="15.75">
      <c r="X281" s="223" t="str">
        <f>+'3.Plan de Estudios'!$E$79</f>
        <v>TEACHING ENGLISH AS SECOND LANGUAGE: METHODS &amp; S. I</v>
      </c>
      <c r="Y281" s="222" t="str">
        <f>IF('3.Plan de Estudios'!AG79="","",'3.Plan de Estudios'!AG79)</f>
        <v/>
      </c>
      <c r="Z281" t="str">
        <f t="shared" si="26"/>
        <v>TEACHING ENGLISH AS SECOND LANGUAGE: METHODS &amp; S. I-</v>
      </c>
      <c r="AA281" s="89" t="str">
        <f t="shared" si="27"/>
        <v/>
      </c>
      <c r="AB281" t="str">
        <f t="shared" si="28"/>
        <v/>
      </c>
      <c r="AC281" t="str">
        <f>IF(AB281="","",CONCATENATE(",",AB281))</f>
        <v/>
      </c>
    </row>
    <row r="282" spans="9:29" ht="15.75">
      <c r="X282" s="223" t="str">
        <f>+'3.Plan de Estudios'!$E$79</f>
        <v>TEACHING ENGLISH AS SECOND LANGUAGE: METHODS &amp; S. I</v>
      </c>
      <c r="Y282" s="222" t="str">
        <f>IF('3.Plan de Estudios'!AI79="","",'3.Plan de Estudios'!AI79)</f>
        <v/>
      </c>
      <c r="Z282" t="str">
        <f t="shared" si="26"/>
        <v>TEACHING ENGLISH AS SECOND LANGUAGE: METHODS &amp; S. I-</v>
      </c>
      <c r="AA282" s="89" t="str">
        <f t="shared" si="27"/>
        <v/>
      </c>
      <c r="AB282" t="str">
        <f t="shared" si="28"/>
        <v/>
      </c>
      <c r="AC282" t="str">
        <f>IF(AB282="","",CONCATENATE(",",AB282))</f>
        <v/>
      </c>
    </row>
    <row r="283" spans="9:29" ht="15.75">
      <c r="X283" s="183">
        <f>+'3.Plan de Estudios'!$E$80</f>
        <v>0</v>
      </c>
      <c r="Y283" t="str">
        <f>IF('3.Plan de Estudios'!AA80="","",'3.Plan de Estudios'!AA80)</f>
        <v/>
      </c>
      <c r="Z283" t="str">
        <f t="shared" si="26"/>
        <v>0-</v>
      </c>
      <c r="AA283" s="89" t="str">
        <f t="shared" si="27"/>
        <v/>
      </c>
      <c r="AB283" t="str">
        <f t="shared" si="28"/>
        <v/>
      </c>
      <c r="AC283" t="str">
        <f>AB283</f>
        <v/>
      </c>
    </row>
    <row r="284" spans="9:29" ht="15.75">
      <c r="X284" s="183">
        <f>+'3.Plan de Estudios'!$E$80</f>
        <v>0</v>
      </c>
      <c r="Y284" t="str">
        <f>IF('3.Plan de Estudios'!AC80="","",'3.Plan de Estudios'!AC80)</f>
        <v/>
      </c>
      <c r="Z284" t="str">
        <f t="shared" si="26"/>
        <v>0-</v>
      </c>
      <c r="AA284" s="89" t="str">
        <f t="shared" si="27"/>
        <v/>
      </c>
      <c r="AB284" t="str">
        <f t="shared" si="28"/>
        <v/>
      </c>
      <c r="AC284" t="str">
        <f>IF(AB284="","",CONCATENATE(",",AB284))</f>
        <v/>
      </c>
    </row>
    <row r="285" spans="9:29" ht="15.75">
      <c r="I285" s="329"/>
      <c r="J285" s="329"/>
      <c r="K285" s="329"/>
      <c r="L285" s="329"/>
      <c r="M285" s="329"/>
      <c r="N285" s="329"/>
      <c r="O285" s="329"/>
      <c r="P285" s="329"/>
      <c r="Q285" s="329"/>
      <c r="X285" s="183">
        <f>+'3.Plan de Estudios'!$E$80</f>
        <v>0</v>
      </c>
      <c r="Y285" t="str">
        <f>IF('3.Plan de Estudios'!AE80="","",'3.Plan de Estudios'!AE80)</f>
        <v/>
      </c>
      <c r="Z285" t="str">
        <f t="shared" si="26"/>
        <v>0-</v>
      </c>
      <c r="AA285" s="89" t="str">
        <f t="shared" si="27"/>
        <v/>
      </c>
      <c r="AB285" t="str">
        <f t="shared" si="28"/>
        <v/>
      </c>
      <c r="AC285" t="str">
        <f>IF(AB285="","",CONCATENATE(",",AB285))</f>
        <v/>
      </c>
    </row>
    <row r="286" spans="9:29" ht="15.75">
      <c r="I286" s="329"/>
      <c r="J286" s="329"/>
      <c r="K286" s="329"/>
      <c r="L286" s="329"/>
      <c r="M286" s="329"/>
      <c r="N286" s="329"/>
      <c r="O286" s="329"/>
      <c r="P286" s="329"/>
      <c r="Q286" s="329"/>
      <c r="X286" s="183">
        <f>+'3.Plan de Estudios'!$E$80</f>
        <v>0</v>
      </c>
      <c r="Y286" t="str">
        <f>IF('3.Plan de Estudios'!AG80="","",'3.Plan de Estudios'!AG80)</f>
        <v/>
      </c>
      <c r="Z286" t="str">
        <f t="shared" si="26"/>
        <v>0-</v>
      </c>
      <c r="AA286" s="89" t="str">
        <f t="shared" si="27"/>
        <v/>
      </c>
      <c r="AB286" t="str">
        <f t="shared" si="28"/>
        <v/>
      </c>
      <c r="AC286" t="str">
        <f>IF(AB286="","",CONCATENATE(",",AB286))</f>
        <v/>
      </c>
    </row>
    <row r="287" spans="9:29" ht="15.75">
      <c r="I287" s="329"/>
      <c r="J287" s="329"/>
      <c r="K287" s="329"/>
      <c r="L287" s="329"/>
      <c r="M287" s="329"/>
      <c r="N287" s="329"/>
      <c r="O287" s="329"/>
      <c r="P287" s="329"/>
      <c r="Q287" s="329"/>
      <c r="X287" s="183">
        <f>+'3.Plan de Estudios'!$E$80</f>
        <v>0</v>
      </c>
      <c r="Y287" t="str">
        <f>IF('3.Plan de Estudios'!AI80="","",'3.Plan de Estudios'!AI80)</f>
        <v/>
      </c>
      <c r="Z287" t="str">
        <f t="shared" si="26"/>
        <v>0-</v>
      </c>
      <c r="AA287" s="89" t="str">
        <f t="shared" si="27"/>
        <v/>
      </c>
      <c r="AB287" t="str">
        <f t="shared" si="28"/>
        <v/>
      </c>
      <c r="AC287" t="str">
        <f>IF(AB287="","",CONCATENATE(",",AB287))</f>
        <v/>
      </c>
    </row>
    <row r="288" spans="9:29" ht="15.75">
      <c r="I288" s="329"/>
      <c r="J288" s="329"/>
      <c r="K288" s="329"/>
      <c r="L288" s="329"/>
      <c r="M288" s="329"/>
      <c r="N288" s="329"/>
      <c r="O288" s="329"/>
      <c r="P288" s="329"/>
      <c r="Q288" s="329"/>
      <c r="X288" s="223">
        <f>+'3.Plan de Estudios'!$E$81</f>
        <v>0</v>
      </c>
      <c r="Y288" s="222" t="str">
        <f>IF('3.Plan de Estudios'!AA81="","",'3.Plan de Estudios'!AA81)</f>
        <v/>
      </c>
      <c r="Z288" t="str">
        <f t="shared" si="26"/>
        <v>0-</v>
      </c>
      <c r="AA288" s="89" t="str">
        <f t="shared" si="27"/>
        <v/>
      </c>
      <c r="AB288" t="str">
        <f t="shared" si="28"/>
        <v/>
      </c>
      <c r="AC288" t="str">
        <f>AB288</f>
        <v/>
      </c>
    </row>
    <row r="289" spans="9:29" ht="15.75">
      <c r="I289" s="329"/>
      <c r="J289" s="329"/>
      <c r="K289" s="329"/>
      <c r="L289" s="329"/>
      <c r="M289" s="329"/>
      <c r="N289" s="329"/>
      <c r="O289" s="329"/>
      <c r="P289" s="329"/>
      <c r="Q289" s="329"/>
      <c r="X289" s="223">
        <f>+'3.Plan de Estudios'!$E$81</f>
        <v>0</v>
      </c>
      <c r="Y289" s="222" t="str">
        <f>IF('3.Plan de Estudios'!AC81="","",'3.Plan de Estudios'!AC81)</f>
        <v/>
      </c>
      <c r="Z289" t="str">
        <f t="shared" si="26"/>
        <v>0-</v>
      </c>
      <c r="AA289" s="89" t="str">
        <f t="shared" si="27"/>
        <v/>
      </c>
      <c r="AB289" t="str">
        <f t="shared" si="28"/>
        <v/>
      </c>
      <c r="AC289" t="str">
        <f>IF(AB289="","",CONCATENATE(",",AB289))</f>
        <v/>
      </c>
    </row>
    <row r="290" spans="9:29" ht="15.75">
      <c r="X290" s="223">
        <f>+'3.Plan de Estudios'!$E$81</f>
        <v>0</v>
      </c>
      <c r="Y290" s="222" t="str">
        <f>IF('3.Plan de Estudios'!AE81="","",'3.Plan de Estudios'!AE81)</f>
        <v/>
      </c>
      <c r="Z290" t="str">
        <f t="shared" si="26"/>
        <v>0-</v>
      </c>
      <c r="AA290" s="89" t="str">
        <f t="shared" si="27"/>
        <v/>
      </c>
      <c r="AB290" t="str">
        <f t="shared" si="28"/>
        <v/>
      </c>
      <c r="AC290" t="str">
        <f>IF(AB290="","",CONCATENATE(",",AB290))</f>
        <v/>
      </c>
    </row>
    <row r="291" spans="9:29" ht="15.75">
      <c r="X291" s="223">
        <f>+'3.Plan de Estudios'!$E$81</f>
        <v>0</v>
      </c>
      <c r="Y291" s="222" t="str">
        <f>IF('3.Plan de Estudios'!AG81="","",'3.Plan de Estudios'!AG81)</f>
        <v/>
      </c>
      <c r="Z291" t="str">
        <f t="shared" si="26"/>
        <v>0-</v>
      </c>
      <c r="AA291" s="89" t="str">
        <f t="shared" si="27"/>
        <v/>
      </c>
      <c r="AB291" t="str">
        <f t="shared" si="28"/>
        <v/>
      </c>
      <c r="AC291" t="str">
        <f>IF(AB291="","",CONCATENATE(",",AB291))</f>
        <v/>
      </c>
    </row>
    <row r="292" spans="9:29" ht="15.75">
      <c r="X292" s="223">
        <f>+'3.Plan de Estudios'!$E$81</f>
        <v>0</v>
      </c>
      <c r="Y292" s="222" t="str">
        <f>IF('3.Plan de Estudios'!AI81="","",'3.Plan de Estudios'!AI81)</f>
        <v/>
      </c>
      <c r="Z292" t="str">
        <f t="shared" si="26"/>
        <v>0-</v>
      </c>
      <c r="AA292" s="89" t="str">
        <f t="shared" si="27"/>
        <v/>
      </c>
      <c r="AB292" t="str">
        <f t="shared" si="28"/>
        <v/>
      </c>
      <c r="AC292" t="str">
        <f>IF(AB292="","",CONCATENATE(",",AB292))</f>
        <v/>
      </c>
    </row>
    <row r="293" spans="9:29" ht="15.75">
      <c r="X293" s="183">
        <f>+'3.Plan de Estudios'!$E$82</f>
        <v>0</v>
      </c>
      <c r="Y293" t="str">
        <f>IF('3.Plan de Estudios'!AA82="","",'3.Plan de Estudios'!AA82)</f>
        <v/>
      </c>
      <c r="Z293" t="str">
        <f t="shared" si="26"/>
        <v>0-</v>
      </c>
      <c r="AA293" s="89" t="str">
        <f t="shared" si="27"/>
        <v/>
      </c>
      <c r="AB293" t="str">
        <f t="shared" si="28"/>
        <v/>
      </c>
      <c r="AC293" t="str">
        <f>AB293</f>
        <v/>
      </c>
    </row>
    <row r="294" spans="9:29" ht="15.75">
      <c r="X294" s="183">
        <f>+'3.Plan de Estudios'!$E$82</f>
        <v>0</v>
      </c>
      <c r="Y294" t="str">
        <f>IF('3.Plan de Estudios'!AC82="","",'3.Plan de Estudios'!AC82)</f>
        <v/>
      </c>
      <c r="Z294" t="str">
        <f t="shared" si="26"/>
        <v>0-</v>
      </c>
      <c r="AA294" s="89" t="str">
        <f t="shared" si="27"/>
        <v/>
      </c>
      <c r="AB294" t="str">
        <f t="shared" si="28"/>
        <v/>
      </c>
      <c r="AC294" t="str">
        <f>IF(AB294="","",CONCATENATE(",",AB294))</f>
        <v/>
      </c>
    </row>
    <row r="295" spans="9:29" ht="15.75">
      <c r="X295" s="183">
        <f>+'3.Plan de Estudios'!$E$82</f>
        <v>0</v>
      </c>
      <c r="Y295" t="str">
        <f>IF('3.Plan de Estudios'!AE82="","",'3.Plan de Estudios'!AE82)</f>
        <v/>
      </c>
      <c r="Z295" t="str">
        <f t="shared" si="26"/>
        <v>0-</v>
      </c>
      <c r="AA295" s="89" t="str">
        <f t="shared" si="27"/>
        <v/>
      </c>
      <c r="AB295" t="str">
        <f t="shared" si="28"/>
        <v/>
      </c>
      <c r="AC295" t="str">
        <f>IF(AB295="","",CONCATENATE(",",AB295))</f>
        <v/>
      </c>
    </row>
    <row r="296" spans="9:29" ht="15.75">
      <c r="X296" s="183">
        <f>+'3.Plan de Estudios'!$E$82</f>
        <v>0</v>
      </c>
      <c r="Y296" t="str">
        <f>IF('3.Plan de Estudios'!AG82="","",'3.Plan de Estudios'!AG82)</f>
        <v/>
      </c>
      <c r="Z296" t="str">
        <f t="shared" si="26"/>
        <v>0-</v>
      </c>
      <c r="AA296" s="89" t="str">
        <f t="shared" si="27"/>
        <v/>
      </c>
      <c r="AB296" t="str">
        <f t="shared" si="28"/>
        <v/>
      </c>
      <c r="AC296" t="str">
        <f>IF(AB296="","",CONCATENATE(",",AB296))</f>
        <v/>
      </c>
    </row>
    <row r="297" spans="9:29" ht="15.75">
      <c r="X297" s="183">
        <f>+'3.Plan de Estudios'!$E$82</f>
        <v>0</v>
      </c>
      <c r="Y297" t="str">
        <f>IF('3.Plan de Estudios'!AI82="","",'3.Plan de Estudios'!AI82)</f>
        <v/>
      </c>
      <c r="Z297" t="str">
        <f t="shared" si="26"/>
        <v>0-</v>
      </c>
      <c r="AA297" s="89" t="str">
        <f t="shared" si="27"/>
        <v/>
      </c>
      <c r="AB297" t="str">
        <f t="shared" si="28"/>
        <v/>
      </c>
      <c r="AC297" t="str">
        <f>IF(AB297="","",CONCATENATE(",",AB297))</f>
        <v/>
      </c>
    </row>
    <row r="298" spans="9:29" ht="15.75">
      <c r="X298" s="223">
        <f>+'3.Plan de Estudios'!$E$83</f>
        <v>0</v>
      </c>
      <c r="Y298" s="222" t="str">
        <f>IF('3.Plan de Estudios'!AA83="","",'3.Plan de Estudios'!AA83)</f>
        <v/>
      </c>
      <c r="Z298" t="str">
        <f t="shared" si="26"/>
        <v>0-</v>
      </c>
      <c r="AA298" s="89" t="str">
        <f t="shared" si="27"/>
        <v/>
      </c>
      <c r="AB298" t="str">
        <f t="shared" si="28"/>
        <v/>
      </c>
      <c r="AC298" t="str">
        <f>AB298</f>
        <v/>
      </c>
    </row>
    <row r="299" spans="9:29" ht="15.75">
      <c r="X299" s="223">
        <f>+'3.Plan de Estudios'!$E$83</f>
        <v>0</v>
      </c>
      <c r="Y299" s="222" t="str">
        <f>IF('3.Plan de Estudios'!AC83="","",'3.Plan de Estudios'!AC83)</f>
        <v/>
      </c>
      <c r="Z299" t="str">
        <f t="shared" si="26"/>
        <v>0-</v>
      </c>
      <c r="AA299" s="89" t="str">
        <f t="shared" si="27"/>
        <v/>
      </c>
      <c r="AB299" t="str">
        <f t="shared" si="28"/>
        <v/>
      </c>
      <c r="AC299" t="str">
        <f>IF(AB299="","",CONCATENATE(",",AB299))</f>
        <v/>
      </c>
    </row>
    <row r="300" spans="9:29" ht="15.75">
      <c r="X300" s="223">
        <f>+'3.Plan de Estudios'!$E$83</f>
        <v>0</v>
      </c>
      <c r="Y300" s="222" t="str">
        <f>IF('3.Plan de Estudios'!AE83="","",'3.Plan de Estudios'!AE83)</f>
        <v/>
      </c>
      <c r="Z300" t="str">
        <f t="shared" si="26"/>
        <v>0-</v>
      </c>
      <c r="AA300" s="89" t="str">
        <f t="shared" si="27"/>
        <v/>
      </c>
      <c r="AB300" t="str">
        <f t="shared" si="28"/>
        <v/>
      </c>
      <c r="AC300" t="str">
        <f>IF(AB300="","",CONCATENATE(",",AB300))</f>
        <v/>
      </c>
    </row>
    <row r="301" spans="9:29" ht="15.75">
      <c r="X301" s="223">
        <f>+'3.Plan de Estudios'!$E$83</f>
        <v>0</v>
      </c>
      <c r="Y301" s="222" t="str">
        <f>IF('3.Plan de Estudios'!AG83="","",'3.Plan de Estudios'!AG83)</f>
        <v/>
      </c>
      <c r="Z301" t="str">
        <f t="shared" si="26"/>
        <v>0-</v>
      </c>
      <c r="AA301" s="89" t="str">
        <f t="shared" si="27"/>
        <v/>
      </c>
      <c r="AB301" t="str">
        <f t="shared" si="28"/>
        <v/>
      </c>
      <c r="AC301" t="str">
        <f>IF(AB301="","",CONCATENATE(",",AB301))</f>
        <v/>
      </c>
    </row>
    <row r="302" spans="9:29" ht="15.75">
      <c r="X302" s="224">
        <f>+'3.Plan de Estudios'!$E$83</f>
        <v>0</v>
      </c>
      <c r="Y302" s="225" t="str">
        <f>IF('3.Plan de Estudios'!AI83="","",'3.Plan de Estudios'!AI83)</f>
        <v/>
      </c>
      <c r="Z302" t="str">
        <f t="shared" si="26"/>
        <v>0-</v>
      </c>
      <c r="AA302" s="89" t="str">
        <f t="shared" si="27"/>
        <v/>
      </c>
      <c r="AB302" t="str">
        <f t="shared" si="28"/>
        <v/>
      </c>
      <c r="AC302" t="str">
        <f>IF(AB302="","",CONCATENATE(",",AB302))</f>
        <v/>
      </c>
    </row>
    <row r="303" spans="9:29" ht="15.75">
      <c r="X303" s="189" t="str">
        <f>+'3.Plan de Estudios'!$E$85</f>
        <v>ENGLISH COMPOSITION</v>
      </c>
      <c r="Y303" s="190" t="str">
        <f>IF('3.Plan de Estudios'!AA85="","",'3.Plan de Estudios'!AA85)</f>
        <v xml:space="preserve">CP5: Comprensión y expresión del idioma inglés:N2 Comprende y desarrolla el pensamiento crítico de manera integral del idioma inglés como segunda lengua, perfeccionando ciertos aspectos fundamentales como el campo fonético y léxico. </v>
      </c>
      <c r="Z303" t="str">
        <f t="shared" si="26"/>
        <v>ENGLISH COMPOSITION-CP5: Comprensión y expresión del idioma inglés:N2 Comprende y desarrolla el pensamiento crítico de m</v>
      </c>
      <c r="AA303" s="89" t="str">
        <f t="shared" si="27"/>
        <v>a</v>
      </c>
      <c r="AB303" t="str">
        <f t="shared" si="28"/>
        <v xml:space="preserve"> Comprensión y expresión del idioma inglés</v>
      </c>
      <c r="AC303" t="str">
        <f>AB303</f>
        <v xml:space="preserve"> Comprensión y expresión del idioma inglés</v>
      </c>
    </row>
    <row r="304" spans="9:29" ht="15.75">
      <c r="X304" s="183" t="str">
        <f>+'3.Plan de Estudios'!$E$85</f>
        <v>ENGLISH COMPOSITION</v>
      </c>
      <c r="Y304" t="str">
        <f>IF('3.Plan de Estudios'!AC85="","",'3.Plan de Estudios'!AC85)</f>
        <v>CG2: Comunicación Bilingüe:N3 Se desenvuelve en inglés utilizando las cuatro habilidades lingüísticas -comprensión auditiva, comprensión lectora, producción oral y producción escrita- con destreza y fluidez para el desempeño personal, académico y profesional.</v>
      </c>
      <c r="Z304" t="str">
        <f t="shared" si="26"/>
        <v>ENGLISH COMPOSITION-CG2: Comunicación Bilingüe:N3 Se desenvuelve en inglés utilizando las cuatro habilidades lingüística</v>
      </c>
      <c r="AA304" s="89" t="str">
        <f t="shared" si="27"/>
        <v>a</v>
      </c>
      <c r="AB304" t="str">
        <f t="shared" si="28"/>
        <v xml:space="preserve"> Comunicación Bilingüe</v>
      </c>
      <c r="AC304" t="str">
        <f>IF(AB304="","",CONCATENATE(",",AB304))</f>
        <v>, Comunicación Bilingüe</v>
      </c>
    </row>
    <row r="305" spans="24:29" ht="15.75">
      <c r="X305" s="183" t="str">
        <f>+'3.Plan de Estudios'!$E$85</f>
        <v>ENGLISH COMPOSITION</v>
      </c>
      <c r="Y305" t="str">
        <f>IF('3.Plan de Estudios'!AE85="","",'3.Plan de Estudios'!AE85)</f>
        <v/>
      </c>
      <c r="Z305" t="str">
        <f t="shared" si="26"/>
        <v>ENGLISH COMPOSITION-</v>
      </c>
      <c r="AA305" s="89" t="str">
        <f t="shared" si="27"/>
        <v/>
      </c>
      <c r="AB305" t="str">
        <f t="shared" si="28"/>
        <v/>
      </c>
      <c r="AC305" t="str">
        <f>IF(AB305="","",CONCATENATE(",",AB305))</f>
        <v/>
      </c>
    </row>
    <row r="306" spans="24:29" ht="15.75">
      <c r="X306" s="183" t="str">
        <f>+'3.Plan de Estudios'!$E$85</f>
        <v>ENGLISH COMPOSITION</v>
      </c>
      <c r="Y306" t="str">
        <f>IF('3.Plan de Estudios'!AG85="","",'3.Plan de Estudios'!AG85)</f>
        <v/>
      </c>
      <c r="Z306" t="str">
        <f t="shared" ref="Z306:Z369" si="29">CONCATENATE(X306,"-",MID(Y306,1,100))</f>
        <v>ENGLISH COMPOSITION-</v>
      </c>
      <c r="AA306" s="89" t="str">
        <f t="shared" ref="AA306:AA369" si="30">+IF(Y306="","","a")</f>
        <v/>
      </c>
      <c r="AB306" t="str">
        <f t="shared" ref="AB306:AB369" si="31">IFERROR(MID(Y306,FIND(":",Y306)+1,FIND(":",Y306,FIND(":",Y306)+1)-FIND(":",Y306)-1),"")</f>
        <v/>
      </c>
      <c r="AC306" t="str">
        <f>IF(AB306="","",CONCATENATE(",",AB306))</f>
        <v/>
      </c>
    </row>
    <row r="307" spans="24:29" ht="15.75">
      <c r="X307" s="183" t="str">
        <f>+'3.Plan de Estudios'!$E$85</f>
        <v>ENGLISH COMPOSITION</v>
      </c>
      <c r="Y307" t="str">
        <f>IF('3.Plan de Estudios'!AI85="","",'3.Plan de Estudios'!AI85)</f>
        <v/>
      </c>
      <c r="Z307" t="str">
        <f t="shared" si="29"/>
        <v>ENGLISH COMPOSITION-</v>
      </c>
      <c r="AA307" s="89" t="str">
        <f t="shared" si="30"/>
        <v/>
      </c>
      <c r="AB307" t="str">
        <f t="shared" si="31"/>
        <v/>
      </c>
      <c r="AC307" t="str">
        <f>IF(AB307="","",CONCATENATE(",",AB307))</f>
        <v/>
      </c>
    </row>
    <row r="308" spans="24:29" ht="15.75">
      <c r="X308" s="223" t="str">
        <f>+'3.Plan de Estudios'!$E$86</f>
        <v>INVESTIGACIÓN EDUCACIONAL</v>
      </c>
      <c r="Y308" s="222" t="str">
        <f>IF('3.Plan de Estudios'!AA86="","",'3.Plan de Estudios'!AA86)</f>
        <v>CP4: Investigación Educativa:N2 Realiza proyectos de investigación reflejando sustento sobre el campo metodológico y teórico para sustentar los productos acreditables.</v>
      </c>
      <c r="Z308" t="str">
        <f t="shared" si="29"/>
        <v>INVESTIGACIÓN EDUCACIONAL-CP4: Investigación Educativa:N2 Realiza proyectos de investigación reflejando sustento sobre el camp</v>
      </c>
      <c r="AA308" s="89" t="str">
        <f t="shared" si="30"/>
        <v>a</v>
      </c>
      <c r="AB308" t="str">
        <f t="shared" si="31"/>
        <v xml:space="preserve"> Investigación Educativa</v>
      </c>
      <c r="AC308" t="str">
        <f>AB308</f>
        <v xml:space="preserve"> Investigación Educativa</v>
      </c>
    </row>
    <row r="309" spans="24:29" ht="15.75">
      <c r="X309" s="223" t="str">
        <f>+'3.Plan de Estudios'!$E$86</f>
        <v>INVESTIGACIÓN EDUCACIONAL</v>
      </c>
      <c r="Y309" s="222" t="str">
        <f>IF('3.Plan de Estudios'!AC86="","",'3.Plan de Estudios'!AC86)</f>
        <v>CG3: Investigación:N2 Define cual es la metodología para responder su pregunta de investigación con ética e integridad.</v>
      </c>
      <c r="Z309" t="str">
        <f t="shared" si="29"/>
        <v xml:space="preserve">INVESTIGACIÓN EDUCACIONAL-CG3: Investigación:N2 Define cual es la metodología para responder su pregunta de investigación con </v>
      </c>
      <c r="AA309" s="89" t="str">
        <f t="shared" si="30"/>
        <v>a</v>
      </c>
      <c r="AB309" t="str">
        <f t="shared" si="31"/>
        <v xml:space="preserve"> Investigación</v>
      </c>
      <c r="AC309" t="str">
        <f>IF(AB309="","",CONCATENATE(",",AB309))</f>
        <v>, Investigación</v>
      </c>
    </row>
    <row r="310" spans="24:29" ht="15.75">
      <c r="X310" s="223" t="str">
        <f>+'3.Plan de Estudios'!$E$86</f>
        <v>INVESTIGACIÓN EDUCACIONAL</v>
      </c>
      <c r="Y310" s="222" t="str">
        <f>IF('3.Plan de Estudios'!AE86="","",'3.Plan de Estudios'!AE86)</f>
        <v/>
      </c>
      <c r="Z310" t="str">
        <f t="shared" si="29"/>
        <v>INVESTIGACIÓN EDUCACIONAL-</v>
      </c>
      <c r="AA310" s="89" t="str">
        <f t="shared" si="30"/>
        <v/>
      </c>
      <c r="AB310" t="str">
        <f t="shared" si="31"/>
        <v/>
      </c>
      <c r="AC310" t="str">
        <f>IF(AB310="","",CONCATENATE(",",AB310))</f>
        <v/>
      </c>
    </row>
    <row r="311" spans="24:29" ht="15.75">
      <c r="X311" s="223" t="str">
        <f>+'3.Plan de Estudios'!$E$86</f>
        <v>INVESTIGACIÓN EDUCACIONAL</v>
      </c>
      <c r="Y311" s="222" t="str">
        <f>IF('3.Plan de Estudios'!AG86="","",'3.Plan de Estudios'!AG86)</f>
        <v/>
      </c>
      <c r="Z311" t="str">
        <f t="shared" si="29"/>
        <v>INVESTIGACIÓN EDUCACIONAL-</v>
      </c>
      <c r="AA311" s="89" t="str">
        <f t="shared" si="30"/>
        <v/>
      </c>
      <c r="AB311" t="str">
        <f t="shared" si="31"/>
        <v/>
      </c>
      <c r="AC311" t="str">
        <f>IF(AB311="","",CONCATENATE(",",AB311))</f>
        <v/>
      </c>
    </row>
    <row r="312" spans="24:29" ht="15.75">
      <c r="X312" s="223" t="str">
        <f>+'3.Plan de Estudios'!$E$86</f>
        <v>INVESTIGACIÓN EDUCACIONAL</v>
      </c>
      <c r="Y312" s="222" t="str">
        <f>IF('3.Plan de Estudios'!AI86="","",'3.Plan de Estudios'!AI86)</f>
        <v/>
      </c>
      <c r="Z312" t="str">
        <f t="shared" si="29"/>
        <v>INVESTIGACIÓN EDUCACIONAL-</v>
      </c>
      <c r="AA312" s="89" t="str">
        <f t="shared" si="30"/>
        <v/>
      </c>
      <c r="AB312" t="str">
        <f t="shared" si="31"/>
        <v/>
      </c>
      <c r="AC312" t="str">
        <f>IF(AB312="","",CONCATENATE(",",AB312))</f>
        <v/>
      </c>
    </row>
    <row r="313" spans="24:29" ht="15.75">
      <c r="X313" s="183" t="str">
        <f>+'3.Plan de Estudios'!$E$87</f>
        <v>PROYECTO INTEGRADOR</v>
      </c>
      <c r="Y313" t="str">
        <f>IF('3.Plan de Estudios'!AA87="","",'3.Plan de Estudios'!AA87)</f>
        <v>CP4: Investigación Educativa:N2 Realiza proyectos de investigación reflejando sustento sobre el campo metodológico y teórico para sustentar los productos acreditables.</v>
      </c>
      <c r="Z313" t="str">
        <f t="shared" si="29"/>
        <v>PROYECTO INTEGRADOR-CP4: Investigación Educativa:N2 Realiza proyectos de investigación reflejando sustento sobre el camp</v>
      </c>
      <c r="AA313" s="89" t="str">
        <f t="shared" si="30"/>
        <v>a</v>
      </c>
      <c r="AB313" t="str">
        <f t="shared" si="31"/>
        <v xml:space="preserve"> Investigación Educativa</v>
      </c>
      <c r="AC313" t="str">
        <f>AB313</f>
        <v xml:space="preserve"> Investigación Educativa</v>
      </c>
    </row>
    <row r="314" spans="24:29" ht="15.75">
      <c r="X314" s="183" t="str">
        <f>+'3.Plan de Estudios'!$E$87</f>
        <v>PROYECTO INTEGRADOR</v>
      </c>
      <c r="Y314" t="str">
        <f>IF('3.Plan de Estudios'!AC87="","",'3.Plan de Estudios'!AC87)</f>
        <v>CG1: Comunicación Integral:N2 Elabora textos académicos escritos y comunicaciones orales con una estructura elaborada en el cual se reconoce la revisión de fuentes y documentación apropiada para comunicar sus ideas en un entorno académico y/o social.</v>
      </c>
      <c r="Z314" t="str">
        <f t="shared" si="29"/>
        <v>PROYECTO INTEGRADOR-CG1: Comunicación Integral:N2 Elabora textos académicos escritos y comunicaciones orales con una est</v>
      </c>
      <c r="AA314" s="89" t="str">
        <f t="shared" si="30"/>
        <v>a</v>
      </c>
      <c r="AB314" t="str">
        <f t="shared" si="31"/>
        <v xml:space="preserve"> Comunicación Integral</v>
      </c>
      <c r="AC314" t="str">
        <f>IF(AB314="","",CONCATENATE(",",AB314))</f>
        <v>, Comunicación Integral</v>
      </c>
    </row>
    <row r="315" spans="24:29" ht="15.75">
      <c r="X315" s="183" t="str">
        <f>+'3.Plan de Estudios'!$E$87</f>
        <v>PROYECTO INTEGRADOR</v>
      </c>
      <c r="Y315" t="str">
        <f>IF('3.Plan de Estudios'!AE87="","",'3.Plan de Estudios'!AE87)</f>
        <v/>
      </c>
      <c r="Z315" t="str">
        <f t="shared" si="29"/>
        <v>PROYECTO INTEGRADOR-</v>
      </c>
      <c r="AA315" s="89" t="str">
        <f t="shared" si="30"/>
        <v/>
      </c>
      <c r="AB315" t="str">
        <f t="shared" si="31"/>
        <v/>
      </c>
      <c r="AC315" t="str">
        <f>IF(AB315="","",CONCATENATE(",",AB315))</f>
        <v/>
      </c>
    </row>
    <row r="316" spans="24:29" ht="15.75">
      <c r="X316" s="183" t="str">
        <f>+'3.Plan de Estudios'!$E$87</f>
        <v>PROYECTO INTEGRADOR</v>
      </c>
      <c r="Y316" t="str">
        <f>IF('3.Plan de Estudios'!AG87="","",'3.Plan de Estudios'!AG87)</f>
        <v/>
      </c>
      <c r="Z316" t="str">
        <f t="shared" si="29"/>
        <v>PROYECTO INTEGRADOR-</v>
      </c>
      <c r="AA316" s="89" t="str">
        <f t="shared" si="30"/>
        <v/>
      </c>
      <c r="AB316" t="str">
        <f t="shared" si="31"/>
        <v/>
      </c>
      <c r="AC316" t="str">
        <f>IF(AB316="","",CONCATENATE(",",AB316))</f>
        <v/>
      </c>
    </row>
    <row r="317" spans="24:29" ht="15.75">
      <c r="X317" s="183" t="str">
        <f>+'3.Plan de Estudios'!$E$87</f>
        <v>PROYECTO INTEGRADOR</v>
      </c>
      <c r="Y317" t="str">
        <f>IF('3.Plan de Estudios'!AI87="","",'3.Plan de Estudios'!AI87)</f>
        <v/>
      </c>
      <c r="Z317" t="str">
        <f t="shared" si="29"/>
        <v>PROYECTO INTEGRADOR-</v>
      </c>
      <c r="AA317" s="89" t="str">
        <f t="shared" si="30"/>
        <v/>
      </c>
      <c r="AB317" t="str">
        <f t="shared" si="31"/>
        <v/>
      </c>
      <c r="AC317" t="str">
        <f>IF(AB317="","",CONCATENATE(",",AB317))</f>
        <v/>
      </c>
    </row>
    <row r="318" spans="24:29" ht="15.75">
      <c r="X318" s="223" t="str">
        <f>+'3.Plan de Estudios'!$E$88</f>
        <v>TEACHING ENGLISH AS SECOND LANGUAGE: METHODS &amp; S. II</v>
      </c>
      <c r="Y318" s="222" t="str">
        <f>IF('3.Plan de Estudios'!AA88="","",'3.Plan de Estudios'!AA88)</f>
        <v>CP3: Desarrollo enseñanza y aprendizaje:N2 Efectúa, de manera eficaz, el mejoramiento de la enseñanza docente para elevar la calidad educativa.</v>
      </c>
      <c r="Z318" t="str">
        <f t="shared" si="29"/>
        <v>TEACHING ENGLISH AS SECOND LANGUAGE: METHODS &amp; S. II-CP3: Desarrollo enseñanza y aprendizaje:N2 Efectúa, de manera eficaz, el mejoramiento de la enseñanz</v>
      </c>
      <c r="AA318" s="89" t="str">
        <f t="shared" si="30"/>
        <v>a</v>
      </c>
      <c r="AB318" t="str">
        <f t="shared" si="31"/>
        <v xml:space="preserve"> Desarrollo enseñanza y aprendizaje</v>
      </c>
      <c r="AC318" t="str">
        <f>AB318</f>
        <v xml:space="preserve"> Desarrollo enseñanza y aprendizaje</v>
      </c>
    </row>
    <row r="319" spans="24:29" ht="15.75">
      <c r="X319" s="223" t="str">
        <f>+'3.Plan de Estudios'!$E$88</f>
        <v>TEACHING ENGLISH AS SECOND LANGUAGE: METHODS &amp; S. II</v>
      </c>
      <c r="Y319" s="222" t="str">
        <f>IF('3.Plan de Estudios'!AC88="","",'3.Plan de Estudios'!AC88)</f>
        <v/>
      </c>
      <c r="Z319" t="str">
        <f t="shared" si="29"/>
        <v>TEACHING ENGLISH AS SECOND LANGUAGE: METHODS &amp; S. II-</v>
      </c>
      <c r="AA319" s="89" t="str">
        <f t="shared" si="30"/>
        <v/>
      </c>
      <c r="AB319" t="str">
        <f t="shared" si="31"/>
        <v/>
      </c>
      <c r="AC319" t="str">
        <f>IF(AB319="","",CONCATENATE(",",AB319))</f>
        <v/>
      </c>
    </row>
    <row r="320" spans="24:29" ht="15.75">
      <c r="X320" s="223" t="str">
        <f>+'3.Plan de Estudios'!$E$88</f>
        <v>TEACHING ENGLISH AS SECOND LANGUAGE: METHODS &amp; S. II</v>
      </c>
      <c r="Y320" s="222" t="str">
        <f>IF('3.Plan de Estudios'!AE88="","",'3.Plan de Estudios'!AE88)</f>
        <v/>
      </c>
      <c r="Z320" t="str">
        <f t="shared" si="29"/>
        <v>TEACHING ENGLISH AS SECOND LANGUAGE: METHODS &amp; S. II-</v>
      </c>
      <c r="AA320" s="89" t="str">
        <f t="shared" si="30"/>
        <v/>
      </c>
      <c r="AB320" t="str">
        <f t="shared" si="31"/>
        <v/>
      </c>
      <c r="AC320" t="str">
        <f>IF(AB320="","",CONCATENATE(",",AB320))</f>
        <v/>
      </c>
    </row>
    <row r="321" spans="24:29" ht="15.75">
      <c r="X321" s="223" t="str">
        <f>+'3.Plan de Estudios'!$E$88</f>
        <v>TEACHING ENGLISH AS SECOND LANGUAGE: METHODS &amp; S. II</v>
      </c>
      <c r="Y321" s="222" t="str">
        <f>IF('3.Plan de Estudios'!AG88="","",'3.Plan de Estudios'!AG88)</f>
        <v/>
      </c>
      <c r="Z321" t="str">
        <f t="shared" si="29"/>
        <v>TEACHING ENGLISH AS SECOND LANGUAGE: METHODS &amp; S. II-</v>
      </c>
      <c r="AA321" s="89" t="str">
        <f t="shared" si="30"/>
        <v/>
      </c>
      <c r="AB321" t="str">
        <f t="shared" si="31"/>
        <v/>
      </c>
      <c r="AC321" t="str">
        <f>IF(AB321="","",CONCATENATE(",",AB321))</f>
        <v/>
      </c>
    </row>
    <row r="322" spans="24:29" ht="15.75">
      <c r="X322" s="223" t="str">
        <f>+'3.Plan de Estudios'!$E$88</f>
        <v>TEACHING ENGLISH AS SECOND LANGUAGE: METHODS &amp; S. II</v>
      </c>
      <c r="Y322" s="222" t="str">
        <f>IF('3.Plan de Estudios'!AI88="","",'3.Plan de Estudios'!AI88)</f>
        <v/>
      </c>
      <c r="Z322" t="str">
        <f t="shared" si="29"/>
        <v>TEACHING ENGLISH AS SECOND LANGUAGE: METHODS &amp; S. II-</v>
      </c>
      <c r="AA322" s="89" t="str">
        <f t="shared" si="30"/>
        <v/>
      </c>
      <c r="AB322" t="str">
        <f t="shared" si="31"/>
        <v/>
      </c>
      <c r="AC322" t="str">
        <f>IF(AB322="","",CONCATENATE(",",AB322))</f>
        <v/>
      </c>
    </row>
    <row r="323" spans="24:29" ht="15.75">
      <c r="X323" s="183" t="str">
        <f>+'3.Plan de Estudios'!$E$89</f>
        <v>ELECTIVO 1</v>
      </c>
      <c r="Y323" t="str">
        <f>IF('3.Plan de Estudios'!AA89="","",'3.Plan de Estudios'!AA89)</f>
        <v/>
      </c>
      <c r="Z323" t="str">
        <f t="shared" si="29"/>
        <v>ELECTIVO 1-</v>
      </c>
      <c r="AA323" s="89" t="str">
        <f t="shared" si="30"/>
        <v/>
      </c>
      <c r="AB323" t="str">
        <f t="shared" si="31"/>
        <v/>
      </c>
      <c r="AC323" t="str">
        <f>AB323</f>
        <v/>
      </c>
    </row>
    <row r="324" spans="24:29" ht="15.75">
      <c r="X324" s="183" t="str">
        <f>+'3.Plan de Estudios'!$E$89</f>
        <v>ELECTIVO 1</v>
      </c>
      <c r="Y324" t="str">
        <f>IF('3.Plan de Estudios'!AC89="","",'3.Plan de Estudios'!AC89)</f>
        <v/>
      </c>
      <c r="Z324" t="str">
        <f t="shared" si="29"/>
        <v>ELECTIVO 1-</v>
      </c>
      <c r="AA324" s="89" t="str">
        <f t="shared" si="30"/>
        <v/>
      </c>
      <c r="AB324" t="str">
        <f t="shared" si="31"/>
        <v/>
      </c>
      <c r="AC324" t="str">
        <f>IF(AB324="","",CONCATENATE(",",AB324))</f>
        <v/>
      </c>
    </row>
    <row r="325" spans="24:29" ht="15.75">
      <c r="X325" s="183" t="str">
        <f>+'3.Plan de Estudios'!$E$89</f>
        <v>ELECTIVO 1</v>
      </c>
      <c r="Y325" t="str">
        <f>IF('3.Plan de Estudios'!AE89="","",'3.Plan de Estudios'!AE89)</f>
        <v/>
      </c>
      <c r="Z325" t="str">
        <f t="shared" si="29"/>
        <v>ELECTIVO 1-</v>
      </c>
      <c r="AA325" s="89" t="str">
        <f t="shared" si="30"/>
        <v/>
      </c>
      <c r="AB325" t="str">
        <f t="shared" si="31"/>
        <v/>
      </c>
      <c r="AC325" t="str">
        <f>IF(AB325="","",CONCATENATE(",",AB325))</f>
        <v/>
      </c>
    </row>
    <row r="326" spans="24:29" ht="15.75">
      <c r="X326" s="183" t="str">
        <f>+'3.Plan de Estudios'!$E$89</f>
        <v>ELECTIVO 1</v>
      </c>
      <c r="Y326" t="str">
        <f>IF('3.Plan de Estudios'!AG89="","",'3.Plan de Estudios'!AG89)</f>
        <v/>
      </c>
      <c r="Z326" t="str">
        <f t="shared" si="29"/>
        <v>ELECTIVO 1-</v>
      </c>
      <c r="AA326" s="89" t="str">
        <f t="shared" si="30"/>
        <v/>
      </c>
      <c r="AB326" t="str">
        <f t="shared" si="31"/>
        <v/>
      </c>
      <c r="AC326" t="str">
        <f>IF(AB326="","",CONCATENATE(",",AB326))</f>
        <v/>
      </c>
    </row>
    <row r="327" spans="24:29" ht="15.75">
      <c r="X327" s="183" t="str">
        <f>+'3.Plan de Estudios'!$E$89</f>
        <v>ELECTIVO 1</v>
      </c>
      <c r="Y327" t="str">
        <f>IF('3.Plan de Estudios'!AI89="","",'3.Plan de Estudios'!AI89)</f>
        <v/>
      </c>
      <c r="Z327" t="str">
        <f t="shared" si="29"/>
        <v>ELECTIVO 1-</v>
      </c>
      <c r="AA327" s="89" t="str">
        <f t="shared" si="30"/>
        <v/>
      </c>
      <c r="AB327" t="str">
        <f t="shared" si="31"/>
        <v/>
      </c>
      <c r="AC327" t="str">
        <f>IF(AB327="","",CONCATENATE(",",AB327))</f>
        <v/>
      </c>
    </row>
    <row r="328" spans="24:29" ht="15.75">
      <c r="X328" s="223">
        <f>+'3.Plan de Estudios'!$E$90</f>
        <v>0</v>
      </c>
      <c r="Y328" s="222" t="str">
        <f>IF('3.Plan de Estudios'!AA90="","",'3.Plan de Estudios'!AA90)</f>
        <v/>
      </c>
      <c r="Z328" t="str">
        <f t="shared" si="29"/>
        <v>0-</v>
      </c>
      <c r="AA328" s="89" t="str">
        <f t="shared" si="30"/>
        <v/>
      </c>
      <c r="AB328" t="str">
        <f t="shared" si="31"/>
        <v/>
      </c>
      <c r="AC328" t="str">
        <f>AB328</f>
        <v/>
      </c>
    </row>
    <row r="329" spans="24:29" ht="15.75">
      <c r="X329" s="223">
        <f>+'3.Plan de Estudios'!$E$90</f>
        <v>0</v>
      </c>
      <c r="Y329" s="222" t="str">
        <f>IF('3.Plan de Estudios'!AC90="","",'3.Plan de Estudios'!AC90)</f>
        <v/>
      </c>
      <c r="Z329" t="str">
        <f t="shared" si="29"/>
        <v>0-</v>
      </c>
      <c r="AA329" s="89" t="str">
        <f t="shared" si="30"/>
        <v/>
      </c>
      <c r="AB329" t="str">
        <f t="shared" si="31"/>
        <v/>
      </c>
      <c r="AC329" t="str">
        <f>IF(AB329="","",CONCATENATE(",",AB329))</f>
        <v/>
      </c>
    </row>
    <row r="330" spans="24:29" ht="15.75">
      <c r="X330" s="223">
        <f>+'3.Plan de Estudios'!$E$90</f>
        <v>0</v>
      </c>
      <c r="Y330" s="222" t="str">
        <f>IF('3.Plan de Estudios'!AE90="","",'3.Plan de Estudios'!AE90)</f>
        <v/>
      </c>
      <c r="Z330" t="str">
        <f t="shared" si="29"/>
        <v>0-</v>
      </c>
      <c r="AA330" s="89" t="str">
        <f t="shared" si="30"/>
        <v/>
      </c>
      <c r="AB330" t="str">
        <f t="shared" si="31"/>
        <v/>
      </c>
      <c r="AC330" t="str">
        <f>IF(AB330="","",CONCATENATE(",",AB330))</f>
        <v/>
      </c>
    </row>
    <row r="331" spans="24:29" ht="15.75">
      <c r="X331" s="223">
        <f>+'3.Plan de Estudios'!$E$90</f>
        <v>0</v>
      </c>
      <c r="Y331" s="222" t="str">
        <f>IF('3.Plan de Estudios'!AG90="","",'3.Plan de Estudios'!AG90)</f>
        <v/>
      </c>
      <c r="Z331" t="str">
        <f t="shared" si="29"/>
        <v>0-</v>
      </c>
      <c r="AA331" s="89" t="str">
        <f t="shared" si="30"/>
        <v/>
      </c>
      <c r="AB331" t="str">
        <f t="shared" si="31"/>
        <v/>
      </c>
      <c r="AC331" t="str">
        <f>IF(AB331="","",CONCATENATE(",",AB331))</f>
        <v/>
      </c>
    </row>
    <row r="332" spans="24:29" ht="15.75">
      <c r="X332" s="223">
        <f>+'3.Plan de Estudios'!$E$90</f>
        <v>0</v>
      </c>
      <c r="Y332" s="222" t="str">
        <f>IF('3.Plan de Estudios'!AI90="","",'3.Plan de Estudios'!AI90)</f>
        <v/>
      </c>
      <c r="Z332" t="str">
        <f t="shared" si="29"/>
        <v>0-</v>
      </c>
      <c r="AA332" s="89" t="str">
        <f t="shared" si="30"/>
        <v/>
      </c>
      <c r="AB332" t="str">
        <f t="shared" si="31"/>
        <v/>
      </c>
      <c r="AC332" t="str">
        <f>IF(AB332="","",CONCATENATE(",",AB332))</f>
        <v/>
      </c>
    </row>
    <row r="333" spans="24:29" ht="15.75">
      <c r="X333" s="183">
        <f>+'3.Plan de Estudios'!$E$91</f>
        <v>0</v>
      </c>
      <c r="Y333" t="str">
        <f>IF('3.Plan de Estudios'!AA91="","",'3.Plan de Estudios'!AA91)</f>
        <v/>
      </c>
      <c r="Z333" t="str">
        <f t="shared" si="29"/>
        <v>0-</v>
      </c>
      <c r="AA333" s="89" t="str">
        <f t="shared" si="30"/>
        <v/>
      </c>
      <c r="AB333" t="str">
        <f t="shared" si="31"/>
        <v/>
      </c>
      <c r="AC333" t="str">
        <f>AB333</f>
        <v/>
      </c>
    </row>
    <row r="334" spans="24:29" ht="15.75">
      <c r="X334" s="183">
        <f>+'3.Plan de Estudios'!$E$91</f>
        <v>0</v>
      </c>
      <c r="Y334" t="str">
        <f>IF('3.Plan de Estudios'!AC91="","",'3.Plan de Estudios'!AC91)</f>
        <v/>
      </c>
      <c r="Z334" t="str">
        <f t="shared" si="29"/>
        <v>0-</v>
      </c>
      <c r="AA334" s="89" t="str">
        <f t="shared" si="30"/>
        <v/>
      </c>
      <c r="AB334" t="str">
        <f t="shared" si="31"/>
        <v/>
      </c>
      <c r="AC334" t="str">
        <f>IF(AB334="","",CONCATENATE(",",AB334))</f>
        <v/>
      </c>
    </row>
    <row r="335" spans="24:29" ht="15.75">
      <c r="X335" s="183">
        <f>+'3.Plan de Estudios'!$E$91</f>
        <v>0</v>
      </c>
      <c r="Y335" t="str">
        <f>IF('3.Plan de Estudios'!AE91="","",'3.Plan de Estudios'!AE91)</f>
        <v/>
      </c>
      <c r="Z335" t="str">
        <f t="shared" si="29"/>
        <v>0-</v>
      </c>
      <c r="AA335" s="89" t="str">
        <f t="shared" si="30"/>
        <v/>
      </c>
      <c r="AB335" t="str">
        <f t="shared" si="31"/>
        <v/>
      </c>
      <c r="AC335" t="str">
        <f>IF(AB335="","",CONCATENATE(",",AB335))</f>
        <v/>
      </c>
    </row>
    <row r="336" spans="24:29" ht="15.75">
      <c r="X336" s="183">
        <f>+'3.Plan de Estudios'!$E$91</f>
        <v>0</v>
      </c>
      <c r="Y336" t="str">
        <f>IF('3.Plan de Estudios'!AG91="","",'3.Plan de Estudios'!AG91)</f>
        <v/>
      </c>
      <c r="Z336" t="str">
        <f t="shared" si="29"/>
        <v>0-</v>
      </c>
      <c r="AA336" s="89" t="str">
        <f t="shared" si="30"/>
        <v/>
      </c>
      <c r="AB336" t="str">
        <f t="shared" si="31"/>
        <v/>
      </c>
      <c r="AC336" t="str">
        <f>IF(AB336="","",CONCATENATE(",",AB336))</f>
        <v/>
      </c>
    </row>
    <row r="337" spans="24:29" ht="15.75">
      <c r="X337" s="183">
        <f>+'3.Plan de Estudios'!$E$91</f>
        <v>0</v>
      </c>
      <c r="Y337" t="str">
        <f>IF('3.Plan de Estudios'!AI91="","",'3.Plan de Estudios'!AI91)</f>
        <v/>
      </c>
      <c r="Z337" t="str">
        <f t="shared" si="29"/>
        <v>0-</v>
      </c>
      <c r="AA337" s="89" t="str">
        <f t="shared" si="30"/>
        <v/>
      </c>
      <c r="AB337" t="str">
        <f t="shared" si="31"/>
        <v/>
      </c>
      <c r="AC337" t="str">
        <f>IF(AB337="","",CONCATENATE(",",AB337))</f>
        <v/>
      </c>
    </row>
    <row r="338" spans="24:29" ht="15.75">
      <c r="X338" s="223">
        <f>+'3.Plan de Estudios'!$E$92</f>
        <v>0</v>
      </c>
      <c r="Y338" s="222" t="str">
        <f>IF('3.Plan de Estudios'!AA92="","",'3.Plan de Estudios'!AA92)</f>
        <v/>
      </c>
      <c r="Z338" t="str">
        <f t="shared" si="29"/>
        <v>0-</v>
      </c>
      <c r="AA338" s="89" t="str">
        <f t="shared" si="30"/>
        <v/>
      </c>
      <c r="AB338" t="str">
        <f t="shared" si="31"/>
        <v/>
      </c>
      <c r="AC338" t="str">
        <f>AB338</f>
        <v/>
      </c>
    </row>
    <row r="339" spans="24:29" ht="15.75">
      <c r="X339" s="223">
        <f>+'3.Plan de Estudios'!$E$92</f>
        <v>0</v>
      </c>
      <c r="Y339" s="222" t="str">
        <f>IF('3.Plan de Estudios'!AC92="","",'3.Plan de Estudios'!AC92)</f>
        <v/>
      </c>
      <c r="Z339" t="str">
        <f t="shared" si="29"/>
        <v>0-</v>
      </c>
      <c r="AA339" s="89" t="str">
        <f t="shared" si="30"/>
        <v/>
      </c>
      <c r="AB339" t="str">
        <f t="shared" si="31"/>
        <v/>
      </c>
      <c r="AC339" t="str">
        <f>IF(AB339="","",CONCATENATE(",",AB339))</f>
        <v/>
      </c>
    </row>
    <row r="340" spans="24:29" ht="15.75">
      <c r="X340" s="223">
        <f>+'3.Plan de Estudios'!$E$92</f>
        <v>0</v>
      </c>
      <c r="Y340" s="222" t="str">
        <f>IF('3.Plan de Estudios'!AE92="","",'3.Plan de Estudios'!AE92)</f>
        <v/>
      </c>
      <c r="Z340" t="str">
        <f t="shared" si="29"/>
        <v>0-</v>
      </c>
      <c r="AA340" s="89" t="str">
        <f t="shared" si="30"/>
        <v/>
      </c>
      <c r="AB340" t="str">
        <f t="shared" si="31"/>
        <v/>
      </c>
      <c r="AC340" t="str">
        <f>IF(AB340="","",CONCATENATE(",",AB340))</f>
        <v/>
      </c>
    </row>
    <row r="341" spans="24:29" ht="15.75">
      <c r="X341" s="223">
        <f>+'3.Plan de Estudios'!$E$92</f>
        <v>0</v>
      </c>
      <c r="Y341" s="222" t="str">
        <f>IF('3.Plan de Estudios'!AG92="","",'3.Plan de Estudios'!AG92)</f>
        <v/>
      </c>
      <c r="Z341" t="str">
        <f t="shared" si="29"/>
        <v>0-</v>
      </c>
      <c r="AA341" s="89" t="str">
        <f t="shared" si="30"/>
        <v/>
      </c>
      <c r="AB341" t="str">
        <f t="shared" si="31"/>
        <v/>
      </c>
      <c r="AC341" t="str">
        <f>IF(AB341="","",CONCATENATE(",",AB341))</f>
        <v/>
      </c>
    </row>
    <row r="342" spans="24:29" ht="15.75">
      <c r="X342" s="223">
        <f>+'3.Plan de Estudios'!$E$92</f>
        <v>0</v>
      </c>
      <c r="Y342" s="222" t="str">
        <f>IF('3.Plan de Estudios'!AI92="","",'3.Plan de Estudios'!AI92)</f>
        <v/>
      </c>
      <c r="Z342" t="str">
        <f t="shared" si="29"/>
        <v>0-</v>
      </c>
      <c r="AA342" s="89" t="str">
        <f t="shared" si="30"/>
        <v/>
      </c>
      <c r="AB342" t="str">
        <f t="shared" si="31"/>
        <v/>
      </c>
      <c r="AC342" t="str">
        <f>IF(AB342="","",CONCATENATE(",",AB342))</f>
        <v/>
      </c>
    </row>
    <row r="343" spans="24:29" ht="15.75">
      <c r="X343" s="183">
        <f>+'3.Plan de Estudios'!$E$93</f>
        <v>0</v>
      </c>
      <c r="Y343" t="str">
        <f>IF('3.Plan de Estudios'!AA93="","",'3.Plan de Estudios'!AA93)</f>
        <v/>
      </c>
      <c r="Z343" t="str">
        <f t="shared" si="29"/>
        <v>0-</v>
      </c>
      <c r="AA343" s="89" t="str">
        <f t="shared" si="30"/>
        <v/>
      </c>
      <c r="AB343" t="str">
        <f t="shared" si="31"/>
        <v/>
      </c>
      <c r="AC343" t="str">
        <f>AB343</f>
        <v/>
      </c>
    </row>
    <row r="344" spans="24:29" ht="15.75">
      <c r="X344" s="183">
        <f>+'3.Plan de Estudios'!$E$93</f>
        <v>0</v>
      </c>
      <c r="Y344" t="str">
        <f>IF('3.Plan de Estudios'!AC93="","",'3.Plan de Estudios'!AC93)</f>
        <v/>
      </c>
      <c r="Z344" t="str">
        <f t="shared" si="29"/>
        <v>0-</v>
      </c>
      <c r="AA344" s="89" t="str">
        <f t="shared" si="30"/>
        <v/>
      </c>
      <c r="AB344" t="str">
        <f t="shared" si="31"/>
        <v/>
      </c>
      <c r="AC344" t="str">
        <f>IF(AB344="","",CONCATENATE(",",AB344))</f>
        <v/>
      </c>
    </row>
    <row r="345" spans="24:29" ht="15.75">
      <c r="X345" s="183">
        <f>+'3.Plan de Estudios'!$E$93</f>
        <v>0</v>
      </c>
      <c r="Y345" t="str">
        <f>IF('3.Plan de Estudios'!AE93="","",'3.Plan de Estudios'!AE93)</f>
        <v/>
      </c>
      <c r="Z345" t="str">
        <f t="shared" si="29"/>
        <v>0-</v>
      </c>
      <c r="AA345" s="89" t="str">
        <f t="shared" si="30"/>
        <v/>
      </c>
      <c r="AB345" t="str">
        <f t="shared" si="31"/>
        <v/>
      </c>
      <c r="AC345" t="str">
        <f>IF(AB345="","",CONCATENATE(",",AB345))</f>
        <v/>
      </c>
    </row>
    <row r="346" spans="24:29" ht="15.75">
      <c r="X346" s="183">
        <f>+'3.Plan de Estudios'!$E$93</f>
        <v>0</v>
      </c>
      <c r="Y346" t="str">
        <f>IF('3.Plan de Estudios'!AG93="","",'3.Plan de Estudios'!AG93)</f>
        <v/>
      </c>
      <c r="Z346" t="str">
        <f t="shared" si="29"/>
        <v>0-</v>
      </c>
      <c r="AA346" s="89" t="str">
        <f t="shared" si="30"/>
        <v/>
      </c>
      <c r="AB346" t="str">
        <f t="shared" si="31"/>
        <v/>
      </c>
      <c r="AC346" t="str">
        <f>IF(AB346="","",CONCATENATE(",",AB346))</f>
        <v/>
      </c>
    </row>
    <row r="347" spans="24:29" ht="15.75">
      <c r="X347" s="183">
        <f>+'3.Plan de Estudios'!$E$93</f>
        <v>0</v>
      </c>
      <c r="Y347" t="str">
        <f>IF('3.Plan de Estudios'!AI93="","",'3.Plan de Estudios'!AI93)</f>
        <v/>
      </c>
      <c r="Z347" t="str">
        <f t="shared" si="29"/>
        <v>0-</v>
      </c>
      <c r="AA347" s="89" t="str">
        <f t="shared" si="30"/>
        <v/>
      </c>
      <c r="AB347" t="str">
        <f t="shared" si="31"/>
        <v/>
      </c>
      <c r="AC347" t="str">
        <f>IF(AB347="","",CONCATENATE(",",AB347))</f>
        <v/>
      </c>
    </row>
    <row r="348" spans="24:29" ht="15.75">
      <c r="X348" s="223">
        <f>+'3.Plan de Estudios'!$E$94</f>
        <v>0</v>
      </c>
      <c r="Y348" s="222" t="str">
        <f>IF('3.Plan de Estudios'!AA94="","",'3.Plan de Estudios'!AA94)</f>
        <v/>
      </c>
      <c r="Z348" t="str">
        <f t="shared" si="29"/>
        <v>0-</v>
      </c>
      <c r="AA348" s="89" t="str">
        <f t="shared" si="30"/>
        <v/>
      </c>
      <c r="AB348" t="str">
        <f t="shared" si="31"/>
        <v/>
      </c>
      <c r="AC348" t="str">
        <f>AB348</f>
        <v/>
      </c>
    </row>
    <row r="349" spans="24:29" ht="15.75">
      <c r="X349" s="223">
        <f>+'3.Plan de Estudios'!$E$94</f>
        <v>0</v>
      </c>
      <c r="Y349" s="222" t="str">
        <f>IF('3.Plan de Estudios'!AC94="","",'3.Plan de Estudios'!AC94)</f>
        <v/>
      </c>
      <c r="Z349" t="str">
        <f t="shared" si="29"/>
        <v>0-</v>
      </c>
      <c r="AA349" s="89" t="str">
        <f t="shared" si="30"/>
        <v/>
      </c>
      <c r="AB349" t="str">
        <f t="shared" si="31"/>
        <v/>
      </c>
      <c r="AC349" t="str">
        <f>IF(AB349="","",CONCATENATE(",",AB349))</f>
        <v/>
      </c>
    </row>
    <row r="350" spans="24:29" ht="15.75">
      <c r="X350" s="223">
        <f>+'3.Plan de Estudios'!$E$94</f>
        <v>0</v>
      </c>
      <c r="Y350" s="222" t="str">
        <f>IF('3.Plan de Estudios'!AE94="","",'3.Plan de Estudios'!AE94)</f>
        <v/>
      </c>
      <c r="Z350" t="str">
        <f t="shared" si="29"/>
        <v>0-</v>
      </c>
      <c r="AA350" s="89" t="str">
        <f t="shared" si="30"/>
        <v/>
      </c>
      <c r="AB350" t="str">
        <f t="shared" si="31"/>
        <v/>
      </c>
      <c r="AC350" t="str">
        <f>IF(AB350="","",CONCATENATE(",",AB350))</f>
        <v/>
      </c>
    </row>
    <row r="351" spans="24:29" ht="15.75">
      <c r="X351" s="223">
        <f>+'3.Plan de Estudios'!$E$94</f>
        <v>0</v>
      </c>
      <c r="Y351" s="222" t="str">
        <f>IF('3.Plan de Estudios'!AG94="","",'3.Plan de Estudios'!AG94)</f>
        <v/>
      </c>
      <c r="Z351" t="str">
        <f t="shared" si="29"/>
        <v>0-</v>
      </c>
      <c r="AA351" s="89" t="str">
        <f t="shared" si="30"/>
        <v/>
      </c>
      <c r="AB351" t="str">
        <f t="shared" si="31"/>
        <v/>
      </c>
      <c r="AC351" t="str">
        <f>IF(AB351="","",CONCATENATE(",",AB351))</f>
        <v/>
      </c>
    </row>
    <row r="352" spans="24:29" ht="15.75">
      <c r="X352" s="224">
        <f>+'3.Plan de Estudios'!$E$94</f>
        <v>0</v>
      </c>
      <c r="Y352" s="225" t="str">
        <f>IF('3.Plan de Estudios'!AI94="","",'3.Plan de Estudios'!AI94)</f>
        <v/>
      </c>
      <c r="Z352" t="str">
        <f t="shared" si="29"/>
        <v>0-</v>
      </c>
      <c r="AA352" s="89" t="str">
        <f t="shared" si="30"/>
        <v/>
      </c>
      <c r="AB352" t="str">
        <f t="shared" si="31"/>
        <v/>
      </c>
      <c r="AC352" t="str">
        <f>IF(AB352="","",CONCATENATE(",",AB352))</f>
        <v/>
      </c>
    </row>
    <row r="353" spans="24:29" ht="15.75">
      <c r="X353" s="189" t="str">
        <f>+'3.Plan de Estudios'!$E$96</f>
        <v>ESL: LEARNER STRATEGIES</v>
      </c>
      <c r="Y353" s="190" t="str">
        <f>IF('3.Plan de Estudios'!AA96="","",'3.Plan de Estudios'!AA96)</f>
        <v>CP5: Comprensión y expresión del idioma inglés:N3 Explica, crítica de manera holística el idioma inglés como segunda lengua, según los aspectos fonético, léxico y semántico utilizando las TIC para sistematizarla didácticamente en el proceso de enseñanza aprendizaje.</v>
      </c>
      <c r="Z353" t="str">
        <f t="shared" si="29"/>
        <v>ESL: LEARNER STRATEGIES-CP5: Comprensión y expresión del idioma inglés:N3 Explica, crítica de manera holística el idioma ing</v>
      </c>
      <c r="AA353" s="89" t="str">
        <f t="shared" si="30"/>
        <v>a</v>
      </c>
      <c r="AB353" t="str">
        <f t="shared" si="31"/>
        <v xml:space="preserve"> Comprensión y expresión del idioma inglés</v>
      </c>
      <c r="AC353" t="str">
        <f>AB353</f>
        <v xml:space="preserve"> Comprensión y expresión del idioma inglés</v>
      </c>
    </row>
    <row r="354" spans="24:29" ht="15.75">
      <c r="X354" s="183" t="str">
        <f>+'3.Plan de Estudios'!$E$96</f>
        <v>ESL: LEARNER STRATEGIES</v>
      </c>
      <c r="Y354" t="str">
        <f>IF('3.Plan de Estudios'!AC96="","",'3.Plan de Estudios'!AC96)</f>
        <v/>
      </c>
      <c r="Z354" t="str">
        <f t="shared" si="29"/>
        <v>ESL: LEARNER STRATEGIES-</v>
      </c>
      <c r="AA354" s="89" t="str">
        <f t="shared" si="30"/>
        <v/>
      </c>
      <c r="AB354" t="str">
        <f t="shared" si="31"/>
        <v/>
      </c>
      <c r="AC354" t="str">
        <f>IF(AB354="","",CONCATENATE(",",AB354))</f>
        <v/>
      </c>
    </row>
    <row r="355" spans="24:29" ht="15.75">
      <c r="X355" s="183" t="str">
        <f>+'3.Plan de Estudios'!$E$96</f>
        <v>ESL: LEARNER STRATEGIES</v>
      </c>
      <c r="Y355" t="str">
        <f>IF('3.Plan de Estudios'!AE96="","",'3.Plan de Estudios'!AE96)</f>
        <v/>
      </c>
      <c r="Z355" t="str">
        <f t="shared" si="29"/>
        <v>ESL: LEARNER STRATEGIES-</v>
      </c>
      <c r="AA355" s="89" t="str">
        <f t="shared" si="30"/>
        <v/>
      </c>
      <c r="AB355" t="str">
        <f t="shared" si="31"/>
        <v/>
      </c>
      <c r="AC355" t="str">
        <f>IF(AB355="","",CONCATENATE(",",AB355))</f>
        <v/>
      </c>
    </row>
    <row r="356" spans="24:29" ht="15.75">
      <c r="X356" s="183" t="str">
        <f>+'3.Plan de Estudios'!$E$96</f>
        <v>ESL: LEARNER STRATEGIES</v>
      </c>
      <c r="Y356" t="str">
        <f>IF('3.Plan de Estudios'!AG96="","",'3.Plan de Estudios'!AG96)</f>
        <v/>
      </c>
      <c r="Z356" t="str">
        <f t="shared" si="29"/>
        <v>ESL: LEARNER STRATEGIES-</v>
      </c>
      <c r="AA356" s="89" t="str">
        <f t="shared" si="30"/>
        <v/>
      </c>
      <c r="AB356" t="str">
        <f t="shared" si="31"/>
        <v/>
      </c>
      <c r="AC356" t="str">
        <f>IF(AB356="","",CONCATENATE(",",AB356))</f>
        <v/>
      </c>
    </row>
    <row r="357" spans="24:29" ht="15.75">
      <c r="X357" s="183" t="str">
        <f>+'3.Plan de Estudios'!$E$96</f>
        <v>ESL: LEARNER STRATEGIES</v>
      </c>
      <c r="Y357" t="str">
        <f>IF('3.Plan de Estudios'!AI96="","",'3.Plan de Estudios'!AI96)</f>
        <v/>
      </c>
      <c r="Z357" t="str">
        <f t="shared" si="29"/>
        <v>ESL: LEARNER STRATEGIES-</v>
      </c>
      <c r="AA357" s="89" t="str">
        <f t="shared" si="30"/>
        <v/>
      </c>
      <c r="AB357" t="str">
        <f t="shared" si="31"/>
        <v/>
      </c>
      <c r="AC357" t="str">
        <f>IF(AB357="","",CONCATENATE(",",AB357))</f>
        <v/>
      </c>
    </row>
    <row r="358" spans="24:29" ht="15.75">
      <c r="X358" s="223" t="str">
        <f>+'3.Plan de Estudios'!$E$97</f>
        <v>LISTENING COMPREHENSION</v>
      </c>
      <c r="Y358" s="222" t="str">
        <f>IF('3.Plan de Estudios'!AA97="","",'3.Plan de Estudios'!AA97)</f>
        <v>CP5: Comprensión y expresión del idioma inglés:N3 Explica, crítica de manera holística el idioma inglés como segunda lengua, según los aspectos fonético, léxico y semántico utilizando las TIC para sistematizarla didácticamente en el proceso de enseñanza aprendizaje.</v>
      </c>
      <c r="Z358" t="str">
        <f t="shared" si="29"/>
        <v>LISTENING COMPREHENSION-CP5: Comprensión y expresión del idioma inglés:N3 Explica, crítica de manera holística el idioma ing</v>
      </c>
      <c r="AA358" s="89" t="str">
        <f t="shared" si="30"/>
        <v>a</v>
      </c>
      <c r="AB358" t="str">
        <f t="shared" si="31"/>
        <v xml:space="preserve"> Comprensión y expresión del idioma inglés</v>
      </c>
      <c r="AC358" t="str">
        <f>AB358</f>
        <v xml:space="preserve"> Comprensión y expresión del idioma inglés</v>
      </c>
    </row>
    <row r="359" spans="24:29" ht="15.75">
      <c r="X359" s="223" t="str">
        <f>+'3.Plan de Estudios'!$E$97</f>
        <v>LISTENING COMPREHENSION</v>
      </c>
      <c r="Y359" s="222" t="str">
        <f>IF('3.Plan de Estudios'!AC97="","",'3.Plan de Estudios'!AC97)</f>
        <v>CG2: Comunicación Bilingüe:N3 Se desenvuelve en inglés utilizando las cuatro habilidades lingüísticas -comprensión auditiva, comprensión lectora, producción oral y producción escrita- con destreza y fluidez para el desempeño personal, académico y profesional.</v>
      </c>
      <c r="Z359" t="str">
        <f t="shared" si="29"/>
        <v>LISTENING COMPREHENSION-CG2: Comunicación Bilingüe:N3 Se desenvuelve en inglés utilizando las cuatro habilidades lingüística</v>
      </c>
      <c r="AA359" s="89" t="str">
        <f t="shared" si="30"/>
        <v>a</v>
      </c>
      <c r="AB359" t="str">
        <f t="shared" si="31"/>
        <v xml:space="preserve"> Comunicación Bilingüe</v>
      </c>
      <c r="AC359" t="str">
        <f>IF(AB359="","",CONCATENATE(",",AB359))</f>
        <v>, Comunicación Bilingüe</v>
      </c>
    </row>
    <row r="360" spans="24:29" ht="15.75">
      <c r="X360" s="223" t="str">
        <f>+'3.Plan de Estudios'!$E$97</f>
        <v>LISTENING COMPREHENSION</v>
      </c>
      <c r="Y360" s="222" t="str">
        <f>IF('3.Plan de Estudios'!AE97="","",'3.Plan de Estudios'!AE97)</f>
        <v/>
      </c>
      <c r="Z360" t="str">
        <f t="shared" si="29"/>
        <v>LISTENING COMPREHENSION-</v>
      </c>
      <c r="AA360" s="89" t="str">
        <f t="shared" si="30"/>
        <v/>
      </c>
      <c r="AB360" t="str">
        <f t="shared" si="31"/>
        <v/>
      </c>
      <c r="AC360" t="str">
        <f>IF(AB360="","",CONCATENATE(",",AB360))</f>
        <v/>
      </c>
    </row>
    <row r="361" spans="24:29" ht="15.75">
      <c r="X361" s="223" t="str">
        <f>+'3.Plan de Estudios'!$E$97</f>
        <v>LISTENING COMPREHENSION</v>
      </c>
      <c r="Y361" s="222" t="str">
        <f>IF('3.Plan de Estudios'!AG97="","",'3.Plan de Estudios'!AG97)</f>
        <v/>
      </c>
      <c r="Z361" t="str">
        <f t="shared" si="29"/>
        <v>LISTENING COMPREHENSION-</v>
      </c>
      <c r="AA361" s="89" t="str">
        <f t="shared" si="30"/>
        <v/>
      </c>
      <c r="AB361" t="str">
        <f t="shared" si="31"/>
        <v/>
      </c>
      <c r="AC361" t="str">
        <f>IF(AB361="","",CONCATENATE(",",AB361))</f>
        <v/>
      </c>
    </row>
    <row r="362" spans="24:29" ht="15.75">
      <c r="X362" s="223" t="str">
        <f>+'3.Plan de Estudios'!$E$97</f>
        <v>LISTENING COMPREHENSION</v>
      </c>
      <c r="Y362" s="222" t="str">
        <f>IF('3.Plan de Estudios'!AI97="","",'3.Plan de Estudios'!AI97)</f>
        <v/>
      </c>
      <c r="Z362" t="str">
        <f t="shared" si="29"/>
        <v>LISTENING COMPREHENSION-</v>
      </c>
      <c r="AA362" s="89" t="str">
        <f t="shared" si="30"/>
        <v/>
      </c>
      <c r="AB362" t="str">
        <f t="shared" si="31"/>
        <v/>
      </c>
      <c r="AC362" t="str">
        <f>IF(AB362="","",CONCATENATE(",",AB362))</f>
        <v/>
      </c>
    </row>
    <row r="363" spans="24:29" ht="15.75">
      <c r="X363" s="183" t="str">
        <f>+'3.Plan de Estudios'!$E$98</f>
        <v>ORGANIZACIÓN DE LA INFORMACIÓN</v>
      </c>
      <c r="Y363" t="str">
        <f>IF('3.Plan de Estudios'!AA98="","",'3.Plan de Estudios'!AA98)</f>
        <v>CP4: Investigación Educativa:N3 Elabora el proyecto de investigación demostrando consistencia sobre todo en el marco teórico, diseño metodológico y validación de los instrumentos de investigación.</v>
      </c>
      <c r="Z363" t="str">
        <f t="shared" si="29"/>
        <v xml:space="preserve">ORGANIZACIÓN DE LA INFORMACIÓN-CP4: Investigación Educativa:N3 Elabora el proyecto de investigación demostrando consistencia sobre </v>
      </c>
      <c r="AA363" s="89" t="str">
        <f t="shared" si="30"/>
        <v>a</v>
      </c>
      <c r="AB363" t="str">
        <f t="shared" si="31"/>
        <v xml:space="preserve"> Investigación Educativa</v>
      </c>
      <c r="AC363" t="str">
        <f>AB363</f>
        <v xml:space="preserve"> Investigación Educativa</v>
      </c>
    </row>
    <row r="364" spans="24:29" ht="15.75">
      <c r="X364" s="183" t="str">
        <f>+'3.Plan de Estudios'!$E$98</f>
        <v>ORGANIZACIÓN DE LA INFORMACIÓN</v>
      </c>
      <c r="Y364" t="str">
        <f>IF('3.Plan de Estudios'!AC98="","",'3.Plan de Estudios'!AC98)</f>
        <v>CG3: Investigación:N2 Define cual es la metodología para responder su pregunta de investigación con ética e integridad.</v>
      </c>
      <c r="Z364" t="str">
        <f t="shared" si="29"/>
        <v xml:space="preserve">ORGANIZACIÓN DE LA INFORMACIÓN-CG3: Investigación:N2 Define cual es la metodología para responder su pregunta de investigación con </v>
      </c>
      <c r="AA364" s="89" t="str">
        <f t="shared" si="30"/>
        <v>a</v>
      </c>
      <c r="AB364" t="str">
        <f t="shared" si="31"/>
        <v xml:space="preserve"> Investigación</v>
      </c>
      <c r="AC364" t="str">
        <f>IF(AB364="","",CONCATENATE(",",AB364))</f>
        <v>, Investigación</v>
      </c>
    </row>
    <row r="365" spans="24:29" ht="15.75">
      <c r="X365" s="183" t="str">
        <f>+'3.Plan de Estudios'!$E$98</f>
        <v>ORGANIZACIÓN DE LA INFORMACIÓN</v>
      </c>
      <c r="Y365" t="str">
        <f>IF('3.Plan de Estudios'!AE98="","",'3.Plan de Estudios'!AE98)</f>
        <v/>
      </c>
      <c r="Z365" t="str">
        <f t="shared" si="29"/>
        <v>ORGANIZACIÓN DE LA INFORMACIÓN-</v>
      </c>
      <c r="AA365" s="89" t="str">
        <f t="shared" si="30"/>
        <v/>
      </c>
      <c r="AB365" t="str">
        <f t="shared" si="31"/>
        <v/>
      </c>
      <c r="AC365" t="str">
        <f>IF(AB365="","",CONCATENATE(",",AB365))</f>
        <v/>
      </c>
    </row>
    <row r="366" spans="24:29" ht="15.75">
      <c r="X366" s="183" t="str">
        <f>+'3.Plan de Estudios'!$E$98</f>
        <v>ORGANIZACIÓN DE LA INFORMACIÓN</v>
      </c>
      <c r="Y366" t="str">
        <f>IF('3.Plan de Estudios'!AG98="","",'3.Plan de Estudios'!AG98)</f>
        <v/>
      </c>
      <c r="Z366" t="str">
        <f t="shared" si="29"/>
        <v>ORGANIZACIÓN DE LA INFORMACIÓN-</v>
      </c>
      <c r="AA366" s="89" t="str">
        <f t="shared" si="30"/>
        <v/>
      </c>
      <c r="AB366" t="str">
        <f t="shared" si="31"/>
        <v/>
      </c>
      <c r="AC366" t="str">
        <f>IF(AB366="","",CONCATENATE(",",AB366))</f>
        <v/>
      </c>
    </row>
    <row r="367" spans="24:29" ht="15.75">
      <c r="X367" s="183" t="str">
        <f>+'3.Plan de Estudios'!$E$98</f>
        <v>ORGANIZACIÓN DE LA INFORMACIÓN</v>
      </c>
      <c r="Y367" t="str">
        <f>IF('3.Plan de Estudios'!AI98="","",'3.Plan de Estudios'!AI98)</f>
        <v/>
      </c>
      <c r="Z367" t="str">
        <f t="shared" si="29"/>
        <v>ORGANIZACIÓN DE LA INFORMACIÓN-</v>
      </c>
      <c r="AA367" s="89" t="str">
        <f t="shared" si="30"/>
        <v/>
      </c>
      <c r="AB367" t="str">
        <f t="shared" si="31"/>
        <v/>
      </c>
      <c r="AC367" t="str">
        <f>IF(AB367="","",CONCATENATE(",",AB367))</f>
        <v/>
      </c>
    </row>
    <row r="368" spans="24:29" ht="15.75">
      <c r="X368" s="223" t="str">
        <f>+'3.Plan de Estudios'!$E$99</f>
        <v>PRÁCTICA PRE-PROFESIONAL INICIAL</v>
      </c>
      <c r="Y368" s="222" t="str">
        <f>IF('3.Plan de Estudios'!AA99="","",'3.Plan de Estudios'!AA99)</f>
        <v>CP4: Investigación Educativa:N3 Elabora el proyecto de investigación demostrando consistencia sobre todo en el marco teórico, diseño metodológico y validación de los instrumentos de investigación.</v>
      </c>
      <c r="Z368" t="str">
        <f t="shared" si="29"/>
        <v xml:space="preserve">PRÁCTICA PRE-PROFESIONAL INICIAL-CP4: Investigación Educativa:N3 Elabora el proyecto de investigación demostrando consistencia sobre </v>
      </c>
      <c r="AA368" s="89" t="str">
        <f t="shared" si="30"/>
        <v>a</v>
      </c>
      <c r="AB368" t="str">
        <f t="shared" si="31"/>
        <v xml:space="preserve"> Investigación Educativa</v>
      </c>
      <c r="AC368" t="str">
        <f>AB368</f>
        <v xml:space="preserve"> Investigación Educativa</v>
      </c>
    </row>
    <row r="369" spans="24:29" ht="15.75">
      <c r="X369" s="223" t="str">
        <f>+'3.Plan de Estudios'!$E$99</f>
        <v>PRÁCTICA PRE-PROFESIONAL INICIAL</v>
      </c>
      <c r="Y369" s="222" t="str">
        <f>IF('3.Plan de Estudios'!AC99="","",'3.Plan de Estudios'!AC99)</f>
        <v>CP3: Desarrollo enseñanza y aprendizaje:N3 Desempeñarse de manera eficiente en el desarrollo la enseñanza y de su desarrollo en su identidad docente para el buen aprendizaje de los estudiantes.</v>
      </c>
      <c r="Z369" t="str">
        <f t="shared" si="29"/>
        <v>PRÁCTICA PRE-PROFESIONAL INICIAL-CP3: Desarrollo enseñanza y aprendizaje:N3 Desempeñarse de manera eficiente en el desarrollo la ense</v>
      </c>
      <c r="AA369" s="89" t="str">
        <f t="shared" si="30"/>
        <v>a</v>
      </c>
      <c r="AB369" t="str">
        <f t="shared" si="31"/>
        <v xml:space="preserve"> Desarrollo enseñanza y aprendizaje</v>
      </c>
      <c r="AC369" t="str">
        <f>IF(AB369="","",CONCATENATE(",",AB369))</f>
        <v>, Desarrollo enseñanza y aprendizaje</v>
      </c>
    </row>
    <row r="370" spans="24:29" ht="15.75">
      <c r="X370" s="223" t="str">
        <f>+'3.Plan de Estudios'!$E$99</f>
        <v>PRÁCTICA PRE-PROFESIONAL INICIAL</v>
      </c>
      <c r="Y370" s="222" t="str">
        <f>IF('3.Plan de Estudios'!AE99="","",'3.Plan de Estudios'!AE99)</f>
        <v/>
      </c>
      <c r="Z370" t="str">
        <f t="shared" ref="Z370:Z433" si="32">CONCATENATE(X370,"-",MID(Y370,1,100))</f>
        <v>PRÁCTICA PRE-PROFESIONAL INICIAL-</v>
      </c>
      <c r="AA370" s="89" t="str">
        <f t="shared" ref="AA370:AA433" si="33">+IF(Y370="","","a")</f>
        <v/>
      </c>
      <c r="AB370" t="str">
        <f t="shared" ref="AB370:AB433" si="34">IFERROR(MID(Y370,FIND(":",Y370)+1,FIND(":",Y370,FIND(":",Y370)+1)-FIND(":",Y370)-1),"")</f>
        <v/>
      </c>
      <c r="AC370" t="str">
        <f>IF(AB370="","",CONCATENATE(",",AB370))</f>
        <v/>
      </c>
    </row>
    <row r="371" spans="24:29" ht="15.75">
      <c r="X371" s="223" t="str">
        <f>+'3.Plan de Estudios'!$E$99</f>
        <v>PRÁCTICA PRE-PROFESIONAL INICIAL</v>
      </c>
      <c r="Y371" s="222" t="str">
        <f>IF('3.Plan de Estudios'!AG99="","",'3.Plan de Estudios'!AG99)</f>
        <v/>
      </c>
      <c r="Z371" t="str">
        <f t="shared" si="32"/>
        <v>PRÁCTICA PRE-PROFESIONAL INICIAL-</v>
      </c>
      <c r="AA371" s="89" t="str">
        <f t="shared" si="33"/>
        <v/>
      </c>
      <c r="AB371" t="str">
        <f t="shared" si="34"/>
        <v/>
      </c>
      <c r="AC371" t="str">
        <f>IF(AB371="","",CONCATENATE(",",AB371))</f>
        <v/>
      </c>
    </row>
    <row r="372" spans="24:29" ht="15.75">
      <c r="X372" s="223" t="str">
        <f>+'3.Plan de Estudios'!$E$99</f>
        <v>PRÁCTICA PRE-PROFESIONAL INICIAL</v>
      </c>
      <c r="Y372" s="222" t="str">
        <f>IF('3.Plan de Estudios'!AI99="","",'3.Plan de Estudios'!AI99)</f>
        <v/>
      </c>
      <c r="Z372" t="str">
        <f t="shared" si="32"/>
        <v>PRÁCTICA PRE-PROFESIONAL INICIAL-</v>
      </c>
      <c r="AA372" s="89" t="str">
        <f t="shared" si="33"/>
        <v/>
      </c>
      <c r="AB372" t="str">
        <f t="shared" si="34"/>
        <v/>
      </c>
      <c r="AC372" t="str">
        <f>IF(AB372="","",CONCATENATE(",",AB372))</f>
        <v/>
      </c>
    </row>
    <row r="373" spans="24:29" ht="15.75">
      <c r="X373" s="183" t="str">
        <f>+'3.Plan de Estudios'!$E$100</f>
        <v>ELECTIVO 2</v>
      </c>
      <c r="Y373" t="str">
        <f>IF('3.Plan de Estudios'!AA100="","",'3.Plan de Estudios'!AA100)</f>
        <v/>
      </c>
      <c r="Z373" t="str">
        <f t="shared" si="32"/>
        <v>ELECTIVO 2-</v>
      </c>
      <c r="AA373" s="89" t="str">
        <f t="shared" si="33"/>
        <v/>
      </c>
      <c r="AB373" t="str">
        <f t="shared" si="34"/>
        <v/>
      </c>
      <c r="AC373" t="str">
        <f>AB373</f>
        <v/>
      </c>
    </row>
    <row r="374" spans="24:29" ht="15.75">
      <c r="X374" s="183" t="str">
        <f>+'3.Plan de Estudios'!$E$100</f>
        <v>ELECTIVO 2</v>
      </c>
      <c r="Y374" t="str">
        <f>IF('3.Plan de Estudios'!AC100="","",'3.Plan de Estudios'!AC100)</f>
        <v/>
      </c>
      <c r="Z374" t="str">
        <f t="shared" si="32"/>
        <v>ELECTIVO 2-</v>
      </c>
      <c r="AA374" s="89" t="str">
        <f t="shared" si="33"/>
        <v/>
      </c>
      <c r="AB374" t="str">
        <f t="shared" si="34"/>
        <v/>
      </c>
      <c r="AC374" t="str">
        <f>IF(AB374="","",CONCATENATE(",",AB374))</f>
        <v/>
      </c>
    </row>
    <row r="375" spans="24:29" ht="15.75">
      <c r="X375" s="183" t="str">
        <f>+'3.Plan de Estudios'!$E$100</f>
        <v>ELECTIVO 2</v>
      </c>
      <c r="Y375" t="str">
        <f>IF('3.Plan de Estudios'!AE100="","",'3.Plan de Estudios'!AE100)</f>
        <v/>
      </c>
      <c r="Z375" t="str">
        <f t="shared" si="32"/>
        <v>ELECTIVO 2-</v>
      </c>
      <c r="AA375" s="89" t="str">
        <f t="shared" si="33"/>
        <v/>
      </c>
      <c r="AB375" t="str">
        <f t="shared" si="34"/>
        <v/>
      </c>
      <c r="AC375" t="str">
        <f>IF(AB375="","",CONCATENATE(",",AB375))</f>
        <v/>
      </c>
    </row>
    <row r="376" spans="24:29" ht="15.75">
      <c r="X376" s="183" t="str">
        <f>+'3.Plan de Estudios'!$E$100</f>
        <v>ELECTIVO 2</v>
      </c>
      <c r="Y376" t="str">
        <f>IF('3.Plan de Estudios'!AG100="","",'3.Plan de Estudios'!AG100)</f>
        <v/>
      </c>
      <c r="Z376" t="str">
        <f t="shared" si="32"/>
        <v>ELECTIVO 2-</v>
      </c>
      <c r="AA376" s="89" t="str">
        <f t="shared" si="33"/>
        <v/>
      </c>
      <c r="AB376" t="str">
        <f t="shared" si="34"/>
        <v/>
      </c>
      <c r="AC376" t="str">
        <f>IF(AB376="","",CONCATENATE(",",AB376))</f>
        <v/>
      </c>
    </row>
    <row r="377" spans="24:29" ht="15.75">
      <c r="X377" s="183" t="str">
        <f>+'3.Plan de Estudios'!$E$100</f>
        <v>ELECTIVO 2</v>
      </c>
      <c r="Y377" t="str">
        <f>IF('3.Plan de Estudios'!AI100="","",'3.Plan de Estudios'!AI100)</f>
        <v/>
      </c>
      <c r="Z377" t="str">
        <f t="shared" si="32"/>
        <v>ELECTIVO 2-</v>
      </c>
      <c r="AA377" s="89" t="str">
        <f t="shared" si="33"/>
        <v/>
      </c>
      <c r="AB377" t="str">
        <f t="shared" si="34"/>
        <v/>
      </c>
      <c r="AC377" t="str">
        <f>IF(AB377="","",CONCATENATE(",",AB377))</f>
        <v/>
      </c>
    </row>
    <row r="378" spans="24:29" ht="15.75">
      <c r="X378" s="223">
        <f>+'3.Plan de Estudios'!$E$101</f>
        <v>0</v>
      </c>
      <c r="Y378" s="222" t="str">
        <f>IF('3.Plan de Estudios'!AA101="","",'3.Plan de Estudios'!AA101)</f>
        <v/>
      </c>
      <c r="Z378" t="str">
        <f t="shared" si="32"/>
        <v>0-</v>
      </c>
      <c r="AA378" s="89" t="str">
        <f t="shared" si="33"/>
        <v/>
      </c>
      <c r="AB378" t="str">
        <f t="shared" si="34"/>
        <v/>
      </c>
      <c r="AC378" t="str">
        <f>AB378</f>
        <v/>
      </c>
    </row>
    <row r="379" spans="24:29" ht="15.75">
      <c r="X379" s="223">
        <f>+'3.Plan de Estudios'!$E$101</f>
        <v>0</v>
      </c>
      <c r="Y379" s="222" t="str">
        <f>IF('3.Plan de Estudios'!AC101="","",'3.Plan de Estudios'!AC101)</f>
        <v/>
      </c>
      <c r="Z379" t="str">
        <f t="shared" si="32"/>
        <v>0-</v>
      </c>
      <c r="AA379" s="89" t="str">
        <f t="shared" si="33"/>
        <v/>
      </c>
      <c r="AB379" t="str">
        <f t="shared" si="34"/>
        <v/>
      </c>
      <c r="AC379" t="str">
        <f>IF(AB379="","",CONCATENATE(",",AB379))</f>
        <v/>
      </c>
    </row>
    <row r="380" spans="24:29" ht="15.75">
      <c r="X380" s="223">
        <f>+'3.Plan de Estudios'!$E$101</f>
        <v>0</v>
      </c>
      <c r="Y380" s="222" t="str">
        <f>IF('3.Plan de Estudios'!AE101="","",'3.Plan de Estudios'!AE101)</f>
        <v/>
      </c>
      <c r="Z380" t="str">
        <f t="shared" si="32"/>
        <v>0-</v>
      </c>
      <c r="AA380" s="89" t="str">
        <f t="shared" si="33"/>
        <v/>
      </c>
      <c r="AB380" t="str">
        <f t="shared" si="34"/>
        <v/>
      </c>
      <c r="AC380" t="str">
        <f>IF(AB380="","",CONCATENATE(",",AB380))</f>
        <v/>
      </c>
    </row>
    <row r="381" spans="24:29" ht="15.75">
      <c r="X381" s="223">
        <f>+'3.Plan de Estudios'!$E$101</f>
        <v>0</v>
      </c>
      <c r="Y381" s="222" t="str">
        <f>IF('3.Plan de Estudios'!AG101="","",'3.Plan de Estudios'!AG101)</f>
        <v/>
      </c>
      <c r="Z381" t="str">
        <f t="shared" si="32"/>
        <v>0-</v>
      </c>
      <c r="AA381" s="89" t="str">
        <f t="shared" si="33"/>
        <v/>
      </c>
      <c r="AB381" t="str">
        <f t="shared" si="34"/>
        <v/>
      </c>
      <c r="AC381" t="str">
        <f>IF(AB381="","",CONCATENATE(",",AB381))</f>
        <v/>
      </c>
    </row>
    <row r="382" spans="24:29" ht="15.75">
      <c r="X382" s="223">
        <f>+'3.Plan de Estudios'!$E$101</f>
        <v>0</v>
      </c>
      <c r="Y382" s="222" t="str">
        <f>IF('3.Plan de Estudios'!AI101="","",'3.Plan de Estudios'!AI101)</f>
        <v/>
      </c>
      <c r="Z382" t="str">
        <f t="shared" si="32"/>
        <v>0-</v>
      </c>
      <c r="AA382" s="89" t="str">
        <f t="shared" si="33"/>
        <v/>
      </c>
      <c r="AB382" t="str">
        <f t="shared" si="34"/>
        <v/>
      </c>
      <c r="AC382" t="str">
        <f>IF(AB382="","",CONCATENATE(",",AB382))</f>
        <v/>
      </c>
    </row>
    <row r="383" spans="24:29" ht="15.75">
      <c r="X383" s="183">
        <f>+'3.Plan de Estudios'!$E$102</f>
        <v>0</v>
      </c>
      <c r="Y383" t="str">
        <f>IF('3.Plan de Estudios'!AA102="","",'3.Plan de Estudios'!AA102)</f>
        <v/>
      </c>
      <c r="Z383" t="str">
        <f t="shared" si="32"/>
        <v>0-</v>
      </c>
      <c r="AA383" s="89" t="str">
        <f t="shared" si="33"/>
        <v/>
      </c>
      <c r="AB383" t="str">
        <f t="shared" si="34"/>
        <v/>
      </c>
      <c r="AC383" t="str">
        <f>AB383</f>
        <v/>
      </c>
    </row>
    <row r="384" spans="24:29" ht="15.75">
      <c r="X384" s="183">
        <f>+'3.Plan de Estudios'!$E$102</f>
        <v>0</v>
      </c>
      <c r="Y384" t="str">
        <f>IF('3.Plan de Estudios'!AC102="","",'3.Plan de Estudios'!AC102)</f>
        <v/>
      </c>
      <c r="Z384" t="str">
        <f t="shared" si="32"/>
        <v>0-</v>
      </c>
      <c r="AA384" s="89" t="str">
        <f t="shared" si="33"/>
        <v/>
      </c>
      <c r="AB384" t="str">
        <f t="shared" si="34"/>
        <v/>
      </c>
      <c r="AC384" t="str">
        <f>IF(AB384="","",CONCATENATE(",",AB384))</f>
        <v/>
      </c>
    </row>
    <row r="385" spans="24:29" ht="15.75">
      <c r="X385" s="183">
        <f>+'3.Plan de Estudios'!$E$102</f>
        <v>0</v>
      </c>
      <c r="Y385" t="str">
        <f>IF('3.Plan de Estudios'!AE102="","",'3.Plan de Estudios'!AE102)</f>
        <v/>
      </c>
      <c r="Z385" t="str">
        <f t="shared" si="32"/>
        <v>0-</v>
      </c>
      <c r="AA385" s="89" t="str">
        <f t="shared" si="33"/>
        <v/>
      </c>
      <c r="AB385" t="str">
        <f t="shared" si="34"/>
        <v/>
      </c>
      <c r="AC385" t="str">
        <f>IF(AB385="","",CONCATENATE(",",AB385))</f>
        <v/>
      </c>
    </row>
    <row r="386" spans="24:29" ht="15.75">
      <c r="X386" s="183">
        <f>+'3.Plan de Estudios'!$E$102</f>
        <v>0</v>
      </c>
      <c r="Y386" t="str">
        <f>IF('3.Plan de Estudios'!AG102="","",'3.Plan de Estudios'!AG102)</f>
        <v/>
      </c>
      <c r="Z386" t="str">
        <f t="shared" si="32"/>
        <v>0-</v>
      </c>
      <c r="AA386" s="89" t="str">
        <f t="shared" si="33"/>
        <v/>
      </c>
      <c r="AB386" t="str">
        <f t="shared" si="34"/>
        <v/>
      </c>
      <c r="AC386" t="str">
        <f>IF(AB386="","",CONCATENATE(",",AB386))</f>
        <v/>
      </c>
    </row>
    <row r="387" spans="24:29" ht="15.75">
      <c r="X387" s="183">
        <f>+'3.Plan de Estudios'!$E$102</f>
        <v>0</v>
      </c>
      <c r="Y387" t="str">
        <f>IF('3.Plan de Estudios'!AI102="","",'3.Plan de Estudios'!AI102)</f>
        <v/>
      </c>
      <c r="Z387" t="str">
        <f t="shared" si="32"/>
        <v>0-</v>
      </c>
      <c r="AA387" s="89" t="str">
        <f t="shared" si="33"/>
        <v/>
      </c>
      <c r="AB387" t="str">
        <f t="shared" si="34"/>
        <v/>
      </c>
      <c r="AC387" t="str">
        <f>IF(AB387="","",CONCATENATE(",",AB387))</f>
        <v/>
      </c>
    </row>
    <row r="388" spans="24:29" ht="15.75">
      <c r="X388" s="223">
        <f>+'3.Plan de Estudios'!$E$103</f>
        <v>0</v>
      </c>
      <c r="Y388" s="222" t="str">
        <f>IF('3.Plan de Estudios'!AA103="","",'3.Plan de Estudios'!AA103)</f>
        <v/>
      </c>
      <c r="Z388" t="str">
        <f t="shared" si="32"/>
        <v>0-</v>
      </c>
      <c r="AA388" s="89" t="str">
        <f t="shared" si="33"/>
        <v/>
      </c>
      <c r="AB388" t="str">
        <f t="shared" si="34"/>
        <v/>
      </c>
      <c r="AC388" t="str">
        <f>AB388</f>
        <v/>
      </c>
    </row>
    <row r="389" spans="24:29" ht="15.75">
      <c r="X389" s="223">
        <f>+'3.Plan de Estudios'!$E$103</f>
        <v>0</v>
      </c>
      <c r="Y389" s="222" t="str">
        <f>IF('3.Plan de Estudios'!AC103="","",'3.Plan de Estudios'!AC103)</f>
        <v/>
      </c>
      <c r="Z389" t="str">
        <f t="shared" si="32"/>
        <v>0-</v>
      </c>
      <c r="AA389" s="89" t="str">
        <f t="shared" si="33"/>
        <v/>
      </c>
      <c r="AB389" t="str">
        <f t="shared" si="34"/>
        <v/>
      </c>
      <c r="AC389" t="str">
        <f>IF(AB389="","",CONCATENATE(",",AB389))</f>
        <v/>
      </c>
    </row>
    <row r="390" spans="24:29" ht="15.75">
      <c r="X390" s="223">
        <f>+'3.Plan de Estudios'!$E$103</f>
        <v>0</v>
      </c>
      <c r="Y390" s="222" t="str">
        <f>IF('3.Plan de Estudios'!AE103="","",'3.Plan de Estudios'!AE103)</f>
        <v/>
      </c>
      <c r="Z390" t="str">
        <f t="shared" si="32"/>
        <v>0-</v>
      </c>
      <c r="AA390" s="89" t="str">
        <f t="shared" si="33"/>
        <v/>
      </c>
      <c r="AB390" t="str">
        <f t="shared" si="34"/>
        <v/>
      </c>
      <c r="AC390" t="str">
        <f>IF(AB390="","",CONCATENATE(",",AB390))</f>
        <v/>
      </c>
    </row>
    <row r="391" spans="24:29" ht="15.75">
      <c r="X391" s="223">
        <f>+'3.Plan de Estudios'!$E$103</f>
        <v>0</v>
      </c>
      <c r="Y391" s="222" t="str">
        <f>IF('3.Plan de Estudios'!AG103="","",'3.Plan de Estudios'!AG103)</f>
        <v/>
      </c>
      <c r="Z391" t="str">
        <f t="shared" si="32"/>
        <v>0-</v>
      </c>
      <c r="AA391" s="89" t="str">
        <f t="shared" si="33"/>
        <v/>
      </c>
      <c r="AB391" t="str">
        <f t="shared" si="34"/>
        <v/>
      </c>
      <c r="AC391" t="str">
        <f>IF(AB391="","",CONCATENATE(",",AB391))</f>
        <v/>
      </c>
    </row>
    <row r="392" spans="24:29" ht="15.75">
      <c r="X392" s="223">
        <f>+'3.Plan de Estudios'!$E$103</f>
        <v>0</v>
      </c>
      <c r="Y392" s="222" t="str">
        <f>IF('3.Plan de Estudios'!AI103="","",'3.Plan de Estudios'!AI103)</f>
        <v/>
      </c>
      <c r="Z392" t="str">
        <f t="shared" si="32"/>
        <v>0-</v>
      </c>
      <c r="AA392" s="89" t="str">
        <f t="shared" si="33"/>
        <v/>
      </c>
      <c r="AB392" t="str">
        <f t="shared" si="34"/>
        <v/>
      </c>
      <c r="AC392" t="str">
        <f>IF(AB392="","",CONCATENATE(",",AB392))</f>
        <v/>
      </c>
    </row>
    <row r="393" spans="24:29" ht="15.75">
      <c r="X393" s="183">
        <f>+'3.Plan de Estudios'!$E$104</f>
        <v>0</v>
      </c>
      <c r="Y393" t="str">
        <f>IF('3.Plan de Estudios'!AA104="","",'3.Plan de Estudios'!AA104)</f>
        <v/>
      </c>
      <c r="Z393" t="str">
        <f t="shared" si="32"/>
        <v>0-</v>
      </c>
      <c r="AA393" s="89" t="str">
        <f t="shared" si="33"/>
        <v/>
      </c>
      <c r="AB393" t="str">
        <f t="shared" si="34"/>
        <v/>
      </c>
      <c r="AC393" t="str">
        <f>AB393</f>
        <v/>
      </c>
    </row>
    <row r="394" spans="24:29" ht="15.75">
      <c r="X394" s="183">
        <f>+'3.Plan de Estudios'!$E$104</f>
        <v>0</v>
      </c>
      <c r="Y394" t="str">
        <f>IF('3.Plan de Estudios'!AC104="","",'3.Plan de Estudios'!AC104)</f>
        <v/>
      </c>
      <c r="Z394" t="str">
        <f t="shared" si="32"/>
        <v>0-</v>
      </c>
      <c r="AA394" s="89" t="str">
        <f t="shared" si="33"/>
        <v/>
      </c>
      <c r="AB394" t="str">
        <f t="shared" si="34"/>
        <v/>
      </c>
      <c r="AC394" t="str">
        <f>IF(AB394="","",CONCATENATE(",",AB394))</f>
        <v/>
      </c>
    </row>
    <row r="395" spans="24:29" ht="15.75">
      <c r="X395" s="183">
        <f>+'3.Plan de Estudios'!$E$104</f>
        <v>0</v>
      </c>
      <c r="Y395" t="str">
        <f>IF('3.Plan de Estudios'!AE104="","",'3.Plan de Estudios'!AE104)</f>
        <v/>
      </c>
      <c r="Z395" t="str">
        <f t="shared" si="32"/>
        <v>0-</v>
      </c>
      <c r="AA395" s="89" t="str">
        <f t="shared" si="33"/>
        <v/>
      </c>
      <c r="AB395" t="str">
        <f t="shared" si="34"/>
        <v/>
      </c>
      <c r="AC395" t="str">
        <f>IF(AB395="","",CONCATENATE(",",AB395))</f>
        <v/>
      </c>
    </row>
    <row r="396" spans="24:29" ht="15.75">
      <c r="X396" s="183">
        <f>+'3.Plan de Estudios'!$E$104</f>
        <v>0</v>
      </c>
      <c r="Y396" t="str">
        <f>IF('3.Plan de Estudios'!AG104="","",'3.Plan de Estudios'!AG104)</f>
        <v/>
      </c>
      <c r="Z396" t="str">
        <f t="shared" si="32"/>
        <v>0-</v>
      </c>
      <c r="AA396" s="89" t="str">
        <f t="shared" si="33"/>
        <v/>
      </c>
      <c r="AB396" t="str">
        <f t="shared" si="34"/>
        <v/>
      </c>
      <c r="AC396" t="str">
        <f>IF(AB396="","",CONCATENATE(",",AB396))</f>
        <v/>
      </c>
    </row>
    <row r="397" spans="24:29" ht="15.75">
      <c r="X397" s="183">
        <f>+'3.Plan de Estudios'!$E$104</f>
        <v>0</v>
      </c>
      <c r="Y397" t="str">
        <f>IF('3.Plan de Estudios'!AI104="","",'3.Plan de Estudios'!AI104)</f>
        <v/>
      </c>
      <c r="Z397" t="str">
        <f t="shared" si="32"/>
        <v>0-</v>
      </c>
      <c r="AA397" s="89" t="str">
        <f t="shared" si="33"/>
        <v/>
      </c>
      <c r="AB397" t="str">
        <f t="shared" si="34"/>
        <v/>
      </c>
      <c r="AC397" t="str">
        <f>IF(AB397="","",CONCATENATE(",",AB397))</f>
        <v/>
      </c>
    </row>
    <row r="398" spans="24:29" ht="15.75">
      <c r="X398" s="223">
        <f>+'3.Plan de Estudios'!$E$105</f>
        <v>0</v>
      </c>
      <c r="Y398" s="222" t="str">
        <f>IF('3.Plan de Estudios'!AA105="","",'3.Plan de Estudios'!AA105)</f>
        <v/>
      </c>
      <c r="Z398" t="str">
        <f t="shared" si="32"/>
        <v>0-</v>
      </c>
      <c r="AA398" s="89" t="str">
        <f t="shared" si="33"/>
        <v/>
      </c>
      <c r="AB398" t="str">
        <f t="shared" si="34"/>
        <v/>
      </c>
      <c r="AC398" t="str">
        <f>AB398</f>
        <v/>
      </c>
    </row>
    <row r="399" spans="24:29" ht="15.75">
      <c r="X399" s="223">
        <f>+'3.Plan de Estudios'!$E$105</f>
        <v>0</v>
      </c>
      <c r="Y399" s="222" t="str">
        <f>IF('3.Plan de Estudios'!AC105="","",'3.Plan de Estudios'!AC105)</f>
        <v/>
      </c>
      <c r="Z399" t="str">
        <f t="shared" si="32"/>
        <v>0-</v>
      </c>
      <c r="AA399" s="89" t="str">
        <f t="shared" si="33"/>
        <v/>
      </c>
      <c r="AB399" t="str">
        <f t="shared" si="34"/>
        <v/>
      </c>
      <c r="AC399" t="str">
        <f>IF(AB399="","",CONCATENATE(",",AB399))</f>
        <v/>
      </c>
    </row>
    <row r="400" spans="24:29" ht="15.75">
      <c r="X400" s="223">
        <f>+'3.Plan de Estudios'!$E$105</f>
        <v>0</v>
      </c>
      <c r="Y400" s="222" t="str">
        <f>IF('3.Plan de Estudios'!AE105="","",'3.Plan de Estudios'!AE105)</f>
        <v/>
      </c>
      <c r="Z400" t="str">
        <f t="shared" si="32"/>
        <v>0-</v>
      </c>
      <c r="AA400" s="89" t="str">
        <f t="shared" si="33"/>
        <v/>
      </c>
      <c r="AB400" t="str">
        <f t="shared" si="34"/>
        <v/>
      </c>
      <c r="AC400" t="str">
        <f>IF(AB400="","",CONCATENATE(",",AB400))</f>
        <v/>
      </c>
    </row>
    <row r="401" spans="24:29" ht="15.75">
      <c r="X401" s="223">
        <f>+'3.Plan de Estudios'!$E$105</f>
        <v>0</v>
      </c>
      <c r="Y401" s="222" t="str">
        <f>IF('3.Plan de Estudios'!AG105="","",'3.Plan de Estudios'!AG105)</f>
        <v/>
      </c>
      <c r="Z401" t="str">
        <f t="shared" si="32"/>
        <v>0-</v>
      </c>
      <c r="AA401" s="89" t="str">
        <f t="shared" si="33"/>
        <v/>
      </c>
      <c r="AB401" t="str">
        <f t="shared" si="34"/>
        <v/>
      </c>
      <c r="AC401" t="str">
        <f>IF(AB401="","",CONCATENATE(",",AB401))</f>
        <v/>
      </c>
    </row>
    <row r="402" spans="24:29" ht="15.75">
      <c r="X402" s="224">
        <f>+'3.Plan de Estudios'!$E$105</f>
        <v>0</v>
      </c>
      <c r="Y402" s="225" t="str">
        <f>IF('3.Plan de Estudios'!AI105="","",'3.Plan de Estudios'!AI105)</f>
        <v/>
      </c>
      <c r="Z402" t="str">
        <f t="shared" si="32"/>
        <v>0-</v>
      </c>
      <c r="AA402" s="89" t="str">
        <f t="shared" si="33"/>
        <v/>
      </c>
      <c r="AB402" t="str">
        <f t="shared" si="34"/>
        <v/>
      </c>
      <c r="AC402" t="str">
        <f>IF(AB402="","",CONCATENATE(",",AB402))</f>
        <v/>
      </c>
    </row>
    <row r="403" spans="24:29" ht="15.75">
      <c r="X403" s="189" t="str">
        <f>+'3.Plan de Estudios'!$E$107</f>
        <v>MICROCOMPUTERS &amp; MEDIA IN THE ESL CLASSROOM</v>
      </c>
      <c r="Y403" s="189" t="str">
        <f>IF('3.Plan de Estudios'!AA107="","",'3.Plan de Estudios'!AA107)</f>
        <v>CP3: Desarrollo enseñanza y aprendizaje:N3 Desempeñarse de manera eficiente en el desarrollo la enseñanza y de su desarrollo en su identidad docente para el buen aprendizaje de los estudiantes.</v>
      </c>
      <c r="Z403" t="str">
        <f t="shared" si="32"/>
        <v>MICROCOMPUTERS &amp; MEDIA IN THE ESL CLASSROOM-CP3: Desarrollo enseñanza y aprendizaje:N3 Desempeñarse de manera eficiente en el desarrollo la ense</v>
      </c>
      <c r="AA403" s="89" t="str">
        <f t="shared" si="33"/>
        <v>a</v>
      </c>
      <c r="AB403" t="str">
        <f t="shared" si="34"/>
        <v xml:space="preserve"> Desarrollo enseñanza y aprendizaje</v>
      </c>
      <c r="AC403" t="str">
        <f>AB403</f>
        <v xml:space="preserve"> Desarrollo enseñanza y aprendizaje</v>
      </c>
    </row>
    <row r="404" spans="24:29" ht="15.75">
      <c r="X404" s="183" t="str">
        <f>+'3.Plan de Estudios'!$E$107</f>
        <v>MICROCOMPUTERS &amp; MEDIA IN THE ESL CLASSROOM</v>
      </c>
      <c r="Y404" s="183" t="str">
        <f>IF('3.Plan de Estudios'!AC107="","",'3.Plan de Estudios'!AC107)</f>
        <v>CG4: Gestión de Recursos:N3 Utiliza herramientas de gestión de recursos empresariales de manera adecuada para la toma de decisiones.</v>
      </c>
      <c r="Z404" t="str">
        <f t="shared" si="32"/>
        <v>MICROCOMPUTERS &amp; MEDIA IN THE ESL CLASSROOM-CG4: Gestión de Recursos:N3 Utiliza herramientas de gestión de recursos empresariales de manera adec</v>
      </c>
      <c r="AA404" s="89" t="str">
        <f t="shared" si="33"/>
        <v>a</v>
      </c>
      <c r="AB404" t="str">
        <f t="shared" si="34"/>
        <v xml:space="preserve"> Gestión de Recursos</v>
      </c>
      <c r="AC404" t="str">
        <f>IF(AB404="","",CONCATENATE(",",AB404))</f>
        <v>, Gestión de Recursos</v>
      </c>
    </row>
    <row r="405" spans="24:29" ht="15.75">
      <c r="X405" s="183" t="str">
        <f>+'3.Plan de Estudios'!$E$107</f>
        <v>MICROCOMPUTERS &amp; MEDIA IN THE ESL CLASSROOM</v>
      </c>
      <c r="Y405" s="183" t="str">
        <f>IF('3.Plan de Estudios'!AE107="","",'3.Plan de Estudios'!AE107)</f>
        <v/>
      </c>
      <c r="Z405" t="str">
        <f t="shared" si="32"/>
        <v>MICROCOMPUTERS &amp; MEDIA IN THE ESL CLASSROOM-</v>
      </c>
      <c r="AA405" s="89" t="str">
        <f t="shared" si="33"/>
        <v/>
      </c>
      <c r="AB405" t="str">
        <f t="shared" si="34"/>
        <v/>
      </c>
      <c r="AC405" t="str">
        <f>IF(AB405="","",CONCATENATE(",",AB405))</f>
        <v/>
      </c>
    </row>
    <row r="406" spans="24:29" ht="15.75">
      <c r="X406" s="183" t="str">
        <f>+'3.Plan de Estudios'!$E$107</f>
        <v>MICROCOMPUTERS &amp; MEDIA IN THE ESL CLASSROOM</v>
      </c>
      <c r="Y406" s="183" t="str">
        <f>IF('3.Plan de Estudios'!AG107="","",'3.Plan de Estudios'!AG107)</f>
        <v/>
      </c>
      <c r="Z406" t="str">
        <f t="shared" si="32"/>
        <v>MICROCOMPUTERS &amp; MEDIA IN THE ESL CLASSROOM-</v>
      </c>
      <c r="AA406" s="89" t="str">
        <f t="shared" si="33"/>
        <v/>
      </c>
      <c r="AB406" t="str">
        <f t="shared" si="34"/>
        <v/>
      </c>
      <c r="AC406" t="str">
        <f>IF(AB406="","",CONCATENATE(",",AB406))</f>
        <v/>
      </c>
    </row>
    <row r="407" spans="24:29" ht="15.75">
      <c r="X407" s="183" t="str">
        <f>+'3.Plan de Estudios'!$E$107</f>
        <v>MICROCOMPUTERS &amp; MEDIA IN THE ESL CLASSROOM</v>
      </c>
      <c r="Y407" s="183" t="str">
        <f>IF('3.Plan de Estudios'!AI107="","",'3.Plan de Estudios'!AI107)</f>
        <v/>
      </c>
      <c r="Z407" t="str">
        <f t="shared" si="32"/>
        <v>MICROCOMPUTERS &amp; MEDIA IN THE ESL CLASSROOM-</v>
      </c>
      <c r="AA407" s="89" t="str">
        <f t="shared" si="33"/>
        <v/>
      </c>
      <c r="AB407" t="str">
        <f t="shared" si="34"/>
        <v/>
      </c>
      <c r="AC407" t="str">
        <f>IF(AB407="","",CONCATENATE(",",AB407))</f>
        <v/>
      </c>
    </row>
    <row r="408" spans="24:29" ht="15.75">
      <c r="X408" s="223" t="str">
        <f>+'3.Plan de Estudios'!$E$108</f>
        <v>PLANIFICACIÓN DE CLASES Y ACTIVIDADES</v>
      </c>
      <c r="Y408" s="223" t="str">
        <f>IF('3.Plan de Estudios'!AA108="","",'3.Plan de Estudios'!AA108)</f>
        <v>CP2: Desarrollo de gestión educativa:N3 Establece relaciones entre las concepciones de administración, economía, marketing y aspectos legales como fundamentos básicos para el desarrollo de una buena gestión educativa.</v>
      </c>
      <c r="Z408" t="str">
        <f t="shared" si="32"/>
        <v>PLANIFICACIÓN DE CLASES Y ACTIVIDADES-CP2: Desarrollo de gestión educativa:N3 Establece relaciones entre las concepciones de administració</v>
      </c>
      <c r="AA408" s="89" t="str">
        <f t="shared" si="33"/>
        <v>a</v>
      </c>
      <c r="AB408" t="str">
        <f t="shared" si="34"/>
        <v xml:space="preserve"> Desarrollo de gestión educativa</v>
      </c>
      <c r="AC408" t="str">
        <f>AB408</f>
        <v xml:space="preserve"> Desarrollo de gestión educativa</v>
      </c>
    </row>
    <row r="409" spans="24:29" ht="15.75">
      <c r="X409" s="223" t="str">
        <f>+'3.Plan de Estudios'!$E$108</f>
        <v>PLANIFICACIÓN DE CLASES Y ACTIVIDADES</v>
      </c>
      <c r="Y409" s="223" t="str">
        <f>IF('3.Plan de Estudios'!AC108="","",'3.Plan de Estudios'!AC108)</f>
        <v>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v>
      </c>
      <c r="Z409" t="str">
        <f t="shared" si="32"/>
        <v>PLANIFICACIÓN DE CLASES Y ACTIVIDADES-CG1: Comunicación Integral:N3 Elabora textos académicos escritos y comunicaciones orales empleando d</v>
      </c>
      <c r="AA409" s="89" t="str">
        <f t="shared" si="33"/>
        <v>a</v>
      </c>
      <c r="AB409" t="str">
        <f t="shared" si="34"/>
        <v xml:space="preserve"> Comunicación Integral</v>
      </c>
      <c r="AC409" t="str">
        <f>IF(AB409="","",CONCATENATE(",",AB409))</f>
        <v>, Comunicación Integral</v>
      </c>
    </row>
    <row r="410" spans="24:29" ht="15.75">
      <c r="X410" s="226" t="str">
        <f>+'3.Plan de Estudios'!$E$108</f>
        <v>PLANIFICACIÓN DE CLASES Y ACTIVIDADES</v>
      </c>
      <c r="Y410" s="226" t="str">
        <f>IF('3.Plan de Estudios'!AE108="","",'3.Plan de Estudios'!AE108)</f>
        <v/>
      </c>
      <c r="Z410" t="str">
        <f t="shared" si="32"/>
        <v>PLANIFICACIÓN DE CLASES Y ACTIVIDADES-</v>
      </c>
      <c r="AA410" s="89" t="str">
        <f t="shared" si="33"/>
        <v/>
      </c>
      <c r="AB410" t="str">
        <f t="shared" si="34"/>
        <v/>
      </c>
      <c r="AC410" t="str">
        <f>IF(AB410="","",CONCATENATE(",",AB410))</f>
        <v/>
      </c>
    </row>
    <row r="411" spans="24:29" ht="15.75">
      <c r="X411" s="226" t="str">
        <f>+'3.Plan de Estudios'!$E$108</f>
        <v>PLANIFICACIÓN DE CLASES Y ACTIVIDADES</v>
      </c>
      <c r="Y411" s="226" t="str">
        <f>IF('3.Plan de Estudios'!AG108="","",'3.Plan de Estudios'!AG108)</f>
        <v/>
      </c>
      <c r="Z411" t="str">
        <f t="shared" si="32"/>
        <v>PLANIFICACIÓN DE CLASES Y ACTIVIDADES-</v>
      </c>
      <c r="AA411" s="89" t="str">
        <f t="shared" si="33"/>
        <v/>
      </c>
      <c r="AB411" t="str">
        <f t="shared" si="34"/>
        <v/>
      </c>
      <c r="AC411" t="str">
        <f>IF(AB411="","",CONCATENATE(",",AB411))</f>
        <v/>
      </c>
    </row>
    <row r="412" spans="24:29" ht="15.75">
      <c r="X412" s="226" t="str">
        <f>+'3.Plan de Estudios'!$E$108</f>
        <v>PLANIFICACIÓN DE CLASES Y ACTIVIDADES</v>
      </c>
      <c r="Y412" s="226" t="str">
        <f>IF('3.Plan de Estudios'!AI108="","",'3.Plan de Estudios'!AI108)</f>
        <v/>
      </c>
      <c r="Z412" t="str">
        <f t="shared" si="32"/>
        <v>PLANIFICACIÓN DE CLASES Y ACTIVIDADES-</v>
      </c>
      <c r="AA412" s="89" t="str">
        <f t="shared" si="33"/>
        <v/>
      </c>
      <c r="AB412" t="str">
        <f t="shared" si="34"/>
        <v/>
      </c>
      <c r="AC412" t="str">
        <f>IF(AB412="","",CONCATENATE(",",AB412))</f>
        <v/>
      </c>
    </row>
    <row r="413" spans="24:29" ht="15.75">
      <c r="X413" s="183" t="str">
        <f>+'3.Plan de Estudios'!$E$109</f>
        <v>PRÁCTICA PRE-PROFESIONAL INTERMEDIA</v>
      </c>
      <c r="Y413" s="183" t="str">
        <f>IF('3.Plan de Estudios'!AA109="","",'3.Plan de Estudios'!AA109)</f>
        <v>CP3: Desarrollo enseñanza y aprendizaje:N3 Desempeñarse de manera eficiente en el desarrollo la enseñanza y de su desarrollo en su identidad docente para el buen aprendizaje de los estudiantes.</v>
      </c>
      <c r="Z413" t="str">
        <f t="shared" si="32"/>
        <v>PRÁCTICA PRE-PROFESIONAL INTERMEDIA-CP3: Desarrollo enseñanza y aprendizaje:N3 Desempeñarse de manera eficiente en el desarrollo la ense</v>
      </c>
      <c r="AA413" s="89" t="str">
        <f t="shared" si="33"/>
        <v>a</v>
      </c>
      <c r="AB413" t="str">
        <f t="shared" si="34"/>
        <v xml:space="preserve"> Desarrollo enseñanza y aprendizaje</v>
      </c>
      <c r="AC413" t="str">
        <f>AB413</f>
        <v xml:space="preserve"> Desarrollo enseñanza y aprendizaje</v>
      </c>
    </row>
    <row r="414" spans="24:29" ht="15.75">
      <c r="X414" s="183" t="str">
        <f>+'3.Plan de Estudios'!$E$109</f>
        <v>PRÁCTICA PRE-PROFESIONAL INTERMEDIA</v>
      </c>
      <c r="Y414" s="183" t="str">
        <f>IF('3.Plan de Estudios'!AC109="","",'3.Plan de Estudios'!AC109)</f>
        <v/>
      </c>
      <c r="Z414" t="str">
        <f t="shared" si="32"/>
        <v>PRÁCTICA PRE-PROFESIONAL INTERMEDIA-</v>
      </c>
      <c r="AA414" s="89" t="str">
        <f t="shared" si="33"/>
        <v/>
      </c>
      <c r="AB414" t="str">
        <f t="shared" si="34"/>
        <v/>
      </c>
      <c r="AC414" t="str">
        <f>IF(AB414="","",CONCATENATE(",",AB414))</f>
        <v/>
      </c>
    </row>
    <row r="415" spans="24:29" ht="15.75">
      <c r="X415" s="183" t="str">
        <f>+'3.Plan de Estudios'!$E$109</f>
        <v>PRÁCTICA PRE-PROFESIONAL INTERMEDIA</v>
      </c>
      <c r="Y415" s="183" t="str">
        <f>IF('3.Plan de Estudios'!AE109="","",'3.Plan de Estudios'!AE109)</f>
        <v/>
      </c>
      <c r="Z415" t="str">
        <f t="shared" si="32"/>
        <v>PRÁCTICA PRE-PROFESIONAL INTERMEDIA-</v>
      </c>
      <c r="AA415" s="89" t="str">
        <f t="shared" si="33"/>
        <v/>
      </c>
      <c r="AB415" t="str">
        <f t="shared" si="34"/>
        <v/>
      </c>
      <c r="AC415" t="str">
        <f>IF(AB415="","",CONCATENATE(",",AB415))</f>
        <v/>
      </c>
    </row>
    <row r="416" spans="24:29" ht="15.75">
      <c r="X416" s="183" t="str">
        <f>+'3.Plan de Estudios'!$E$109</f>
        <v>PRÁCTICA PRE-PROFESIONAL INTERMEDIA</v>
      </c>
      <c r="Y416" s="183" t="str">
        <f>IF('3.Plan de Estudios'!AG109="","",'3.Plan de Estudios'!AG109)</f>
        <v/>
      </c>
      <c r="Z416" t="str">
        <f t="shared" si="32"/>
        <v>PRÁCTICA PRE-PROFESIONAL INTERMEDIA-</v>
      </c>
      <c r="AA416" s="89" t="str">
        <f t="shared" si="33"/>
        <v/>
      </c>
      <c r="AB416" t="str">
        <f t="shared" si="34"/>
        <v/>
      </c>
      <c r="AC416" t="str">
        <f>IF(AB416="","",CONCATENATE(",",AB416))</f>
        <v/>
      </c>
    </row>
    <row r="417" spans="24:29" ht="15.75">
      <c r="X417" s="183" t="str">
        <f>+'3.Plan de Estudios'!$E$109</f>
        <v>PRÁCTICA PRE-PROFESIONAL INTERMEDIA</v>
      </c>
      <c r="Y417" s="183" t="str">
        <f>IF('3.Plan de Estudios'!AI109="","",'3.Plan de Estudios'!AI109)</f>
        <v/>
      </c>
      <c r="Z417" t="str">
        <f t="shared" si="32"/>
        <v>PRÁCTICA PRE-PROFESIONAL INTERMEDIA-</v>
      </c>
      <c r="AA417" s="89" t="str">
        <f t="shared" si="33"/>
        <v/>
      </c>
      <c r="AB417" t="str">
        <f t="shared" si="34"/>
        <v/>
      </c>
      <c r="AC417" t="str">
        <f>IF(AB417="","",CONCATENATE(",",AB417))</f>
        <v/>
      </c>
    </row>
    <row r="418" spans="24:29" ht="15.75">
      <c r="X418" s="223" t="str">
        <f>+'3.Plan de Estudios'!$E$110</f>
        <v xml:space="preserve">PROJECTS IN THE CLASSROOM </v>
      </c>
      <c r="Y418" s="223" t="str">
        <f>IF('3.Plan de Estudios'!AA110="","",'3.Plan de Estudios'!AA110)</f>
        <v>CP3: Desarrollo enseñanza y aprendizaje:N3 Desempeñarse de manera eficiente en el desarrollo la enseñanza y de su desarrollo en su identidad docente para el buen aprendizaje de los estudiantes.</v>
      </c>
      <c r="Z418" t="str">
        <f t="shared" si="32"/>
        <v>PROJECTS IN THE CLASSROOM -CP3: Desarrollo enseñanza y aprendizaje:N3 Desempeñarse de manera eficiente en el desarrollo la ense</v>
      </c>
      <c r="AA418" s="89" t="str">
        <f t="shared" si="33"/>
        <v>a</v>
      </c>
      <c r="AB418" t="str">
        <f t="shared" si="34"/>
        <v xml:space="preserve"> Desarrollo enseñanza y aprendizaje</v>
      </c>
      <c r="AC418" t="str">
        <f>AB418</f>
        <v xml:space="preserve"> Desarrollo enseñanza y aprendizaje</v>
      </c>
    </row>
    <row r="419" spans="24:29" ht="15.75">
      <c r="X419" s="223" t="str">
        <f>+'3.Plan de Estudios'!$E$110</f>
        <v xml:space="preserve">PROJECTS IN THE CLASSROOM </v>
      </c>
      <c r="Y419" s="223" t="str">
        <f>IF('3.Plan de Estudios'!AC110="","",'3.Plan de Estudios'!AC110)</f>
        <v/>
      </c>
      <c r="Z419" t="str">
        <f t="shared" si="32"/>
        <v>PROJECTS IN THE CLASSROOM -</v>
      </c>
      <c r="AA419" s="89" t="str">
        <f t="shared" si="33"/>
        <v/>
      </c>
      <c r="AB419" t="str">
        <f t="shared" si="34"/>
        <v/>
      </c>
      <c r="AC419" t="str">
        <f>IF(AB419="","",CONCATENATE(",",AB419))</f>
        <v/>
      </c>
    </row>
    <row r="420" spans="24:29" ht="15.75">
      <c r="X420" s="223" t="str">
        <f>+'3.Plan de Estudios'!$E$110</f>
        <v xml:space="preserve">PROJECTS IN THE CLASSROOM </v>
      </c>
      <c r="Y420" s="223" t="str">
        <f>IF('3.Plan de Estudios'!AE110="","",'3.Plan de Estudios'!AE110)</f>
        <v/>
      </c>
      <c r="Z420" t="str">
        <f t="shared" si="32"/>
        <v>PROJECTS IN THE CLASSROOM -</v>
      </c>
      <c r="AA420" s="89" t="str">
        <f t="shared" si="33"/>
        <v/>
      </c>
      <c r="AB420" t="str">
        <f t="shared" si="34"/>
        <v/>
      </c>
      <c r="AC420" t="str">
        <f>IF(AB420="","",CONCATENATE(",",AB420))</f>
        <v/>
      </c>
    </row>
    <row r="421" spans="24:29" ht="15.75">
      <c r="X421" s="223" t="str">
        <f>+'3.Plan de Estudios'!$E$110</f>
        <v xml:space="preserve">PROJECTS IN THE CLASSROOM </v>
      </c>
      <c r="Y421" s="223" t="str">
        <f>IF('3.Plan de Estudios'!AG110="","",'3.Plan de Estudios'!AG110)</f>
        <v/>
      </c>
      <c r="Z421" t="str">
        <f t="shared" si="32"/>
        <v>PROJECTS IN THE CLASSROOM -</v>
      </c>
      <c r="AA421" s="89" t="str">
        <f t="shared" si="33"/>
        <v/>
      </c>
      <c r="AB421" t="str">
        <f t="shared" si="34"/>
        <v/>
      </c>
      <c r="AC421" t="str">
        <f>IF(AB421="","",CONCATENATE(",",AB421))</f>
        <v/>
      </c>
    </row>
    <row r="422" spans="24:29" ht="15.75">
      <c r="X422" s="223" t="str">
        <f>+'3.Plan de Estudios'!$E$110</f>
        <v xml:space="preserve">PROJECTS IN THE CLASSROOM </v>
      </c>
      <c r="Y422" s="223" t="str">
        <f>IF('3.Plan de Estudios'!AI110="","",'3.Plan de Estudios'!AI110)</f>
        <v/>
      </c>
      <c r="Z422" t="str">
        <f t="shared" si="32"/>
        <v>PROJECTS IN THE CLASSROOM -</v>
      </c>
      <c r="AA422" s="89" t="str">
        <f t="shared" si="33"/>
        <v/>
      </c>
      <c r="AB422" t="str">
        <f t="shared" si="34"/>
        <v/>
      </c>
      <c r="AC422" t="str">
        <f>IF(AB422="","",CONCATENATE(",",AB422))</f>
        <v/>
      </c>
    </row>
    <row r="423" spans="24:29" ht="15.75">
      <c r="X423" s="183" t="str">
        <f>+'3.Plan de Estudios'!$E$111</f>
        <v>SISTEMATIZACIÓN DE LA INFORMACIÓN</v>
      </c>
      <c r="Y423" s="183" t="str">
        <f>IF('3.Plan de Estudios'!AA111="","",'3.Plan de Estudios'!AA111)</f>
        <v>CP4: Investigación Educativa:N3 Elabora el proyecto de investigación demostrando consistencia sobre todo en el marco teórico, diseño metodológico y validación de los instrumentos de investigación.</v>
      </c>
      <c r="Z423" t="str">
        <f t="shared" si="32"/>
        <v xml:space="preserve">SISTEMATIZACIÓN DE LA INFORMACIÓN-CP4: Investigación Educativa:N3 Elabora el proyecto de investigación demostrando consistencia sobre </v>
      </c>
      <c r="AA423" s="89" t="str">
        <f t="shared" si="33"/>
        <v>a</v>
      </c>
      <c r="AB423" t="str">
        <f t="shared" si="34"/>
        <v xml:space="preserve"> Investigación Educativa</v>
      </c>
      <c r="AC423" t="str">
        <f>AB423</f>
        <v xml:space="preserve"> Investigación Educativa</v>
      </c>
    </row>
    <row r="424" spans="24:29" ht="15.75">
      <c r="X424" s="183" t="str">
        <f>+'3.Plan de Estudios'!$E$111</f>
        <v>SISTEMATIZACIÓN DE LA INFORMACIÓN</v>
      </c>
      <c r="Y424" s="183" t="str">
        <f>IF('3.Plan de Estudios'!AC111="","",'3.Plan de Estudios'!AC111)</f>
        <v>CG3: Investigación:N3 Planifica, plantea y elabora un proyecto de investigación, haciendo uso de los pasos del método científico en forma ética para resolver un problema, según las líneas de investigación de la universidad y respondiendo a un problema del país.</v>
      </c>
      <c r="Z424" t="str">
        <f t="shared" si="32"/>
        <v>SISTEMATIZACIÓN DE LA INFORMACIÓN-CG3: Investigación:N3 Planifica, plantea y elabora un proyecto de investigación, haciendo uso de los</v>
      </c>
      <c r="AA424" s="89" t="str">
        <f t="shared" si="33"/>
        <v>a</v>
      </c>
      <c r="AB424" t="str">
        <f t="shared" si="34"/>
        <v xml:space="preserve"> Investigación</v>
      </c>
      <c r="AC424" t="str">
        <f>IF(AB424="","",CONCATENATE(",",AB424))</f>
        <v>, Investigación</v>
      </c>
    </row>
    <row r="425" spans="24:29" ht="15.75">
      <c r="X425" s="183" t="str">
        <f>+'3.Plan de Estudios'!$E$111</f>
        <v>SISTEMATIZACIÓN DE LA INFORMACIÓN</v>
      </c>
      <c r="Y425" s="183" t="str">
        <f>IF('3.Plan de Estudios'!AE111="","",'3.Plan de Estudios'!AE111)</f>
        <v>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v>
      </c>
      <c r="Z425" t="str">
        <f t="shared" si="32"/>
        <v>SISTEMATIZACIÓN DE LA INFORMACIÓN-CG1: Comunicación Integral:N3 Elabora textos académicos escritos y comunicaciones orales empleando d</v>
      </c>
      <c r="AA425" s="89" t="str">
        <f t="shared" si="33"/>
        <v>a</v>
      </c>
      <c r="AB425" t="str">
        <f t="shared" si="34"/>
        <v xml:space="preserve"> Comunicación Integral</v>
      </c>
      <c r="AC425" t="str">
        <f>IF(AB425="","",CONCATENATE(",",AB425))</f>
        <v>, Comunicación Integral</v>
      </c>
    </row>
    <row r="426" spans="24:29" ht="15.75">
      <c r="X426" s="183" t="str">
        <f>+'3.Plan de Estudios'!$E$111</f>
        <v>SISTEMATIZACIÓN DE LA INFORMACIÓN</v>
      </c>
      <c r="Y426" s="183" t="str">
        <f>IF('3.Plan de Estudios'!AG111="","",'3.Plan de Estudios'!AG111)</f>
        <v/>
      </c>
      <c r="Z426" t="str">
        <f t="shared" si="32"/>
        <v>SISTEMATIZACIÓN DE LA INFORMACIÓN-</v>
      </c>
      <c r="AA426" s="89" t="str">
        <f t="shared" si="33"/>
        <v/>
      </c>
      <c r="AB426" t="str">
        <f t="shared" si="34"/>
        <v/>
      </c>
      <c r="AC426" t="str">
        <f>IF(AB426="","",CONCATENATE(",",AB426))</f>
        <v/>
      </c>
    </row>
    <row r="427" spans="24:29" ht="15.75">
      <c r="X427" s="183" t="str">
        <f>+'3.Plan de Estudios'!$E$111</f>
        <v>SISTEMATIZACIÓN DE LA INFORMACIÓN</v>
      </c>
      <c r="Y427" s="183" t="str">
        <f>IF('3.Plan de Estudios'!AI111="","",'3.Plan de Estudios'!AI111)</f>
        <v/>
      </c>
      <c r="Z427" t="str">
        <f t="shared" si="32"/>
        <v>SISTEMATIZACIÓN DE LA INFORMACIÓN-</v>
      </c>
      <c r="AA427" s="89" t="str">
        <f t="shared" si="33"/>
        <v/>
      </c>
      <c r="AB427" t="str">
        <f t="shared" si="34"/>
        <v/>
      </c>
      <c r="AC427" t="str">
        <f>IF(AB427="","",CONCATENATE(",",AB427))</f>
        <v/>
      </c>
    </row>
    <row r="428" spans="24:29" ht="15.75">
      <c r="X428" s="223" t="str">
        <f>+'3.Plan de Estudios'!$E$112</f>
        <v>ELECTIVO 3</v>
      </c>
      <c r="Y428" s="223" t="str">
        <f>IF('3.Plan de Estudios'!AA112="","",'3.Plan de Estudios'!AA112)</f>
        <v/>
      </c>
      <c r="Z428" t="str">
        <f t="shared" si="32"/>
        <v>ELECTIVO 3-</v>
      </c>
      <c r="AA428" s="89" t="str">
        <f t="shared" si="33"/>
        <v/>
      </c>
      <c r="AB428" t="str">
        <f t="shared" si="34"/>
        <v/>
      </c>
      <c r="AC428" t="str">
        <f>AB428</f>
        <v/>
      </c>
    </row>
    <row r="429" spans="24:29" ht="15.75">
      <c r="X429" s="223" t="str">
        <f>+'3.Plan de Estudios'!$E$112</f>
        <v>ELECTIVO 3</v>
      </c>
      <c r="Y429" s="223" t="str">
        <f>IF('3.Plan de Estudios'!AC112="","",'3.Plan de Estudios'!AC112)</f>
        <v/>
      </c>
      <c r="Z429" t="str">
        <f t="shared" si="32"/>
        <v>ELECTIVO 3-</v>
      </c>
      <c r="AA429" s="89" t="str">
        <f t="shared" si="33"/>
        <v/>
      </c>
      <c r="AB429" t="str">
        <f t="shared" si="34"/>
        <v/>
      </c>
      <c r="AC429" t="str">
        <f>IF(AB429="","",CONCATENATE(",",AB429))</f>
        <v/>
      </c>
    </row>
    <row r="430" spans="24:29" ht="15.75">
      <c r="X430" s="223" t="str">
        <f>+'3.Plan de Estudios'!$E$112</f>
        <v>ELECTIVO 3</v>
      </c>
      <c r="Y430" s="223" t="str">
        <f>IF('3.Plan de Estudios'!AE112="","",'3.Plan de Estudios'!AE112)</f>
        <v/>
      </c>
      <c r="Z430" t="str">
        <f t="shared" si="32"/>
        <v>ELECTIVO 3-</v>
      </c>
      <c r="AA430" s="89" t="str">
        <f t="shared" si="33"/>
        <v/>
      </c>
      <c r="AB430" t="str">
        <f t="shared" si="34"/>
        <v/>
      </c>
      <c r="AC430" t="str">
        <f>IF(AB430="","",CONCATENATE(",",AB430))</f>
        <v/>
      </c>
    </row>
    <row r="431" spans="24:29" ht="15.75">
      <c r="X431" s="223" t="str">
        <f>+'3.Plan de Estudios'!$E$112</f>
        <v>ELECTIVO 3</v>
      </c>
      <c r="Y431" s="223" t="str">
        <f>IF('3.Plan de Estudios'!AG112="","",'3.Plan de Estudios'!AG112)</f>
        <v/>
      </c>
      <c r="Z431" t="str">
        <f t="shared" si="32"/>
        <v>ELECTIVO 3-</v>
      </c>
      <c r="AA431" s="89" t="str">
        <f t="shared" si="33"/>
        <v/>
      </c>
      <c r="AB431" t="str">
        <f t="shared" si="34"/>
        <v/>
      </c>
      <c r="AC431" t="str">
        <f>IF(AB431="","",CONCATENATE(",",AB431))</f>
        <v/>
      </c>
    </row>
    <row r="432" spans="24:29" ht="15.75">
      <c r="X432" s="223" t="str">
        <f>+'3.Plan de Estudios'!$E$112</f>
        <v>ELECTIVO 3</v>
      </c>
      <c r="Y432" s="223" t="str">
        <f>IF('3.Plan de Estudios'!AI112="","",'3.Plan de Estudios'!AI112)</f>
        <v/>
      </c>
      <c r="Z432" t="str">
        <f t="shared" si="32"/>
        <v>ELECTIVO 3-</v>
      </c>
      <c r="AA432" s="89" t="str">
        <f t="shared" si="33"/>
        <v/>
      </c>
      <c r="AB432" t="str">
        <f t="shared" si="34"/>
        <v/>
      </c>
      <c r="AC432" t="str">
        <f>IF(AB432="","",CONCATENATE(",",AB432))</f>
        <v/>
      </c>
    </row>
    <row r="433" spans="24:29" ht="15.75">
      <c r="X433" s="183">
        <f>+'3.Plan de Estudios'!$E$113</f>
        <v>0</v>
      </c>
      <c r="Y433" s="183" t="str">
        <f>IF('3.Plan de Estudios'!AA113="","",'3.Plan de Estudios'!AA113)</f>
        <v/>
      </c>
      <c r="Z433" t="str">
        <f t="shared" si="32"/>
        <v>0-</v>
      </c>
      <c r="AA433" s="89" t="str">
        <f t="shared" si="33"/>
        <v/>
      </c>
      <c r="AB433" t="str">
        <f t="shared" si="34"/>
        <v/>
      </c>
      <c r="AC433" t="str">
        <f>AB433</f>
        <v/>
      </c>
    </row>
    <row r="434" spans="24:29" ht="15.75">
      <c r="X434" s="183">
        <f>+'3.Plan de Estudios'!$E$113</f>
        <v>0</v>
      </c>
      <c r="Y434" s="183" t="str">
        <f>IF('3.Plan de Estudios'!AC113="","",'3.Plan de Estudios'!AC113)</f>
        <v/>
      </c>
      <c r="Z434" t="str">
        <f t="shared" ref="Z434:Z497" si="35">CONCATENATE(X434,"-",MID(Y434,1,100))</f>
        <v>0-</v>
      </c>
      <c r="AA434" s="89" t="str">
        <f t="shared" ref="AA434:AA497" si="36">+IF(Y434="","","a")</f>
        <v/>
      </c>
      <c r="AB434" t="str">
        <f t="shared" ref="AB434:AB497" si="37">IFERROR(MID(Y434,FIND(":",Y434)+1,FIND(":",Y434,FIND(":",Y434)+1)-FIND(":",Y434)-1),"")</f>
        <v/>
      </c>
      <c r="AC434" t="str">
        <f>IF(AB434="","",CONCATENATE(",",AB434))</f>
        <v/>
      </c>
    </row>
    <row r="435" spans="24:29" ht="15.75">
      <c r="X435" s="183">
        <f>+'3.Plan de Estudios'!$E$113</f>
        <v>0</v>
      </c>
      <c r="Y435" s="183" t="str">
        <f>IF('3.Plan de Estudios'!AE113="","",'3.Plan de Estudios'!AE113)</f>
        <v/>
      </c>
      <c r="Z435" t="str">
        <f t="shared" si="35"/>
        <v>0-</v>
      </c>
      <c r="AA435" s="89" t="str">
        <f t="shared" si="36"/>
        <v/>
      </c>
      <c r="AB435" t="str">
        <f t="shared" si="37"/>
        <v/>
      </c>
      <c r="AC435" t="str">
        <f>IF(AB435="","",CONCATENATE(",",AB435))</f>
        <v/>
      </c>
    </row>
    <row r="436" spans="24:29" ht="15.75">
      <c r="X436" s="183">
        <f>+'3.Plan de Estudios'!$E$113</f>
        <v>0</v>
      </c>
      <c r="Y436" s="183" t="str">
        <f>IF('3.Plan de Estudios'!AG113="","",'3.Plan de Estudios'!AG113)</f>
        <v/>
      </c>
      <c r="Z436" t="str">
        <f t="shared" si="35"/>
        <v>0-</v>
      </c>
      <c r="AA436" s="89" t="str">
        <f t="shared" si="36"/>
        <v/>
      </c>
      <c r="AB436" t="str">
        <f t="shared" si="37"/>
        <v/>
      </c>
      <c r="AC436" t="str">
        <f>IF(AB436="","",CONCATENATE(",",AB436))</f>
        <v/>
      </c>
    </row>
    <row r="437" spans="24:29" ht="15.75">
      <c r="X437" s="183">
        <f>+'3.Plan de Estudios'!$E$113</f>
        <v>0</v>
      </c>
      <c r="Y437" s="183" t="str">
        <f>IF('3.Plan de Estudios'!AI113="","",'3.Plan de Estudios'!AI113)</f>
        <v/>
      </c>
      <c r="Z437" t="str">
        <f t="shared" si="35"/>
        <v>0-</v>
      </c>
      <c r="AA437" s="89" t="str">
        <f t="shared" si="36"/>
        <v/>
      </c>
      <c r="AB437" t="str">
        <f t="shared" si="37"/>
        <v/>
      </c>
      <c r="AC437" t="str">
        <f>IF(AB437="","",CONCATENATE(",",AB437))</f>
        <v/>
      </c>
    </row>
    <row r="438" spans="24:29" ht="15.75">
      <c r="X438" s="223">
        <f>+'3.Plan de Estudios'!$E$114</f>
        <v>0</v>
      </c>
      <c r="Y438" s="223" t="str">
        <f>IF('3.Plan de Estudios'!AA114="","",'3.Plan de Estudios'!AA114)</f>
        <v/>
      </c>
      <c r="Z438" t="str">
        <f t="shared" si="35"/>
        <v>0-</v>
      </c>
      <c r="AA438" s="89" t="str">
        <f t="shared" si="36"/>
        <v/>
      </c>
      <c r="AB438" t="str">
        <f t="shared" si="37"/>
        <v/>
      </c>
      <c r="AC438" t="str">
        <f>AB438</f>
        <v/>
      </c>
    </row>
    <row r="439" spans="24:29" ht="15.75">
      <c r="X439" s="223">
        <f>+'3.Plan de Estudios'!$E$114</f>
        <v>0</v>
      </c>
      <c r="Y439" s="223" t="str">
        <f>IF('3.Plan de Estudios'!AC114="","",'3.Plan de Estudios'!AC114)</f>
        <v/>
      </c>
      <c r="Z439" t="str">
        <f t="shared" si="35"/>
        <v>0-</v>
      </c>
      <c r="AA439" s="89" t="str">
        <f t="shared" si="36"/>
        <v/>
      </c>
      <c r="AB439" t="str">
        <f t="shared" si="37"/>
        <v/>
      </c>
      <c r="AC439" t="str">
        <f>IF(AB439="","",CONCATENATE(",",AB439))</f>
        <v/>
      </c>
    </row>
    <row r="440" spans="24:29" ht="15.75">
      <c r="X440" s="223">
        <f>+'3.Plan de Estudios'!$E$114</f>
        <v>0</v>
      </c>
      <c r="Y440" s="223" t="str">
        <f>IF('3.Plan de Estudios'!AE114="","",'3.Plan de Estudios'!AE114)</f>
        <v/>
      </c>
      <c r="Z440" t="str">
        <f t="shared" si="35"/>
        <v>0-</v>
      </c>
      <c r="AA440" s="89" t="str">
        <f t="shared" si="36"/>
        <v/>
      </c>
      <c r="AB440" t="str">
        <f t="shared" si="37"/>
        <v/>
      </c>
      <c r="AC440" t="str">
        <f>IF(AB440="","",CONCATENATE(",",AB440))</f>
        <v/>
      </c>
    </row>
    <row r="441" spans="24:29" ht="15.75">
      <c r="X441" s="223">
        <f>+'3.Plan de Estudios'!$E$114</f>
        <v>0</v>
      </c>
      <c r="Y441" s="223" t="str">
        <f>IF('3.Plan de Estudios'!AG114="","",'3.Plan de Estudios'!AG114)</f>
        <v/>
      </c>
      <c r="Z441" t="str">
        <f t="shared" si="35"/>
        <v>0-</v>
      </c>
      <c r="AA441" s="89" t="str">
        <f t="shared" si="36"/>
        <v/>
      </c>
      <c r="AB441" t="str">
        <f t="shared" si="37"/>
        <v/>
      </c>
      <c r="AC441" t="str">
        <f>IF(AB441="","",CONCATENATE(",",AB441))</f>
        <v/>
      </c>
    </row>
    <row r="442" spans="24:29" ht="15.75">
      <c r="X442" s="223">
        <f>+'3.Plan de Estudios'!$E$114</f>
        <v>0</v>
      </c>
      <c r="Y442" s="223" t="str">
        <f>IF('3.Plan de Estudios'!AI114="","",'3.Plan de Estudios'!AI114)</f>
        <v/>
      </c>
      <c r="Z442" t="str">
        <f t="shared" si="35"/>
        <v>0-</v>
      </c>
      <c r="AA442" s="89" t="str">
        <f t="shared" si="36"/>
        <v/>
      </c>
      <c r="AB442" t="str">
        <f t="shared" si="37"/>
        <v/>
      </c>
      <c r="AC442" t="str">
        <f>IF(AB442="","",CONCATENATE(",",AB442))</f>
        <v/>
      </c>
    </row>
    <row r="443" spans="24:29" ht="15.75">
      <c r="X443" s="183">
        <f>+'3.Plan de Estudios'!$E$115</f>
        <v>0</v>
      </c>
      <c r="Y443" s="183" t="str">
        <f>IF('3.Plan de Estudios'!AA115="","",'3.Plan de Estudios'!AA115)</f>
        <v/>
      </c>
      <c r="Z443" t="str">
        <f t="shared" si="35"/>
        <v>0-</v>
      </c>
      <c r="AA443" s="89" t="str">
        <f t="shared" si="36"/>
        <v/>
      </c>
      <c r="AB443" t="str">
        <f t="shared" si="37"/>
        <v/>
      </c>
      <c r="AC443" t="str">
        <f>AB443</f>
        <v/>
      </c>
    </row>
    <row r="444" spans="24:29" ht="15.75">
      <c r="X444" s="183">
        <f>+'3.Plan de Estudios'!$E$115</f>
        <v>0</v>
      </c>
      <c r="Y444" s="183" t="str">
        <f>IF('3.Plan de Estudios'!AC115="","",'3.Plan de Estudios'!AC115)</f>
        <v/>
      </c>
      <c r="Z444" t="str">
        <f t="shared" si="35"/>
        <v>0-</v>
      </c>
      <c r="AA444" s="89" t="str">
        <f t="shared" si="36"/>
        <v/>
      </c>
      <c r="AB444" t="str">
        <f t="shared" si="37"/>
        <v/>
      </c>
      <c r="AC444" t="str">
        <f>IF(AB444="","",CONCATENATE(",",AB444))</f>
        <v/>
      </c>
    </row>
    <row r="445" spans="24:29" ht="15.75">
      <c r="X445" s="183">
        <f>+'3.Plan de Estudios'!$E$115</f>
        <v>0</v>
      </c>
      <c r="Y445" s="183" t="str">
        <f>IF('3.Plan de Estudios'!AE115="","",'3.Plan de Estudios'!AE115)</f>
        <v/>
      </c>
      <c r="Z445" t="str">
        <f t="shared" si="35"/>
        <v>0-</v>
      </c>
      <c r="AA445" s="89" t="str">
        <f t="shared" si="36"/>
        <v/>
      </c>
      <c r="AB445" t="str">
        <f t="shared" si="37"/>
        <v/>
      </c>
      <c r="AC445" t="str">
        <f>IF(AB445="","",CONCATENATE(",",AB445))</f>
        <v/>
      </c>
    </row>
    <row r="446" spans="24:29" ht="15.75">
      <c r="X446" s="183">
        <f>+'3.Plan de Estudios'!$E$115</f>
        <v>0</v>
      </c>
      <c r="Y446" s="183" t="str">
        <f>IF('3.Plan de Estudios'!AG115="","",'3.Plan de Estudios'!AG115)</f>
        <v/>
      </c>
      <c r="Z446" t="str">
        <f t="shared" si="35"/>
        <v>0-</v>
      </c>
      <c r="AA446" s="89" t="str">
        <f t="shared" si="36"/>
        <v/>
      </c>
      <c r="AB446" t="str">
        <f t="shared" si="37"/>
        <v/>
      </c>
      <c r="AC446" t="str">
        <f>IF(AB446="","",CONCATENATE(",",AB446))</f>
        <v/>
      </c>
    </row>
    <row r="447" spans="24:29" ht="15.75">
      <c r="X447" s="183">
        <f>+'3.Plan de Estudios'!$E$115</f>
        <v>0</v>
      </c>
      <c r="Y447" s="183" t="str">
        <f>IF('3.Plan de Estudios'!AI115="","",'3.Plan de Estudios'!AI115)</f>
        <v/>
      </c>
      <c r="Z447" t="str">
        <f t="shared" si="35"/>
        <v>0-</v>
      </c>
      <c r="AA447" s="89" t="str">
        <f t="shared" si="36"/>
        <v/>
      </c>
      <c r="AB447" t="str">
        <f t="shared" si="37"/>
        <v/>
      </c>
      <c r="AC447" t="str">
        <f>IF(AB447="","",CONCATENATE(",",AB447))</f>
        <v/>
      </c>
    </row>
    <row r="448" spans="24:29" ht="15.75">
      <c r="X448" s="223">
        <f>+'3.Plan de Estudios'!$E$116</f>
        <v>0</v>
      </c>
      <c r="Y448" s="227" t="str">
        <f>IF('3.Plan de Estudios'!AA116="","",'3.Plan de Estudios'!AA116)</f>
        <v/>
      </c>
      <c r="Z448" t="str">
        <f t="shared" si="35"/>
        <v>0-</v>
      </c>
      <c r="AA448" s="89" t="str">
        <f t="shared" si="36"/>
        <v/>
      </c>
      <c r="AB448" t="str">
        <f t="shared" si="37"/>
        <v/>
      </c>
      <c r="AC448" t="str">
        <f>AB448</f>
        <v/>
      </c>
    </row>
    <row r="449" spans="24:29" ht="15.75">
      <c r="X449" s="223">
        <f>+'3.Plan de Estudios'!$E$116</f>
        <v>0</v>
      </c>
      <c r="Y449" s="223" t="str">
        <f>IF('3.Plan de Estudios'!AC116="","",'3.Plan de Estudios'!AC116)</f>
        <v/>
      </c>
      <c r="Z449" t="str">
        <f t="shared" si="35"/>
        <v>0-</v>
      </c>
      <c r="AA449" s="89" t="str">
        <f t="shared" si="36"/>
        <v/>
      </c>
      <c r="AB449" t="str">
        <f t="shared" si="37"/>
        <v/>
      </c>
      <c r="AC449" t="str">
        <f>IF(AB449="","",CONCATENATE(",",AB449))</f>
        <v/>
      </c>
    </row>
    <row r="450" spans="24:29" ht="15.75">
      <c r="X450" s="223">
        <f>+'3.Plan de Estudios'!$E$116</f>
        <v>0</v>
      </c>
      <c r="Y450" s="223" t="str">
        <f>IF('3.Plan de Estudios'!AE116="","",'3.Plan de Estudios'!AE116)</f>
        <v/>
      </c>
      <c r="Z450" t="str">
        <f t="shared" si="35"/>
        <v>0-</v>
      </c>
      <c r="AA450" s="89" t="str">
        <f t="shared" si="36"/>
        <v/>
      </c>
      <c r="AB450" t="str">
        <f t="shared" si="37"/>
        <v/>
      </c>
      <c r="AC450" t="str">
        <f>IF(AB450="","",CONCATENATE(",",AB450))</f>
        <v/>
      </c>
    </row>
    <row r="451" spans="24:29" ht="15.75">
      <c r="X451" s="223">
        <f>+'3.Plan de Estudios'!$E$116</f>
        <v>0</v>
      </c>
      <c r="Y451" s="223" t="str">
        <f>IF('3.Plan de Estudios'!AG116="","",'3.Plan de Estudios'!AG116)</f>
        <v/>
      </c>
      <c r="Z451" t="str">
        <f t="shared" si="35"/>
        <v>0-</v>
      </c>
      <c r="AA451" s="89" t="str">
        <f t="shared" si="36"/>
        <v/>
      </c>
      <c r="AB451" t="str">
        <f t="shared" si="37"/>
        <v/>
      </c>
      <c r="AC451" t="str">
        <f>IF(AB451="","",CONCATENATE(",",AB451))</f>
        <v/>
      </c>
    </row>
    <row r="452" spans="24:29" ht="15.75">
      <c r="X452" s="224">
        <f>+'3.Plan de Estudios'!$E$116</f>
        <v>0</v>
      </c>
      <c r="Y452" s="224" t="str">
        <f>IF('3.Plan de Estudios'!AI116="","",'3.Plan de Estudios'!AI116)</f>
        <v/>
      </c>
      <c r="Z452" t="str">
        <f t="shared" si="35"/>
        <v>0-</v>
      </c>
      <c r="AA452" s="89" t="str">
        <f t="shared" si="36"/>
        <v/>
      </c>
      <c r="AB452" t="str">
        <f t="shared" si="37"/>
        <v/>
      </c>
      <c r="AC452" t="str">
        <f>IF(AB452="","",CONCATENATE(",",AB452))</f>
        <v/>
      </c>
    </row>
    <row r="453" spans="24:29" ht="15.75">
      <c r="X453" s="189" t="str">
        <f>+'3.Plan de Estudios'!$E$118</f>
        <v>COACHING EDUCATIVO</v>
      </c>
      <c r="Y453" s="189" t="str">
        <f>IF('3.Plan de Estudios'!AA118="","",'3.Plan de Estudios'!AA118)</f>
        <v>CP1: Orientación educativa:N3 Comprende el rigor científico de la teoría, la historia y la psicología aplicadas al ámbito educativo para establecer las orientaciones fundamentales del sentido educativo en los docentes y los alumnos.</v>
      </c>
      <c r="Z453" t="str">
        <f t="shared" si="35"/>
        <v>COACHING EDUCATIVO-CP1: Orientación educativa:N3 Comprende el rigor científico de la teoría, la historia y la psicologí</v>
      </c>
      <c r="AA453" s="89" t="str">
        <f t="shared" si="36"/>
        <v>a</v>
      </c>
      <c r="AB453" t="str">
        <f t="shared" si="37"/>
        <v xml:space="preserve"> Orientación educativa</v>
      </c>
      <c r="AC453" t="str">
        <f>AB453</f>
        <v xml:space="preserve"> Orientación educativa</v>
      </c>
    </row>
    <row r="454" spans="24:29" ht="15.75">
      <c r="X454" s="183" t="str">
        <f>+'3.Plan de Estudios'!$E$118</f>
        <v>COACHING EDUCATIVO</v>
      </c>
      <c r="Y454" s="183" t="str">
        <f>IF('3.Plan de Estudios'!AC118="","",'3.Plan de Estudios'!AC118)</f>
        <v>CG5: Desarrollo Humano:N3 Demuestra sensibilidad y disposición social en las interacciones de su vida académica, con asertividad y empatía, para afrontar de manera satisfactoria las exigencias sociales y profesionales.</v>
      </c>
      <c r="Z454" t="str">
        <f t="shared" si="35"/>
        <v>COACHING EDUCATIVO-CG5: Desarrollo Humano:N3 Demuestra sensibilidad y disposición social en las interacciones de su vid</v>
      </c>
      <c r="AA454" s="89" t="str">
        <f t="shared" si="36"/>
        <v>a</v>
      </c>
      <c r="AB454" t="str">
        <f t="shared" si="37"/>
        <v xml:space="preserve"> Desarrollo Humano</v>
      </c>
      <c r="AC454" t="str">
        <f>IF(AB454="","",CONCATENATE(",",AB454))</f>
        <v>, Desarrollo Humano</v>
      </c>
    </row>
    <row r="455" spans="24:29" ht="15.75">
      <c r="X455" s="183" t="str">
        <f>+'3.Plan de Estudios'!$E$118</f>
        <v>COACHING EDUCATIVO</v>
      </c>
      <c r="Y455" s="183" t="str">
        <f>IF('3.Plan de Estudios'!AE118="","",'3.Plan de Estudios'!AE118)</f>
        <v/>
      </c>
      <c r="Z455" t="str">
        <f t="shared" si="35"/>
        <v>COACHING EDUCATIVO-</v>
      </c>
      <c r="AA455" s="89" t="str">
        <f t="shared" si="36"/>
        <v/>
      </c>
      <c r="AB455" t="str">
        <f t="shared" si="37"/>
        <v/>
      </c>
      <c r="AC455" t="str">
        <f>IF(AB455="","",CONCATENATE(",",AB455))</f>
        <v/>
      </c>
    </row>
    <row r="456" spans="24:29" ht="15.75">
      <c r="X456" s="183" t="str">
        <f>+'3.Plan de Estudios'!$E$118</f>
        <v>COACHING EDUCATIVO</v>
      </c>
      <c r="Y456" s="183" t="str">
        <f>IF('3.Plan de Estudios'!AG118="","",'3.Plan de Estudios'!AG118)</f>
        <v/>
      </c>
      <c r="Z456" t="str">
        <f t="shared" si="35"/>
        <v>COACHING EDUCATIVO-</v>
      </c>
      <c r="AA456" s="89" t="str">
        <f t="shared" si="36"/>
        <v/>
      </c>
      <c r="AB456" t="str">
        <f t="shared" si="37"/>
        <v/>
      </c>
      <c r="AC456" t="str">
        <f>IF(AB456="","",CONCATENATE(",",AB456))</f>
        <v/>
      </c>
    </row>
    <row r="457" spans="24:29" ht="15.75">
      <c r="X457" s="183" t="str">
        <f>+'3.Plan de Estudios'!$E$118</f>
        <v>COACHING EDUCATIVO</v>
      </c>
      <c r="Y457" s="183" t="str">
        <f>IF('3.Plan de Estudios'!AI118="","",'3.Plan de Estudios'!AI118)</f>
        <v/>
      </c>
      <c r="Z457" t="str">
        <f t="shared" si="35"/>
        <v>COACHING EDUCATIVO-</v>
      </c>
      <c r="AA457" s="89" t="str">
        <f t="shared" si="36"/>
        <v/>
      </c>
      <c r="AB457" t="str">
        <f t="shared" si="37"/>
        <v/>
      </c>
      <c r="AC457" t="str">
        <f>IF(AB457="","",CONCATENATE(",",AB457))</f>
        <v/>
      </c>
    </row>
    <row r="458" spans="24:29" ht="15.75">
      <c r="X458" s="223" t="str">
        <f>+'3.Plan de Estudios'!$E$119</f>
        <v>INFORME Y SUSTENTACIÓN DEL PROYECTO DE INVESTIGACIÓN</v>
      </c>
      <c r="Y458" s="223" t="str">
        <f>IF('3.Plan de Estudios'!AA119="","",'3.Plan de Estudios'!AA119)</f>
        <v>CP4: Investigación Educativa:N3 Elabora el proyecto de investigación demostrando consistencia sobre todo en el marco teórico, diseño metodológico y validación de los instrumentos de investigación.</v>
      </c>
      <c r="Z458" t="str">
        <f t="shared" si="35"/>
        <v xml:space="preserve">INFORME Y SUSTENTACIÓN DEL PROYECTO DE INVESTIGACIÓN-CP4: Investigación Educativa:N3 Elabora el proyecto de investigación demostrando consistencia sobre </v>
      </c>
      <c r="AA458" s="89" t="str">
        <f t="shared" si="36"/>
        <v>a</v>
      </c>
      <c r="AB458" t="str">
        <f t="shared" si="37"/>
        <v xml:space="preserve"> Investigación Educativa</v>
      </c>
      <c r="AC458" t="str">
        <f>AB458</f>
        <v xml:space="preserve"> Investigación Educativa</v>
      </c>
    </row>
    <row r="459" spans="24:29" ht="15.75">
      <c r="X459" s="223" t="str">
        <f>+'3.Plan de Estudios'!$E$119</f>
        <v>INFORME Y SUSTENTACIÓN DEL PROYECTO DE INVESTIGACIÓN</v>
      </c>
      <c r="Y459" s="223" t="str">
        <f>IF('3.Plan de Estudios'!AC119="","",'3.Plan de Estudios'!AC119)</f>
        <v>CG3: Investigación:N3 Planifica, plantea y elabora un proyecto de investigación, haciendo uso de los pasos del método científico en forma ética para resolver un problema, según las líneas de investigación de la universidad y respondiendo a un problema del país.</v>
      </c>
      <c r="Z459" t="str">
        <f t="shared" si="35"/>
        <v>INFORME Y SUSTENTACIÓN DEL PROYECTO DE INVESTIGACIÓN-CG3: Investigación:N3 Planifica, plantea y elabora un proyecto de investigación, haciendo uso de los</v>
      </c>
      <c r="AA459" s="89" t="str">
        <f t="shared" si="36"/>
        <v>a</v>
      </c>
      <c r="AB459" t="str">
        <f t="shared" si="37"/>
        <v xml:space="preserve"> Investigación</v>
      </c>
      <c r="AC459" t="str">
        <f>IF(AB459="","",CONCATENATE(",",AB459))</f>
        <v>, Investigación</v>
      </c>
    </row>
    <row r="460" spans="24:29" ht="15.75">
      <c r="X460" s="223" t="str">
        <f>+'3.Plan de Estudios'!$E$119</f>
        <v>INFORME Y SUSTENTACIÓN DEL PROYECTO DE INVESTIGACIÓN</v>
      </c>
      <c r="Y460" s="223" t="str">
        <f>IF('3.Plan de Estudios'!AE119="","",'3.Plan de Estudios'!AE119)</f>
        <v/>
      </c>
      <c r="Z460" t="str">
        <f t="shared" si="35"/>
        <v>INFORME Y SUSTENTACIÓN DEL PROYECTO DE INVESTIGACIÓN-</v>
      </c>
      <c r="AA460" s="89" t="str">
        <f t="shared" si="36"/>
        <v/>
      </c>
      <c r="AB460" t="str">
        <f t="shared" si="37"/>
        <v/>
      </c>
      <c r="AC460" t="str">
        <f>IF(AB460="","",CONCATENATE(",",AB460))</f>
        <v/>
      </c>
    </row>
    <row r="461" spans="24:29" ht="15.75">
      <c r="X461" s="223" t="str">
        <f>+'3.Plan de Estudios'!$E$119</f>
        <v>INFORME Y SUSTENTACIÓN DEL PROYECTO DE INVESTIGACIÓN</v>
      </c>
      <c r="Y461" s="223" t="str">
        <f>IF('3.Plan de Estudios'!AG119="","",'3.Plan de Estudios'!AG119)</f>
        <v/>
      </c>
      <c r="Z461" t="str">
        <f t="shared" si="35"/>
        <v>INFORME Y SUSTENTACIÓN DEL PROYECTO DE INVESTIGACIÓN-</v>
      </c>
      <c r="AA461" s="89" t="str">
        <f t="shared" si="36"/>
        <v/>
      </c>
      <c r="AB461" t="str">
        <f t="shared" si="37"/>
        <v/>
      </c>
      <c r="AC461" t="str">
        <f>IF(AB461="","",CONCATENATE(",",AB461))</f>
        <v/>
      </c>
    </row>
    <row r="462" spans="24:29" ht="15.75">
      <c r="X462" s="223" t="str">
        <f>+'3.Plan de Estudios'!$E$119</f>
        <v>INFORME Y SUSTENTACIÓN DEL PROYECTO DE INVESTIGACIÓN</v>
      </c>
      <c r="Y462" s="223" t="str">
        <f>IF('3.Plan de Estudios'!AI119="","",'3.Plan de Estudios'!AI119)</f>
        <v/>
      </c>
      <c r="Z462" t="str">
        <f t="shared" si="35"/>
        <v>INFORME Y SUSTENTACIÓN DEL PROYECTO DE INVESTIGACIÓN-</v>
      </c>
      <c r="AA462" s="89" t="str">
        <f t="shared" si="36"/>
        <v/>
      </c>
      <c r="AB462" t="str">
        <f t="shared" si="37"/>
        <v/>
      </c>
      <c r="AC462" t="str">
        <f>IF(AB462="","",CONCATENATE(",",AB462))</f>
        <v/>
      </c>
    </row>
    <row r="463" spans="24:29" ht="15.75">
      <c r="X463" s="183" t="str">
        <f>+'3.Plan de Estudios'!$E$120</f>
        <v>LEGISLACIÓN EDUCATIVA</v>
      </c>
      <c r="Y463" s="183" t="str">
        <f>IF('3.Plan de Estudios'!AA120="","",'3.Plan de Estudios'!AA120)</f>
        <v>CP1: Orientación educativa:N3 Comprende el rigor científico de la teoría, la historia y la psicología aplicadas al ámbito educativo para establecer las orientaciones fundamentales del sentido educativo en los docentes y los alumnos.</v>
      </c>
      <c r="Z463" t="str">
        <f t="shared" si="35"/>
        <v>LEGISLACIÓN EDUCATIVA-CP1: Orientación educativa:N3 Comprende el rigor científico de la teoría, la historia y la psicologí</v>
      </c>
      <c r="AA463" s="89" t="str">
        <f t="shared" si="36"/>
        <v>a</v>
      </c>
      <c r="AB463" t="str">
        <f t="shared" si="37"/>
        <v xml:space="preserve"> Orientación educativa</v>
      </c>
      <c r="AC463" t="str">
        <f>AB463</f>
        <v xml:space="preserve"> Orientación educativa</v>
      </c>
    </row>
    <row r="464" spans="24:29" ht="15.75">
      <c r="X464" s="183" t="str">
        <f>+'3.Plan de Estudios'!$E$120</f>
        <v>LEGISLACIÓN EDUCATIVA</v>
      </c>
      <c r="Y464" s="183" t="str">
        <f>IF('3.Plan de Estudios'!AC120="","",'3.Plan de Estudios'!AC120)</f>
        <v/>
      </c>
      <c r="Z464" t="str">
        <f t="shared" si="35"/>
        <v>LEGISLACIÓN EDUCATIVA-</v>
      </c>
      <c r="AA464" s="89" t="str">
        <f t="shared" si="36"/>
        <v/>
      </c>
      <c r="AB464" t="str">
        <f t="shared" si="37"/>
        <v/>
      </c>
      <c r="AC464" t="str">
        <f>IF(AB464="","",CONCATENATE(",",AB464))</f>
        <v/>
      </c>
    </row>
    <row r="465" spans="24:29" ht="15.75">
      <c r="X465" s="183" t="str">
        <f>+'3.Plan de Estudios'!$E$120</f>
        <v>LEGISLACIÓN EDUCATIVA</v>
      </c>
      <c r="Y465" s="183" t="str">
        <f>IF('3.Plan de Estudios'!AE120="","",'3.Plan de Estudios'!AE120)</f>
        <v/>
      </c>
      <c r="Z465" t="str">
        <f t="shared" si="35"/>
        <v>LEGISLACIÓN EDUCATIVA-</v>
      </c>
      <c r="AA465" s="89" t="str">
        <f t="shared" si="36"/>
        <v/>
      </c>
      <c r="AB465" t="str">
        <f t="shared" si="37"/>
        <v/>
      </c>
      <c r="AC465" t="str">
        <f>IF(AB465="","",CONCATENATE(",",AB465))</f>
        <v/>
      </c>
    </row>
    <row r="466" spans="24:29" ht="15.75">
      <c r="X466" s="183" t="str">
        <f>+'3.Plan de Estudios'!$E$120</f>
        <v>LEGISLACIÓN EDUCATIVA</v>
      </c>
      <c r="Y466" s="183" t="str">
        <f>IF('3.Plan de Estudios'!AG120="","",'3.Plan de Estudios'!AG120)</f>
        <v/>
      </c>
      <c r="Z466" t="str">
        <f t="shared" si="35"/>
        <v>LEGISLACIÓN EDUCATIVA-</v>
      </c>
      <c r="AA466" s="89" t="str">
        <f t="shared" si="36"/>
        <v/>
      </c>
      <c r="AB466" t="str">
        <f t="shared" si="37"/>
        <v/>
      </c>
      <c r="AC466" t="str">
        <f>IF(AB466="","",CONCATENATE(",",AB466))</f>
        <v/>
      </c>
    </row>
    <row r="467" spans="24:29" ht="15.75">
      <c r="X467" s="183" t="str">
        <f>+'3.Plan de Estudios'!$E$120</f>
        <v>LEGISLACIÓN EDUCATIVA</v>
      </c>
      <c r="Y467" s="183" t="str">
        <f>IF('3.Plan de Estudios'!AI120="","",'3.Plan de Estudios'!AI120)</f>
        <v/>
      </c>
      <c r="Z467" t="str">
        <f t="shared" si="35"/>
        <v>LEGISLACIÓN EDUCATIVA-</v>
      </c>
      <c r="AA467" s="89" t="str">
        <f t="shared" si="36"/>
        <v/>
      </c>
      <c r="AB467" t="str">
        <f t="shared" si="37"/>
        <v/>
      </c>
      <c r="AC467" t="str">
        <f>IF(AB467="","",CONCATENATE(",",AB467))</f>
        <v/>
      </c>
    </row>
    <row r="468" spans="24:29" ht="15.75">
      <c r="X468" s="223" t="str">
        <f>+'3.Plan de Estudios'!$E$121</f>
        <v>PRÁCTICA PRE-PROFESIONAL INTENSIVA</v>
      </c>
      <c r="Y468" s="223" t="str">
        <f>IF('3.Plan de Estudios'!AA121="","",'3.Plan de Estudios'!AA121)</f>
        <v>CP2: Desarrollo de gestión educativa:N3 Establece relaciones entre las concepciones de administración, economía, marketing y aspectos legales como fundamentos básicos para el desarrollo de una buena gestión educativa.</v>
      </c>
      <c r="Z468" t="str">
        <f t="shared" si="35"/>
        <v>PRÁCTICA PRE-PROFESIONAL INTENSIVA-CP2: Desarrollo de gestión educativa:N3 Establece relaciones entre las concepciones de administració</v>
      </c>
      <c r="AA468" s="89" t="str">
        <f t="shared" si="36"/>
        <v>a</v>
      </c>
      <c r="AB468" t="str">
        <f t="shared" si="37"/>
        <v xml:space="preserve"> Desarrollo de gestión educativa</v>
      </c>
      <c r="AC468" t="str">
        <f>AB468</f>
        <v xml:space="preserve"> Desarrollo de gestión educativa</v>
      </c>
    </row>
    <row r="469" spans="24:29" ht="15.75">
      <c r="X469" s="223" t="str">
        <f>+'3.Plan de Estudios'!$E$121</f>
        <v>PRÁCTICA PRE-PROFESIONAL INTENSIVA</v>
      </c>
      <c r="Y469" s="223" t="str">
        <f>IF('3.Plan de Estudios'!AC121="","",'3.Plan de Estudios'!AC121)</f>
        <v/>
      </c>
      <c r="Z469" t="str">
        <f t="shared" si="35"/>
        <v>PRÁCTICA PRE-PROFESIONAL INTENSIVA-</v>
      </c>
      <c r="AA469" s="89" t="str">
        <f t="shared" si="36"/>
        <v/>
      </c>
      <c r="AB469" t="str">
        <f t="shared" si="37"/>
        <v/>
      </c>
      <c r="AC469" t="str">
        <f>IF(AB469="","",CONCATENATE(",",AB469))</f>
        <v/>
      </c>
    </row>
    <row r="470" spans="24:29" ht="15.75">
      <c r="X470" s="223" t="str">
        <f>+'3.Plan de Estudios'!$E$121</f>
        <v>PRÁCTICA PRE-PROFESIONAL INTENSIVA</v>
      </c>
      <c r="Y470" s="223" t="str">
        <f>IF('3.Plan de Estudios'!AE121="","",'3.Plan de Estudios'!AE121)</f>
        <v/>
      </c>
      <c r="Z470" t="str">
        <f t="shared" si="35"/>
        <v>PRÁCTICA PRE-PROFESIONAL INTENSIVA-</v>
      </c>
      <c r="AA470" s="89" t="str">
        <f t="shared" si="36"/>
        <v/>
      </c>
      <c r="AB470" t="str">
        <f t="shared" si="37"/>
        <v/>
      </c>
      <c r="AC470" t="str">
        <f>IF(AB470="","",CONCATENATE(",",AB470))</f>
        <v/>
      </c>
    </row>
    <row r="471" spans="24:29" ht="15.75">
      <c r="X471" s="223" t="str">
        <f>+'3.Plan de Estudios'!$E$121</f>
        <v>PRÁCTICA PRE-PROFESIONAL INTENSIVA</v>
      </c>
      <c r="Y471" s="223" t="str">
        <f>IF('3.Plan de Estudios'!AG121="","",'3.Plan de Estudios'!AG121)</f>
        <v/>
      </c>
      <c r="Z471" t="str">
        <f t="shared" si="35"/>
        <v>PRÁCTICA PRE-PROFESIONAL INTENSIVA-</v>
      </c>
      <c r="AA471" s="89" t="str">
        <f t="shared" si="36"/>
        <v/>
      </c>
      <c r="AB471" t="str">
        <f t="shared" si="37"/>
        <v/>
      </c>
      <c r="AC471" t="str">
        <f>IF(AB471="","",CONCATENATE(",",AB471))</f>
        <v/>
      </c>
    </row>
    <row r="472" spans="24:29" ht="15.75">
      <c r="X472" s="223" t="str">
        <f>+'3.Plan de Estudios'!$E$121</f>
        <v>PRÁCTICA PRE-PROFESIONAL INTENSIVA</v>
      </c>
      <c r="Y472" s="223" t="str">
        <f>IF('3.Plan de Estudios'!AI121="","",'3.Plan de Estudios'!AI121)</f>
        <v/>
      </c>
      <c r="Z472" t="str">
        <f t="shared" si="35"/>
        <v>PRÁCTICA PRE-PROFESIONAL INTENSIVA-</v>
      </c>
      <c r="AA472" s="89" t="str">
        <f t="shared" si="36"/>
        <v/>
      </c>
      <c r="AB472" t="str">
        <f t="shared" si="37"/>
        <v/>
      </c>
      <c r="AC472" t="str">
        <f>IF(AB472="","",CONCATENATE(",",AB472))</f>
        <v/>
      </c>
    </row>
    <row r="473" spans="24:29" ht="15.75">
      <c r="X473" s="183" t="str">
        <f>+'3.Plan de Estudios'!$E$122</f>
        <v>ELECTIVO 4</v>
      </c>
      <c r="Y473" s="183" t="str">
        <f>IF('3.Plan de Estudios'!AA122="","",'3.Plan de Estudios'!AA122)</f>
        <v/>
      </c>
      <c r="Z473" t="str">
        <f t="shared" si="35"/>
        <v>ELECTIVO 4-</v>
      </c>
      <c r="AA473" s="89" t="str">
        <f t="shared" si="36"/>
        <v/>
      </c>
      <c r="AB473" t="str">
        <f t="shared" si="37"/>
        <v/>
      </c>
      <c r="AC473" t="str">
        <f>AB473</f>
        <v/>
      </c>
    </row>
    <row r="474" spans="24:29" ht="15.75">
      <c r="X474" s="183" t="str">
        <f>+'3.Plan de Estudios'!$E$122</f>
        <v>ELECTIVO 4</v>
      </c>
      <c r="Y474" s="183" t="str">
        <f>IF('3.Plan de Estudios'!AC122="","",'3.Plan de Estudios'!AC122)</f>
        <v/>
      </c>
      <c r="Z474" t="str">
        <f t="shared" si="35"/>
        <v>ELECTIVO 4-</v>
      </c>
      <c r="AA474" s="89" t="str">
        <f t="shared" si="36"/>
        <v/>
      </c>
      <c r="AB474" t="str">
        <f t="shared" si="37"/>
        <v/>
      </c>
      <c r="AC474" t="str">
        <f>IF(AB474="","",CONCATENATE(",",AB474))</f>
        <v/>
      </c>
    </row>
    <row r="475" spans="24:29" ht="15.75">
      <c r="X475" s="183" t="str">
        <f>+'3.Plan de Estudios'!$E$122</f>
        <v>ELECTIVO 4</v>
      </c>
      <c r="Y475" s="183" t="str">
        <f>IF('3.Plan de Estudios'!AE122="","",'3.Plan de Estudios'!AE122)</f>
        <v/>
      </c>
      <c r="Z475" t="str">
        <f t="shared" si="35"/>
        <v>ELECTIVO 4-</v>
      </c>
      <c r="AA475" s="89" t="str">
        <f t="shared" si="36"/>
        <v/>
      </c>
      <c r="AB475" t="str">
        <f t="shared" si="37"/>
        <v/>
      </c>
      <c r="AC475" t="str">
        <f>IF(AB475="","",CONCATENATE(",",AB475))</f>
        <v/>
      </c>
    </row>
    <row r="476" spans="24:29" ht="15.75">
      <c r="X476" s="183" t="str">
        <f>+'3.Plan de Estudios'!$E$122</f>
        <v>ELECTIVO 4</v>
      </c>
      <c r="Y476" s="183" t="str">
        <f>IF('3.Plan de Estudios'!AG122="","",'3.Plan de Estudios'!AG122)</f>
        <v/>
      </c>
      <c r="Z476" t="str">
        <f t="shared" si="35"/>
        <v>ELECTIVO 4-</v>
      </c>
      <c r="AA476" s="89" t="str">
        <f t="shared" si="36"/>
        <v/>
      </c>
      <c r="AB476" t="str">
        <f t="shared" si="37"/>
        <v/>
      </c>
      <c r="AC476" t="str">
        <f>IF(AB476="","",CONCATENATE(",",AB476))</f>
        <v/>
      </c>
    </row>
    <row r="477" spans="24:29" ht="15.75">
      <c r="X477" s="183" t="str">
        <f>+'3.Plan de Estudios'!$E$122</f>
        <v>ELECTIVO 4</v>
      </c>
      <c r="Y477" s="183" t="str">
        <f>IF('3.Plan de Estudios'!AI122="","",'3.Plan de Estudios'!AI122)</f>
        <v/>
      </c>
      <c r="Z477" t="str">
        <f t="shared" si="35"/>
        <v>ELECTIVO 4-</v>
      </c>
      <c r="AA477" s="89" t="str">
        <f t="shared" si="36"/>
        <v/>
      </c>
      <c r="AB477" t="str">
        <f t="shared" si="37"/>
        <v/>
      </c>
      <c r="AC477" t="str">
        <f>IF(AB477="","",CONCATENATE(",",AB477))</f>
        <v/>
      </c>
    </row>
    <row r="478" spans="24:29" ht="15.75">
      <c r="X478" s="223">
        <f>+'3.Plan de Estudios'!$E$123</f>
        <v>0</v>
      </c>
      <c r="Y478" s="223" t="str">
        <f>IF('3.Plan de Estudios'!AA123="","",'3.Plan de Estudios'!AA123)</f>
        <v/>
      </c>
      <c r="Z478" t="str">
        <f t="shared" si="35"/>
        <v>0-</v>
      </c>
      <c r="AA478" s="89" t="str">
        <f t="shared" si="36"/>
        <v/>
      </c>
      <c r="AB478" t="str">
        <f t="shared" si="37"/>
        <v/>
      </c>
      <c r="AC478" t="str">
        <f>AB478</f>
        <v/>
      </c>
    </row>
    <row r="479" spans="24:29" ht="15.75">
      <c r="X479" s="223">
        <f>+'3.Plan de Estudios'!$E$123</f>
        <v>0</v>
      </c>
      <c r="Y479" s="223" t="str">
        <f>IF('3.Plan de Estudios'!AC123="","",'3.Plan de Estudios'!AC123)</f>
        <v/>
      </c>
      <c r="Z479" t="str">
        <f t="shared" si="35"/>
        <v>0-</v>
      </c>
      <c r="AA479" s="89" t="str">
        <f t="shared" si="36"/>
        <v/>
      </c>
      <c r="AB479" t="str">
        <f t="shared" si="37"/>
        <v/>
      </c>
      <c r="AC479" t="str">
        <f>IF(AB479="","",CONCATENATE(",",AB479))</f>
        <v/>
      </c>
    </row>
    <row r="480" spans="24:29" ht="15.75">
      <c r="X480" s="223">
        <f>+'3.Plan de Estudios'!$E$123</f>
        <v>0</v>
      </c>
      <c r="Y480" s="223" t="str">
        <f>IF('3.Plan de Estudios'!AE123="","",'3.Plan de Estudios'!AE123)</f>
        <v/>
      </c>
      <c r="Z480" t="str">
        <f t="shared" si="35"/>
        <v>0-</v>
      </c>
      <c r="AA480" s="89" t="str">
        <f t="shared" si="36"/>
        <v/>
      </c>
      <c r="AB480" t="str">
        <f t="shared" si="37"/>
        <v/>
      </c>
      <c r="AC480" t="str">
        <f>IF(AB480="","",CONCATENATE(",",AB480))</f>
        <v/>
      </c>
    </row>
    <row r="481" spans="24:29" ht="15.75">
      <c r="X481" s="223">
        <f>+'3.Plan de Estudios'!$E$123</f>
        <v>0</v>
      </c>
      <c r="Y481" s="223" t="str">
        <f>IF('3.Plan de Estudios'!AG123="","",'3.Plan de Estudios'!AG123)</f>
        <v/>
      </c>
      <c r="Z481" t="str">
        <f t="shared" si="35"/>
        <v>0-</v>
      </c>
      <c r="AA481" s="89" t="str">
        <f t="shared" si="36"/>
        <v/>
      </c>
      <c r="AB481" t="str">
        <f t="shared" si="37"/>
        <v/>
      </c>
      <c r="AC481" t="str">
        <f>IF(AB481="","",CONCATENATE(",",AB481))</f>
        <v/>
      </c>
    </row>
    <row r="482" spans="24:29" ht="15.75">
      <c r="X482" s="223">
        <f>+'3.Plan de Estudios'!$E$123</f>
        <v>0</v>
      </c>
      <c r="Y482" s="223" t="str">
        <f>IF('3.Plan de Estudios'!AI123="","",'3.Plan de Estudios'!AI123)</f>
        <v/>
      </c>
      <c r="Z482" t="str">
        <f t="shared" si="35"/>
        <v>0-</v>
      </c>
      <c r="AA482" s="89" t="str">
        <f t="shared" si="36"/>
        <v/>
      </c>
      <c r="AB482" t="str">
        <f t="shared" si="37"/>
        <v/>
      </c>
      <c r="AC482" t="str">
        <f>IF(AB482="","",CONCATENATE(",",AB482))</f>
        <v/>
      </c>
    </row>
    <row r="483" spans="24:29" ht="15.75">
      <c r="X483" s="183">
        <f>+'3.Plan de Estudios'!$E$124</f>
        <v>0</v>
      </c>
      <c r="Y483" s="183" t="str">
        <f>IF('3.Plan de Estudios'!AA124="","",'3.Plan de Estudios'!AA124)</f>
        <v/>
      </c>
      <c r="Z483" t="str">
        <f t="shared" si="35"/>
        <v>0-</v>
      </c>
      <c r="AA483" s="89" t="str">
        <f t="shared" si="36"/>
        <v/>
      </c>
      <c r="AB483" t="str">
        <f t="shared" si="37"/>
        <v/>
      </c>
      <c r="AC483" t="str">
        <f>AB483</f>
        <v/>
      </c>
    </row>
    <row r="484" spans="24:29" ht="15.75">
      <c r="X484" s="183">
        <f>+'3.Plan de Estudios'!$E$124</f>
        <v>0</v>
      </c>
      <c r="Y484" s="183" t="str">
        <f>IF('3.Plan de Estudios'!AC124="","",'3.Plan de Estudios'!AC124)</f>
        <v/>
      </c>
      <c r="Z484" t="str">
        <f t="shared" si="35"/>
        <v>0-</v>
      </c>
      <c r="AA484" s="89" t="str">
        <f t="shared" si="36"/>
        <v/>
      </c>
      <c r="AB484" t="str">
        <f t="shared" si="37"/>
        <v/>
      </c>
      <c r="AC484" t="str">
        <f>IF(AB484="","",CONCATENATE(",",AB484))</f>
        <v/>
      </c>
    </row>
    <row r="485" spans="24:29" ht="15.75">
      <c r="X485" s="183">
        <f>+'3.Plan de Estudios'!$E$124</f>
        <v>0</v>
      </c>
      <c r="Y485" s="183" t="str">
        <f>IF('3.Plan de Estudios'!AE124="","",'3.Plan de Estudios'!AE124)</f>
        <v/>
      </c>
      <c r="Z485" t="str">
        <f t="shared" si="35"/>
        <v>0-</v>
      </c>
      <c r="AA485" s="89" t="str">
        <f t="shared" si="36"/>
        <v/>
      </c>
      <c r="AB485" t="str">
        <f t="shared" si="37"/>
        <v/>
      </c>
      <c r="AC485" t="str">
        <f>IF(AB485="","",CONCATENATE(",",AB485))</f>
        <v/>
      </c>
    </row>
    <row r="486" spans="24:29" ht="15.75">
      <c r="X486" s="183">
        <f>+'3.Plan de Estudios'!$E$124</f>
        <v>0</v>
      </c>
      <c r="Y486" s="183" t="str">
        <f>IF('3.Plan de Estudios'!AG124="","",'3.Plan de Estudios'!AG124)</f>
        <v/>
      </c>
      <c r="Z486" t="str">
        <f t="shared" si="35"/>
        <v>0-</v>
      </c>
      <c r="AA486" s="89" t="str">
        <f t="shared" si="36"/>
        <v/>
      </c>
      <c r="AB486" t="str">
        <f t="shared" si="37"/>
        <v/>
      </c>
      <c r="AC486" t="str">
        <f>IF(AB486="","",CONCATENATE(",",AB486))</f>
        <v/>
      </c>
    </row>
    <row r="487" spans="24:29" ht="15.75">
      <c r="X487" s="183">
        <f>+'3.Plan de Estudios'!$E$124</f>
        <v>0</v>
      </c>
      <c r="Y487" s="183" t="str">
        <f>IF('3.Plan de Estudios'!AI124="","",'3.Plan de Estudios'!AI124)</f>
        <v/>
      </c>
      <c r="Z487" t="str">
        <f t="shared" si="35"/>
        <v>0-</v>
      </c>
      <c r="AA487" s="89" t="str">
        <f t="shared" si="36"/>
        <v/>
      </c>
      <c r="AB487" t="str">
        <f t="shared" si="37"/>
        <v/>
      </c>
      <c r="AC487" t="str">
        <f>IF(AB487="","",CONCATENATE(",",AB487))</f>
        <v/>
      </c>
    </row>
    <row r="488" spans="24:29" ht="15.75">
      <c r="X488" s="223">
        <f>+'3.Plan de Estudios'!$E$125</f>
        <v>0</v>
      </c>
      <c r="Y488" s="223" t="str">
        <f>IF('3.Plan de Estudios'!AA125="","",'3.Plan de Estudios'!AA125)</f>
        <v/>
      </c>
      <c r="Z488" t="str">
        <f t="shared" si="35"/>
        <v>0-</v>
      </c>
      <c r="AA488" s="89" t="str">
        <f t="shared" si="36"/>
        <v/>
      </c>
      <c r="AB488" t="str">
        <f t="shared" si="37"/>
        <v/>
      </c>
      <c r="AC488" t="str">
        <f>AB488</f>
        <v/>
      </c>
    </row>
    <row r="489" spans="24:29" ht="15.75">
      <c r="X489" s="223">
        <f>+'3.Plan de Estudios'!$E$125</f>
        <v>0</v>
      </c>
      <c r="Y489" s="223" t="str">
        <f>IF('3.Plan de Estudios'!AC125="","",'3.Plan de Estudios'!AC125)</f>
        <v/>
      </c>
      <c r="Z489" t="str">
        <f t="shared" si="35"/>
        <v>0-</v>
      </c>
      <c r="AA489" s="89" t="str">
        <f t="shared" si="36"/>
        <v/>
      </c>
      <c r="AB489" t="str">
        <f t="shared" si="37"/>
        <v/>
      </c>
      <c r="AC489" t="str">
        <f>IF(AB489="","",CONCATENATE(",",AB489))</f>
        <v/>
      </c>
    </row>
    <row r="490" spans="24:29" ht="15.75">
      <c r="X490" s="223">
        <f>+'3.Plan de Estudios'!$E$125</f>
        <v>0</v>
      </c>
      <c r="Y490" s="223" t="str">
        <f>IF('3.Plan de Estudios'!AE125="","",'3.Plan de Estudios'!AE125)</f>
        <v/>
      </c>
      <c r="Z490" t="str">
        <f t="shared" si="35"/>
        <v>0-</v>
      </c>
      <c r="AA490" s="89" t="str">
        <f t="shared" si="36"/>
        <v/>
      </c>
      <c r="AB490" t="str">
        <f t="shared" si="37"/>
        <v/>
      </c>
      <c r="AC490" t="str">
        <f>IF(AB490="","",CONCATENATE(",",AB490))</f>
        <v/>
      </c>
    </row>
    <row r="491" spans="24:29" ht="15.75">
      <c r="X491" s="223">
        <f>+'3.Plan de Estudios'!$E$125</f>
        <v>0</v>
      </c>
      <c r="Y491" s="223" t="str">
        <f>IF('3.Plan de Estudios'!AG125="","",'3.Plan de Estudios'!AG125)</f>
        <v/>
      </c>
      <c r="Z491" t="str">
        <f t="shared" si="35"/>
        <v>0-</v>
      </c>
      <c r="AA491" s="89" t="str">
        <f t="shared" si="36"/>
        <v/>
      </c>
      <c r="AB491" t="str">
        <f t="shared" si="37"/>
        <v/>
      </c>
      <c r="AC491" t="str">
        <f>IF(AB491="","",CONCATENATE(",",AB491))</f>
        <v/>
      </c>
    </row>
    <row r="492" spans="24:29" ht="15.75">
      <c r="X492" s="223">
        <f>+'3.Plan de Estudios'!$E$125</f>
        <v>0</v>
      </c>
      <c r="Y492" s="223" t="str">
        <f>IF('3.Plan de Estudios'!AI125="","",'3.Plan de Estudios'!AI125)</f>
        <v/>
      </c>
      <c r="Z492" t="str">
        <f t="shared" si="35"/>
        <v>0-</v>
      </c>
      <c r="AA492" s="89" t="str">
        <f t="shared" si="36"/>
        <v/>
      </c>
      <c r="AB492" t="str">
        <f t="shared" si="37"/>
        <v/>
      </c>
      <c r="AC492" t="str">
        <f>IF(AB492="","",CONCATENATE(",",AB492))</f>
        <v/>
      </c>
    </row>
    <row r="493" spans="24:29" ht="15.75">
      <c r="X493" s="183">
        <f>+'3.Plan de Estudios'!$E$126</f>
        <v>0</v>
      </c>
      <c r="Y493" s="183" t="str">
        <f>IF('3.Plan de Estudios'!AA126="","",'3.Plan de Estudios'!AA126)</f>
        <v/>
      </c>
      <c r="Z493" t="str">
        <f t="shared" si="35"/>
        <v>0-</v>
      </c>
      <c r="AA493" s="89" t="str">
        <f t="shared" si="36"/>
        <v/>
      </c>
      <c r="AB493" t="str">
        <f t="shared" si="37"/>
        <v/>
      </c>
      <c r="AC493" t="str">
        <f>AB493</f>
        <v/>
      </c>
    </row>
    <row r="494" spans="24:29" ht="15.75">
      <c r="X494" s="183">
        <f>+'3.Plan de Estudios'!$E$126</f>
        <v>0</v>
      </c>
      <c r="Y494" s="183" t="str">
        <f>IF('3.Plan de Estudios'!AC126="","",'3.Plan de Estudios'!AC126)</f>
        <v/>
      </c>
      <c r="Z494" t="str">
        <f t="shared" si="35"/>
        <v>0-</v>
      </c>
      <c r="AA494" s="89" t="str">
        <f t="shared" si="36"/>
        <v/>
      </c>
      <c r="AB494" t="str">
        <f t="shared" si="37"/>
        <v/>
      </c>
      <c r="AC494" t="str">
        <f>IF(AB494="","",CONCATENATE(",",AB494))</f>
        <v/>
      </c>
    </row>
    <row r="495" spans="24:29" ht="15.75">
      <c r="X495" s="183">
        <f>+'3.Plan de Estudios'!$E$126</f>
        <v>0</v>
      </c>
      <c r="Y495" s="183" t="str">
        <f>IF('3.Plan de Estudios'!AE126="","",'3.Plan de Estudios'!AE126)</f>
        <v/>
      </c>
      <c r="Z495" t="str">
        <f t="shared" si="35"/>
        <v>0-</v>
      </c>
      <c r="AA495" s="89" t="str">
        <f t="shared" si="36"/>
        <v/>
      </c>
      <c r="AB495" t="str">
        <f t="shared" si="37"/>
        <v/>
      </c>
      <c r="AC495" t="str">
        <f>IF(AB495="","",CONCATENATE(",",AB495))</f>
        <v/>
      </c>
    </row>
    <row r="496" spans="24:29" ht="15.75">
      <c r="X496" s="183">
        <f>+'3.Plan de Estudios'!$E$126</f>
        <v>0</v>
      </c>
      <c r="Y496" s="183" t="str">
        <f>IF('3.Plan de Estudios'!AG126="","",'3.Plan de Estudios'!AG126)</f>
        <v/>
      </c>
      <c r="Z496" t="str">
        <f t="shared" si="35"/>
        <v>0-</v>
      </c>
      <c r="AA496" s="89" t="str">
        <f t="shared" si="36"/>
        <v/>
      </c>
      <c r="AB496" t="str">
        <f t="shared" si="37"/>
        <v/>
      </c>
      <c r="AC496" t="str">
        <f>IF(AB496="","",CONCATENATE(",",AB496))</f>
        <v/>
      </c>
    </row>
    <row r="497" spans="24:29" ht="15.75">
      <c r="X497" s="183">
        <f>+'3.Plan de Estudios'!$E$126</f>
        <v>0</v>
      </c>
      <c r="Y497" s="183" t="str">
        <f>IF('3.Plan de Estudios'!AI126="","",'3.Plan de Estudios'!AI126)</f>
        <v/>
      </c>
      <c r="Z497" t="str">
        <f t="shared" si="35"/>
        <v>0-</v>
      </c>
      <c r="AA497" s="89" t="str">
        <f t="shared" si="36"/>
        <v/>
      </c>
      <c r="AB497" t="str">
        <f t="shared" si="37"/>
        <v/>
      </c>
      <c r="AC497" t="str">
        <f>IF(AB497="","",CONCATENATE(",",AB497))</f>
        <v/>
      </c>
    </row>
    <row r="498" spans="24:29" ht="15.75">
      <c r="X498" s="223">
        <f>+'3.Plan de Estudios'!$E$127</f>
        <v>0</v>
      </c>
      <c r="Y498" s="223" t="str">
        <f>IF('3.Plan de Estudios'!AA127="","",'3.Plan de Estudios'!AA127)</f>
        <v/>
      </c>
      <c r="Z498" t="str">
        <f t="shared" ref="Z498:Z561" si="38">CONCATENATE(X498,"-",MID(Y498,1,100))</f>
        <v>0-</v>
      </c>
      <c r="AA498" s="89" t="str">
        <f t="shared" ref="AA498:AA561" si="39">+IF(Y498="","","a")</f>
        <v/>
      </c>
      <c r="AB498" t="str">
        <f t="shared" ref="AB498:AB561" si="40">IFERROR(MID(Y498,FIND(":",Y498)+1,FIND(":",Y498,FIND(":",Y498)+1)-FIND(":",Y498)-1),"")</f>
        <v/>
      </c>
      <c r="AC498" t="str">
        <f>AB498</f>
        <v/>
      </c>
    </row>
    <row r="499" spans="24:29" ht="15.75">
      <c r="X499" s="223">
        <f>+'3.Plan de Estudios'!$E$127</f>
        <v>0</v>
      </c>
      <c r="Y499" s="223" t="str">
        <f>IF('3.Plan de Estudios'!AC127="","",'3.Plan de Estudios'!AC127)</f>
        <v/>
      </c>
      <c r="Z499" t="str">
        <f t="shared" si="38"/>
        <v>0-</v>
      </c>
      <c r="AA499" s="89" t="str">
        <f t="shared" si="39"/>
        <v/>
      </c>
      <c r="AB499" t="str">
        <f t="shared" si="40"/>
        <v/>
      </c>
      <c r="AC499" t="str">
        <f>IF(AB499="","",CONCATENATE(",",AB499))</f>
        <v/>
      </c>
    </row>
    <row r="500" spans="24:29" ht="15.75">
      <c r="X500" s="223">
        <f>+'3.Plan de Estudios'!$E$127</f>
        <v>0</v>
      </c>
      <c r="Y500" s="223" t="str">
        <f>IF('3.Plan de Estudios'!AE127="","",'3.Plan de Estudios'!AE127)</f>
        <v/>
      </c>
      <c r="Z500" t="str">
        <f t="shared" si="38"/>
        <v>0-</v>
      </c>
      <c r="AA500" s="89" t="str">
        <f t="shared" si="39"/>
        <v/>
      </c>
      <c r="AB500" t="str">
        <f t="shared" si="40"/>
        <v/>
      </c>
      <c r="AC500" t="str">
        <f>IF(AB500="","",CONCATENATE(",",AB500))</f>
        <v/>
      </c>
    </row>
    <row r="501" spans="24:29" ht="15.75">
      <c r="X501" s="223">
        <f>+'3.Plan de Estudios'!$E$127</f>
        <v>0</v>
      </c>
      <c r="Y501" s="223" t="str">
        <f>IF('3.Plan de Estudios'!AG127="","",'3.Plan de Estudios'!AG127)</f>
        <v/>
      </c>
      <c r="Z501" t="str">
        <f t="shared" si="38"/>
        <v>0-</v>
      </c>
      <c r="AA501" s="89" t="str">
        <f t="shared" si="39"/>
        <v/>
      </c>
      <c r="AB501" t="str">
        <f t="shared" si="40"/>
        <v/>
      </c>
      <c r="AC501" t="str">
        <f>IF(AB501="","",CONCATENATE(",",AB501))</f>
        <v/>
      </c>
    </row>
    <row r="502" spans="24:29" ht="15.75">
      <c r="X502" s="223">
        <f>+'3.Plan de Estudios'!$E$127</f>
        <v>0</v>
      </c>
      <c r="Y502" s="224" t="str">
        <f>IF('3.Plan de Estudios'!AI127="","",'3.Plan de Estudios'!AI127)</f>
        <v/>
      </c>
      <c r="Z502" t="str">
        <f t="shared" si="38"/>
        <v>0-</v>
      </c>
      <c r="AA502" s="89" t="str">
        <f t="shared" si="39"/>
        <v/>
      </c>
      <c r="AB502" t="str">
        <f t="shared" si="40"/>
        <v/>
      </c>
      <c r="AC502" t="str">
        <f>IF(AB502="","",CONCATENATE(",",AB502))</f>
        <v/>
      </c>
    </row>
    <row r="503" spans="24:29" ht="15.75">
      <c r="X503" s="189">
        <f>+'3.Plan de Estudios'!$E$129</f>
        <v>0</v>
      </c>
      <c r="Y503" s="183" t="str">
        <f>IF('3.Plan de Estudios'!AA129="","",'3.Plan de Estudios'!AA129)</f>
        <v/>
      </c>
      <c r="Z503" t="str">
        <f t="shared" si="38"/>
        <v>0-</v>
      </c>
      <c r="AA503" s="89" t="str">
        <f t="shared" si="39"/>
        <v/>
      </c>
      <c r="AB503" t="str">
        <f t="shared" si="40"/>
        <v/>
      </c>
      <c r="AC503" t="str">
        <f>AB503</f>
        <v/>
      </c>
    </row>
    <row r="504" spans="24:29" ht="15.75">
      <c r="X504" s="183">
        <f>+'3.Plan de Estudios'!$E$129</f>
        <v>0</v>
      </c>
      <c r="Y504" s="183" t="str">
        <f>IF('3.Plan de Estudios'!AC129="","",'3.Plan de Estudios'!AC129)</f>
        <v/>
      </c>
      <c r="Z504" t="str">
        <f t="shared" si="38"/>
        <v>0-</v>
      </c>
      <c r="AA504" s="89" t="str">
        <f t="shared" si="39"/>
        <v/>
      </c>
      <c r="AB504" t="str">
        <f t="shared" si="40"/>
        <v/>
      </c>
      <c r="AC504" t="str">
        <f>IF(AB504="","",CONCATENATE(",",AB504))</f>
        <v/>
      </c>
    </row>
    <row r="505" spans="24:29" ht="15.75">
      <c r="X505" s="183">
        <f>+'3.Plan de Estudios'!$E$129</f>
        <v>0</v>
      </c>
      <c r="Y505" s="183" t="str">
        <f>IF('3.Plan de Estudios'!AE129="","",'3.Plan de Estudios'!AE129)</f>
        <v/>
      </c>
      <c r="Z505" t="str">
        <f t="shared" si="38"/>
        <v>0-</v>
      </c>
      <c r="AA505" s="89" t="str">
        <f t="shared" si="39"/>
        <v/>
      </c>
      <c r="AB505" t="str">
        <f t="shared" si="40"/>
        <v/>
      </c>
      <c r="AC505" t="str">
        <f>IF(AB505="","",CONCATENATE(",",AB505))</f>
        <v/>
      </c>
    </row>
    <row r="506" spans="24:29" ht="15.75">
      <c r="X506" s="183">
        <f>+'3.Plan de Estudios'!$E$129</f>
        <v>0</v>
      </c>
      <c r="Y506" s="183" t="str">
        <f>IF('3.Plan de Estudios'!AG129="","",'3.Plan de Estudios'!AG129)</f>
        <v/>
      </c>
      <c r="Z506" t="str">
        <f t="shared" si="38"/>
        <v>0-</v>
      </c>
      <c r="AA506" s="89" t="str">
        <f t="shared" si="39"/>
        <v/>
      </c>
      <c r="AB506" t="str">
        <f t="shared" si="40"/>
        <v/>
      </c>
      <c r="AC506" t="str">
        <f>IF(AB506="","",CONCATENATE(",",AB506))</f>
        <v/>
      </c>
    </row>
    <row r="507" spans="24:29" ht="15.75">
      <c r="X507" s="183">
        <f>+'3.Plan de Estudios'!$E$129</f>
        <v>0</v>
      </c>
      <c r="Y507" s="183" t="str">
        <f>IF('3.Plan de Estudios'!AI129="","",'3.Plan de Estudios'!AI129)</f>
        <v/>
      </c>
      <c r="Z507" t="str">
        <f t="shared" si="38"/>
        <v>0-</v>
      </c>
      <c r="AA507" s="89" t="str">
        <f t="shared" si="39"/>
        <v/>
      </c>
      <c r="AB507" t="str">
        <f t="shared" si="40"/>
        <v/>
      </c>
      <c r="AC507" t="str">
        <f>IF(AB507="","",CONCATENATE(",",AB507))</f>
        <v/>
      </c>
    </row>
    <row r="508" spans="24:29" ht="15.75">
      <c r="X508" s="223">
        <f>+'3.Plan de Estudios'!$E$130</f>
        <v>0</v>
      </c>
      <c r="Y508" s="223" t="str">
        <f>IF('3.Plan de Estudios'!AA130="","",'3.Plan de Estudios'!AA130)</f>
        <v/>
      </c>
      <c r="Z508" t="str">
        <f t="shared" si="38"/>
        <v>0-</v>
      </c>
      <c r="AA508" s="89" t="str">
        <f t="shared" si="39"/>
        <v/>
      </c>
      <c r="AB508" t="str">
        <f t="shared" si="40"/>
        <v/>
      </c>
      <c r="AC508" t="str">
        <f>AB508</f>
        <v/>
      </c>
    </row>
    <row r="509" spans="24:29" ht="15.75">
      <c r="X509" s="223">
        <f>+'3.Plan de Estudios'!$E$130</f>
        <v>0</v>
      </c>
      <c r="Y509" s="223" t="str">
        <f>IF('3.Plan de Estudios'!AC130="","",'3.Plan de Estudios'!AC130)</f>
        <v/>
      </c>
      <c r="Z509" t="str">
        <f t="shared" si="38"/>
        <v>0-</v>
      </c>
      <c r="AA509" s="89" t="str">
        <f t="shared" si="39"/>
        <v/>
      </c>
      <c r="AB509" t="str">
        <f t="shared" si="40"/>
        <v/>
      </c>
      <c r="AC509" t="str">
        <f>IF(AB509="","",CONCATENATE(",",AB509))</f>
        <v/>
      </c>
    </row>
    <row r="510" spans="24:29" ht="15.75">
      <c r="X510" s="223">
        <f>+'3.Plan de Estudios'!$E$130</f>
        <v>0</v>
      </c>
      <c r="Y510" s="223" t="str">
        <f>IF('3.Plan de Estudios'!AE130="","",'3.Plan de Estudios'!AE130)</f>
        <v/>
      </c>
      <c r="Z510" t="str">
        <f t="shared" si="38"/>
        <v>0-</v>
      </c>
      <c r="AA510" s="89" t="str">
        <f t="shared" si="39"/>
        <v/>
      </c>
      <c r="AB510" t="str">
        <f t="shared" si="40"/>
        <v/>
      </c>
      <c r="AC510" t="str">
        <f>IF(AB510="","",CONCATENATE(",",AB510))</f>
        <v/>
      </c>
    </row>
    <row r="511" spans="24:29" ht="15.75">
      <c r="X511" s="223">
        <f>+'3.Plan de Estudios'!$E$130</f>
        <v>0</v>
      </c>
      <c r="Y511" s="223" t="str">
        <f>IF('3.Plan de Estudios'!AG130="","",'3.Plan de Estudios'!AG130)</f>
        <v/>
      </c>
      <c r="Z511" t="str">
        <f t="shared" si="38"/>
        <v>0-</v>
      </c>
      <c r="AA511" s="89" t="str">
        <f t="shared" si="39"/>
        <v/>
      </c>
      <c r="AB511" t="str">
        <f t="shared" si="40"/>
        <v/>
      </c>
      <c r="AC511" t="str">
        <f>IF(AB511="","",CONCATENATE(",",AB511))</f>
        <v/>
      </c>
    </row>
    <row r="512" spans="24:29" ht="15.75">
      <c r="X512" s="223">
        <f>+'3.Plan de Estudios'!$E$130</f>
        <v>0</v>
      </c>
      <c r="Y512" s="223" t="str">
        <f>IF('3.Plan de Estudios'!AI130="","",'3.Plan de Estudios'!AI130)</f>
        <v/>
      </c>
      <c r="Z512" t="str">
        <f t="shared" si="38"/>
        <v>0-</v>
      </c>
      <c r="AA512" s="89" t="str">
        <f t="shared" si="39"/>
        <v/>
      </c>
      <c r="AB512" t="str">
        <f t="shared" si="40"/>
        <v/>
      </c>
      <c r="AC512" t="str">
        <f>IF(AB512="","",CONCATENATE(",",AB512))</f>
        <v/>
      </c>
    </row>
    <row r="513" spans="24:29" ht="15.75">
      <c r="X513" s="183">
        <f>+'3.Plan de Estudios'!$E$131</f>
        <v>0</v>
      </c>
      <c r="Y513" s="183" t="str">
        <f>IF('3.Plan de Estudios'!AA131="","",'3.Plan de Estudios'!AA131)</f>
        <v/>
      </c>
      <c r="Z513" t="str">
        <f t="shared" si="38"/>
        <v>0-</v>
      </c>
      <c r="AA513" s="89" t="str">
        <f t="shared" si="39"/>
        <v/>
      </c>
      <c r="AB513" t="str">
        <f t="shared" si="40"/>
        <v/>
      </c>
      <c r="AC513" t="str">
        <f>AB513</f>
        <v/>
      </c>
    </row>
    <row r="514" spans="24:29" ht="15.75">
      <c r="X514" s="183">
        <f>+'3.Plan de Estudios'!$E$131</f>
        <v>0</v>
      </c>
      <c r="Y514" s="183" t="str">
        <f>IF('3.Plan de Estudios'!AC131="","",'3.Plan de Estudios'!AC131)</f>
        <v/>
      </c>
      <c r="Z514" t="str">
        <f t="shared" si="38"/>
        <v>0-</v>
      </c>
      <c r="AA514" s="89" t="str">
        <f t="shared" si="39"/>
        <v/>
      </c>
      <c r="AB514" t="str">
        <f t="shared" si="40"/>
        <v/>
      </c>
      <c r="AC514" t="str">
        <f>IF(AB514="","",CONCATENATE(",",AB514))</f>
        <v/>
      </c>
    </row>
    <row r="515" spans="24:29" ht="15.75">
      <c r="X515" s="183">
        <f>+'3.Plan de Estudios'!$E$131</f>
        <v>0</v>
      </c>
      <c r="Y515" s="183" t="str">
        <f>IF('3.Plan de Estudios'!AE131="","",'3.Plan de Estudios'!AE131)</f>
        <v/>
      </c>
      <c r="Z515" t="str">
        <f t="shared" si="38"/>
        <v>0-</v>
      </c>
      <c r="AA515" s="89" t="str">
        <f t="shared" si="39"/>
        <v/>
      </c>
      <c r="AB515" t="str">
        <f t="shared" si="40"/>
        <v/>
      </c>
      <c r="AC515" t="str">
        <f>IF(AB515="","",CONCATENATE(",",AB515))</f>
        <v/>
      </c>
    </row>
    <row r="516" spans="24:29" ht="15.75">
      <c r="X516" s="183">
        <f>+'3.Plan de Estudios'!$E$131</f>
        <v>0</v>
      </c>
      <c r="Y516" s="183" t="str">
        <f>IF('3.Plan de Estudios'!AG131="","",'3.Plan de Estudios'!AG131)</f>
        <v/>
      </c>
      <c r="Z516" t="str">
        <f t="shared" si="38"/>
        <v>0-</v>
      </c>
      <c r="AA516" s="89" t="str">
        <f t="shared" si="39"/>
        <v/>
      </c>
      <c r="AB516" t="str">
        <f t="shared" si="40"/>
        <v/>
      </c>
      <c r="AC516" t="str">
        <f>IF(AB516="","",CONCATENATE(",",AB516))</f>
        <v/>
      </c>
    </row>
    <row r="517" spans="24:29" ht="15.75">
      <c r="X517" s="183">
        <f>+'3.Plan de Estudios'!$E$131</f>
        <v>0</v>
      </c>
      <c r="Y517" s="183" t="str">
        <f>IF('3.Plan de Estudios'!AI131="","",'3.Plan de Estudios'!AI131)</f>
        <v/>
      </c>
      <c r="Z517" t="str">
        <f t="shared" si="38"/>
        <v>0-</v>
      </c>
      <c r="AA517" s="89" t="str">
        <f t="shared" si="39"/>
        <v/>
      </c>
      <c r="AB517" t="str">
        <f t="shared" si="40"/>
        <v/>
      </c>
      <c r="AC517" t="str">
        <f>IF(AB517="","",CONCATENATE(",",AB517))</f>
        <v/>
      </c>
    </row>
    <row r="518" spans="24:29" ht="15.75">
      <c r="X518" s="223">
        <f>+'3.Plan de Estudios'!$E$132</f>
        <v>0</v>
      </c>
      <c r="Y518" s="223" t="str">
        <f>IF('3.Plan de Estudios'!AA132="","",'3.Plan de Estudios'!AA132)</f>
        <v/>
      </c>
      <c r="Z518" t="str">
        <f t="shared" si="38"/>
        <v>0-</v>
      </c>
      <c r="AA518" s="89" t="str">
        <f t="shared" si="39"/>
        <v/>
      </c>
      <c r="AB518" t="str">
        <f t="shared" si="40"/>
        <v/>
      </c>
      <c r="AC518" t="str">
        <f>AB518</f>
        <v/>
      </c>
    </row>
    <row r="519" spans="24:29" ht="15.75">
      <c r="X519" s="223">
        <f>+'3.Plan de Estudios'!$E$132</f>
        <v>0</v>
      </c>
      <c r="Y519" s="223" t="str">
        <f>IF('3.Plan de Estudios'!AC132="","",'3.Plan de Estudios'!AC132)</f>
        <v/>
      </c>
      <c r="Z519" t="str">
        <f t="shared" si="38"/>
        <v>0-</v>
      </c>
      <c r="AA519" s="89" t="str">
        <f t="shared" si="39"/>
        <v/>
      </c>
      <c r="AB519" t="str">
        <f t="shared" si="40"/>
        <v/>
      </c>
      <c r="AC519" t="str">
        <f>IF(AB519="","",CONCATENATE(",",AB519))</f>
        <v/>
      </c>
    </row>
    <row r="520" spans="24:29" ht="15.75">
      <c r="X520" s="223">
        <f>+'3.Plan de Estudios'!$E$132</f>
        <v>0</v>
      </c>
      <c r="Y520" s="223" t="str">
        <f>IF('3.Plan de Estudios'!AE132="","",'3.Plan de Estudios'!AE132)</f>
        <v/>
      </c>
      <c r="Z520" t="str">
        <f t="shared" si="38"/>
        <v>0-</v>
      </c>
      <c r="AA520" s="89" t="str">
        <f t="shared" si="39"/>
        <v/>
      </c>
      <c r="AB520" t="str">
        <f t="shared" si="40"/>
        <v/>
      </c>
      <c r="AC520" t="str">
        <f>IF(AB520="","",CONCATENATE(",",AB520))</f>
        <v/>
      </c>
    </row>
    <row r="521" spans="24:29" ht="15.75">
      <c r="X521" s="223">
        <f>+'3.Plan de Estudios'!$E$132</f>
        <v>0</v>
      </c>
      <c r="Y521" s="223" t="str">
        <f>IF('3.Plan de Estudios'!AG132="","",'3.Plan de Estudios'!AG132)</f>
        <v/>
      </c>
      <c r="Z521" t="str">
        <f t="shared" si="38"/>
        <v>0-</v>
      </c>
      <c r="AA521" s="89" t="str">
        <f t="shared" si="39"/>
        <v/>
      </c>
      <c r="AB521" t="str">
        <f t="shared" si="40"/>
        <v/>
      </c>
      <c r="AC521" t="str">
        <f>IF(AB521="","",CONCATENATE(",",AB521))</f>
        <v/>
      </c>
    </row>
    <row r="522" spans="24:29" ht="15.75">
      <c r="X522" s="223">
        <f>+'3.Plan de Estudios'!$E$132</f>
        <v>0</v>
      </c>
      <c r="Y522" s="223" t="str">
        <f>IF('3.Plan de Estudios'!AI132="","",'3.Plan de Estudios'!AI132)</f>
        <v/>
      </c>
      <c r="Z522" t="str">
        <f t="shared" si="38"/>
        <v>0-</v>
      </c>
      <c r="AA522" s="89" t="str">
        <f t="shared" si="39"/>
        <v/>
      </c>
      <c r="AB522" t="str">
        <f t="shared" si="40"/>
        <v/>
      </c>
      <c r="AC522" t="str">
        <f>IF(AB522="","",CONCATENATE(",",AB522))</f>
        <v/>
      </c>
    </row>
    <row r="523" spans="24:29" ht="15.75">
      <c r="X523" s="183">
        <f>+'3.Plan de Estudios'!$E$133</f>
        <v>0</v>
      </c>
      <c r="Y523" s="183" t="str">
        <f>IF('3.Plan de Estudios'!AA133="","",'3.Plan de Estudios'!AA133)</f>
        <v/>
      </c>
      <c r="Z523" t="str">
        <f t="shared" si="38"/>
        <v>0-</v>
      </c>
      <c r="AA523" s="89" t="str">
        <f t="shared" si="39"/>
        <v/>
      </c>
      <c r="AB523" t="str">
        <f t="shared" si="40"/>
        <v/>
      </c>
      <c r="AC523" t="str">
        <f>AB523</f>
        <v/>
      </c>
    </row>
    <row r="524" spans="24:29" ht="15.75">
      <c r="X524" s="183">
        <f>+'3.Plan de Estudios'!$E$133</f>
        <v>0</v>
      </c>
      <c r="Y524" s="183" t="str">
        <f>IF('3.Plan de Estudios'!AC133="","",'3.Plan de Estudios'!AC133)</f>
        <v/>
      </c>
      <c r="Z524" t="str">
        <f t="shared" si="38"/>
        <v>0-</v>
      </c>
      <c r="AA524" s="89" t="str">
        <f t="shared" si="39"/>
        <v/>
      </c>
      <c r="AB524" t="str">
        <f t="shared" si="40"/>
        <v/>
      </c>
      <c r="AC524" t="str">
        <f>IF(AB524="","",CONCATENATE(",",AB524))</f>
        <v/>
      </c>
    </row>
    <row r="525" spans="24:29" ht="15.75">
      <c r="X525" s="183">
        <f>+'3.Plan de Estudios'!$E$133</f>
        <v>0</v>
      </c>
      <c r="Y525" s="183" t="str">
        <f>IF('3.Plan de Estudios'!AE133="","",'3.Plan de Estudios'!AE133)</f>
        <v/>
      </c>
      <c r="Z525" t="str">
        <f t="shared" si="38"/>
        <v>0-</v>
      </c>
      <c r="AA525" s="89" t="str">
        <f t="shared" si="39"/>
        <v/>
      </c>
      <c r="AB525" t="str">
        <f t="shared" si="40"/>
        <v/>
      </c>
      <c r="AC525" t="str">
        <f>IF(AB525="","",CONCATENATE(",",AB525))</f>
        <v/>
      </c>
    </row>
    <row r="526" spans="24:29" ht="15.75">
      <c r="X526" s="183">
        <f>+'3.Plan de Estudios'!$E$133</f>
        <v>0</v>
      </c>
      <c r="Y526" s="183" t="str">
        <f>IF('3.Plan de Estudios'!AG133="","",'3.Plan de Estudios'!AG133)</f>
        <v/>
      </c>
      <c r="Z526" t="str">
        <f t="shared" si="38"/>
        <v>0-</v>
      </c>
      <c r="AA526" s="89" t="str">
        <f t="shared" si="39"/>
        <v/>
      </c>
      <c r="AB526" t="str">
        <f t="shared" si="40"/>
        <v/>
      </c>
      <c r="AC526" t="str">
        <f>IF(AB526="","",CONCATENATE(",",AB526))</f>
        <v/>
      </c>
    </row>
    <row r="527" spans="24:29" ht="15.75">
      <c r="X527" s="183">
        <f>+'3.Plan de Estudios'!$E$133</f>
        <v>0</v>
      </c>
      <c r="Y527" s="183" t="str">
        <f>IF('3.Plan de Estudios'!AI133="","",'3.Plan de Estudios'!AI133)</f>
        <v/>
      </c>
      <c r="Z527" t="str">
        <f t="shared" si="38"/>
        <v>0-</v>
      </c>
      <c r="AA527" s="89" t="str">
        <f t="shared" si="39"/>
        <v/>
      </c>
      <c r="AB527" t="str">
        <f t="shared" si="40"/>
        <v/>
      </c>
      <c r="AC527" t="str">
        <f>IF(AB527="","",CONCATENATE(",",AB527))</f>
        <v/>
      </c>
    </row>
    <row r="528" spans="24:29" ht="15.75">
      <c r="X528" s="223">
        <f>+'3.Plan de Estudios'!$E$134</f>
        <v>0</v>
      </c>
      <c r="Y528" s="223" t="str">
        <f>IF('3.Plan de Estudios'!AA134="","",'3.Plan de Estudios'!AA134)</f>
        <v/>
      </c>
      <c r="Z528" t="str">
        <f t="shared" si="38"/>
        <v>0-</v>
      </c>
      <c r="AA528" s="89" t="str">
        <f t="shared" si="39"/>
        <v/>
      </c>
      <c r="AB528" t="str">
        <f t="shared" si="40"/>
        <v/>
      </c>
      <c r="AC528" t="str">
        <f>AB528</f>
        <v/>
      </c>
    </row>
    <row r="529" spans="24:29" ht="15.75">
      <c r="X529" s="223">
        <f>+'3.Plan de Estudios'!$E$134</f>
        <v>0</v>
      </c>
      <c r="Y529" s="223" t="str">
        <f>IF('3.Plan de Estudios'!AC134="","",'3.Plan de Estudios'!AC134)</f>
        <v/>
      </c>
      <c r="Z529" t="str">
        <f t="shared" si="38"/>
        <v>0-</v>
      </c>
      <c r="AA529" s="89" t="str">
        <f t="shared" si="39"/>
        <v/>
      </c>
      <c r="AB529" t="str">
        <f t="shared" si="40"/>
        <v/>
      </c>
      <c r="AC529" t="str">
        <f>IF(AB529="","",CONCATENATE(",",AB529))</f>
        <v/>
      </c>
    </row>
    <row r="530" spans="24:29" ht="15.75">
      <c r="X530" s="223">
        <f>+'3.Plan de Estudios'!$E$134</f>
        <v>0</v>
      </c>
      <c r="Y530" s="223" t="str">
        <f>IF('3.Plan de Estudios'!AE134="","",'3.Plan de Estudios'!AE134)</f>
        <v/>
      </c>
      <c r="Z530" t="str">
        <f t="shared" si="38"/>
        <v>0-</v>
      </c>
      <c r="AA530" s="89" t="str">
        <f t="shared" si="39"/>
        <v/>
      </c>
      <c r="AB530" t="str">
        <f t="shared" si="40"/>
        <v/>
      </c>
      <c r="AC530" t="str">
        <f>IF(AB530="","",CONCATENATE(",",AB530))</f>
        <v/>
      </c>
    </row>
    <row r="531" spans="24:29" ht="15.75">
      <c r="X531" s="223">
        <f>+'3.Plan de Estudios'!$E$134</f>
        <v>0</v>
      </c>
      <c r="Y531" s="223" t="str">
        <f>IF('3.Plan de Estudios'!AG134="","",'3.Plan de Estudios'!AG134)</f>
        <v/>
      </c>
      <c r="Z531" t="str">
        <f t="shared" si="38"/>
        <v>0-</v>
      </c>
      <c r="AA531" s="89" t="str">
        <f t="shared" si="39"/>
        <v/>
      </c>
      <c r="AB531" t="str">
        <f t="shared" si="40"/>
        <v/>
      </c>
      <c r="AC531" t="str">
        <f>IF(AB531="","",CONCATENATE(",",AB531))</f>
        <v/>
      </c>
    </row>
    <row r="532" spans="24:29" ht="15.75">
      <c r="X532" s="223">
        <f>+'3.Plan de Estudios'!$E$134</f>
        <v>0</v>
      </c>
      <c r="Y532" s="223" t="str">
        <f>IF('3.Plan de Estudios'!AI134="","",'3.Plan de Estudios'!AI134)</f>
        <v/>
      </c>
      <c r="Z532" t="str">
        <f t="shared" si="38"/>
        <v>0-</v>
      </c>
      <c r="AA532" s="89" t="str">
        <f t="shared" si="39"/>
        <v/>
      </c>
      <c r="AB532" t="str">
        <f t="shared" si="40"/>
        <v/>
      </c>
      <c r="AC532" t="str">
        <f>IF(AB532="","",CONCATENATE(",",AB532))</f>
        <v/>
      </c>
    </row>
    <row r="533" spans="24:29" ht="15.75">
      <c r="X533" s="183">
        <f>+'3.Plan de Estudios'!$E$135</f>
        <v>0</v>
      </c>
      <c r="Y533" s="183" t="str">
        <f>IF('3.Plan de Estudios'!AA135="","",'3.Plan de Estudios'!AA135)</f>
        <v/>
      </c>
      <c r="Z533" t="str">
        <f t="shared" si="38"/>
        <v>0-</v>
      </c>
      <c r="AA533" s="89" t="str">
        <f t="shared" si="39"/>
        <v/>
      </c>
      <c r="AB533" t="str">
        <f t="shared" si="40"/>
        <v/>
      </c>
      <c r="AC533" t="str">
        <f>AB533</f>
        <v/>
      </c>
    </row>
    <row r="534" spans="24:29" ht="15.75">
      <c r="X534" s="183">
        <f>+'3.Plan de Estudios'!$E$135</f>
        <v>0</v>
      </c>
      <c r="Y534" s="183" t="str">
        <f>IF('3.Plan de Estudios'!AC135="","",'3.Plan de Estudios'!AC135)</f>
        <v/>
      </c>
      <c r="Z534" t="str">
        <f t="shared" si="38"/>
        <v>0-</v>
      </c>
      <c r="AA534" s="89" t="str">
        <f t="shared" si="39"/>
        <v/>
      </c>
      <c r="AB534" t="str">
        <f t="shared" si="40"/>
        <v/>
      </c>
      <c r="AC534" t="str">
        <f>IF(AB534="","",CONCATENATE(",",AB534))</f>
        <v/>
      </c>
    </row>
    <row r="535" spans="24:29" ht="15.75">
      <c r="X535" s="183">
        <f>+'3.Plan de Estudios'!$E$135</f>
        <v>0</v>
      </c>
      <c r="Y535" s="183" t="str">
        <f>IF('3.Plan de Estudios'!AE135="","",'3.Plan de Estudios'!AE135)</f>
        <v/>
      </c>
      <c r="Z535" t="str">
        <f t="shared" si="38"/>
        <v>0-</v>
      </c>
      <c r="AA535" s="89" t="str">
        <f t="shared" si="39"/>
        <v/>
      </c>
      <c r="AB535" t="str">
        <f t="shared" si="40"/>
        <v/>
      </c>
      <c r="AC535" t="str">
        <f>IF(AB535="","",CONCATENATE(",",AB535))</f>
        <v/>
      </c>
    </row>
    <row r="536" spans="24:29" ht="15.75">
      <c r="X536" s="183">
        <f>+'3.Plan de Estudios'!$E$135</f>
        <v>0</v>
      </c>
      <c r="Y536" s="183" t="str">
        <f>IF('3.Plan de Estudios'!AG135="","",'3.Plan de Estudios'!AG135)</f>
        <v/>
      </c>
      <c r="Z536" t="str">
        <f t="shared" si="38"/>
        <v>0-</v>
      </c>
      <c r="AA536" s="89" t="str">
        <f t="shared" si="39"/>
        <v/>
      </c>
      <c r="AB536" t="str">
        <f t="shared" si="40"/>
        <v/>
      </c>
      <c r="AC536" t="str">
        <f>IF(AB536="","",CONCATENATE(",",AB536))</f>
        <v/>
      </c>
    </row>
    <row r="537" spans="24:29" ht="15.75">
      <c r="X537" s="183">
        <f>+'3.Plan de Estudios'!$E$135</f>
        <v>0</v>
      </c>
      <c r="Y537" s="183" t="str">
        <f>IF('3.Plan de Estudios'!AI135="","",'3.Plan de Estudios'!AI135)</f>
        <v/>
      </c>
      <c r="Z537" t="str">
        <f t="shared" si="38"/>
        <v>0-</v>
      </c>
      <c r="AA537" s="89" t="str">
        <f t="shared" si="39"/>
        <v/>
      </c>
      <c r="AB537" t="str">
        <f t="shared" si="40"/>
        <v/>
      </c>
      <c r="AC537" t="str">
        <f>IF(AB537="","",CONCATENATE(",",AB537))</f>
        <v/>
      </c>
    </row>
    <row r="538" spans="24:29" ht="15.75">
      <c r="X538" s="223">
        <f>+'3.Plan de Estudios'!$E$136</f>
        <v>0</v>
      </c>
      <c r="Y538" s="223" t="str">
        <f>IF('3.Plan de Estudios'!AA136="","",'3.Plan de Estudios'!AA136)</f>
        <v/>
      </c>
      <c r="Z538" t="str">
        <f t="shared" si="38"/>
        <v>0-</v>
      </c>
      <c r="AA538" s="89" t="str">
        <f t="shared" si="39"/>
        <v/>
      </c>
      <c r="AB538" t="str">
        <f t="shared" si="40"/>
        <v/>
      </c>
      <c r="AC538" t="str">
        <f>AB538</f>
        <v/>
      </c>
    </row>
    <row r="539" spans="24:29" ht="15.75">
      <c r="X539" s="223">
        <f>+'3.Plan de Estudios'!$E$136</f>
        <v>0</v>
      </c>
      <c r="Y539" s="223" t="str">
        <f>IF('3.Plan de Estudios'!AC136="","",'3.Plan de Estudios'!AC136)</f>
        <v/>
      </c>
      <c r="Z539" t="str">
        <f t="shared" si="38"/>
        <v>0-</v>
      </c>
      <c r="AA539" s="89" t="str">
        <f t="shared" si="39"/>
        <v/>
      </c>
      <c r="AB539" t="str">
        <f t="shared" si="40"/>
        <v/>
      </c>
      <c r="AC539" t="str">
        <f>IF(AB539="","",CONCATENATE(",",AB539))</f>
        <v/>
      </c>
    </row>
    <row r="540" spans="24:29" ht="15.75">
      <c r="X540" s="223">
        <f>+'3.Plan de Estudios'!$E$136</f>
        <v>0</v>
      </c>
      <c r="Y540" s="223" t="str">
        <f>IF('3.Plan de Estudios'!AE136="","",'3.Plan de Estudios'!AE136)</f>
        <v/>
      </c>
      <c r="Z540" t="str">
        <f t="shared" si="38"/>
        <v>0-</v>
      </c>
      <c r="AA540" s="89" t="str">
        <f t="shared" si="39"/>
        <v/>
      </c>
      <c r="AB540" t="str">
        <f t="shared" si="40"/>
        <v/>
      </c>
      <c r="AC540" t="str">
        <f>IF(AB540="","",CONCATENATE(",",AB540))</f>
        <v/>
      </c>
    </row>
    <row r="541" spans="24:29" ht="15.75">
      <c r="X541" s="223">
        <f>+'3.Plan de Estudios'!$E$136</f>
        <v>0</v>
      </c>
      <c r="Y541" s="223" t="str">
        <f>IF('3.Plan de Estudios'!AG136="","",'3.Plan de Estudios'!AG136)</f>
        <v/>
      </c>
      <c r="Z541" t="str">
        <f t="shared" si="38"/>
        <v>0-</v>
      </c>
      <c r="AA541" s="89" t="str">
        <f t="shared" si="39"/>
        <v/>
      </c>
      <c r="AB541" t="str">
        <f t="shared" si="40"/>
        <v/>
      </c>
      <c r="AC541" t="str">
        <f>IF(AB541="","",CONCATENATE(",",AB541))</f>
        <v/>
      </c>
    </row>
    <row r="542" spans="24:29" ht="15.75">
      <c r="X542" s="223">
        <f>+'3.Plan de Estudios'!$E$136</f>
        <v>0</v>
      </c>
      <c r="Y542" s="223" t="str">
        <f>IF('3.Plan de Estudios'!AI136="","",'3.Plan de Estudios'!AI136)</f>
        <v/>
      </c>
      <c r="Z542" t="str">
        <f t="shared" si="38"/>
        <v>0-</v>
      </c>
      <c r="AA542" s="89" t="str">
        <f t="shared" si="39"/>
        <v/>
      </c>
      <c r="AB542" t="str">
        <f t="shared" si="40"/>
        <v/>
      </c>
      <c r="AC542" t="str">
        <f>IF(AB542="","",CONCATENATE(",",AB542))</f>
        <v/>
      </c>
    </row>
    <row r="543" spans="24:29" ht="15.75">
      <c r="X543" s="183">
        <f>+'3.Plan de Estudios'!$E$137</f>
        <v>0</v>
      </c>
      <c r="Y543" s="183" t="str">
        <f>IF('3.Plan de Estudios'!AA137="","",'3.Plan de Estudios'!AA137)</f>
        <v/>
      </c>
      <c r="Z543" t="str">
        <f t="shared" si="38"/>
        <v>0-</v>
      </c>
      <c r="AA543" s="89" t="str">
        <f t="shared" si="39"/>
        <v/>
      </c>
      <c r="AB543" t="str">
        <f t="shared" si="40"/>
        <v/>
      </c>
      <c r="AC543" t="str">
        <f>AB543</f>
        <v/>
      </c>
    </row>
    <row r="544" spans="24:29" ht="15.75">
      <c r="X544" s="183">
        <f>+'3.Plan de Estudios'!$E$137</f>
        <v>0</v>
      </c>
      <c r="Y544" s="183" t="str">
        <f>IF('3.Plan de Estudios'!AC137="","",'3.Plan de Estudios'!AC137)</f>
        <v/>
      </c>
      <c r="Z544" t="str">
        <f t="shared" si="38"/>
        <v>0-</v>
      </c>
      <c r="AA544" s="89" t="str">
        <f t="shared" si="39"/>
        <v/>
      </c>
      <c r="AB544" t="str">
        <f t="shared" si="40"/>
        <v/>
      </c>
      <c r="AC544" t="str">
        <f>IF(AB544="","",CONCATENATE(",",AB544))</f>
        <v/>
      </c>
    </row>
    <row r="545" spans="24:29" ht="15.75">
      <c r="X545" s="183">
        <f>+'3.Plan de Estudios'!$E$137</f>
        <v>0</v>
      </c>
      <c r="Y545" s="183" t="str">
        <f>IF('3.Plan de Estudios'!AE137="","",'3.Plan de Estudios'!AE137)</f>
        <v/>
      </c>
      <c r="Z545" t="str">
        <f t="shared" si="38"/>
        <v>0-</v>
      </c>
      <c r="AA545" s="89" t="str">
        <f t="shared" si="39"/>
        <v/>
      </c>
      <c r="AB545" t="str">
        <f t="shared" si="40"/>
        <v/>
      </c>
      <c r="AC545" t="str">
        <f>IF(AB545="","",CONCATENATE(",",AB545))</f>
        <v/>
      </c>
    </row>
    <row r="546" spans="24:29" ht="15.75">
      <c r="X546" s="183">
        <f>+'3.Plan de Estudios'!$E$137</f>
        <v>0</v>
      </c>
      <c r="Y546" s="183" t="str">
        <f>IF('3.Plan de Estudios'!AG137="","",'3.Plan de Estudios'!AG137)</f>
        <v/>
      </c>
      <c r="Z546" t="str">
        <f t="shared" si="38"/>
        <v>0-</v>
      </c>
      <c r="AA546" s="89" t="str">
        <f t="shared" si="39"/>
        <v/>
      </c>
      <c r="AB546" t="str">
        <f t="shared" si="40"/>
        <v/>
      </c>
      <c r="AC546" t="str">
        <f>IF(AB546="","",CONCATENATE(",",AB546))</f>
        <v/>
      </c>
    </row>
    <row r="547" spans="24:29" ht="15.75">
      <c r="X547" s="183">
        <f>+'3.Plan de Estudios'!$E$137</f>
        <v>0</v>
      </c>
      <c r="Y547" s="183" t="str">
        <f>IF('3.Plan de Estudios'!AI137="","",'3.Plan de Estudios'!AI137)</f>
        <v/>
      </c>
      <c r="Z547" t="str">
        <f t="shared" si="38"/>
        <v>0-</v>
      </c>
      <c r="AA547" s="89" t="str">
        <f t="shared" si="39"/>
        <v/>
      </c>
      <c r="AB547" t="str">
        <f t="shared" si="40"/>
        <v/>
      </c>
      <c r="AC547" t="str">
        <f>IF(AB547="","",CONCATENATE(",",AB547))</f>
        <v/>
      </c>
    </row>
    <row r="548" spans="24:29" ht="15.75">
      <c r="X548" s="223">
        <f>+'3.Plan de Estudios'!$E$138</f>
        <v>0</v>
      </c>
      <c r="Y548" s="223" t="str">
        <f>IF('3.Plan de Estudios'!AA138="","",'3.Plan de Estudios'!AA138)</f>
        <v/>
      </c>
      <c r="Z548" t="str">
        <f t="shared" si="38"/>
        <v>0-</v>
      </c>
      <c r="AA548" s="89" t="str">
        <f t="shared" si="39"/>
        <v/>
      </c>
      <c r="AB548" t="str">
        <f t="shared" si="40"/>
        <v/>
      </c>
      <c r="AC548" t="str">
        <f>AB548</f>
        <v/>
      </c>
    </row>
    <row r="549" spans="24:29" ht="15.75">
      <c r="X549" s="223">
        <f>+'3.Plan de Estudios'!$E$138</f>
        <v>0</v>
      </c>
      <c r="Y549" s="223" t="str">
        <f>IF('3.Plan de Estudios'!AC138="","",'3.Plan de Estudios'!AC138)</f>
        <v/>
      </c>
      <c r="Z549" t="str">
        <f t="shared" si="38"/>
        <v>0-</v>
      </c>
      <c r="AA549" s="89" t="str">
        <f t="shared" si="39"/>
        <v/>
      </c>
      <c r="AB549" t="str">
        <f t="shared" si="40"/>
        <v/>
      </c>
      <c r="AC549" t="str">
        <f>IF(AB549="","",CONCATENATE(",",AB549))</f>
        <v/>
      </c>
    </row>
    <row r="550" spans="24:29" ht="15.75">
      <c r="X550" s="223">
        <f>+'3.Plan de Estudios'!$E$138</f>
        <v>0</v>
      </c>
      <c r="Y550" s="223" t="str">
        <f>IF('3.Plan de Estudios'!AE138="","",'3.Plan de Estudios'!AE138)</f>
        <v/>
      </c>
      <c r="Z550" t="str">
        <f t="shared" si="38"/>
        <v>0-</v>
      </c>
      <c r="AA550" s="89" t="str">
        <f t="shared" si="39"/>
        <v/>
      </c>
      <c r="AB550" t="str">
        <f t="shared" si="40"/>
        <v/>
      </c>
      <c r="AC550" t="str">
        <f>IF(AB550="","",CONCATENATE(",",AB550))</f>
        <v/>
      </c>
    </row>
    <row r="551" spans="24:29" ht="15.75">
      <c r="X551" s="223">
        <f>+'3.Plan de Estudios'!$E$138</f>
        <v>0</v>
      </c>
      <c r="Y551" s="223" t="str">
        <f>IF('3.Plan de Estudios'!AG138="","",'3.Plan de Estudios'!AG138)</f>
        <v/>
      </c>
      <c r="Z551" t="str">
        <f t="shared" si="38"/>
        <v>0-</v>
      </c>
      <c r="AA551" s="89" t="str">
        <f t="shared" si="39"/>
        <v/>
      </c>
      <c r="AB551" t="str">
        <f t="shared" si="40"/>
        <v/>
      </c>
      <c r="AC551" t="str">
        <f>IF(AB551="","",CONCATENATE(",",AB551))</f>
        <v/>
      </c>
    </row>
    <row r="552" spans="24:29" ht="15.75">
      <c r="X552" s="224">
        <f>+'3.Plan de Estudios'!$E$138</f>
        <v>0</v>
      </c>
      <c r="Y552" s="224" t="str">
        <f>IF('3.Plan de Estudios'!AI138="","",'3.Plan de Estudios'!AI138)</f>
        <v/>
      </c>
      <c r="Z552" t="str">
        <f t="shared" si="38"/>
        <v>0-</v>
      </c>
      <c r="AA552" s="89" t="str">
        <f t="shared" si="39"/>
        <v/>
      </c>
      <c r="AB552" t="str">
        <f t="shared" si="40"/>
        <v/>
      </c>
      <c r="AC552" t="str">
        <f>IF(AB552="","",CONCATENATE(",",AB552))</f>
        <v/>
      </c>
    </row>
    <row r="553" spans="24:29" ht="15.75">
      <c r="X553" s="183">
        <f>+'3.Plan de Estudios'!$E$140</f>
        <v>0</v>
      </c>
      <c r="Y553" s="183" t="str">
        <f>IF('3.Plan de Estudios'!AA140="","",'3.Plan de Estudios'!AA140)</f>
        <v/>
      </c>
      <c r="Z553" t="str">
        <f t="shared" si="38"/>
        <v>0-</v>
      </c>
      <c r="AA553" s="89" t="str">
        <f t="shared" si="39"/>
        <v/>
      </c>
      <c r="AB553" t="str">
        <f t="shared" si="40"/>
        <v/>
      </c>
      <c r="AC553" t="str">
        <f>AB553</f>
        <v/>
      </c>
    </row>
    <row r="554" spans="24:29" ht="15.75">
      <c r="X554" s="183">
        <f>+'3.Plan de Estudios'!$E$140</f>
        <v>0</v>
      </c>
      <c r="Y554" s="183" t="str">
        <f>IF('3.Plan de Estudios'!AC140="","",'3.Plan de Estudios'!AC140)</f>
        <v/>
      </c>
      <c r="Z554" t="str">
        <f t="shared" si="38"/>
        <v>0-</v>
      </c>
      <c r="AA554" s="89" t="str">
        <f t="shared" si="39"/>
        <v/>
      </c>
      <c r="AB554" t="str">
        <f t="shared" si="40"/>
        <v/>
      </c>
      <c r="AC554" t="str">
        <f>IF(AB554="","",CONCATENATE(",",AB554))</f>
        <v/>
      </c>
    </row>
    <row r="555" spans="24:29" ht="15.75">
      <c r="X555" s="183">
        <f>+'3.Plan de Estudios'!$E$140</f>
        <v>0</v>
      </c>
      <c r="Y555" s="183" t="str">
        <f>IF('3.Plan de Estudios'!AE140="","",'3.Plan de Estudios'!AE140)</f>
        <v/>
      </c>
      <c r="Z555" t="str">
        <f t="shared" si="38"/>
        <v>0-</v>
      </c>
      <c r="AA555" s="89" t="str">
        <f t="shared" si="39"/>
        <v/>
      </c>
      <c r="AB555" t="str">
        <f t="shared" si="40"/>
        <v/>
      </c>
      <c r="AC555" t="str">
        <f>IF(AB555="","",CONCATENATE(",",AB555))</f>
        <v/>
      </c>
    </row>
    <row r="556" spans="24:29" ht="15.75">
      <c r="X556" s="183">
        <f>+'3.Plan de Estudios'!$E$140</f>
        <v>0</v>
      </c>
      <c r="Y556" s="183" t="str">
        <f>IF('3.Plan de Estudios'!AG140="","",'3.Plan de Estudios'!AG140)</f>
        <v/>
      </c>
      <c r="Z556" t="str">
        <f t="shared" si="38"/>
        <v>0-</v>
      </c>
      <c r="AA556" s="89" t="str">
        <f t="shared" si="39"/>
        <v/>
      </c>
      <c r="AB556" t="str">
        <f t="shared" si="40"/>
        <v/>
      </c>
      <c r="AC556" t="str">
        <f>IF(AB556="","",CONCATENATE(",",AB556))</f>
        <v/>
      </c>
    </row>
    <row r="557" spans="24:29" ht="15.75">
      <c r="X557" s="183">
        <f>+'3.Plan de Estudios'!$E$140</f>
        <v>0</v>
      </c>
      <c r="Y557" s="183" t="str">
        <f>IF('3.Plan de Estudios'!AI140="","",'3.Plan de Estudios'!AI140)</f>
        <v/>
      </c>
      <c r="Z557" t="str">
        <f t="shared" si="38"/>
        <v>0-</v>
      </c>
      <c r="AA557" s="89" t="str">
        <f t="shared" si="39"/>
        <v/>
      </c>
      <c r="AB557" t="str">
        <f t="shared" si="40"/>
        <v/>
      </c>
      <c r="AC557" t="str">
        <f>IF(AB557="","",CONCATENATE(",",AB557))</f>
        <v/>
      </c>
    </row>
    <row r="558" spans="24:29" ht="15.75">
      <c r="X558" s="223">
        <f>+'3.Plan de Estudios'!$E$141</f>
        <v>0</v>
      </c>
      <c r="Y558" s="223" t="str">
        <f>IF('3.Plan de Estudios'!AA141="","",'3.Plan de Estudios'!AA141)</f>
        <v/>
      </c>
      <c r="Z558" t="str">
        <f t="shared" si="38"/>
        <v>0-</v>
      </c>
      <c r="AA558" s="89" t="str">
        <f t="shared" si="39"/>
        <v/>
      </c>
      <c r="AB558" t="str">
        <f t="shared" si="40"/>
        <v/>
      </c>
      <c r="AC558" t="str">
        <f>AB558</f>
        <v/>
      </c>
    </row>
    <row r="559" spans="24:29" ht="15.75">
      <c r="X559" s="223">
        <f>+'3.Plan de Estudios'!$E$141</f>
        <v>0</v>
      </c>
      <c r="Y559" s="223" t="str">
        <f>IF('3.Plan de Estudios'!AC141="","",'3.Plan de Estudios'!AC141)</f>
        <v/>
      </c>
      <c r="Z559" t="str">
        <f t="shared" si="38"/>
        <v>0-</v>
      </c>
      <c r="AA559" s="89" t="str">
        <f t="shared" si="39"/>
        <v/>
      </c>
      <c r="AB559" t="str">
        <f t="shared" si="40"/>
        <v/>
      </c>
      <c r="AC559" t="str">
        <f>IF(AB559="","",CONCATENATE(",",AB559))</f>
        <v/>
      </c>
    </row>
    <row r="560" spans="24:29" ht="15.75">
      <c r="X560" s="223">
        <f>+'3.Plan de Estudios'!$E$141</f>
        <v>0</v>
      </c>
      <c r="Y560" s="223" t="str">
        <f>IF('3.Plan de Estudios'!AE141="","",'3.Plan de Estudios'!AE141)</f>
        <v/>
      </c>
      <c r="Z560" t="str">
        <f t="shared" si="38"/>
        <v>0-</v>
      </c>
      <c r="AA560" s="89" t="str">
        <f t="shared" si="39"/>
        <v/>
      </c>
      <c r="AB560" t="str">
        <f t="shared" si="40"/>
        <v/>
      </c>
      <c r="AC560" t="str">
        <f>IF(AB560="","",CONCATENATE(",",AB560))</f>
        <v/>
      </c>
    </row>
    <row r="561" spans="24:29" ht="15.75">
      <c r="X561" s="223">
        <f>+'3.Plan de Estudios'!$E$141</f>
        <v>0</v>
      </c>
      <c r="Y561" s="223" t="str">
        <f>IF('3.Plan de Estudios'!AG141="","",'3.Plan de Estudios'!AG141)</f>
        <v/>
      </c>
      <c r="Z561" t="str">
        <f t="shared" si="38"/>
        <v>0-</v>
      </c>
      <c r="AA561" s="89" t="str">
        <f t="shared" si="39"/>
        <v/>
      </c>
      <c r="AB561" t="str">
        <f t="shared" si="40"/>
        <v/>
      </c>
      <c r="AC561" t="str">
        <f>IF(AB561="","",CONCATENATE(",",AB561))</f>
        <v/>
      </c>
    </row>
    <row r="562" spans="24:29" ht="15.75">
      <c r="X562" s="223">
        <f>+'3.Plan de Estudios'!$E$141</f>
        <v>0</v>
      </c>
      <c r="Y562" s="223" t="str">
        <f>IF('3.Plan de Estudios'!AI141="","",'3.Plan de Estudios'!AI141)</f>
        <v/>
      </c>
      <c r="Z562" t="str">
        <f t="shared" ref="Z562:Z625" si="41">CONCATENATE(X562,"-",MID(Y562,1,100))</f>
        <v>0-</v>
      </c>
      <c r="AA562" s="89" t="str">
        <f t="shared" ref="AA562:AA625" si="42">+IF(Y562="","","a")</f>
        <v/>
      </c>
      <c r="AB562" t="str">
        <f t="shared" ref="AB562:AB625" si="43">IFERROR(MID(Y562,FIND(":",Y562)+1,FIND(":",Y562,FIND(":",Y562)+1)-FIND(":",Y562)-1),"")</f>
        <v/>
      </c>
      <c r="AC562" t="str">
        <f>IF(AB562="","",CONCATENATE(",",AB562))</f>
        <v/>
      </c>
    </row>
    <row r="563" spans="24:29" ht="15.75">
      <c r="X563" s="183">
        <f>+'3.Plan de Estudios'!$E$142</f>
        <v>0</v>
      </c>
      <c r="Y563" s="183" t="str">
        <f>IF('3.Plan de Estudios'!AA142="","",'3.Plan de Estudios'!AA142)</f>
        <v/>
      </c>
      <c r="Z563" t="str">
        <f t="shared" si="41"/>
        <v>0-</v>
      </c>
      <c r="AA563" s="89" t="str">
        <f t="shared" si="42"/>
        <v/>
      </c>
      <c r="AB563" t="str">
        <f t="shared" si="43"/>
        <v/>
      </c>
      <c r="AC563" t="str">
        <f>AB563</f>
        <v/>
      </c>
    </row>
    <row r="564" spans="24:29" ht="15.75">
      <c r="X564" s="183">
        <f>+'3.Plan de Estudios'!$E$142</f>
        <v>0</v>
      </c>
      <c r="Y564" s="183" t="str">
        <f>IF('3.Plan de Estudios'!AC142="","",'3.Plan de Estudios'!AC142)</f>
        <v/>
      </c>
      <c r="Z564" t="str">
        <f t="shared" si="41"/>
        <v>0-</v>
      </c>
      <c r="AA564" s="89" t="str">
        <f t="shared" si="42"/>
        <v/>
      </c>
      <c r="AB564" t="str">
        <f t="shared" si="43"/>
        <v/>
      </c>
      <c r="AC564" t="str">
        <f>IF(AB564="","",CONCATENATE(",",AB564))</f>
        <v/>
      </c>
    </row>
    <row r="565" spans="24:29" ht="15.75">
      <c r="X565" s="183">
        <f>+'3.Plan de Estudios'!$E$142</f>
        <v>0</v>
      </c>
      <c r="Y565" s="183" t="str">
        <f>IF('3.Plan de Estudios'!AE142="","",'3.Plan de Estudios'!AE142)</f>
        <v/>
      </c>
      <c r="Z565" t="str">
        <f t="shared" si="41"/>
        <v>0-</v>
      </c>
      <c r="AA565" s="89" t="str">
        <f t="shared" si="42"/>
        <v/>
      </c>
      <c r="AB565" t="str">
        <f t="shared" si="43"/>
        <v/>
      </c>
      <c r="AC565" t="str">
        <f>IF(AB565="","",CONCATENATE(",",AB565))</f>
        <v/>
      </c>
    </row>
    <row r="566" spans="24:29" ht="15.75">
      <c r="X566" s="183">
        <f>+'3.Plan de Estudios'!$E$142</f>
        <v>0</v>
      </c>
      <c r="Y566" s="183" t="str">
        <f>IF('3.Plan de Estudios'!AG142="","",'3.Plan de Estudios'!AG142)</f>
        <v/>
      </c>
      <c r="Z566" t="str">
        <f t="shared" si="41"/>
        <v>0-</v>
      </c>
      <c r="AA566" s="89" t="str">
        <f t="shared" si="42"/>
        <v/>
      </c>
      <c r="AB566" t="str">
        <f t="shared" si="43"/>
        <v/>
      </c>
      <c r="AC566" t="str">
        <f>IF(AB566="","",CONCATENATE(",",AB566))</f>
        <v/>
      </c>
    </row>
    <row r="567" spans="24:29" ht="15.75">
      <c r="X567" s="183">
        <f>+'3.Plan de Estudios'!$E$142</f>
        <v>0</v>
      </c>
      <c r="Y567" s="183" t="str">
        <f>IF('3.Plan de Estudios'!AI142="","",'3.Plan de Estudios'!AI142)</f>
        <v/>
      </c>
      <c r="Z567" t="str">
        <f t="shared" si="41"/>
        <v>0-</v>
      </c>
      <c r="AA567" s="89" t="str">
        <f t="shared" si="42"/>
        <v/>
      </c>
      <c r="AB567" t="str">
        <f t="shared" si="43"/>
        <v/>
      </c>
      <c r="AC567" t="str">
        <f>IF(AB567="","",CONCATENATE(",",AB567))</f>
        <v/>
      </c>
    </row>
    <row r="568" spans="24:29" ht="15.75">
      <c r="X568" s="223">
        <f>+'3.Plan de Estudios'!$E$143</f>
        <v>0</v>
      </c>
      <c r="Y568" s="223" t="str">
        <f>IF('3.Plan de Estudios'!AA143="","",'3.Plan de Estudios'!AA143)</f>
        <v/>
      </c>
      <c r="Z568" t="str">
        <f t="shared" si="41"/>
        <v>0-</v>
      </c>
      <c r="AA568" s="89" t="str">
        <f t="shared" si="42"/>
        <v/>
      </c>
      <c r="AB568" t="str">
        <f t="shared" si="43"/>
        <v/>
      </c>
      <c r="AC568" t="str">
        <f>AB568</f>
        <v/>
      </c>
    </row>
    <row r="569" spans="24:29" ht="15.75">
      <c r="X569" s="223">
        <f>+'3.Plan de Estudios'!$E$143</f>
        <v>0</v>
      </c>
      <c r="Y569" s="223" t="str">
        <f>IF('3.Plan de Estudios'!AC143="","",'3.Plan de Estudios'!AC143)</f>
        <v/>
      </c>
      <c r="Z569" t="str">
        <f t="shared" si="41"/>
        <v>0-</v>
      </c>
      <c r="AA569" s="89" t="str">
        <f t="shared" si="42"/>
        <v/>
      </c>
      <c r="AB569" t="str">
        <f t="shared" si="43"/>
        <v/>
      </c>
      <c r="AC569" t="str">
        <f>IF(AB569="","",CONCATENATE(",",AB569))</f>
        <v/>
      </c>
    </row>
    <row r="570" spans="24:29" ht="15.75">
      <c r="X570" s="223">
        <f>+'3.Plan de Estudios'!$E$143</f>
        <v>0</v>
      </c>
      <c r="Y570" s="223" t="str">
        <f>IF('3.Plan de Estudios'!AE143="","",'3.Plan de Estudios'!AE143)</f>
        <v/>
      </c>
      <c r="Z570" t="str">
        <f t="shared" si="41"/>
        <v>0-</v>
      </c>
      <c r="AA570" s="89" t="str">
        <f t="shared" si="42"/>
        <v/>
      </c>
      <c r="AB570" t="str">
        <f t="shared" si="43"/>
        <v/>
      </c>
      <c r="AC570" t="str">
        <f>IF(AB570="","",CONCATENATE(",",AB570))</f>
        <v/>
      </c>
    </row>
    <row r="571" spans="24:29" ht="15.75">
      <c r="X571" s="223">
        <f>+'3.Plan de Estudios'!$E$143</f>
        <v>0</v>
      </c>
      <c r="Y571" s="223" t="str">
        <f>IF('3.Plan de Estudios'!AG143="","",'3.Plan de Estudios'!AG143)</f>
        <v/>
      </c>
      <c r="Z571" t="str">
        <f t="shared" si="41"/>
        <v>0-</v>
      </c>
      <c r="AA571" s="89" t="str">
        <f t="shared" si="42"/>
        <v/>
      </c>
      <c r="AB571" t="str">
        <f t="shared" si="43"/>
        <v/>
      </c>
      <c r="AC571" t="str">
        <f>IF(AB571="","",CONCATENATE(",",AB571))</f>
        <v/>
      </c>
    </row>
    <row r="572" spans="24:29" ht="15.75">
      <c r="X572" s="223">
        <f>+'3.Plan de Estudios'!$E$143</f>
        <v>0</v>
      </c>
      <c r="Y572" s="223" t="str">
        <f>IF('3.Plan de Estudios'!AI143="","",'3.Plan de Estudios'!AI143)</f>
        <v/>
      </c>
      <c r="Z572" t="str">
        <f t="shared" si="41"/>
        <v>0-</v>
      </c>
      <c r="AA572" s="89" t="str">
        <f t="shared" si="42"/>
        <v/>
      </c>
      <c r="AB572" t="str">
        <f t="shared" si="43"/>
        <v/>
      </c>
      <c r="AC572" t="str">
        <f>IF(AB572="","",CONCATENATE(",",AB572))</f>
        <v/>
      </c>
    </row>
    <row r="573" spans="24:29" ht="15.75">
      <c r="X573" s="183">
        <f>+'3.Plan de Estudios'!$E$144</f>
        <v>0</v>
      </c>
      <c r="Y573" s="183" t="str">
        <f>IF('3.Plan de Estudios'!AA144="","",'3.Plan de Estudios'!AA144)</f>
        <v/>
      </c>
      <c r="Z573" t="str">
        <f t="shared" si="41"/>
        <v>0-</v>
      </c>
      <c r="AA573" s="89" t="str">
        <f t="shared" si="42"/>
        <v/>
      </c>
      <c r="AB573" t="str">
        <f t="shared" si="43"/>
        <v/>
      </c>
      <c r="AC573" t="str">
        <f>AB573</f>
        <v/>
      </c>
    </row>
    <row r="574" spans="24:29" ht="15.75">
      <c r="X574" s="183">
        <f>+'3.Plan de Estudios'!$E$144</f>
        <v>0</v>
      </c>
      <c r="Y574" s="183" t="str">
        <f>IF('3.Plan de Estudios'!AC144="","",'3.Plan de Estudios'!AC144)</f>
        <v/>
      </c>
      <c r="Z574" t="str">
        <f t="shared" si="41"/>
        <v>0-</v>
      </c>
      <c r="AA574" s="89" t="str">
        <f t="shared" si="42"/>
        <v/>
      </c>
      <c r="AB574" t="str">
        <f t="shared" si="43"/>
        <v/>
      </c>
      <c r="AC574" t="str">
        <f>IF(AB574="","",CONCATENATE(",",AB574))</f>
        <v/>
      </c>
    </row>
    <row r="575" spans="24:29" ht="15.75">
      <c r="X575" s="183">
        <f>+'3.Plan de Estudios'!$E$144</f>
        <v>0</v>
      </c>
      <c r="Y575" s="183" t="str">
        <f>IF('3.Plan de Estudios'!AE144="","",'3.Plan de Estudios'!AE144)</f>
        <v/>
      </c>
      <c r="Z575" t="str">
        <f t="shared" si="41"/>
        <v>0-</v>
      </c>
      <c r="AA575" s="89" t="str">
        <f t="shared" si="42"/>
        <v/>
      </c>
      <c r="AB575" t="str">
        <f t="shared" si="43"/>
        <v/>
      </c>
      <c r="AC575" t="str">
        <f>IF(AB575="","",CONCATENATE(",",AB575))</f>
        <v/>
      </c>
    </row>
    <row r="576" spans="24:29" ht="15.75">
      <c r="X576" s="183">
        <f>+'3.Plan de Estudios'!$E$144</f>
        <v>0</v>
      </c>
      <c r="Y576" s="183" t="str">
        <f>IF('3.Plan de Estudios'!AG144="","",'3.Plan de Estudios'!AG144)</f>
        <v/>
      </c>
      <c r="Z576" t="str">
        <f t="shared" si="41"/>
        <v>0-</v>
      </c>
      <c r="AA576" s="89" t="str">
        <f t="shared" si="42"/>
        <v/>
      </c>
      <c r="AB576" t="str">
        <f t="shared" si="43"/>
        <v/>
      </c>
      <c r="AC576" t="str">
        <f>IF(AB576="","",CONCATENATE(",",AB576))</f>
        <v/>
      </c>
    </row>
    <row r="577" spans="24:29" ht="15.75">
      <c r="X577" s="183">
        <f>+'3.Plan de Estudios'!$E$144</f>
        <v>0</v>
      </c>
      <c r="Y577" s="183" t="str">
        <f>IF('3.Plan de Estudios'!AI144="","",'3.Plan de Estudios'!AI144)</f>
        <v/>
      </c>
      <c r="Z577" t="str">
        <f t="shared" si="41"/>
        <v>0-</v>
      </c>
      <c r="AA577" s="89" t="str">
        <f t="shared" si="42"/>
        <v/>
      </c>
      <c r="AB577" t="str">
        <f t="shared" si="43"/>
        <v/>
      </c>
      <c r="AC577" t="str">
        <f>IF(AB577="","",CONCATENATE(",",AB577))</f>
        <v/>
      </c>
    </row>
    <row r="578" spans="24:29" ht="15.75">
      <c r="X578" s="223">
        <f>+'3.Plan de Estudios'!$E$145</f>
        <v>0</v>
      </c>
      <c r="Y578" s="223" t="str">
        <f>IF('3.Plan de Estudios'!AA145="","",'3.Plan de Estudios'!AA145)</f>
        <v/>
      </c>
      <c r="Z578" t="str">
        <f t="shared" si="41"/>
        <v>0-</v>
      </c>
      <c r="AA578" s="89" t="str">
        <f t="shared" si="42"/>
        <v/>
      </c>
      <c r="AB578" t="str">
        <f t="shared" si="43"/>
        <v/>
      </c>
      <c r="AC578" t="str">
        <f>AB578</f>
        <v/>
      </c>
    </row>
    <row r="579" spans="24:29" ht="15.75">
      <c r="X579" s="223">
        <f>+'3.Plan de Estudios'!$E$145</f>
        <v>0</v>
      </c>
      <c r="Y579" s="223" t="str">
        <f>IF('3.Plan de Estudios'!AC145="","",'3.Plan de Estudios'!AC145)</f>
        <v/>
      </c>
      <c r="Z579" t="str">
        <f t="shared" si="41"/>
        <v>0-</v>
      </c>
      <c r="AA579" s="89" t="str">
        <f t="shared" si="42"/>
        <v/>
      </c>
      <c r="AB579" t="str">
        <f t="shared" si="43"/>
        <v/>
      </c>
      <c r="AC579" t="str">
        <f>IF(AB579="","",CONCATENATE(",",AB579))</f>
        <v/>
      </c>
    </row>
    <row r="580" spans="24:29" ht="15.75">
      <c r="X580" s="223">
        <f>+'3.Plan de Estudios'!$E$145</f>
        <v>0</v>
      </c>
      <c r="Y580" s="223" t="str">
        <f>IF('3.Plan de Estudios'!AE145="","",'3.Plan de Estudios'!AE145)</f>
        <v/>
      </c>
      <c r="Z580" t="str">
        <f t="shared" si="41"/>
        <v>0-</v>
      </c>
      <c r="AA580" s="89" t="str">
        <f t="shared" si="42"/>
        <v/>
      </c>
      <c r="AB580" t="str">
        <f t="shared" si="43"/>
        <v/>
      </c>
      <c r="AC580" t="str">
        <f>IF(AB580="","",CONCATENATE(",",AB580))</f>
        <v/>
      </c>
    </row>
    <row r="581" spans="24:29" ht="15.75">
      <c r="X581" s="223">
        <f>+'3.Plan de Estudios'!$E$145</f>
        <v>0</v>
      </c>
      <c r="Y581" s="223" t="str">
        <f>IF('3.Plan de Estudios'!AG145="","",'3.Plan de Estudios'!AG145)</f>
        <v/>
      </c>
      <c r="Z581" t="str">
        <f t="shared" si="41"/>
        <v>0-</v>
      </c>
      <c r="AA581" s="89" t="str">
        <f t="shared" si="42"/>
        <v/>
      </c>
      <c r="AB581" t="str">
        <f t="shared" si="43"/>
        <v/>
      </c>
      <c r="AC581" t="str">
        <f>IF(AB581="","",CONCATENATE(",",AB581))</f>
        <v/>
      </c>
    </row>
    <row r="582" spans="24:29" ht="15.75">
      <c r="X582" s="223">
        <f>+'3.Plan de Estudios'!$E$145</f>
        <v>0</v>
      </c>
      <c r="Y582" s="223" t="str">
        <f>IF('3.Plan de Estudios'!AI145="","",'3.Plan de Estudios'!AI145)</f>
        <v/>
      </c>
      <c r="Z582" t="str">
        <f t="shared" si="41"/>
        <v>0-</v>
      </c>
      <c r="AA582" s="89" t="str">
        <f t="shared" si="42"/>
        <v/>
      </c>
      <c r="AB582" t="str">
        <f t="shared" si="43"/>
        <v/>
      </c>
      <c r="AC582" t="str">
        <f>IF(AB582="","",CONCATENATE(",",AB582))</f>
        <v/>
      </c>
    </row>
    <row r="583" spans="24:29" ht="15.75">
      <c r="X583" s="183">
        <f>+'3.Plan de Estudios'!$E$146</f>
        <v>0</v>
      </c>
      <c r="Y583" s="183" t="str">
        <f>IF('3.Plan de Estudios'!AA146="","",'3.Plan de Estudios'!AA146)</f>
        <v/>
      </c>
      <c r="Z583" t="str">
        <f t="shared" si="41"/>
        <v>0-</v>
      </c>
      <c r="AA583" s="89" t="str">
        <f t="shared" si="42"/>
        <v/>
      </c>
      <c r="AB583" t="str">
        <f t="shared" si="43"/>
        <v/>
      </c>
      <c r="AC583" t="str">
        <f>AB583</f>
        <v/>
      </c>
    </row>
    <row r="584" spans="24:29" ht="15.75">
      <c r="X584" s="183">
        <f>+'3.Plan de Estudios'!$E$146</f>
        <v>0</v>
      </c>
      <c r="Y584" s="183" t="str">
        <f>IF('3.Plan de Estudios'!AC146="","",'3.Plan de Estudios'!AC146)</f>
        <v/>
      </c>
      <c r="Z584" t="str">
        <f t="shared" si="41"/>
        <v>0-</v>
      </c>
      <c r="AA584" s="89" t="str">
        <f t="shared" si="42"/>
        <v/>
      </c>
      <c r="AB584" t="str">
        <f t="shared" si="43"/>
        <v/>
      </c>
      <c r="AC584" t="str">
        <f>IF(AB584="","",CONCATENATE(",",AB584))</f>
        <v/>
      </c>
    </row>
    <row r="585" spans="24:29" ht="15.75">
      <c r="X585" s="183">
        <f>+'3.Plan de Estudios'!$E$146</f>
        <v>0</v>
      </c>
      <c r="Y585" s="183" t="str">
        <f>IF('3.Plan de Estudios'!AE146="","",'3.Plan de Estudios'!AE146)</f>
        <v/>
      </c>
      <c r="Z585" t="str">
        <f t="shared" si="41"/>
        <v>0-</v>
      </c>
      <c r="AA585" s="89" t="str">
        <f t="shared" si="42"/>
        <v/>
      </c>
      <c r="AB585" t="str">
        <f t="shared" si="43"/>
        <v/>
      </c>
      <c r="AC585" t="str">
        <f>IF(AB585="","",CONCATENATE(",",AB585))</f>
        <v/>
      </c>
    </row>
    <row r="586" spans="24:29" ht="15.75">
      <c r="X586" s="183">
        <f>+'3.Plan de Estudios'!$E$146</f>
        <v>0</v>
      </c>
      <c r="Y586" s="183" t="str">
        <f>IF('3.Plan de Estudios'!AG146="","",'3.Plan de Estudios'!AG146)</f>
        <v/>
      </c>
      <c r="Z586" t="str">
        <f t="shared" si="41"/>
        <v>0-</v>
      </c>
      <c r="AA586" s="89" t="str">
        <f t="shared" si="42"/>
        <v/>
      </c>
      <c r="AB586" t="str">
        <f t="shared" si="43"/>
        <v/>
      </c>
      <c r="AC586" t="str">
        <f>IF(AB586="","",CONCATENATE(",",AB586))</f>
        <v/>
      </c>
    </row>
    <row r="587" spans="24:29" ht="15.75">
      <c r="X587" s="183">
        <f>+'3.Plan de Estudios'!$E$146</f>
        <v>0</v>
      </c>
      <c r="Y587" s="183" t="str">
        <f>IF('3.Plan de Estudios'!AI146="","",'3.Plan de Estudios'!AI146)</f>
        <v/>
      </c>
      <c r="Z587" t="str">
        <f t="shared" si="41"/>
        <v>0-</v>
      </c>
      <c r="AA587" s="89" t="str">
        <f t="shared" si="42"/>
        <v/>
      </c>
      <c r="AB587" t="str">
        <f t="shared" si="43"/>
        <v/>
      </c>
      <c r="AC587" t="str">
        <f>IF(AB587="","",CONCATENATE(",",AB587))</f>
        <v/>
      </c>
    </row>
    <row r="588" spans="24:29" ht="15.75">
      <c r="X588" s="223">
        <f>+'3.Plan de Estudios'!$E$147</f>
        <v>0</v>
      </c>
      <c r="Y588" s="223" t="str">
        <f>IF('3.Plan de Estudios'!AA147="","",'3.Plan de Estudios'!AA147)</f>
        <v/>
      </c>
      <c r="Z588" t="str">
        <f t="shared" si="41"/>
        <v>0-</v>
      </c>
      <c r="AA588" s="89" t="str">
        <f t="shared" si="42"/>
        <v/>
      </c>
      <c r="AB588" t="str">
        <f t="shared" si="43"/>
        <v/>
      </c>
      <c r="AC588" t="str">
        <f>AB588</f>
        <v/>
      </c>
    </row>
    <row r="589" spans="24:29" ht="15.75">
      <c r="X589" s="223">
        <f>+'3.Plan de Estudios'!$E$147</f>
        <v>0</v>
      </c>
      <c r="Y589" s="223" t="str">
        <f>IF('3.Plan de Estudios'!AC147="","",'3.Plan de Estudios'!AC147)</f>
        <v/>
      </c>
      <c r="Z589" t="str">
        <f t="shared" si="41"/>
        <v>0-</v>
      </c>
      <c r="AA589" s="89" t="str">
        <f t="shared" si="42"/>
        <v/>
      </c>
      <c r="AB589" t="str">
        <f t="shared" si="43"/>
        <v/>
      </c>
      <c r="AC589" t="str">
        <f>IF(AB589="","",CONCATENATE(",",AB589))</f>
        <v/>
      </c>
    </row>
    <row r="590" spans="24:29" ht="15.75">
      <c r="X590" s="223">
        <f>+'3.Plan de Estudios'!$E$147</f>
        <v>0</v>
      </c>
      <c r="Y590" s="223" t="str">
        <f>IF('3.Plan de Estudios'!AE147="","",'3.Plan de Estudios'!AE147)</f>
        <v/>
      </c>
      <c r="Z590" t="str">
        <f t="shared" si="41"/>
        <v>0-</v>
      </c>
      <c r="AA590" s="89" t="str">
        <f t="shared" si="42"/>
        <v/>
      </c>
      <c r="AB590" t="str">
        <f t="shared" si="43"/>
        <v/>
      </c>
      <c r="AC590" t="str">
        <f>IF(AB590="","",CONCATENATE(",",AB590))</f>
        <v/>
      </c>
    </row>
    <row r="591" spans="24:29" ht="15.75">
      <c r="X591" s="223">
        <f>+'3.Plan de Estudios'!$E$147</f>
        <v>0</v>
      </c>
      <c r="Y591" s="223" t="str">
        <f>IF('3.Plan de Estudios'!AG147="","",'3.Plan de Estudios'!AG147)</f>
        <v/>
      </c>
      <c r="Z591" t="str">
        <f t="shared" si="41"/>
        <v>0-</v>
      </c>
      <c r="AA591" s="89" t="str">
        <f t="shared" si="42"/>
        <v/>
      </c>
      <c r="AB591" t="str">
        <f t="shared" si="43"/>
        <v/>
      </c>
      <c r="AC591" t="str">
        <f>IF(AB591="","",CONCATENATE(",",AB591))</f>
        <v/>
      </c>
    </row>
    <row r="592" spans="24:29" ht="15.75">
      <c r="X592" s="223">
        <f>+'3.Plan de Estudios'!$E$147</f>
        <v>0</v>
      </c>
      <c r="Y592" s="223" t="str">
        <f>IF('3.Plan de Estudios'!AI147="","",'3.Plan de Estudios'!AI147)</f>
        <v/>
      </c>
      <c r="Z592" t="str">
        <f t="shared" si="41"/>
        <v>0-</v>
      </c>
      <c r="AA592" s="89" t="str">
        <f t="shared" si="42"/>
        <v/>
      </c>
      <c r="AB592" t="str">
        <f t="shared" si="43"/>
        <v/>
      </c>
      <c r="AC592" t="str">
        <f>IF(AB592="","",CONCATENATE(",",AB592))</f>
        <v/>
      </c>
    </row>
    <row r="593" spans="24:29" ht="15.75">
      <c r="X593" s="183">
        <f>+'3.Plan de Estudios'!$E$148</f>
        <v>0</v>
      </c>
      <c r="Y593" s="183" t="str">
        <f>IF('3.Plan de Estudios'!AA148="","",'3.Plan de Estudios'!AA148)</f>
        <v/>
      </c>
      <c r="Z593" t="str">
        <f t="shared" si="41"/>
        <v>0-</v>
      </c>
      <c r="AA593" s="89" t="str">
        <f t="shared" si="42"/>
        <v/>
      </c>
      <c r="AB593" t="str">
        <f t="shared" si="43"/>
        <v/>
      </c>
      <c r="AC593" t="str">
        <f>AB593</f>
        <v/>
      </c>
    </row>
    <row r="594" spans="24:29" ht="15.75">
      <c r="X594" s="183">
        <f>+'3.Plan de Estudios'!$E$148</f>
        <v>0</v>
      </c>
      <c r="Y594" s="183" t="str">
        <f>IF('3.Plan de Estudios'!AC148="","",'3.Plan de Estudios'!AC148)</f>
        <v/>
      </c>
      <c r="Z594" t="str">
        <f t="shared" si="41"/>
        <v>0-</v>
      </c>
      <c r="AA594" s="89" t="str">
        <f t="shared" si="42"/>
        <v/>
      </c>
      <c r="AB594" t="str">
        <f t="shared" si="43"/>
        <v/>
      </c>
      <c r="AC594" t="str">
        <f>IF(AB594="","",CONCATENATE(",",AB594))</f>
        <v/>
      </c>
    </row>
    <row r="595" spans="24:29" ht="15.75">
      <c r="X595" s="183">
        <f>+'3.Plan de Estudios'!$E$148</f>
        <v>0</v>
      </c>
      <c r="Y595" s="183" t="str">
        <f>IF('3.Plan de Estudios'!AE148="","",'3.Plan de Estudios'!AE148)</f>
        <v/>
      </c>
      <c r="Z595" t="str">
        <f t="shared" si="41"/>
        <v>0-</v>
      </c>
      <c r="AA595" s="89" t="str">
        <f t="shared" si="42"/>
        <v/>
      </c>
      <c r="AB595" t="str">
        <f t="shared" si="43"/>
        <v/>
      </c>
      <c r="AC595" t="str">
        <f>IF(AB595="","",CONCATENATE(",",AB595))</f>
        <v/>
      </c>
    </row>
    <row r="596" spans="24:29" ht="15.75">
      <c r="X596" s="183">
        <f>+'3.Plan de Estudios'!$E$148</f>
        <v>0</v>
      </c>
      <c r="Y596" s="183" t="str">
        <f>IF('3.Plan de Estudios'!AG148="","",'3.Plan de Estudios'!AG148)</f>
        <v/>
      </c>
      <c r="Z596" t="str">
        <f t="shared" si="41"/>
        <v>0-</v>
      </c>
      <c r="AA596" s="89" t="str">
        <f t="shared" si="42"/>
        <v/>
      </c>
      <c r="AB596" t="str">
        <f t="shared" si="43"/>
        <v/>
      </c>
      <c r="AC596" t="str">
        <f>IF(AB596="","",CONCATENATE(",",AB596))</f>
        <v/>
      </c>
    </row>
    <row r="597" spans="24:29" ht="15.75">
      <c r="X597" s="183">
        <f>+'3.Plan de Estudios'!$E$148</f>
        <v>0</v>
      </c>
      <c r="Y597" s="183" t="str">
        <f>IF('3.Plan de Estudios'!AI148="","",'3.Plan de Estudios'!AI148)</f>
        <v/>
      </c>
      <c r="Z597" t="str">
        <f t="shared" si="41"/>
        <v>0-</v>
      </c>
      <c r="AA597" s="89" t="str">
        <f t="shared" si="42"/>
        <v/>
      </c>
      <c r="AB597" t="str">
        <f t="shared" si="43"/>
        <v/>
      </c>
      <c r="AC597" t="str">
        <f>IF(AB597="","",CONCATENATE(",",AB597))</f>
        <v/>
      </c>
    </row>
    <row r="598" spans="24:29" ht="15.75">
      <c r="X598" s="223">
        <f>+'3.Plan de Estudios'!$E$149</f>
        <v>0</v>
      </c>
      <c r="Y598" s="223" t="str">
        <f>IF('3.Plan de Estudios'!AA149="","",'3.Plan de Estudios'!AA149)</f>
        <v/>
      </c>
      <c r="Z598" t="str">
        <f t="shared" si="41"/>
        <v>0-</v>
      </c>
      <c r="AA598" s="89" t="str">
        <f t="shared" si="42"/>
        <v/>
      </c>
      <c r="AB598" t="str">
        <f t="shared" si="43"/>
        <v/>
      </c>
      <c r="AC598" t="str">
        <f>AB598</f>
        <v/>
      </c>
    </row>
    <row r="599" spans="24:29" ht="15.75">
      <c r="X599" s="223">
        <f>+'3.Plan de Estudios'!$E$149</f>
        <v>0</v>
      </c>
      <c r="Y599" s="223" t="str">
        <f>IF('3.Plan de Estudios'!AC149="","",'3.Plan de Estudios'!AC149)</f>
        <v/>
      </c>
      <c r="Z599" t="str">
        <f t="shared" si="41"/>
        <v>0-</v>
      </c>
      <c r="AA599" s="89" t="str">
        <f t="shared" si="42"/>
        <v/>
      </c>
      <c r="AB599" t="str">
        <f t="shared" si="43"/>
        <v/>
      </c>
      <c r="AC599" t="str">
        <f>IF(AB599="","",CONCATENATE(",",AB599))</f>
        <v/>
      </c>
    </row>
    <row r="600" spans="24:29" ht="15.75">
      <c r="X600" s="223">
        <f>+'3.Plan de Estudios'!$E$149</f>
        <v>0</v>
      </c>
      <c r="Y600" s="223" t="str">
        <f>IF('3.Plan de Estudios'!AE149="","",'3.Plan de Estudios'!AE149)</f>
        <v/>
      </c>
      <c r="Z600" t="str">
        <f t="shared" si="41"/>
        <v>0-</v>
      </c>
      <c r="AA600" s="89" t="str">
        <f t="shared" si="42"/>
        <v/>
      </c>
      <c r="AB600" t="str">
        <f t="shared" si="43"/>
        <v/>
      </c>
      <c r="AC600" t="str">
        <f>IF(AB600="","",CONCATENATE(",",AB600))</f>
        <v/>
      </c>
    </row>
    <row r="601" spans="24:29" ht="15.75">
      <c r="X601" s="223">
        <f>+'3.Plan de Estudios'!$E$149</f>
        <v>0</v>
      </c>
      <c r="Y601" s="223" t="str">
        <f>IF('3.Plan de Estudios'!AG149="","",'3.Plan de Estudios'!AG149)</f>
        <v/>
      </c>
      <c r="Z601" t="str">
        <f t="shared" si="41"/>
        <v>0-</v>
      </c>
      <c r="AA601" s="89" t="str">
        <f t="shared" si="42"/>
        <v/>
      </c>
      <c r="AB601" t="str">
        <f t="shared" si="43"/>
        <v/>
      </c>
      <c r="AC601" t="str">
        <f>IF(AB601="","",CONCATENATE(",",AB601))</f>
        <v/>
      </c>
    </row>
    <row r="602" spans="24:29" ht="15.75">
      <c r="X602" s="224">
        <f>+'3.Plan de Estudios'!$E$149</f>
        <v>0</v>
      </c>
      <c r="Y602" s="224" t="str">
        <f>IF('3.Plan de Estudios'!AI149="","",'3.Plan de Estudios'!AI149)</f>
        <v/>
      </c>
      <c r="Z602" t="str">
        <f t="shared" si="41"/>
        <v>0-</v>
      </c>
      <c r="AA602" s="89" t="str">
        <f t="shared" si="42"/>
        <v/>
      </c>
      <c r="AB602" t="str">
        <f t="shared" si="43"/>
        <v/>
      </c>
      <c r="AC602" t="str">
        <f>IF(AB602="","",CONCATENATE(",",AB602))</f>
        <v/>
      </c>
    </row>
    <row r="603" spans="24:29" ht="15.75">
      <c r="X603" s="183">
        <f>+'3.Plan de Estudios'!$E$151</f>
        <v>0</v>
      </c>
      <c r="Y603" s="183" t="str">
        <f>IF('3.Plan de Estudios'!AA151="","",'3.Plan de Estudios'!AA151)</f>
        <v/>
      </c>
      <c r="Z603" t="str">
        <f t="shared" si="41"/>
        <v>0-</v>
      </c>
      <c r="AA603" s="89" t="str">
        <f t="shared" si="42"/>
        <v/>
      </c>
      <c r="AB603" t="str">
        <f t="shared" si="43"/>
        <v/>
      </c>
      <c r="AC603" t="str">
        <f>AB603</f>
        <v/>
      </c>
    </row>
    <row r="604" spans="24:29" ht="15.75">
      <c r="X604" s="183">
        <f>+'3.Plan de Estudios'!$E$151</f>
        <v>0</v>
      </c>
      <c r="Y604" s="183" t="str">
        <f>IF('3.Plan de Estudios'!AC151="","",'3.Plan de Estudios'!AC151)</f>
        <v/>
      </c>
      <c r="Z604" t="str">
        <f t="shared" si="41"/>
        <v>0-</v>
      </c>
      <c r="AA604" s="89" t="str">
        <f t="shared" si="42"/>
        <v/>
      </c>
      <c r="AB604" t="str">
        <f t="shared" si="43"/>
        <v/>
      </c>
      <c r="AC604" t="str">
        <f>IF(AB604="","",CONCATENATE(",",AB604))</f>
        <v/>
      </c>
    </row>
    <row r="605" spans="24:29" ht="15.75">
      <c r="X605" s="183">
        <f>+'3.Plan de Estudios'!$E$151</f>
        <v>0</v>
      </c>
      <c r="Y605" s="183" t="str">
        <f>IF('3.Plan de Estudios'!AE151="","",'3.Plan de Estudios'!AE151)</f>
        <v/>
      </c>
      <c r="Z605" t="str">
        <f t="shared" si="41"/>
        <v>0-</v>
      </c>
      <c r="AA605" s="89" t="str">
        <f t="shared" si="42"/>
        <v/>
      </c>
      <c r="AB605" t="str">
        <f t="shared" si="43"/>
        <v/>
      </c>
      <c r="AC605" t="str">
        <f>IF(AB605="","",CONCATENATE(",",AB605))</f>
        <v/>
      </c>
    </row>
    <row r="606" spans="24:29" ht="15.75">
      <c r="X606" s="183">
        <f>+'3.Plan de Estudios'!$E$151</f>
        <v>0</v>
      </c>
      <c r="Y606" s="183" t="str">
        <f>IF('3.Plan de Estudios'!AG151="","",'3.Plan de Estudios'!AG151)</f>
        <v/>
      </c>
      <c r="Z606" t="str">
        <f t="shared" si="41"/>
        <v>0-</v>
      </c>
      <c r="AA606" s="89" t="str">
        <f t="shared" si="42"/>
        <v/>
      </c>
      <c r="AB606" t="str">
        <f t="shared" si="43"/>
        <v/>
      </c>
      <c r="AC606" t="str">
        <f>IF(AB606="","",CONCATENATE(",",AB606))</f>
        <v/>
      </c>
    </row>
    <row r="607" spans="24:29" ht="15.75">
      <c r="X607" s="183">
        <f>+'3.Plan de Estudios'!$E$151</f>
        <v>0</v>
      </c>
      <c r="Y607" s="183" t="str">
        <f>IF('3.Plan de Estudios'!AI151="","",'3.Plan de Estudios'!AI151)</f>
        <v/>
      </c>
      <c r="Z607" t="str">
        <f t="shared" si="41"/>
        <v>0-</v>
      </c>
      <c r="AA607" s="89" t="str">
        <f t="shared" si="42"/>
        <v/>
      </c>
      <c r="AB607" t="str">
        <f t="shared" si="43"/>
        <v/>
      </c>
      <c r="AC607" t="str">
        <f>IF(AB607="","",CONCATENATE(",",AB607))</f>
        <v/>
      </c>
    </row>
    <row r="608" spans="24:29" ht="15.75">
      <c r="X608" s="223">
        <f>+'3.Plan de Estudios'!$E$152</f>
        <v>0</v>
      </c>
      <c r="Y608" s="223" t="str">
        <f>IF('3.Plan de Estudios'!AA152="","",'3.Plan de Estudios'!AA152)</f>
        <v/>
      </c>
      <c r="Z608" t="str">
        <f t="shared" si="41"/>
        <v>0-</v>
      </c>
      <c r="AA608" s="89" t="str">
        <f t="shared" si="42"/>
        <v/>
      </c>
      <c r="AB608" t="str">
        <f t="shared" si="43"/>
        <v/>
      </c>
      <c r="AC608" t="str">
        <f>AB608</f>
        <v/>
      </c>
    </row>
    <row r="609" spans="24:29" ht="15.75">
      <c r="X609" s="223">
        <f>+'3.Plan de Estudios'!$E$152</f>
        <v>0</v>
      </c>
      <c r="Y609" s="223" t="str">
        <f>IF('3.Plan de Estudios'!AC152="","",'3.Plan de Estudios'!AC152)</f>
        <v/>
      </c>
      <c r="Z609" t="str">
        <f t="shared" si="41"/>
        <v>0-</v>
      </c>
      <c r="AA609" s="89" t="str">
        <f t="shared" si="42"/>
        <v/>
      </c>
      <c r="AB609" t="str">
        <f t="shared" si="43"/>
        <v/>
      </c>
      <c r="AC609" t="str">
        <f>IF(AB609="","",CONCATENATE(",",AB609))</f>
        <v/>
      </c>
    </row>
    <row r="610" spans="24:29" ht="15.75">
      <c r="X610" s="223">
        <f>+'3.Plan de Estudios'!$E$152</f>
        <v>0</v>
      </c>
      <c r="Y610" s="223" t="str">
        <f>IF('3.Plan de Estudios'!AE152="","",'3.Plan de Estudios'!AE152)</f>
        <v/>
      </c>
      <c r="Z610" t="str">
        <f t="shared" si="41"/>
        <v>0-</v>
      </c>
      <c r="AA610" s="89" t="str">
        <f t="shared" si="42"/>
        <v/>
      </c>
      <c r="AB610" t="str">
        <f t="shared" si="43"/>
        <v/>
      </c>
      <c r="AC610" t="str">
        <f>IF(AB610="","",CONCATENATE(",",AB610))</f>
        <v/>
      </c>
    </row>
    <row r="611" spans="24:29" ht="15.75">
      <c r="X611" s="223">
        <f>+'3.Plan de Estudios'!$E$152</f>
        <v>0</v>
      </c>
      <c r="Y611" s="223" t="str">
        <f>IF('3.Plan de Estudios'!AG152="","",'3.Plan de Estudios'!AG152)</f>
        <v/>
      </c>
      <c r="Z611" t="str">
        <f t="shared" si="41"/>
        <v>0-</v>
      </c>
      <c r="AA611" s="89" t="str">
        <f t="shared" si="42"/>
        <v/>
      </c>
      <c r="AB611" t="str">
        <f t="shared" si="43"/>
        <v/>
      </c>
      <c r="AC611" t="str">
        <f>IF(AB611="","",CONCATENATE(",",AB611))</f>
        <v/>
      </c>
    </row>
    <row r="612" spans="24:29" ht="15.75">
      <c r="X612" s="223">
        <f>+'3.Plan de Estudios'!$E$152</f>
        <v>0</v>
      </c>
      <c r="Y612" s="223" t="str">
        <f>IF('3.Plan de Estudios'!AI152="","",'3.Plan de Estudios'!AI152)</f>
        <v/>
      </c>
      <c r="Z612" t="str">
        <f t="shared" si="41"/>
        <v>0-</v>
      </c>
      <c r="AA612" s="89" t="str">
        <f t="shared" si="42"/>
        <v/>
      </c>
      <c r="AB612" t="str">
        <f t="shared" si="43"/>
        <v/>
      </c>
      <c r="AC612" t="str">
        <f>IF(AB612="","",CONCATENATE(",",AB612))</f>
        <v/>
      </c>
    </row>
    <row r="613" spans="24:29" ht="15.75">
      <c r="X613" s="183">
        <f>+'3.Plan de Estudios'!$E$153</f>
        <v>0</v>
      </c>
      <c r="Y613" s="183" t="str">
        <f>IF('3.Plan de Estudios'!AA153="","",'3.Plan de Estudios'!AA153)</f>
        <v/>
      </c>
      <c r="Z613" t="str">
        <f t="shared" si="41"/>
        <v>0-</v>
      </c>
      <c r="AA613" s="89" t="str">
        <f t="shared" si="42"/>
        <v/>
      </c>
      <c r="AB613" t="str">
        <f t="shared" si="43"/>
        <v/>
      </c>
      <c r="AC613" t="str">
        <f>AB613</f>
        <v/>
      </c>
    </row>
    <row r="614" spans="24:29" ht="15.75">
      <c r="X614" s="183">
        <f>+'3.Plan de Estudios'!$E$153</f>
        <v>0</v>
      </c>
      <c r="Y614" s="183" t="str">
        <f>IF('3.Plan de Estudios'!AC153="","",'3.Plan de Estudios'!AC153)</f>
        <v/>
      </c>
      <c r="Z614" t="str">
        <f t="shared" si="41"/>
        <v>0-</v>
      </c>
      <c r="AA614" s="89" t="str">
        <f t="shared" si="42"/>
        <v/>
      </c>
      <c r="AB614" t="str">
        <f t="shared" si="43"/>
        <v/>
      </c>
      <c r="AC614" t="str">
        <f>IF(AB614="","",CONCATENATE(",",AB614))</f>
        <v/>
      </c>
    </row>
    <row r="615" spans="24:29" ht="15.75">
      <c r="X615" s="183">
        <f>+'3.Plan de Estudios'!$E$153</f>
        <v>0</v>
      </c>
      <c r="Y615" s="183" t="str">
        <f>IF('3.Plan de Estudios'!AE153="","",'3.Plan de Estudios'!AE153)</f>
        <v/>
      </c>
      <c r="Z615" t="str">
        <f t="shared" si="41"/>
        <v>0-</v>
      </c>
      <c r="AA615" s="89" t="str">
        <f t="shared" si="42"/>
        <v/>
      </c>
      <c r="AB615" t="str">
        <f t="shared" si="43"/>
        <v/>
      </c>
      <c r="AC615" t="str">
        <f>IF(AB615="","",CONCATENATE(",",AB615))</f>
        <v/>
      </c>
    </row>
    <row r="616" spans="24:29" ht="15.75">
      <c r="X616" s="183">
        <f>+'3.Plan de Estudios'!$E$153</f>
        <v>0</v>
      </c>
      <c r="Y616" s="183" t="str">
        <f>IF('3.Plan de Estudios'!AG153="","",'3.Plan de Estudios'!AG153)</f>
        <v/>
      </c>
      <c r="Z616" t="str">
        <f t="shared" si="41"/>
        <v>0-</v>
      </c>
      <c r="AA616" s="89" t="str">
        <f t="shared" si="42"/>
        <v/>
      </c>
      <c r="AB616" t="str">
        <f t="shared" si="43"/>
        <v/>
      </c>
      <c r="AC616" t="str">
        <f>IF(AB616="","",CONCATENATE(",",AB616))</f>
        <v/>
      </c>
    </row>
    <row r="617" spans="24:29" ht="15.75">
      <c r="X617" s="183">
        <f>+'3.Plan de Estudios'!$E$153</f>
        <v>0</v>
      </c>
      <c r="Y617" s="183" t="str">
        <f>IF('3.Plan de Estudios'!AI153="","",'3.Plan de Estudios'!AI153)</f>
        <v/>
      </c>
      <c r="Z617" t="str">
        <f t="shared" si="41"/>
        <v>0-</v>
      </c>
      <c r="AA617" s="89" t="str">
        <f t="shared" si="42"/>
        <v/>
      </c>
      <c r="AB617" t="str">
        <f t="shared" si="43"/>
        <v/>
      </c>
      <c r="AC617" t="str">
        <f>IF(AB617="","",CONCATENATE(",",AB617))</f>
        <v/>
      </c>
    </row>
    <row r="618" spans="24:29" ht="15.75">
      <c r="X618" s="223">
        <f>+'3.Plan de Estudios'!$E$154</f>
        <v>0</v>
      </c>
      <c r="Y618" s="223" t="str">
        <f>IF('3.Plan de Estudios'!AA154="","",'3.Plan de Estudios'!AA154)</f>
        <v/>
      </c>
      <c r="Z618" t="str">
        <f t="shared" si="41"/>
        <v>0-</v>
      </c>
      <c r="AA618" s="89" t="str">
        <f t="shared" si="42"/>
        <v/>
      </c>
      <c r="AB618" t="str">
        <f t="shared" si="43"/>
        <v/>
      </c>
      <c r="AC618" t="str">
        <f>AB618</f>
        <v/>
      </c>
    </row>
    <row r="619" spans="24:29" ht="15.75">
      <c r="X619" s="223">
        <f>+'3.Plan de Estudios'!$E$154</f>
        <v>0</v>
      </c>
      <c r="Y619" s="223" t="str">
        <f>IF('3.Plan de Estudios'!AC154="","",'3.Plan de Estudios'!AC154)</f>
        <v/>
      </c>
      <c r="Z619" t="str">
        <f t="shared" si="41"/>
        <v>0-</v>
      </c>
      <c r="AA619" s="89" t="str">
        <f t="shared" si="42"/>
        <v/>
      </c>
      <c r="AB619" t="str">
        <f t="shared" si="43"/>
        <v/>
      </c>
      <c r="AC619" t="str">
        <f>IF(AB619="","",CONCATENATE(",",AB619))</f>
        <v/>
      </c>
    </row>
    <row r="620" spans="24:29" ht="15.75">
      <c r="X620" s="223">
        <f>+'3.Plan de Estudios'!$E$154</f>
        <v>0</v>
      </c>
      <c r="Y620" s="223" t="str">
        <f>IF('3.Plan de Estudios'!AE154="","",'3.Plan de Estudios'!AE154)</f>
        <v/>
      </c>
      <c r="Z620" t="str">
        <f t="shared" si="41"/>
        <v>0-</v>
      </c>
      <c r="AA620" s="89" t="str">
        <f t="shared" si="42"/>
        <v/>
      </c>
      <c r="AB620" t="str">
        <f t="shared" si="43"/>
        <v/>
      </c>
      <c r="AC620" t="str">
        <f>IF(AB620="","",CONCATENATE(",",AB620))</f>
        <v/>
      </c>
    </row>
    <row r="621" spans="24:29" ht="15.75">
      <c r="X621" s="223">
        <f>+'3.Plan de Estudios'!$E$154</f>
        <v>0</v>
      </c>
      <c r="Y621" s="223" t="str">
        <f>IF('3.Plan de Estudios'!AG154="","",'3.Plan de Estudios'!AG154)</f>
        <v/>
      </c>
      <c r="Z621" t="str">
        <f t="shared" si="41"/>
        <v>0-</v>
      </c>
      <c r="AA621" s="89" t="str">
        <f t="shared" si="42"/>
        <v/>
      </c>
      <c r="AB621" t="str">
        <f t="shared" si="43"/>
        <v/>
      </c>
      <c r="AC621" t="str">
        <f>IF(AB621="","",CONCATENATE(",",AB621))</f>
        <v/>
      </c>
    </row>
    <row r="622" spans="24:29" ht="15.75">
      <c r="X622" s="223">
        <f>+'3.Plan de Estudios'!$E$154</f>
        <v>0</v>
      </c>
      <c r="Y622" s="223" t="str">
        <f>IF('3.Plan de Estudios'!AI154="","",'3.Plan de Estudios'!AI154)</f>
        <v/>
      </c>
      <c r="Z622" t="str">
        <f t="shared" si="41"/>
        <v>0-</v>
      </c>
      <c r="AA622" s="89" t="str">
        <f t="shared" si="42"/>
        <v/>
      </c>
      <c r="AB622" t="str">
        <f t="shared" si="43"/>
        <v/>
      </c>
      <c r="AC622" t="str">
        <f>IF(AB622="","",CONCATENATE(",",AB622))</f>
        <v/>
      </c>
    </row>
    <row r="623" spans="24:29" ht="15.75">
      <c r="X623" s="183">
        <f>+'3.Plan de Estudios'!$E$155</f>
        <v>0</v>
      </c>
      <c r="Y623" s="183" t="str">
        <f>IF('3.Plan de Estudios'!AA155="","",'3.Plan de Estudios'!AA155)</f>
        <v/>
      </c>
      <c r="Z623" t="str">
        <f t="shared" si="41"/>
        <v>0-</v>
      </c>
      <c r="AA623" s="89" t="str">
        <f t="shared" si="42"/>
        <v/>
      </c>
      <c r="AB623" t="str">
        <f t="shared" si="43"/>
        <v/>
      </c>
      <c r="AC623" t="str">
        <f>AB623</f>
        <v/>
      </c>
    </row>
    <row r="624" spans="24:29" ht="15.75">
      <c r="X624" s="183">
        <f>+'3.Plan de Estudios'!$E$155</f>
        <v>0</v>
      </c>
      <c r="Y624" s="183" t="str">
        <f>IF('3.Plan de Estudios'!AC155="","",'3.Plan de Estudios'!AC155)</f>
        <v/>
      </c>
      <c r="Z624" t="str">
        <f t="shared" si="41"/>
        <v>0-</v>
      </c>
      <c r="AA624" s="89" t="str">
        <f t="shared" si="42"/>
        <v/>
      </c>
      <c r="AB624" t="str">
        <f t="shared" si="43"/>
        <v/>
      </c>
      <c r="AC624" t="str">
        <f>IF(AB624="","",CONCATENATE(",",AB624))</f>
        <v/>
      </c>
    </row>
    <row r="625" spans="24:29" ht="15.75">
      <c r="X625" s="183">
        <f>+'3.Plan de Estudios'!$E$155</f>
        <v>0</v>
      </c>
      <c r="Y625" s="183" t="str">
        <f>IF('3.Plan de Estudios'!AE155="","",'3.Plan de Estudios'!AE155)</f>
        <v/>
      </c>
      <c r="Z625" t="str">
        <f t="shared" si="41"/>
        <v>0-</v>
      </c>
      <c r="AA625" s="89" t="str">
        <f t="shared" si="42"/>
        <v/>
      </c>
      <c r="AB625" t="str">
        <f t="shared" si="43"/>
        <v/>
      </c>
      <c r="AC625" t="str">
        <f>IF(AB625="","",CONCATENATE(",",AB625))</f>
        <v/>
      </c>
    </row>
    <row r="626" spans="24:29" ht="15.75">
      <c r="X626" s="183">
        <f>+'3.Plan de Estudios'!$E$155</f>
        <v>0</v>
      </c>
      <c r="Y626" s="183" t="str">
        <f>IF('3.Plan de Estudios'!AG155="","",'3.Plan de Estudios'!AG155)</f>
        <v/>
      </c>
      <c r="Z626" t="str">
        <f t="shared" ref="Z626:Z652" si="44">CONCATENATE(X626,"-",MID(Y626,1,100))</f>
        <v>0-</v>
      </c>
      <c r="AA626" s="89" t="str">
        <f t="shared" ref="AA626:AA683" si="45">+IF(Y626="","","a")</f>
        <v/>
      </c>
      <c r="AB626" t="str">
        <f t="shared" ref="AB626:AB689" si="46">IFERROR(MID(Y626,FIND(":",Y626)+1,FIND(":",Y626,FIND(":",Y626)+1)-FIND(":",Y626)-1),"")</f>
        <v/>
      </c>
      <c r="AC626" t="str">
        <f>IF(AB626="","",CONCATENATE(",",AB626))</f>
        <v/>
      </c>
    </row>
    <row r="627" spans="24:29" ht="15.75">
      <c r="X627" s="183">
        <f>+'3.Plan de Estudios'!$E$155</f>
        <v>0</v>
      </c>
      <c r="Y627" s="183" t="str">
        <f>IF('3.Plan de Estudios'!AI155="","",'3.Plan de Estudios'!AI155)</f>
        <v/>
      </c>
      <c r="Z627" t="str">
        <f t="shared" si="44"/>
        <v>0-</v>
      </c>
      <c r="AA627" s="89" t="str">
        <f t="shared" si="45"/>
        <v/>
      </c>
      <c r="AB627" t="str">
        <f t="shared" si="46"/>
        <v/>
      </c>
      <c r="AC627" t="str">
        <f>IF(AB627="","",CONCATENATE(",",AB627))</f>
        <v/>
      </c>
    </row>
    <row r="628" spans="24:29" ht="15.75">
      <c r="X628" s="223">
        <f>+'3.Plan de Estudios'!$E$156</f>
        <v>0</v>
      </c>
      <c r="Y628" s="223" t="str">
        <f>IF('3.Plan de Estudios'!AA156="","",'3.Plan de Estudios'!AA156)</f>
        <v/>
      </c>
      <c r="Z628" t="str">
        <f t="shared" si="44"/>
        <v>0-</v>
      </c>
      <c r="AA628" s="89" t="str">
        <f t="shared" si="45"/>
        <v/>
      </c>
      <c r="AB628" t="str">
        <f t="shared" si="46"/>
        <v/>
      </c>
      <c r="AC628" t="str">
        <f>AB628</f>
        <v/>
      </c>
    </row>
    <row r="629" spans="24:29" ht="15.75">
      <c r="X629" s="223">
        <f>+'3.Plan de Estudios'!$E$156</f>
        <v>0</v>
      </c>
      <c r="Y629" s="223" t="str">
        <f>IF('3.Plan de Estudios'!AC156="","",'3.Plan de Estudios'!AC156)</f>
        <v/>
      </c>
      <c r="Z629" t="str">
        <f t="shared" si="44"/>
        <v>0-</v>
      </c>
      <c r="AA629" s="89" t="str">
        <f t="shared" si="45"/>
        <v/>
      </c>
      <c r="AB629" t="str">
        <f t="shared" si="46"/>
        <v/>
      </c>
      <c r="AC629" t="str">
        <f>IF(AB629="","",CONCATENATE(",",AB629))</f>
        <v/>
      </c>
    </row>
    <row r="630" spans="24:29" ht="15.75">
      <c r="X630" s="223">
        <f>+'3.Plan de Estudios'!$E$156</f>
        <v>0</v>
      </c>
      <c r="Y630" s="223" t="str">
        <f>IF('3.Plan de Estudios'!AE156="","",'3.Plan de Estudios'!AE156)</f>
        <v/>
      </c>
      <c r="Z630" t="str">
        <f t="shared" si="44"/>
        <v>0-</v>
      </c>
      <c r="AA630" s="89" t="str">
        <f t="shared" si="45"/>
        <v/>
      </c>
      <c r="AB630" t="str">
        <f t="shared" si="46"/>
        <v/>
      </c>
      <c r="AC630" t="str">
        <f>IF(AB630="","",CONCATENATE(",",AB630))</f>
        <v/>
      </c>
    </row>
    <row r="631" spans="24:29" ht="15.75">
      <c r="X631" s="223">
        <f>+'3.Plan de Estudios'!$E$156</f>
        <v>0</v>
      </c>
      <c r="Y631" s="223" t="str">
        <f>IF('3.Plan de Estudios'!AG156="","",'3.Plan de Estudios'!AG156)</f>
        <v/>
      </c>
      <c r="Z631" t="str">
        <f t="shared" si="44"/>
        <v>0-</v>
      </c>
      <c r="AA631" s="89" t="str">
        <f t="shared" si="45"/>
        <v/>
      </c>
      <c r="AB631" t="str">
        <f t="shared" si="46"/>
        <v/>
      </c>
      <c r="AC631" t="str">
        <f>IF(AB631="","",CONCATENATE(",",AB631))</f>
        <v/>
      </c>
    </row>
    <row r="632" spans="24:29" ht="15.75">
      <c r="X632" s="223">
        <f>+'3.Plan de Estudios'!$E$156</f>
        <v>0</v>
      </c>
      <c r="Y632" s="223" t="str">
        <f>IF('3.Plan de Estudios'!AI156="","",'3.Plan de Estudios'!AI156)</f>
        <v/>
      </c>
      <c r="Z632" t="str">
        <f t="shared" si="44"/>
        <v>0-</v>
      </c>
      <c r="AA632" s="89" t="str">
        <f t="shared" si="45"/>
        <v/>
      </c>
      <c r="AB632" t="str">
        <f t="shared" si="46"/>
        <v/>
      </c>
      <c r="AC632" t="str">
        <f>IF(AB632="","",CONCATENATE(",",AB632))</f>
        <v/>
      </c>
    </row>
    <row r="633" spans="24:29" ht="15.75">
      <c r="X633" s="183">
        <f>+'3.Plan de Estudios'!$E$157</f>
        <v>0</v>
      </c>
      <c r="Y633" s="183" t="str">
        <f>IF('3.Plan de Estudios'!AA157="","",'3.Plan de Estudios'!AA157)</f>
        <v/>
      </c>
      <c r="Z633" t="str">
        <f t="shared" si="44"/>
        <v>0-</v>
      </c>
      <c r="AA633" s="89" t="str">
        <f t="shared" si="45"/>
        <v/>
      </c>
      <c r="AB633" t="str">
        <f t="shared" si="46"/>
        <v/>
      </c>
      <c r="AC633" t="str">
        <f>AB633</f>
        <v/>
      </c>
    </row>
    <row r="634" spans="24:29" ht="15.75">
      <c r="X634" s="183">
        <f>+'3.Plan de Estudios'!$E$157</f>
        <v>0</v>
      </c>
      <c r="Y634" s="183" t="str">
        <f>IF('3.Plan de Estudios'!AC157="","",'3.Plan de Estudios'!AC157)</f>
        <v/>
      </c>
      <c r="Z634" t="str">
        <f t="shared" si="44"/>
        <v>0-</v>
      </c>
      <c r="AA634" s="89" t="str">
        <f t="shared" si="45"/>
        <v/>
      </c>
      <c r="AB634" t="str">
        <f t="shared" si="46"/>
        <v/>
      </c>
      <c r="AC634" t="str">
        <f>IF(AB634="","",CONCATENATE(",",AB634))</f>
        <v/>
      </c>
    </row>
    <row r="635" spans="24:29" ht="15.75">
      <c r="X635" s="183">
        <f>+'3.Plan de Estudios'!$E$157</f>
        <v>0</v>
      </c>
      <c r="Y635" s="183" t="str">
        <f>IF('3.Plan de Estudios'!AE157="","",'3.Plan de Estudios'!AE157)</f>
        <v/>
      </c>
      <c r="Z635" t="str">
        <f t="shared" si="44"/>
        <v>0-</v>
      </c>
      <c r="AA635" s="89" t="str">
        <f t="shared" si="45"/>
        <v/>
      </c>
      <c r="AB635" t="str">
        <f t="shared" si="46"/>
        <v/>
      </c>
      <c r="AC635" t="str">
        <f>IF(AB635="","",CONCATENATE(",",AB635))</f>
        <v/>
      </c>
    </row>
    <row r="636" spans="24:29" ht="15.75">
      <c r="X636" s="183">
        <f>+'3.Plan de Estudios'!$E$157</f>
        <v>0</v>
      </c>
      <c r="Y636" s="183" t="str">
        <f>IF('3.Plan de Estudios'!AG157="","",'3.Plan de Estudios'!AG157)</f>
        <v/>
      </c>
      <c r="Z636" t="str">
        <f t="shared" si="44"/>
        <v>0-</v>
      </c>
      <c r="AA636" s="89" t="str">
        <f t="shared" si="45"/>
        <v/>
      </c>
      <c r="AB636" t="str">
        <f t="shared" si="46"/>
        <v/>
      </c>
      <c r="AC636" t="str">
        <f>IF(AB636="","",CONCATENATE(",",AB636))</f>
        <v/>
      </c>
    </row>
    <row r="637" spans="24:29" ht="15.75">
      <c r="X637" s="183">
        <f>+'3.Plan de Estudios'!$E$157</f>
        <v>0</v>
      </c>
      <c r="Y637" s="183" t="str">
        <f>IF('3.Plan de Estudios'!AI157="","",'3.Plan de Estudios'!AI157)</f>
        <v/>
      </c>
      <c r="Z637" t="str">
        <f t="shared" si="44"/>
        <v>0-</v>
      </c>
      <c r="AA637" s="89" t="str">
        <f t="shared" si="45"/>
        <v/>
      </c>
      <c r="AB637" t="str">
        <f t="shared" si="46"/>
        <v/>
      </c>
      <c r="AC637" t="str">
        <f>IF(AB637="","",CONCATENATE(",",AB637))</f>
        <v/>
      </c>
    </row>
    <row r="638" spans="24:29" ht="15.75">
      <c r="X638" s="223">
        <f>+'3.Plan de Estudios'!$E$158</f>
        <v>0</v>
      </c>
      <c r="Y638" s="223" t="str">
        <f>IF('3.Plan de Estudios'!AA158="","",'3.Plan de Estudios'!AA158)</f>
        <v/>
      </c>
      <c r="Z638" t="str">
        <f t="shared" si="44"/>
        <v>0-</v>
      </c>
      <c r="AA638" s="89" t="str">
        <f t="shared" si="45"/>
        <v/>
      </c>
      <c r="AB638" t="str">
        <f t="shared" si="46"/>
        <v/>
      </c>
      <c r="AC638" t="str">
        <f>AB638</f>
        <v/>
      </c>
    </row>
    <row r="639" spans="24:29" ht="15.75">
      <c r="X639" s="223">
        <f>+'3.Plan de Estudios'!$E$158</f>
        <v>0</v>
      </c>
      <c r="Y639" s="223" t="str">
        <f>IF('3.Plan de Estudios'!AC158="","",'3.Plan de Estudios'!AC158)</f>
        <v/>
      </c>
      <c r="Z639" t="str">
        <f t="shared" si="44"/>
        <v>0-</v>
      </c>
      <c r="AA639" s="89" t="str">
        <f t="shared" si="45"/>
        <v/>
      </c>
      <c r="AB639" t="str">
        <f t="shared" si="46"/>
        <v/>
      </c>
      <c r="AC639" t="str">
        <f>IF(AB639="","",CONCATENATE(",",AB639))</f>
        <v/>
      </c>
    </row>
    <row r="640" spans="24:29" ht="15.75">
      <c r="X640" s="223">
        <f>+'3.Plan de Estudios'!$E$158</f>
        <v>0</v>
      </c>
      <c r="Y640" s="223" t="str">
        <f>IF('3.Plan de Estudios'!AE158="","",'3.Plan de Estudios'!AE158)</f>
        <v/>
      </c>
      <c r="Z640" t="str">
        <f t="shared" si="44"/>
        <v>0-</v>
      </c>
      <c r="AA640" s="89" t="str">
        <f t="shared" si="45"/>
        <v/>
      </c>
      <c r="AB640" t="str">
        <f t="shared" si="46"/>
        <v/>
      </c>
      <c r="AC640" t="str">
        <f>IF(AB640="","",CONCATENATE(",",AB640))</f>
        <v/>
      </c>
    </row>
    <row r="641" spans="24:29" ht="15.75">
      <c r="X641" s="223">
        <f>+'3.Plan de Estudios'!$E$158</f>
        <v>0</v>
      </c>
      <c r="Y641" s="223" t="str">
        <f>IF('3.Plan de Estudios'!AG158="","",'3.Plan de Estudios'!AG158)</f>
        <v/>
      </c>
      <c r="Z641" t="str">
        <f t="shared" si="44"/>
        <v>0-</v>
      </c>
      <c r="AA641" s="89" t="str">
        <f t="shared" si="45"/>
        <v/>
      </c>
      <c r="AB641" t="str">
        <f t="shared" si="46"/>
        <v/>
      </c>
      <c r="AC641" t="str">
        <f>IF(AB641="","",CONCATENATE(",",AB641))</f>
        <v/>
      </c>
    </row>
    <row r="642" spans="24:29" ht="15.75">
      <c r="X642" s="223">
        <f>+'3.Plan de Estudios'!$E$158</f>
        <v>0</v>
      </c>
      <c r="Y642" s="223" t="str">
        <f>IF('3.Plan de Estudios'!AI158="","",'3.Plan de Estudios'!AI158)</f>
        <v/>
      </c>
      <c r="Z642" t="str">
        <f t="shared" si="44"/>
        <v>0-</v>
      </c>
      <c r="AA642" s="89" t="str">
        <f t="shared" si="45"/>
        <v/>
      </c>
      <c r="AB642" t="str">
        <f t="shared" si="46"/>
        <v/>
      </c>
      <c r="AC642" t="str">
        <f>IF(AB642="","",CONCATENATE(",",AB642))</f>
        <v/>
      </c>
    </row>
    <row r="643" spans="24:29" ht="15.75">
      <c r="X643" s="183">
        <f>+'3.Plan de Estudios'!$E$159</f>
        <v>0</v>
      </c>
      <c r="Y643" s="183" t="str">
        <f>IF('3.Plan de Estudios'!AA159="","",'3.Plan de Estudios'!AA159)</f>
        <v/>
      </c>
      <c r="Z643" t="str">
        <f t="shared" si="44"/>
        <v>0-</v>
      </c>
      <c r="AA643" s="89" t="str">
        <f t="shared" si="45"/>
        <v/>
      </c>
      <c r="AB643" t="str">
        <f t="shared" si="46"/>
        <v/>
      </c>
      <c r="AC643" t="str">
        <f>AB643</f>
        <v/>
      </c>
    </row>
    <row r="644" spans="24:29" ht="15.75">
      <c r="X644" s="183">
        <f>+'3.Plan de Estudios'!$E$159</f>
        <v>0</v>
      </c>
      <c r="Y644" s="183" t="str">
        <f>IF('3.Plan de Estudios'!AC159="","",'3.Plan de Estudios'!AC159)</f>
        <v/>
      </c>
      <c r="Z644" t="str">
        <f t="shared" si="44"/>
        <v>0-</v>
      </c>
      <c r="AA644" s="89" t="str">
        <f t="shared" si="45"/>
        <v/>
      </c>
      <c r="AB644" t="str">
        <f t="shared" si="46"/>
        <v/>
      </c>
      <c r="AC644" t="str">
        <f>IF(AB644="","",CONCATENATE(",",AB644))</f>
        <v/>
      </c>
    </row>
    <row r="645" spans="24:29" ht="15.75">
      <c r="X645" s="183">
        <f>+'3.Plan de Estudios'!$E$159</f>
        <v>0</v>
      </c>
      <c r="Y645" s="183" t="str">
        <f>IF('3.Plan de Estudios'!AE159="","",'3.Plan de Estudios'!AE159)</f>
        <v/>
      </c>
      <c r="Z645" t="str">
        <f t="shared" si="44"/>
        <v>0-</v>
      </c>
      <c r="AA645" s="89" t="str">
        <f t="shared" si="45"/>
        <v/>
      </c>
      <c r="AB645" t="str">
        <f t="shared" si="46"/>
        <v/>
      </c>
      <c r="AC645" t="str">
        <f>IF(AB645="","",CONCATENATE(",",AB645))</f>
        <v/>
      </c>
    </row>
    <row r="646" spans="24:29" ht="15.75">
      <c r="X646" s="183">
        <f>+'3.Plan de Estudios'!$E$159</f>
        <v>0</v>
      </c>
      <c r="Y646" s="183" t="str">
        <f>IF('3.Plan de Estudios'!AG159="","",'3.Plan de Estudios'!AG159)</f>
        <v/>
      </c>
      <c r="Z646" t="str">
        <f t="shared" si="44"/>
        <v>0-</v>
      </c>
      <c r="AA646" s="89" t="str">
        <f t="shared" si="45"/>
        <v/>
      </c>
      <c r="AB646" t="str">
        <f t="shared" si="46"/>
        <v/>
      </c>
      <c r="AC646" t="str">
        <f>IF(AB646="","",CONCATENATE(",",AB646))</f>
        <v/>
      </c>
    </row>
    <row r="647" spans="24:29" ht="15.75">
      <c r="X647" s="183">
        <f>+'3.Plan de Estudios'!$E$159</f>
        <v>0</v>
      </c>
      <c r="Y647" s="183" t="str">
        <f>IF('3.Plan de Estudios'!AI159="","",'3.Plan de Estudios'!AI159)</f>
        <v/>
      </c>
      <c r="Z647" t="str">
        <f t="shared" si="44"/>
        <v>0-</v>
      </c>
      <c r="AA647" s="89" t="str">
        <f t="shared" si="45"/>
        <v/>
      </c>
      <c r="AB647" t="str">
        <f t="shared" si="46"/>
        <v/>
      </c>
      <c r="AC647" t="str">
        <f>IF(AB647="","",CONCATENATE(",",AB647))</f>
        <v/>
      </c>
    </row>
    <row r="648" spans="24:29" ht="15.75">
      <c r="X648" s="223">
        <f>+'3.Plan de Estudios'!$E$160</f>
        <v>0</v>
      </c>
      <c r="Y648" s="223" t="str">
        <f>IF('3.Plan de Estudios'!AA160="","",'3.Plan de Estudios'!AA160)</f>
        <v/>
      </c>
      <c r="Z648" t="str">
        <f t="shared" si="44"/>
        <v>0-</v>
      </c>
      <c r="AA648" s="89" t="str">
        <f t="shared" si="45"/>
        <v/>
      </c>
      <c r="AB648" t="str">
        <f t="shared" si="46"/>
        <v/>
      </c>
      <c r="AC648" t="str">
        <f>AB648</f>
        <v/>
      </c>
    </row>
    <row r="649" spans="24:29" ht="15.75">
      <c r="X649" s="223">
        <f>+'3.Plan de Estudios'!$E$160</f>
        <v>0</v>
      </c>
      <c r="Y649" s="223" t="str">
        <f>IF('3.Plan de Estudios'!AC160="","",'3.Plan de Estudios'!AC160)</f>
        <v/>
      </c>
      <c r="Z649" t="str">
        <f t="shared" si="44"/>
        <v>0-</v>
      </c>
      <c r="AA649" s="89" t="str">
        <f t="shared" si="45"/>
        <v/>
      </c>
      <c r="AB649" t="str">
        <f t="shared" si="46"/>
        <v/>
      </c>
      <c r="AC649" t="str">
        <f>IF(AB649="","",CONCATENATE(",",AB649))</f>
        <v/>
      </c>
    </row>
    <row r="650" spans="24:29" ht="15.75">
      <c r="X650" s="223">
        <f>+'3.Plan de Estudios'!$E$160</f>
        <v>0</v>
      </c>
      <c r="Y650" s="223" t="str">
        <f>IF('3.Plan de Estudios'!AE160="","",'3.Plan de Estudios'!AE160)</f>
        <v/>
      </c>
      <c r="Z650" t="str">
        <f t="shared" si="44"/>
        <v>0-</v>
      </c>
      <c r="AA650" s="89" t="str">
        <f t="shared" si="45"/>
        <v/>
      </c>
      <c r="AB650" t="str">
        <f t="shared" si="46"/>
        <v/>
      </c>
      <c r="AC650" t="str">
        <f>IF(AB650="","",CONCATENATE(",",AB650))</f>
        <v/>
      </c>
    </row>
    <row r="651" spans="24:29" ht="15.75">
      <c r="X651" s="223">
        <f>+'3.Plan de Estudios'!$E$160</f>
        <v>0</v>
      </c>
      <c r="Y651" s="223" t="str">
        <f>IF('3.Plan de Estudios'!AG160="","",'3.Plan de Estudios'!AG160)</f>
        <v/>
      </c>
      <c r="Z651" t="str">
        <f t="shared" si="44"/>
        <v>0-</v>
      </c>
      <c r="AA651" s="89" t="str">
        <f t="shared" si="45"/>
        <v/>
      </c>
      <c r="AB651" t="str">
        <f t="shared" si="46"/>
        <v/>
      </c>
      <c r="AC651" t="str">
        <f>IF(AB651="","",CONCATENATE(",",AB651))</f>
        <v/>
      </c>
    </row>
    <row r="652" spans="24:29" ht="15.75">
      <c r="X652" s="224">
        <f>+'3.Plan de Estudios'!$E$160</f>
        <v>0</v>
      </c>
      <c r="Y652" s="224" t="str">
        <f>IF('3.Plan de Estudios'!AI160="","",'3.Plan de Estudios'!AI160)</f>
        <v/>
      </c>
      <c r="Z652" t="str">
        <f t="shared" si="44"/>
        <v>0-</v>
      </c>
      <c r="AA652" s="89" t="str">
        <f t="shared" si="45"/>
        <v/>
      </c>
      <c r="AB652" t="str">
        <f t="shared" si="46"/>
        <v/>
      </c>
      <c r="AC652" t="str">
        <f>IF(AB652="","",CONCATENATE(",",AB652))</f>
        <v/>
      </c>
    </row>
    <row r="653" spans="24:29" ht="15.75">
      <c r="X653" s="183">
        <f>+'3.Plan de Estudios'!$E$162</f>
        <v>0</v>
      </c>
      <c r="Y653" t="str">
        <f>IF('3.Plan de Estudios'!AA162="","",'3.Plan de Estudios'!AA162)</f>
        <v/>
      </c>
      <c r="Z653" t="str">
        <f t="shared" ref="Z653:Z702" si="47">CONCATENATE(X653,"-",MID(Y653,1,100))</f>
        <v>0-</v>
      </c>
      <c r="AA653" s="89" t="str">
        <f t="shared" si="45"/>
        <v/>
      </c>
      <c r="AB653" t="str">
        <f t="shared" si="46"/>
        <v/>
      </c>
      <c r="AC653" t="str">
        <f>AB653</f>
        <v/>
      </c>
    </row>
    <row r="654" spans="24:29" ht="15.75">
      <c r="X654" s="183">
        <f>+'3.Plan de Estudios'!$E$162</f>
        <v>0</v>
      </c>
      <c r="Y654" t="str">
        <f>IF('3.Plan de Estudios'!AC162="","",'3.Plan de Estudios'!AC162)</f>
        <v/>
      </c>
      <c r="Z654" t="str">
        <f t="shared" si="47"/>
        <v>0-</v>
      </c>
      <c r="AA654" s="89" t="str">
        <f t="shared" si="45"/>
        <v/>
      </c>
      <c r="AB654" t="str">
        <f t="shared" si="46"/>
        <v/>
      </c>
      <c r="AC654" t="str">
        <f>IF(AB654="","",CONCATENATE(",",AB654))</f>
        <v/>
      </c>
    </row>
    <row r="655" spans="24:29" ht="15.75">
      <c r="X655" s="183">
        <f>+'3.Plan de Estudios'!$E$162</f>
        <v>0</v>
      </c>
      <c r="Y655" t="str">
        <f>IF('3.Plan de Estudios'!AE162="","",'3.Plan de Estudios'!AE162)</f>
        <v/>
      </c>
      <c r="Z655" t="str">
        <f t="shared" si="47"/>
        <v>0-</v>
      </c>
      <c r="AA655" s="89" t="str">
        <f t="shared" si="45"/>
        <v/>
      </c>
      <c r="AB655" t="str">
        <f t="shared" si="46"/>
        <v/>
      </c>
      <c r="AC655" t="str">
        <f>IF(AB655="","",CONCATENATE(",",AB655))</f>
        <v/>
      </c>
    </row>
    <row r="656" spans="24:29" ht="15.75">
      <c r="X656" s="183">
        <f>+'3.Plan de Estudios'!$E$162</f>
        <v>0</v>
      </c>
      <c r="Y656" t="str">
        <f>IF('3.Plan de Estudios'!AG162="","",'3.Plan de Estudios'!AG162)</f>
        <v/>
      </c>
      <c r="Z656" t="str">
        <f t="shared" si="47"/>
        <v>0-</v>
      </c>
      <c r="AA656" s="89" t="str">
        <f t="shared" si="45"/>
        <v/>
      </c>
      <c r="AB656" t="str">
        <f t="shared" si="46"/>
        <v/>
      </c>
      <c r="AC656" t="str">
        <f>IF(AB656="","",CONCATENATE(",",AB656))</f>
        <v/>
      </c>
    </row>
    <row r="657" spans="24:29" ht="15.75">
      <c r="X657" s="183">
        <f>+'3.Plan de Estudios'!$E$162</f>
        <v>0</v>
      </c>
      <c r="Y657" t="str">
        <f>IF('3.Plan de Estudios'!AI162="","",'3.Plan de Estudios'!AI162)</f>
        <v/>
      </c>
      <c r="Z657" t="str">
        <f t="shared" si="47"/>
        <v>0-</v>
      </c>
      <c r="AA657" s="89" t="str">
        <f t="shared" si="45"/>
        <v/>
      </c>
      <c r="AB657" t="str">
        <f t="shared" si="46"/>
        <v/>
      </c>
      <c r="AC657" t="str">
        <f>IF(AB657="","",CONCATENATE(",",AB657))</f>
        <v/>
      </c>
    </row>
    <row r="658" spans="24:29" ht="15.75">
      <c r="X658" s="223">
        <f>+'3.Plan de Estudios'!$E$163</f>
        <v>0</v>
      </c>
      <c r="Y658" s="222" t="str">
        <f>IF('3.Plan de Estudios'!AA163="","",'3.Plan de Estudios'!AA163)</f>
        <v/>
      </c>
      <c r="Z658" t="str">
        <f t="shared" si="47"/>
        <v>0-</v>
      </c>
      <c r="AA658" s="89" t="str">
        <f t="shared" si="45"/>
        <v/>
      </c>
      <c r="AB658" t="str">
        <f t="shared" si="46"/>
        <v/>
      </c>
      <c r="AC658" t="str">
        <f>AB658</f>
        <v/>
      </c>
    </row>
    <row r="659" spans="24:29" ht="15.75">
      <c r="X659" s="223">
        <f>+'3.Plan de Estudios'!$E$163</f>
        <v>0</v>
      </c>
      <c r="Y659" s="222" t="str">
        <f>IF('3.Plan de Estudios'!AC163="","",'3.Plan de Estudios'!AC163)</f>
        <v/>
      </c>
      <c r="Z659" t="str">
        <f t="shared" si="47"/>
        <v>0-</v>
      </c>
      <c r="AA659" s="89" t="str">
        <f t="shared" si="45"/>
        <v/>
      </c>
      <c r="AB659" t="str">
        <f t="shared" si="46"/>
        <v/>
      </c>
      <c r="AC659" t="str">
        <f>IF(AB659="","",CONCATENATE(",",AB659))</f>
        <v/>
      </c>
    </row>
    <row r="660" spans="24:29" ht="15.75">
      <c r="X660" s="223">
        <f>+'3.Plan de Estudios'!$E$163</f>
        <v>0</v>
      </c>
      <c r="Y660" s="222" t="str">
        <f>IF('3.Plan de Estudios'!AE163="","",'3.Plan de Estudios'!AE163)</f>
        <v/>
      </c>
      <c r="Z660" t="str">
        <f t="shared" si="47"/>
        <v>0-</v>
      </c>
      <c r="AA660" s="89" t="str">
        <f t="shared" si="45"/>
        <v/>
      </c>
      <c r="AB660" t="str">
        <f t="shared" si="46"/>
        <v/>
      </c>
      <c r="AC660" t="str">
        <f>IF(AB660="","",CONCATENATE(",",AB660))</f>
        <v/>
      </c>
    </row>
    <row r="661" spans="24:29" ht="15.75">
      <c r="X661" s="223">
        <f>+'3.Plan de Estudios'!$E$163</f>
        <v>0</v>
      </c>
      <c r="Y661" s="222" t="str">
        <f>IF('3.Plan de Estudios'!AG163="","",'3.Plan de Estudios'!AG163)</f>
        <v/>
      </c>
      <c r="Z661" t="str">
        <f t="shared" si="47"/>
        <v>0-</v>
      </c>
      <c r="AA661" s="89" t="str">
        <f t="shared" si="45"/>
        <v/>
      </c>
      <c r="AB661" t="str">
        <f t="shared" si="46"/>
        <v/>
      </c>
      <c r="AC661" t="str">
        <f>IF(AB661="","",CONCATENATE(",",AB661))</f>
        <v/>
      </c>
    </row>
    <row r="662" spans="24:29" ht="15.75">
      <c r="X662" s="223">
        <f>+'3.Plan de Estudios'!$E$163</f>
        <v>0</v>
      </c>
      <c r="Y662" s="222" t="str">
        <f>IF('3.Plan de Estudios'!AI163="","",'3.Plan de Estudios'!AI163)</f>
        <v/>
      </c>
      <c r="Z662" t="str">
        <f t="shared" si="47"/>
        <v>0-</v>
      </c>
      <c r="AA662" s="89" t="str">
        <f t="shared" si="45"/>
        <v/>
      </c>
      <c r="AB662" t="str">
        <f t="shared" si="46"/>
        <v/>
      </c>
      <c r="AC662" t="str">
        <f>IF(AB662="","",CONCATENATE(",",AB662))</f>
        <v/>
      </c>
    </row>
    <row r="663" spans="24:29" ht="15.75">
      <c r="X663" s="183">
        <f>+'3.Plan de Estudios'!$E$164</f>
        <v>0</v>
      </c>
      <c r="Y663" t="str">
        <f>IF('3.Plan de Estudios'!AA164="","",'3.Plan de Estudios'!AA164)</f>
        <v/>
      </c>
      <c r="Z663" t="str">
        <f t="shared" si="47"/>
        <v>0-</v>
      </c>
      <c r="AA663" s="89" t="str">
        <f t="shared" si="45"/>
        <v/>
      </c>
      <c r="AB663" t="str">
        <f t="shared" si="46"/>
        <v/>
      </c>
      <c r="AC663" t="str">
        <f>AB663</f>
        <v/>
      </c>
    </row>
    <row r="664" spans="24:29" ht="15.75">
      <c r="X664" s="183">
        <f>+'3.Plan de Estudios'!$E$164</f>
        <v>0</v>
      </c>
      <c r="Y664" t="str">
        <f>IF('3.Plan de Estudios'!AC164="","",'3.Plan de Estudios'!AC164)</f>
        <v/>
      </c>
      <c r="Z664" t="str">
        <f t="shared" si="47"/>
        <v>0-</v>
      </c>
      <c r="AA664" s="89" t="str">
        <f t="shared" si="45"/>
        <v/>
      </c>
      <c r="AB664" t="str">
        <f t="shared" si="46"/>
        <v/>
      </c>
      <c r="AC664" t="str">
        <f>IF(AB664="","",CONCATENATE(",",AB664))</f>
        <v/>
      </c>
    </row>
    <row r="665" spans="24:29" ht="15.75">
      <c r="X665" s="183">
        <f>+'3.Plan de Estudios'!$E$164</f>
        <v>0</v>
      </c>
      <c r="Y665" t="str">
        <f>IF('3.Plan de Estudios'!AE164="","",'3.Plan de Estudios'!AE164)</f>
        <v/>
      </c>
      <c r="Z665" t="str">
        <f t="shared" si="47"/>
        <v>0-</v>
      </c>
      <c r="AA665" s="89" t="str">
        <f t="shared" si="45"/>
        <v/>
      </c>
      <c r="AB665" t="str">
        <f t="shared" si="46"/>
        <v/>
      </c>
      <c r="AC665" t="str">
        <f>IF(AB665="","",CONCATENATE(",",AB665))</f>
        <v/>
      </c>
    </row>
    <row r="666" spans="24:29" ht="15.75">
      <c r="X666" s="183">
        <f>+'3.Plan de Estudios'!$E$164</f>
        <v>0</v>
      </c>
      <c r="Y666" t="str">
        <f>IF('3.Plan de Estudios'!AG164="","",'3.Plan de Estudios'!AG164)</f>
        <v/>
      </c>
      <c r="Z666" t="str">
        <f t="shared" si="47"/>
        <v>0-</v>
      </c>
      <c r="AA666" s="89" t="str">
        <f t="shared" si="45"/>
        <v/>
      </c>
      <c r="AB666" t="str">
        <f t="shared" si="46"/>
        <v/>
      </c>
      <c r="AC666" t="str">
        <f>IF(AB666="","",CONCATENATE(",",AB666))</f>
        <v/>
      </c>
    </row>
    <row r="667" spans="24:29" ht="15.75">
      <c r="X667" s="183">
        <f>+'3.Plan de Estudios'!$E$164</f>
        <v>0</v>
      </c>
      <c r="Y667" t="str">
        <f>IF('3.Plan de Estudios'!AI164="","",'3.Plan de Estudios'!AI164)</f>
        <v/>
      </c>
      <c r="Z667" t="str">
        <f t="shared" si="47"/>
        <v>0-</v>
      </c>
      <c r="AA667" s="89" t="str">
        <f t="shared" si="45"/>
        <v/>
      </c>
      <c r="AB667" t="str">
        <f t="shared" si="46"/>
        <v/>
      </c>
      <c r="AC667" t="str">
        <f>IF(AB667="","",CONCATENATE(",",AB667))</f>
        <v/>
      </c>
    </row>
    <row r="668" spans="24:29" ht="15.75">
      <c r="X668" s="223">
        <f>+'3.Plan de Estudios'!$E$165</f>
        <v>0</v>
      </c>
      <c r="Y668" s="222" t="str">
        <f>IF('3.Plan de Estudios'!AA165="","",'3.Plan de Estudios'!AA165)</f>
        <v/>
      </c>
      <c r="Z668" t="str">
        <f t="shared" si="47"/>
        <v>0-</v>
      </c>
      <c r="AA668" s="89" t="str">
        <f t="shared" si="45"/>
        <v/>
      </c>
      <c r="AB668" t="str">
        <f t="shared" si="46"/>
        <v/>
      </c>
      <c r="AC668" t="str">
        <f>AB668</f>
        <v/>
      </c>
    </row>
    <row r="669" spans="24:29" ht="15.75">
      <c r="X669" s="223">
        <f>+'3.Plan de Estudios'!$E$165</f>
        <v>0</v>
      </c>
      <c r="Y669" s="222" t="str">
        <f>IF('3.Plan de Estudios'!AC165="","",'3.Plan de Estudios'!AC165)</f>
        <v/>
      </c>
      <c r="Z669" t="str">
        <f t="shared" si="47"/>
        <v>0-</v>
      </c>
      <c r="AA669" s="89" t="str">
        <f t="shared" si="45"/>
        <v/>
      </c>
      <c r="AB669" t="str">
        <f t="shared" si="46"/>
        <v/>
      </c>
      <c r="AC669" t="str">
        <f>IF(AB669="","",CONCATENATE(",",AB669))</f>
        <v/>
      </c>
    </row>
    <row r="670" spans="24:29" ht="15.75">
      <c r="X670" s="223">
        <f>+'3.Plan de Estudios'!$E$165</f>
        <v>0</v>
      </c>
      <c r="Y670" s="222" t="str">
        <f>IF('3.Plan de Estudios'!AE165="","",'3.Plan de Estudios'!AE165)</f>
        <v/>
      </c>
      <c r="Z670" t="str">
        <f t="shared" si="47"/>
        <v>0-</v>
      </c>
      <c r="AA670" s="89" t="str">
        <f t="shared" si="45"/>
        <v/>
      </c>
      <c r="AB670" t="str">
        <f t="shared" si="46"/>
        <v/>
      </c>
      <c r="AC670" t="str">
        <f>IF(AB670="","",CONCATENATE(",",AB670))</f>
        <v/>
      </c>
    </row>
    <row r="671" spans="24:29" ht="15.75">
      <c r="X671" s="223">
        <f>+'3.Plan de Estudios'!$E$165</f>
        <v>0</v>
      </c>
      <c r="Y671" s="222" t="str">
        <f>IF('3.Plan de Estudios'!AG165="","",'3.Plan de Estudios'!AG165)</f>
        <v/>
      </c>
      <c r="Z671" t="str">
        <f t="shared" si="47"/>
        <v>0-</v>
      </c>
      <c r="AA671" s="89" t="str">
        <f t="shared" si="45"/>
        <v/>
      </c>
      <c r="AB671" t="str">
        <f t="shared" si="46"/>
        <v/>
      </c>
      <c r="AC671" t="str">
        <f>IF(AB671="","",CONCATENATE(",",AB671))</f>
        <v/>
      </c>
    </row>
    <row r="672" spans="24:29" ht="15.75">
      <c r="X672" s="223">
        <f>+'3.Plan de Estudios'!$E$165</f>
        <v>0</v>
      </c>
      <c r="Y672" s="222" t="str">
        <f>IF('3.Plan de Estudios'!AI165="","",'3.Plan de Estudios'!AI165)</f>
        <v/>
      </c>
      <c r="Z672" t="str">
        <f t="shared" si="47"/>
        <v>0-</v>
      </c>
      <c r="AA672" s="89" t="str">
        <f t="shared" si="45"/>
        <v/>
      </c>
      <c r="AB672" t="str">
        <f t="shared" si="46"/>
        <v/>
      </c>
      <c r="AC672" t="str">
        <f>IF(AB672="","",CONCATENATE(",",AB672))</f>
        <v/>
      </c>
    </row>
    <row r="673" spans="24:29" ht="15.75">
      <c r="X673" s="183">
        <f>+'3.Plan de Estudios'!$E$166</f>
        <v>0</v>
      </c>
      <c r="Y673" t="str">
        <f>IF('3.Plan de Estudios'!AA166="","",'3.Plan de Estudios'!AA166)</f>
        <v/>
      </c>
      <c r="Z673" t="str">
        <f t="shared" si="47"/>
        <v>0-</v>
      </c>
      <c r="AA673" s="89" t="str">
        <f t="shared" si="45"/>
        <v/>
      </c>
      <c r="AB673" t="str">
        <f t="shared" si="46"/>
        <v/>
      </c>
      <c r="AC673" t="str">
        <f>AB673</f>
        <v/>
      </c>
    </row>
    <row r="674" spans="24:29" ht="15.75">
      <c r="X674" s="183">
        <f>+'3.Plan de Estudios'!$E$166</f>
        <v>0</v>
      </c>
      <c r="Y674" t="str">
        <f>IF('3.Plan de Estudios'!AC166="","",'3.Plan de Estudios'!AC166)</f>
        <v/>
      </c>
      <c r="Z674" t="str">
        <f t="shared" si="47"/>
        <v>0-</v>
      </c>
      <c r="AA674" s="89" t="str">
        <f t="shared" si="45"/>
        <v/>
      </c>
      <c r="AB674" t="str">
        <f t="shared" si="46"/>
        <v/>
      </c>
      <c r="AC674" t="str">
        <f>IF(AB674="","",CONCATENATE(",",AB674))</f>
        <v/>
      </c>
    </row>
    <row r="675" spans="24:29" ht="15.75">
      <c r="X675" s="183">
        <f>+'3.Plan de Estudios'!$E$166</f>
        <v>0</v>
      </c>
      <c r="Y675" t="str">
        <f>IF('3.Plan de Estudios'!AE166="","",'3.Plan de Estudios'!AE166)</f>
        <v/>
      </c>
      <c r="Z675" t="str">
        <f t="shared" si="47"/>
        <v>0-</v>
      </c>
      <c r="AA675" s="89" t="str">
        <f t="shared" si="45"/>
        <v/>
      </c>
      <c r="AB675" t="str">
        <f t="shared" si="46"/>
        <v/>
      </c>
      <c r="AC675" t="str">
        <f>IF(AB675="","",CONCATENATE(",",AB675))</f>
        <v/>
      </c>
    </row>
    <row r="676" spans="24:29" ht="15.75">
      <c r="X676" s="183">
        <f>+'3.Plan de Estudios'!$E$166</f>
        <v>0</v>
      </c>
      <c r="Y676" t="str">
        <f>IF('3.Plan de Estudios'!AG166="","",'3.Plan de Estudios'!AG166)</f>
        <v/>
      </c>
      <c r="Z676" t="str">
        <f t="shared" si="47"/>
        <v>0-</v>
      </c>
      <c r="AA676" s="89" t="str">
        <f t="shared" si="45"/>
        <v/>
      </c>
      <c r="AB676" t="str">
        <f t="shared" si="46"/>
        <v/>
      </c>
      <c r="AC676" t="str">
        <f>IF(AB676="","",CONCATENATE(",",AB676))</f>
        <v/>
      </c>
    </row>
    <row r="677" spans="24:29" ht="15.75">
      <c r="X677" s="183">
        <f>+'3.Plan de Estudios'!$E$166</f>
        <v>0</v>
      </c>
      <c r="Y677" t="str">
        <f>IF('3.Plan de Estudios'!AI166="","",'3.Plan de Estudios'!AI166)</f>
        <v/>
      </c>
      <c r="Z677" t="str">
        <f t="shared" si="47"/>
        <v>0-</v>
      </c>
      <c r="AA677" s="89" t="str">
        <f t="shared" si="45"/>
        <v/>
      </c>
      <c r="AB677" t="str">
        <f t="shared" si="46"/>
        <v/>
      </c>
      <c r="AC677" t="str">
        <f>IF(AB677="","",CONCATENATE(",",AB677))</f>
        <v/>
      </c>
    </row>
    <row r="678" spans="24:29" ht="15.75">
      <c r="X678" s="223">
        <f>+'3.Plan de Estudios'!$E$167</f>
        <v>0</v>
      </c>
      <c r="Y678" s="222" t="str">
        <f>IF('3.Plan de Estudios'!AA167="","",'3.Plan de Estudios'!AA167)</f>
        <v/>
      </c>
      <c r="Z678" t="str">
        <f t="shared" si="47"/>
        <v>0-</v>
      </c>
      <c r="AA678" s="89" t="str">
        <f t="shared" si="45"/>
        <v/>
      </c>
      <c r="AB678" t="str">
        <f t="shared" si="46"/>
        <v/>
      </c>
      <c r="AC678" t="str">
        <f>AB678</f>
        <v/>
      </c>
    </row>
    <row r="679" spans="24:29" ht="15.75">
      <c r="X679" s="223">
        <f>+'3.Plan de Estudios'!$E$167</f>
        <v>0</v>
      </c>
      <c r="Y679" s="222" t="str">
        <f>IF('3.Plan de Estudios'!AC167="","",'3.Plan de Estudios'!AC167)</f>
        <v/>
      </c>
      <c r="Z679" t="str">
        <f t="shared" si="47"/>
        <v>0-</v>
      </c>
      <c r="AA679" s="89" t="str">
        <f t="shared" si="45"/>
        <v/>
      </c>
      <c r="AB679" t="str">
        <f t="shared" si="46"/>
        <v/>
      </c>
      <c r="AC679" t="str">
        <f>IF(AB679="","",CONCATENATE(",",AB679))</f>
        <v/>
      </c>
    </row>
    <row r="680" spans="24:29" ht="15.75">
      <c r="X680" s="223">
        <f>+'3.Plan de Estudios'!$E$167</f>
        <v>0</v>
      </c>
      <c r="Y680" s="222" t="str">
        <f>IF('3.Plan de Estudios'!AE167="","",'3.Plan de Estudios'!AE167)</f>
        <v/>
      </c>
      <c r="Z680" t="str">
        <f t="shared" si="47"/>
        <v>0-</v>
      </c>
      <c r="AA680" s="89" t="str">
        <f t="shared" si="45"/>
        <v/>
      </c>
      <c r="AB680" t="str">
        <f t="shared" si="46"/>
        <v/>
      </c>
      <c r="AC680" t="str">
        <f>IF(AB680="","",CONCATENATE(",",AB680))</f>
        <v/>
      </c>
    </row>
    <row r="681" spans="24:29" ht="15.75">
      <c r="X681" s="223">
        <f>+'3.Plan de Estudios'!$E$167</f>
        <v>0</v>
      </c>
      <c r="Y681" s="222" t="str">
        <f>IF('3.Plan de Estudios'!AG167="","",'3.Plan de Estudios'!AG167)</f>
        <v/>
      </c>
      <c r="Z681" t="str">
        <f t="shared" si="47"/>
        <v>0-</v>
      </c>
      <c r="AA681" s="89" t="str">
        <f t="shared" si="45"/>
        <v/>
      </c>
      <c r="AB681" t="str">
        <f t="shared" si="46"/>
        <v/>
      </c>
      <c r="AC681" t="str">
        <f>IF(AB681="","",CONCATENATE(",",AB681))</f>
        <v/>
      </c>
    </row>
    <row r="682" spans="24:29" ht="15.75">
      <c r="X682" s="223">
        <f>+'3.Plan de Estudios'!$E$167</f>
        <v>0</v>
      </c>
      <c r="Y682" s="222" t="str">
        <f>IF('3.Plan de Estudios'!AI167="","",'3.Plan de Estudios'!AI167)</f>
        <v/>
      </c>
      <c r="Z682" t="str">
        <f t="shared" si="47"/>
        <v>0-</v>
      </c>
      <c r="AA682" s="89" t="str">
        <f t="shared" si="45"/>
        <v/>
      </c>
      <c r="AB682" t="str">
        <f t="shared" si="46"/>
        <v/>
      </c>
      <c r="AC682" t="str">
        <f>IF(AB682="","",CONCATENATE(",",AB682))</f>
        <v/>
      </c>
    </row>
    <row r="683" spans="24:29" ht="15.75">
      <c r="X683" s="183">
        <f>+'3.Plan de Estudios'!$E$168</f>
        <v>0</v>
      </c>
      <c r="Y683" t="str">
        <f>IF('3.Plan de Estudios'!AA168="","",'3.Plan de Estudios'!AA168)</f>
        <v/>
      </c>
      <c r="Z683" t="str">
        <f t="shared" si="47"/>
        <v>0-</v>
      </c>
      <c r="AA683" s="89" t="str">
        <f t="shared" si="45"/>
        <v/>
      </c>
      <c r="AB683" t="str">
        <f t="shared" si="46"/>
        <v/>
      </c>
      <c r="AC683" t="str">
        <f>AB683</f>
        <v/>
      </c>
    </row>
    <row r="684" spans="24:29" ht="15.75">
      <c r="X684" s="183">
        <f>+'3.Plan de Estudios'!$E$168</f>
        <v>0</v>
      </c>
      <c r="Y684" t="str">
        <f>IF('3.Plan de Estudios'!AC168="","",'3.Plan de Estudios'!AC168)</f>
        <v/>
      </c>
      <c r="Z684" t="str">
        <f t="shared" si="47"/>
        <v>0-</v>
      </c>
      <c r="AA684" s="89" t="str">
        <f t="shared" ref="AA684:AA702" si="48">+IF(Y684="","","a")</f>
        <v/>
      </c>
      <c r="AB684" t="str">
        <f t="shared" si="46"/>
        <v/>
      </c>
      <c r="AC684" t="str">
        <f>IF(AB684="","",CONCATENATE(",",AB684))</f>
        <v/>
      </c>
    </row>
    <row r="685" spans="24:29" ht="15.75">
      <c r="X685" s="183">
        <f>+'3.Plan de Estudios'!$E$168</f>
        <v>0</v>
      </c>
      <c r="Y685" t="str">
        <f>IF('3.Plan de Estudios'!AE168="","",'3.Plan de Estudios'!AE168)</f>
        <v/>
      </c>
      <c r="Z685" t="str">
        <f t="shared" si="47"/>
        <v>0-</v>
      </c>
      <c r="AA685" s="89" t="str">
        <f t="shared" si="48"/>
        <v/>
      </c>
      <c r="AB685" t="str">
        <f t="shared" si="46"/>
        <v/>
      </c>
      <c r="AC685" t="str">
        <f>IF(AB685="","",CONCATENATE(",",AB685))</f>
        <v/>
      </c>
    </row>
    <row r="686" spans="24:29" ht="15.75">
      <c r="X686" s="183">
        <f>+'3.Plan de Estudios'!$E$168</f>
        <v>0</v>
      </c>
      <c r="Y686" t="str">
        <f>IF('3.Plan de Estudios'!AG168="","",'3.Plan de Estudios'!AG168)</f>
        <v/>
      </c>
      <c r="Z686" t="str">
        <f t="shared" si="47"/>
        <v>0-</v>
      </c>
      <c r="AA686" s="89" t="str">
        <f t="shared" si="48"/>
        <v/>
      </c>
      <c r="AB686" t="str">
        <f t="shared" si="46"/>
        <v/>
      </c>
      <c r="AC686" t="str">
        <f>IF(AB686="","",CONCATENATE(",",AB686))</f>
        <v/>
      </c>
    </row>
    <row r="687" spans="24:29" ht="15.75">
      <c r="X687" s="183">
        <f>+'3.Plan de Estudios'!$E$168</f>
        <v>0</v>
      </c>
      <c r="Y687" t="str">
        <f>IF('3.Plan de Estudios'!AI168="","",'3.Plan de Estudios'!AI168)</f>
        <v/>
      </c>
      <c r="Z687" t="str">
        <f t="shared" si="47"/>
        <v>0-</v>
      </c>
      <c r="AA687" s="89" t="str">
        <f t="shared" si="48"/>
        <v/>
      </c>
      <c r="AB687" t="str">
        <f t="shared" si="46"/>
        <v/>
      </c>
      <c r="AC687" t="str">
        <f>IF(AB687="","",CONCATENATE(",",AB687))</f>
        <v/>
      </c>
    </row>
    <row r="688" spans="24:29" ht="15.75">
      <c r="X688" s="223">
        <f>+'3.Plan de Estudios'!$E$169</f>
        <v>0</v>
      </c>
      <c r="Y688" s="222" t="str">
        <f>IF('3.Plan de Estudios'!AA169="","",'3.Plan de Estudios'!AA169)</f>
        <v/>
      </c>
      <c r="Z688" t="str">
        <f t="shared" si="47"/>
        <v>0-</v>
      </c>
      <c r="AA688" s="89" t="str">
        <f t="shared" si="48"/>
        <v/>
      </c>
      <c r="AB688" t="str">
        <f t="shared" si="46"/>
        <v/>
      </c>
      <c r="AC688" t="str">
        <f>AB688</f>
        <v/>
      </c>
    </row>
    <row r="689" spans="24:29" ht="15.75">
      <c r="X689" s="223">
        <f>+'3.Plan de Estudios'!$E$169</f>
        <v>0</v>
      </c>
      <c r="Y689" s="222" t="str">
        <f>IF('3.Plan de Estudios'!AC169="","",'3.Plan de Estudios'!AC169)</f>
        <v/>
      </c>
      <c r="Z689" t="str">
        <f t="shared" si="47"/>
        <v>0-</v>
      </c>
      <c r="AA689" s="89" t="str">
        <f t="shared" si="48"/>
        <v/>
      </c>
      <c r="AB689" t="str">
        <f t="shared" si="46"/>
        <v/>
      </c>
      <c r="AC689" t="str">
        <f>IF(AB689="","",CONCATENATE(",",AB689))</f>
        <v/>
      </c>
    </row>
    <row r="690" spans="24:29" ht="15.75">
      <c r="X690" s="223">
        <f>+'3.Plan de Estudios'!$E$169</f>
        <v>0</v>
      </c>
      <c r="Y690" s="222" t="str">
        <f>IF('3.Plan de Estudios'!AE169="","",'3.Plan de Estudios'!AE169)</f>
        <v/>
      </c>
      <c r="Z690" t="str">
        <f t="shared" si="47"/>
        <v>0-</v>
      </c>
      <c r="AA690" s="89" t="str">
        <f t="shared" si="48"/>
        <v/>
      </c>
      <c r="AB690" t="str">
        <f t="shared" ref="AB690:AB702" si="49">IFERROR(MID(Y690,FIND(":",Y690)+1,FIND(":",Y690,FIND(":",Y690)+1)-FIND(":",Y690)-1),"")</f>
        <v/>
      </c>
      <c r="AC690" t="str">
        <f>IF(AB690="","",CONCATENATE(",",AB690))</f>
        <v/>
      </c>
    </row>
    <row r="691" spans="24:29" ht="15.75">
      <c r="X691" s="223">
        <f>+'3.Plan de Estudios'!$E$169</f>
        <v>0</v>
      </c>
      <c r="Y691" s="222" t="str">
        <f>IF('3.Plan de Estudios'!AG169="","",'3.Plan de Estudios'!AG169)</f>
        <v/>
      </c>
      <c r="Z691" t="str">
        <f t="shared" si="47"/>
        <v>0-</v>
      </c>
      <c r="AA691" s="89" t="str">
        <f t="shared" si="48"/>
        <v/>
      </c>
      <c r="AB691" t="str">
        <f t="shared" si="49"/>
        <v/>
      </c>
      <c r="AC691" t="str">
        <f>IF(AB691="","",CONCATENATE(",",AB691))</f>
        <v/>
      </c>
    </row>
    <row r="692" spans="24:29" ht="15.75">
      <c r="X692" s="223">
        <f>+'3.Plan de Estudios'!$E$169</f>
        <v>0</v>
      </c>
      <c r="Y692" s="222" t="str">
        <f>IF('3.Plan de Estudios'!AI169="","",'3.Plan de Estudios'!AI169)</f>
        <v/>
      </c>
      <c r="Z692" t="str">
        <f t="shared" si="47"/>
        <v>0-</v>
      </c>
      <c r="AA692" s="89" t="str">
        <f t="shared" si="48"/>
        <v/>
      </c>
      <c r="AB692" t="str">
        <f t="shared" si="49"/>
        <v/>
      </c>
      <c r="AC692" t="str">
        <f>IF(AB692="","",CONCATENATE(",",AB692))</f>
        <v/>
      </c>
    </row>
    <row r="693" spans="24:29" ht="15.75">
      <c r="X693" s="183">
        <f>+'3.Plan de Estudios'!$E$170</f>
        <v>0</v>
      </c>
      <c r="Y693" t="str">
        <f>IF('3.Plan de Estudios'!AA170="","",'3.Plan de Estudios'!AA170)</f>
        <v/>
      </c>
      <c r="Z693" t="str">
        <f t="shared" si="47"/>
        <v>0-</v>
      </c>
      <c r="AA693" s="89" t="str">
        <f t="shared" si="48"/>
        <v/>
      </c>
      <c r="AB693" t="str">
        <f t="shared" si="49"/>
        <v/>
      </c>
      <c r="AC693" t="str">
        <f>AB693</f>
        <v/>
      </c>
    </row>
    <row r="694" spans="24:29" ht="15.75">
      <c r="X694" s="183">
        <f>+'3.Plan de Estudios'!$E$170</f>
        <v>0</v>
      </c>
      <c r="Y694" t="str">
        <f>IF('3.Plan de Estudios'!AC170="","",'3.Plan de Estudios'!AC170)</f>
        <v/>
      </c>
      <c r="Z694" t="str">
        <f t="shared" si="47"/>
        <v>0-</v>
      </c>
      <c r="AA694" s="89" t="str">
        <f t="shared" si="48"/>
        <v/>
      </c>
      <c r="AB694" t="str">
        <f t="shared" si="49"/>
        <v/>
      </c>
      <c r="AC694" t="str">
        <f>IF(AB694="","",CONCATENATE(",",AB694))</f>
        <v/>
      </c>
    </row>
    <row r="695" spans="24:29" ht="15.75">
      <c r="X695" s="183">
        <f>+'3.Plan de Estudios'!$E$170</f>
        <v>0</v>
      </c>
      <c r="Y695" t="str">
        <f>IF('3.Plan de Estudios'!AE170="","",'3.Plan de Estudios'!AE170)</f>
        <v/>
      </c>
      <c r="Z695" t="str">
        <f t="shared" si="47"/>
        <v>0-</v>
      </c>
      <c r="AA695" s="89" t="str">
        <f t="shared" si="48"/>
        <v/>
      </c>
      <c r="AB695" t="str">
        <f t="shared" si="49"/>
        <v/>
      </c>
      <c r="AC695" t="str">
        <f>IF(AB695="","",CONCATENATE(",",AB695))</f>
        <v/>
      </c>
    </row>
    <row r="696" spans="24:29" ht="15.75">
      <c r="X696" s="183">
        <f>+'3.Plan de Estudios'!$E$170</f>
        <v>0</v>
      </c>
      <c r="Y696" t="str">
        <f>IF('3.Plan de Estudios'!AG170="","",'3.Plan de Estudios'!AG170)</f>
        <v/>
      </c>
      <c r="Z696" t="str">
        <f t="shared" si="47"/>
        <v>0-</v>
      </c>
      <c r="AA696" s="89" t="str">
        <f t="shared" si="48"/>
        <v/>
      </c>
      <c r="AB696" t="str">
        <f t="shared" si="49"/>
        <v/>
      </c>
      <c r="AC696" t="str">
        <f>IF(AB696="","",CONCATENATE(",",AB696))</f>
        <v/>
      </c>
    </row>
    <row r="697" spans="24:29" ht="15.75">
      <c r="X697" s="183">
        <f>+'3.Plan de Estudios'!$E$170</f>
        <v>0</v>
      </c>
      <c r="Y697" t="str">
        <f>IF('3.Plan de Estudios'!AI170="","",'3.Plan de Estudios'!AI170)</f>
        <v/>
      </c>
      <c r="Z697" t="str">
        <f t="shared" si="47"/>
        <v>0-</v>
      </c>
      <c r="AA697" s="89" t="str">
        <f t="shared" si="48"/>
        <v/>
      </c>
      <c r="AB697" t="str">
        <f t="shared" si="49"/>
        <v/>
      </c>
      <c r="AC697" t="str">
        <f>IF(AB697="","",CONCATENATE(",",AB697))</f>
        <v/>
      </c>
    </row>
    <row r="698" spans="24:29" ht="15.75">
      <c r="X698" s="223">
        <f>+'3.Plan de Estudios'!$E$171</f>
        <v>0</v>
      </c>
      <c r="Y698" s="222" t="str">
        <f>IF('3.Plan de Estudios'!AA171="","",'3.Plan de Estudios'!AA171)</f>
        <v/>
      </c>
      <c r="Z698" t="str">
        <f t="shared" si="47"/>
        <v>0-</v>
      </c>
      <c r="AA698" s="89" t="str">
        <f t="shared" si="48"/>
        <v/>
      </c>
      <c r="AB698" t="str">
        <f t="shared" si="49"/>
        <v/>
      </c>
      <c r="AC698" t="str">
        <f>AB698</f>
        <v/>
      </c>
    </row>
    <row r="699" spans="24:29" ht="15.75">
      <c r="X699" s="223">
        <f>+'3.Plan de Estudios'!$E$171</f>
        <v>0</v>
      </c>
      <c r="Y699" s="222" t="str">
        <f>IF('3.Plan de Estudios'!AC171="","",'3.Plan de Estudios'!AC171)</f>
        <v/>
      </c>
      <c r="Z699" t="str">
        <f t="shared" si="47"/>
        <v>0-</v>
      </c>
      <c r="AA699" s="89" t="str">
        <f t="shared" si="48"/>
        <v/>
      </c>
      <c r="AB699" t="str">
        <f t="shared" si="49"/>
        <v/>
      </c>
      <c r="AC699" t="str">
        <f>IF(AB699="","",CONCATENATE(",",AB699))</f>
        <v/>
      </c>
    </row>
    <row r="700" spans="24:29" ht="15.75">
      <c r="X700" s="223">
        <f>+'3.Plan de Estudios'!$E$171</f>
        <v>0</v>
      </c>
      <c r="Y700" s="222" t="str">
        <f>IF('3.Plan de Estudios'!AE171="","",'3.Plan de Estudios'!AE171)</f>
        <v/>
      </c>
      <c r="Z700" t="str">
        <f t="shared" si="47"/>
        <v>0-</v>
      </c>
      <c r="AA700" s="89" t="str">
        <f t="shared" si="48"/>
        <v/>
      </c>
      <c r="AB700" t="str">
        <f t="shared" si="49"/>
        <v/>
      </c>
      <c r="AC700" t="str">
        <f>IF(AB700="","",CONCATENATE(",",AB700))</f>
        <v/>
      </c>
    </row>
    <row r="701" spans="24:29" ht="15.75">
      <c r="X701" s="223">
        <f>+'3.Plan de Estudios'!$E$171</f>
        <v>0</v>
      </c>
      <c r="Y701" s="222" t="str">
        <f>IF('3.Plan de Estudios'!AG171="","",'3.Plan de Estudios'!AG171)</f>
        <v/>
      </c>
      <c r="Z701" t="str">
        <f t="shared" si="47"/>
        <v>0-</v>
      </c>
      <c r="AA701" s="89" t="str">
        <f t="shared" si="48"/>
        <v/>
      </c>
      <c r="AB701" t="str">
        <f t="shared" si="49"/>
        <v/>
      </c>
      <c r="AC701" t="str">
        <f>IF(AB701="","",CONCATENATE(",",AB701))</f>
        <v/>
      </c>
    </row>
    <row r="702" spans="24:29" ht="15.75">
      <c r="X702" s="223">
        <f>+'3.Plan de Estudios'!$E$171</f>
        <v>0</v>
      </c>
      <c r="Y702" s="222" t="str">
        <f>IF('3.Plan de Estudios'!AI171="","",'3.Plan de Estudios'!AI171)</f>
        <v/>
      </c>
      <c r="Z702" t="str">
        <f t="shared" si="47"/>
        <v>0-</v>
      </c>
      <c r="AA702" s="89" t="str">
        <f t="shared" si="48"/>
        <v/>
      </c>
      <c r="AB702" t="str">
        <f t="shared" si="49"/>
        <v/>
      </c>
      <c r="AC702" t="str">
        <f>IF(AB702="","",CONCATENATE(",",AB702))</f>
        <v/>
      </c>
    </row>
    <row r="703" spans="24:29">
      <c r="X703" s="20"/>
    </row>
  </sheetData>
  <autoFilter ref="I2:P2" xr:uid="{00000000-0001-0000-0500-000000000000}"/>
  <sortState xmlns:xlrd2="http://schemas.microsoft.com/office/spreadsheetml/2017/richdata2" ref="A4:A5">
    <sortCondition ref="A3:A5"/>
  </sortState>
  <mergeCells count="2">
    <mergeCell ref="AU1:AV1"/>
    <mergeCell ref="AW1:AX1"/>
  </mergeCells>
  <phoneticPr fontId="24" type="noConversion"/>
  <pageMargins left="0.7" right="0.7" top="0.75" bottom="0.75" header="0.3" footer="0.3"/>
  <pageSetup paperSize="9" orientation="portrait"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pageSetUpPr fitToPage="1"/>
  </sheetPr>
  <dimension ref="B1:H250"/>
  <sheetViews>
    <sheetView showGridLines="0" tabSelected="1" topLeftCell="A9" zoomScale="98" zoomScaleNormal="98" workbookViewId="0">
      <selection activeCell="F11" sqref="F11"/>
    </sheetView>
  </sheetViews>
  <sheetFormatPr defaultColWidth="11.5703125" defaultRowHeight="12"/>
  <cols>
    <col min="1" max="1" width="2" style="2" customWidth="1"/>
    <col min="2" max="2" width="10.28515625" style="2" customWidth="1"/>
    <col min="3" max="3" width="11.85546875" style="2" customWidth="1"/>
    <col min="4" max="4" width="26.140625" style="2" customWidth="1"/>
    <col min="5" max="6" width="29.42578125" style="2" customWidth="1"/>
    <col min="7" max="7" width="87.42578125" style="2" customWidth="1"/>
    <col min="8" max="8" width="9.7109375" style="2" customWidth="1"/>
    <col min="9" max="16384" width="11.5703125" style="2"/>
  </cols>
  <sheetData>
    <row r="1" spans="2:8" s="4" customFormat="1" ht="15">
      <c r="B1"/>
      <c r="C1"/>
      <c r="D1"/>
      <c r="E1"/>
      <c r="F1"/>
      <c r="G1"/>
      <c r="H1"/>
    </row>
    <row r="2" spans="2:8" ht="24" customHeight="1">
      <c r="B2" s="617" t="str">
        <f>CONCATENATE("20. SUMILLAS DE CURSOS OBLIGATORIOS Y ELECTIVOS DEL PLAN DE ESTUDIOS DEL PROGRAMA DE: ",'1.Fundamentos'!F6)</f>
        <v>20. SUMILLAS DE CURSOS OBLIGATORIOS Y ELECTIVOS DEL PLAN DE ESTUDIOS DEL PROGRAMA DE: EDUCACIÓN SECUNDARIA CON ESPECIALIDAD EN INGLÉS</v>
      </c>
      <c r="C2" s="617"/>
      <c r="D2" s="617"/>
      <c r="E2" s="617"/>
      <c r="F2" s="617"/>
      <c r="G2" s="617"/>
      <c r="H2" s="617"/>
    </row>
    <row r="3" spans="2:8" s="4" customFormat="1" ht="6.75" customHeight="1">
      <c r="B3"/>
      <c r="C3"/>
      <c r="D3"/>
      <c r="E3"/>
      <c r="F3"/>
      <c r="G3"/>
      <c r="H3"/>
    </row>
    <row r="4" spans="2:8" s="4" customFormat="1" ht="38.25" customHeight="1">
      <c r="B4" s="616" t="s">
        <v>1019</v>
      </c>
      <c r="C4" s="616"/>
      <c r="D4" s="615" t="s">
        <v>1020</v>
      </c>
      <c r="E4" s="615"/>
      <c r="F4" s="615"/>
      <c r="G4" s="615"/>
      <c r="H4" s="615"/>
    </row>
    <row r="5" spans="2:8" s="4" customFormat="1" ht="6.75" customHeight="1"/>
    <row r="6" spans="2:8" s="4" customFormat="1" ht="16.5" customHeight="1">
      <c r="B6" s="136" t="s">
        <v>1021</v>
      </c>
    </row>
    <row r="7" spans="2:8" s="3" customFormat="1">
      <c r="B7" s="15" t="s">
        <v>224</v>
      </c>
      <c r="C7" s="16" t="s">
        <v>226</v>
      </c>
      <c r="D7" s="15" t="s">
        <v>480</v>
      </c>
      <c r="E7" s="15" t="s">
        <v>1022</v>
      </c>
      <c r="F7" s="15" t="s">
        <v>1023</v>
      </c>
      <c r="G7" s="15" t="s">
        <v>1024</v>
      </c>
      <c r="H7" s="15" t="s">
        <v>233</v>
      </c>
    </row>
    <row r="8" spans="2:8" ht="60">
      <c r="B8" s="385">
        <f>IF('3.Plan de Estudios'!B19="","",'3.Plan de Estudios'!B19)</f>
        <v>1</v>
      </c>
      <c r="C8" s="385" t="str">
        <f>IF('3.Plan de Estudios'!C19="","",'3.Plan de Estudios'!C19)</f>
        <v>GES51001</v>
      </c>
      <c r="D8" s="386" t="str">
        <f>IF('3.Plan de Estudios'!E19="","",'3.Plan de Estudios'!E19)</f>
        <v>ADMINISTRACIÓN PARA LOS NEGOCIOS</v>
      </c>
      <c r="E8" s="305"/>
      <c r="F8" s="305"/>
      <c r="G8" s="579" t="s">
        <v>1025</v>
      </c>
      <c r="H8" s="388">
        <f>IF('3.Plan de Estudios'!P19=0,"",'3.Plan de Estudios'!P19)</f>
        <v>4</v>
      </c>
    </row>
    <row r="9" spans="2:8" ht="108">
      <c r="B9" s="385">
        <f>IF('3.Plan de Estudios'!B20="","",'3.Plan de Estudios'!B20)</f>
        <v>1</v>
      </c>
      <c r="C9" s="385" t="str">
        <f>IF('3.Plan de Estudios'!C20="","",'3.Plan de Estudios'!C20)</f>
        <v>PSI53001</v>
      </c>
      <c r="D9" s="386" t="str">
        <f>IF('3.Plan de Estudios'!E20="","",'3.Plan de Estudios'!E20)</f>
        <v>DESARROLLO HUMANO</v>
      </c>
      <c r="E9" s="305"/>
      <c r="F9" s="305"/>
      <c r="G9" s="579" t="s">
        <v>1026</v>
      </c>
      <c r="H9" s="388">
        <f>IF('3.Plan de Estudios'!P20=0,"",'3.Plan de Estudios'!P20)</f>
        <v>4</v>
      </c>
    </row>
    <row r="10" spans="2:8" ht="72">
      <c r="B10" s="385">
        <f>IF('3.Plan de Estudios'!B21="","",'3.Plan de Estudios'!B21)</f>
        <v>1</v>
      </c>
      <c r="C10" s="385" t="str">
        <f>IF('3.Plan de Estudios'!C21="","",'3.Plan de Estudios'!C21)</f>
        <v>ENG42003</v>
      </c>
      <c r="D10" s="386" t="str">
        <f>IF('3.Plan de Estudios'!E21="","",'3.Plan de Estudios'!E21)</f>
        <v>ENGLISH I</v>
      </c>
      <c r="E10" s="305"/>
      <c r="F10" s="305"/>
      <c r="G10" s="579" t="s">
        <v>1027</v>
      </c>
      <c r="H10" s="388">
        <f>IF('3.Plan de Estudios'!P21=0,"",'3.Plan de Estudios'!P21)</f>
        <v>4</v>
      </c>
    </row>
    <row r="11" spans="2:8" ht="84">
      <c r="B11" s="385">
        <f>IF('3.Plan de Estudios'!B22="","",'3.Plan de Estudios'!B22)</f>
        <v>1</v>
      </c>
      <c r="C11" s="385" t="str">
        <f>IF('3.Plan de Estudios'!C22="","",'3.Plan de Estudios'!C22)</f>
        <v>COM42008</v>
      </c>
      <c r="D11" s="386" t="str">
        <f>IF('3.Plan de Estudios'!E22="","",'3.Plan de Estudios'!E22)</f>
        <v>LENGUAJE I</v>
      </c>
      <c r="E11" s="305"/>
      <c r="F11" s="305"/>
      <c r="G11" s="579" t="s">
        <v>1028</v>
      </c>
      <c r="H11" s="388">
        <f>IF('3.Plan de Estudios'!P22=0,"",'3.Plan de Estudios'!P22)</f>
        <v>4</v>
      </c>
    </row>
    <row r="12" spans="2:8" ht="72">
      <c r="B12" s="385">
        <f>IF('3.Plan de Estudios'!B23="","",'3.Plan de Estudios'!B23)</f>
        <v>1</v>
      </c>
      <c r="C12" s="385" t="str">
        <f>IF('3.Plan de Estudios'!C23="","",'3.Plan de Estudios'!C23)</f>
        <v>MAT41003</v>
      </c>
      <c r="D12" s="386" t="str">
        <f>IF('3.Plan de Estudios'!E23="","",'3.Plan de Estudios'!E23)</f>
        <v>MATEMÁTICA</v>
      </c>
      <c r="E12" s="305"/>
      <c r="F12" s="305"/>
      <c r="G12" s="579" t="s">
        <v>1029</v>
      </c>
      <c r="H12" s="388">
        <f>IF('3.Plan de Estudios'!P23=0,"",'3.Plan de Estudios'!P23)</f>
        <v>4</v>
      </c>
    </row>
    <row r="13" spans="2:8" hidden="1">
      <c r="B13" s="385">
        <f>IF('3.Plan de Estudios'!B24="","",'3.Plan de Estudios'!B24)</f>
        <v>1</v>
      </c>
      <c r="C13" s="385" t="str">
        <f>IF('3.Plan de Estudios'!C24="","",'3.Plan de Estudios'!C24)</f>
        <v/>
      </c>
      <c r="D13" s="386" t="str">
        <f>IF('3.Plan de Estudios'!E24="","",'3.Plan de Estudios'!E24)</f>
        <v/>
      </c>
      <c r="E13" s="305"/>
      <c r="F13" s="305"/>
      <c r="G13" s="579" t="s">
        <v>244</v>
      </c>
      <c r="H13" s="388" t="str">
        <f>IF('3.Plan de Estudios'!P24=0,"",'3.Plan de Estudios'!P24)</f>
        <v/>
      </c>
    </row>
    <row r="14" spans="2:8" hidden="1">
      <c r="B14" s="385">
        <f>IF('3.Plan de Estudios'!B25="","",'3.Plan de Estudios'!B25)</f>
        <v>1</v>
      </c>
      <c r="C14" s="385" t="str">
        <f>IF('3.Plan de Estudios'!C25="","",'3.Plan de Estudios'!C25)</f>
        <v/>
      </c>
      <c r="D14" s="386" t="str">
        <f>IF('3.Plan de Estudios'!E25="","",'3.Plan de Estudios'!E25)</f>
        <v/>
      </c>
      <c r="E14" s="305"/>
      <c r="F14" s="305"/>
      <c r="G14" s="579" t="s">
        <v>244</v>
      </c>
      <c r="H14" s="388" t="str">
        <f>IF('3.Plan de Estudios'!P25=0,"",'3.Plan de Estudios'!P25)</f>
        <v/>
      </c>
    </row>
    <row r="15" spans="2:8" hidden="1">
      <c r="B15" s="385">
        <f>IF('3.Plan de Estudios'!B26="","",'3.Plan de Estudios'!B26)</f>
        <v>1</v>
      </c>
      <c r="C15" s="385" t="str">
        <f>IF('3.Plan de Estudios'!C26="","",'3.Plan de Estudios'!C26)</f>
        <v/>
      </c>
      <c r="D15" s="386" t="str">
        <f>IF('3.Plan de Estudios'!E26="","",'3.Plan de Estudios'!E26)</f>
        <v/>
      </c>
      <c r="E15" s="305"/>
      <c r="F15" s="305"/>
      <c r="G15" s="579" t="s">
        <v>244</v>
      </c>
      <c r="H15" s="388" t="str">
        <f>IF('3.Plan de Estudios'!P26=0,"",'3.Plan de Estudios'!P26)</f>
        <v/>
      </c>
    </row>
    <row r="16" spans="2:8" hidden="1">
      <c r="B16" s="385">
        <f>IF('3.Plan de Estudios'!B27="","",'3.Plan de Estudios'!B27)</f>
        <v>1</v>
      </c>
      <c r="C16" s="385" t="str">
        <f>IF('3.Plan de Estudios'!C27="","",'3.Plan de Estudios'!C27)</f>
        <v/>
      </c>
      <c r="D16" s="386" t="str">
        <f>IF('3.Plan de Estudios'!E27="","",'3.Plan de Estudios'!E27)</f>
        <v/>
      </c>
      <c r="E16" s="305"/>
      <c r="F16" s="305"/>
      <c r="G16" s="579" t="s">
        <v>244</v>
      </c>
      <c r="H16" s="388" t="str">
        <f>IF('3.Plan de Estudios'!P27=0,"",'3.Plan de Estudios'!P27)</f>
        <v/>
      </c>
    </row>
    <row r="17" spans="2:8" hidden="1">
      <c r="B17" s="385">
        <f>IF('3.Plan de Estudios'!B28="","",'3.Plan de Estudios'!B28)</f>
        <v>1</v>
      </c>
      <c r="C17" s="385" t="str">
        <f>IF('3.Plan de Estudios'!C28="","",'3.Plan de Estudios'!C28)</f>
        <v/>
      </c>
      <c r="D17" s="386" t="str">
        <f>IF('3.Plan de Estudios'!E28="","",'3.Plan de Estudios'!E28)</f>
        <v/>
      </c>
      <c r="E17" s="305"/>
      <c r="F17" s="305"/>
      <c r="G17" s="579" t="s">
        <v>244</v>
      </c>
      <c r="H17" s="388" t="str">
        <f>IF('3.Plan de Estudios'!P28=0,"",'3.Plan de Estudios'!P28)</f>
        <v/>
      </c>
    </row>
    <row r="18" spans="2:8" ht="60">
      <c r="B18" s="385">
        <f>IF('3.Plan de Estudios'!B30="","",'3.Plan de Estudios'!B30)</f>
        <v>2</v>
      </c>
      <c r="C18" s="385" t="str">
        <f>IF('3.Plan de Estudios'!C30="","",'3.Plan de Estudios'!C30)</f>
        <v>EDG52030</v>
      </c>
      <c r="D18" s="386" t="str">
        <f>IF('3.Plan de Estudios'!E30="","",'3.Plan de Estudios'!E30)</f>
        <v>CULTURA POLÍTICA Y REALIDAD DE LA EDUCACIÓN PERUANA</v>
      </c>
      <c r="E18" s="305"/>
      <c r="F18" s="305"/>
      <c r="G18" s="579" t="s">
        <v>1030</v>
      </c>
      <c r="H18" s="388">
        <f>IF('3.Plan de Estudios'!P30=0,"",'3.Plan de Estudios'!P30)</f>
        <v>2</v>
      </c>
    </row>
    <row r="19" spans="2:8" ht="72">
      <c r="B19" s="385">
        <f>IF('3.Plan de Estudios'!B31="","",'3.Plan de Estudios'!B31)</f>
        <v>2</v>
      </c>
      <c r="C19" s="385" t="str">
        <f>IF('3.Plan de Estudios'!C31="","",'3.Plan de Estudios'!C31)</f>
        <v>ENG42005</v>
      </c>
      <c r="D19" s="386" t="str">
        <f>IF('3.Plan de Estudios'!E31="","",'3.Plan de Estudios'!E31)</f>
        <v>ENGLISH II</v>
      </c>
      <c r="E19" s="305"/>
      <c r="F19" s="305"/>
      <c r="G19" s="579" t="s">
        <v>1031</v>
      </c>
      <c r="H19" s="388">
        <f>IF('3.Plan de Estudios'!P31=0,"",'3.Plan de Estudios'!P31)</f>
        <v>4</v>
      </c>
    </row>
    <row r="20" spans="2:8" ht="108">
      <c r="B20" s="385">
        <f>IF('3.Plan de Estudios'!B32="","",'3.Plan de Estudios'!B32)</f>
        <v>2</v>
      </c>
      <c r="C20" s="385" t="str">
        <f>IF('3.Plan de Estudios'!C32="","",'3.Plan de Estudios'!C32)</f>
        <v>EDG51016</v>
      </c>
      <c r="D20" s="386" t="str">
        <f>IF('3.Plan de Estudios'!E32="","",'3.Plan de Estudios'!E32)</f>
        <v>HISTORIA Y FILOSOFÍA DE LA EDUCACIÓN</v>
      </c>
      <c r="E20" s="305"/>
      <c r="F20" s="305"/>
      <c r="G20" s="579" t="s">
        <v>1032</v>
      </c>
      <c r="H20" s="388">
        <f>IF('3.Plan de Estudios'!P32=0,"",'3.Plan de Estudios'!P32)</f>
        <v>4</v>
      </c>
    </row>
    <row r="21" spans="2:8" ht="84">
      <c r="B21" s="385">
        <f>IF('3.Plan de Estudios'!B33="","",'3.Plan de Estudios'!B33)</f>
        <v>2</v>
      </c>
      <c r="C21" s="385" t="str">
        <f>IF('3.Plan de Estudios'!C33="","",'3.Plan de Estudios'!C33)</f>
        <v>COM42009</v>
      </c>
      <c r="D21" s="386" t="str">
        <f>IF('3.Plan de Estudios'!E33="","",'3.Plan de Estudios'!E33)</f>
        <v>LENGUAJE II</v>
      </c>
      <c r="E21" s="305"/>
      <c r="F21" s="305"/>
      <c r="G21" s="579" t="s">
        <v>1033</v>
      </c>
      <c r="H21" s="388">
        <f>IF('3.Plan de Estudios'!P33=0,"",'3.Plan de Estudios'!P33)</f>
        <v>4</v>
      </c>
    </row>
    <row r="22" spans="2:8" ht="72">
      <c r="B22" s="385">
        <f>IF('3.Plan de Estudios'!B34="","",'3.Plan de Estudios'!B34)</f>
        <v>2</v>
      </c>
      <c r="C22" s="385" t="str">
        <f>IF('3.Plan de Estudios'!C34="","",'3.Plan de Estudios'!C34)</f>
        <v>MAR52008</v>
      </c>
      <c r="D22" s="386" t="str">
        <f>IF('3.Plan de Estudios'!E34="","",'3.Plan de Estudios'!E34)</f>
        <v>MARKETING</v>
      </c>
      <c r="E22" s="305"/>
      <c r="F22" s="305"/>
      <c r="G22" s="579" t="s">
        <v>1034</v>
      </c>
      <c r="H22" s="388">
        <f>IF('3.Plan de Estudios'!P34=0,"",'3.Plan de Estudios'!P34)</f>
        <v>4</v>
      </c>
    </row>
    <row r="23" spans="2:8" ht="84">
      <c r="B23" s="385">
        <f>IF('3.Plan de Estudios'!B35="","",'3.Plan de Estudios'!B35)</f>
        <v>2</v>
      </c>
      <c r="C23" s="385" t="str">
        <f>IF('3.Plan de Estudios'!C35="","",'3.Plan de Estudios'!C35)</f>
        <v>PSI51020</v>
      </c>
      <c r="D23" s="386" t="str">
        <f>IF('3.Plan de Estudios'!E35="","",'3.Plan de Estudios'!E35)</f>
        <v>PSICOLOGÍA GENERAL</v>
      </c>
      <c r="E23" s="305"/>
      <c r="F23" s="305"/>
      <c r="G23" s="579" t="s">
        <v>1035</v>
      </c>
      <c r="H23" s="388">
        <f>IF('3.Plan de Estudios'!P35=0,"",'3.Plan de Estudios'!P35)</f>
        <v>2</v>
      </c>
    </row>
    <row r="24" spans="2:8" hidden="1">
      <c r="B24" s="385">
        <f>IF('3.Plan de Estudios'!B36="","",'3.Plan de Estudios'!B36)</f>
        <v>2</v>
      </c>
      <c r="C24" s="385" t="str">
        <f>IF('3.Plan de Estudios'!C36="","",'3.Plan de Estudios'!C36)</f>
        <v/>
      </c>
      <c r="D24" s="386" t="str">
        <f>IF('3.Plan de Estudios'!E36="","",'3.Plan de Estudios'!E36)</f>
        <v/>
      </c>
      <c r="E24" s="305"/>
      <c r="F24" s="305"/>
      <c r="G24" s="579" t="s">
        <v>244</v>
      </c>
      <c r="H24" s="388" t="str">
        <f>IF('3.Plan de Estudios'!P36=0,"",'3.Plan de Estudios'!P36)</f>
        <v/>
      </c>
    </row>
    <row r="25" spans="2:8" hidden="1">
      <c r="B25" s="385">
        <f>IF('3.Plan de Estudios'!B37="","",'3.Plan de Estudios'!B37)</f>
        <v>2</v>
      </c>
      <c r="C25" s="385" t="str">
        <f>IF('3.Plan de Estudios'!C37="","",'3.Plan de Estudios'!C37)</f>
        <v/>
      </c>
      <c r="D25" s="386" t="str">
        <f>IF('3.Plan de Estudios'!E37="","",'3.Plan de Estudios'!E37)</f>
        <v/>
      </c>
      <c r="E25" s="305"/>
      <c r="F25" s="305"/>
      <c r="G25" s="579" t="s">
        <v>244</v>
      </c>
      <c r="H25" s="388" t="str">
        <f>IF('3.Plan de Estudios'!P37=0,"",'3.Plan de Estudios'!P37)</f>
        <v/>
      </c>
    </row>
    <row r="26" spans="2:8" hidden="1">
      <c r="B26" s="385">
        <f>IF('3.Plan de Estudios'!B38="","",'3.Plan de Estudios'!B38)</f>
        <v>2</v>
      </c>
      <c r="C26" s="385" t="str">
        <f>IF('3.Plan de Estudios'!C38="","",'3.Plan de Estudios'!C38)</f>
        <v/>
      </c>
      <c r="D26" s="386" t="str">
        <f>IF('3.Plan de Estudios'!E38="","",'3.Plan de Estudios'!E38)</f>
        <v/>
      </c>
      <c r="E26" s="305"/>
      <c r="F26" s="305"/>
      <c r="G26" s="579" t="s">
        <v>244</v>
      </c>
      <c r="H26" s="388" t="str">
        <f>IF('3.Plan de Estudios'!P38=0,"",'3.Plan de Estudios'!P38)</f>
        <v/>
      </c>
    </row>
    <row r="27" spans="2:8" hidden="1">
      <c r="B27" s="385">
        <f>IF('3.Plan de Estudios'!B39="","",'3.Plan de Estudios'!B39)</f>
        <v>2</v>
      </c>
      <c r="C27" s="385" t="str">
        <f>IF('3.Plan de Estudios'!C39="","",'3.Plan de Estudios'!C39)</f>
        <v/>
      </c>
      <c r="D27" s="386" t="str">
        <f>IF('3.Plan de Estudios'!E39="","",'3.Plan de Estudios'!E39)</f>
        <v/>
      </c>
      <c r="E27" s="305"/>
      <c r="F27" s="305"/>
      <c r="G27" s="579" t="s">
        <v>244</v>
      </c>
      <c r="H27" s="388" t="str">
        <f>IF('3.Plan de Estudios'!P39=0,"",'3.Plan de Estudios'!P39)</f>
        <v/>
      </c>
    </row>
    <row r="28" spans="2:8" ht="72">
      <c r="B28" s="385">
        <f>IF('3.Plan de Estudios'!B41="","",'3.Plan de Estudios'!B41)</f>
        <v>3</v>
      </c>
      <c r="C28" s="385" t="str">
        <f>IF('3.Plan de Estudios'!C41="","",'3.Plan de Estudios'!C41)</f>
        <v>ENG42087</v>
      </c>
      <c r="D28" s="386" t="str">
        <f>IF('3.Plan de Estudios'!E41="","",'3.Plan de Estudios'!E41)</f>
        <v>ENGLISH III</v>
      </c>
      <c r="E28" s="305"/>
      <c r="F28" s="305"/>
      <c r="G28" s="579" t="s">
        <v>1036</v>
      </c>
      <c r="H28" s="388">
        <f>IF('3.Plan de Estudios'!P41=0,"",'3.Plan de Estudios'!P41)</f>
        <v>4</v>
      </c>
    </row>
    <row r="29" spans="2:8" ht="84">
      <c r="B29" s="385">
        <f>IF('3.Plan de Estudios'!B42="","",'3.Plan de Estudios'!B42)</f>
        <v>3</v>
      </c>
      <c r="C29" s="385" t="str">
        <f>IF('3.Plan de Estudios'!C42="","",'3.Plan de Estudios'!C42)</f>
        <v>EST41016</v>
      </c>
      <c r="D29" s="386" t="str">
        <f>IF('3.Plan de Estudios'!E42="","",'3.Plan de Estudios'!E42)</f>
        <v>ESTADÍSTICA GENERAL</v>
      </c>
      <c r="E29" s="305"/>
      <c r="F29" s="305"/>
      <c r="G29" s="579" t="s">
        <v>1037</v>
      </c>
      <c r="H29" s="388">
        <f>IF('3.Plan de Estudios'!P42=0,"",'3.Plan de Estudios'!P42)</f>
        <v>4</v>
      </c>
    </row>
    <row r="30" spans="2:8" ht="96">
      <c r="B30" s="385">
        <f>IF('3.Plan de Estudios'!B43="","",'3.Plan de Estudios'!B43)</f>
        <v>3</v>
      </c>
      <c r="C30" s="385" t="str">
        <f>IF('3.Plan de Estudios'!C43="","",'3.Plan de Estudios'!C43)</f>
        <v>API51001</v>
      </c>
      <c r="D30" s="386" t="str">
        <f>IF('3.Plan de Estudios'!E43="","",'3.Plan de Estudios'!E43)</f>
        <v>INFORMÁTICA APLICADA A LA EDUCACIÓN</v>
      </c>
      <c r="E30" s="305"/>
      <c r="F30" s="305"/>
      <c r="G30" s="579" t="s">
        <v>1038</v>
      </c>
      <c r="H30" s="388">
        <f>IF('3.Plan de Estudios'!P43=0,"",'3.Plan de Estudios'!P43)</f>
        <v>2</v>
      </c>
    </row>
    <row r="31" spans="2:8" ht="60">
      <c r="B31" s="385">
        <f>IF('3.Plan de Estudios'!B44="","",'3.Plan de Estudios'!B44)</f>
        <v>3</v>
      </c>
      <c r="C31" s="385" t="str">
        <f>IF('3.Plan de Estudios'!C44="","",'3.Plan de Estudios'!C44)</f>
        <v>COM43009</v>
      </c>
      <c r="D31" s="386" t="str">
        <f>IF('3.Plan de Estudios'!E44="","",'3.Plan de Estudios'!E44)</f>
        <v>INTERPRETACIÓN DE TEXTOS</v>
      </c>
      <c r="E31" s="305"/>
      <c r="F31" s="305"/>
      <c r="G31" s="579" t="s">
        <v>1039</v>
      </c>
      <c r="H31" s="388">
        <f>IF('3.Plan de Estudios'!P44=0,"",'3.Plan de Estudios'!P44)</f>
        <v>4</v>
      </c>
    </row>
    <row r="32" spans="2:8" ht="72">
      <c r="B32" s="385">
        <f>IF('3.Plan de Estudios'!B45="","",'3.Plan de Estudios'!B45)</f>
        <v>3</v>
      </c>
      <c r="C32" s="385" t="str">
        <f>IF('3.Plan de Estudios'!C45="","",'3.Plan de Estudios'!C45)</f>
        <v>GLB41002</v>
      </c>
      <c r="D32" s="386" t="str">
        <f>IF('3.Plan de Estudios'!E45="","",'3.Plan de Estudios'!E45)</f>
        <v>REALIDAD NACIONAL Y GLOBALIZACIÓN</v>
      </c>
      <c r="E32" s="305"/>
      <c r="F32" s="305"/>
      <c r="G32" s="579" t="s">
        <v>1040</v>
      </c>
      <c r="H32" s="388">
        <f>IF('3.Plan de Estudios'!P45=0,"",'3.Plan de Estudios'!P45)</f>
        <v>4</v>
      </c>
    </row>
    <row r="33" spans="2:8" ht="60">
      <c r="B33" s="385">
        <f>IF('3.Plan de Estudios'!B46="","",'3.Plan de Estudios'!B46)</f>
        <v>3</v>
      </c>
      <c r="C33" s="385" t="str">
        <f>IF('3.Plan de Estudios'!C46="","",'3.Plan de Estudios'!C46)</f>
        <v>EDG51002</v>
      </c>
      <c r="D33" s="386" t="str">
        <f>IF('3.Plan de Estudios'!E46="","",'3.Plan de Estudios'!E46)</f>
        <v>TEORÍA DE LA EDUCACIÓN</v>
      </c>
      <c r="E33" s="305"/>
      <c r="F33" s="305"/>
      <c r="G33" s="579" t="s">
        <v>1041</v>
      </c>
      <c r="H33" s="388">
        <f>IF('3.Plan de Estudios'!P46=0,"",'3.Plan de Estudios'!P46)</f>
        <v>2</v>
      </c>
    </row>
    <row r="34" spans="2:8" hidden="1">
      <c r="B34" s="385">
        <f>IF('3.Plan de Estudios'!B47="","",'3.Plan de Estudios'!B47)</f>
        <v>3</v>
      </c>
      <c r="C34" s="385" t="str">
        <f>IF('3.Plan de Estudios'!C47="","",'3.Plan de Estudios'!C47)</f>
        <v/>
      </c>
      <c r="D34" s="386" t="str">
        <f>IF('3.Plan de Estudios'!E47="","",'3.Plan de Estudios'!E47)</f>
        <v/>
      </c>
      <c r="E34" s="305"/>
      <c r="F34" s="305"/>
      <c r="G34" s="579" t="s">
        <v>244</v>
      </c>
      <c r="H34" s="388" t="str">
        <f>IF('3.Plan de Estudios'!P47=0,"",'3.Plan de Estudios'!P47)</f>
        <v/>
      </c>
    </row>
    <row r="35" spans="2:8" hidden="1">
      <c r="B35" s="385">
        <f>IF('3.Plan de Estudios'!B48="","",'3.Plan de Estudios'!B48)</f>
        <v>3</v>
      </c>
      <c r="C35" s="385" t="str">
        <f>IF('3.Plan de Estudios'!C48="","",'3.Plan de Estudios'!C48)</f>
        <v/>
      </c>
      <c r="D35" s="386" t="str">
        <f>IF('3.Plan de Estudios'!E48="","",'3.Plan de Estudios'!E48)</f>
        <v/>
      </c>
      <c r="E35" s="305"/>
      <c r="F35" s="305"/>
      <c r="G35" s="579" t="s">
        <v>244</v>
      </c>
      <c r="H35" s="388" t="str">
        <f>IF('3.Plan de Estudios'!P48=0,"",'3.Plan de Estudios'!P48)</f>
        <v/>
      </c>
    </row>
    <row r="36" spans="2:8" hidden="1">
      <c r="B36" s="385">
        <f>IF('3.Plan de Estudios'!B49="","",'3.Plan de Estudios'!B49)</f>
        <v>3</v>
      </c>
      <c r="C36" s="385" t="str">
        <f>IF('3.Plan de Estudios'!C49="","",'3.Plan de Estudios'!C49)</f>
        <v/>
      </c>
      <c r="D36" s="386" t="str">
        <f>IF('3.Plan de Estudios'!E49="","",'3.Plan de Estudios'!E49)</f>
        <v/>
      </c>
      <c r="E36" s="305"/>
      <c r="F36" s="305"/>
      <c r="G36" s="579" t="s">
        <v>244</v>
      </c>
      <c r="H36" s="388" t="str">
        <f>IF('3.Plan de Estudios'!P49=0,"",'3.Plan de Estudios'!P49)</f>
        <v/>
      </c>
    </row>
    <row r="37" spans="2:8" hidden="1">
      <c r="B37" s="385">
        <f>IF('3.Plan de Estudios'!B50="","",'3.Plan de Estudios'!B50)</f>
        <v>3</v>
      </c>
      <c r="C37" s="385" t="str">
        <f>IF('3.Plan de Estudios'!C50="","",'3.Plan de Estudios'!C50)</f>
        <v/>
      </c>
      <c r="D37" s="386" t="str">
        <f>IF('3.Plan de Estudios'!E50="","",'3.Plan de Estudios'!E50)</f>
        <v/>
      </c>
      <c r="E37" s="305"/>
      <c r="F37" s="305"/>
      <c r="G37" s="579" t="s">
        <v>244</v>
      </c>
      <c r="H37" s="388" t="str">
        <f>IF('3.Plan de Estudios'!P50=0,"",'3.Plan de Estudios'!P50)</f>
        <v/>
      </c>
    </row>
    <row r="38" spans="2:8" ht="84">
      <c r="B38" s="385">
        <f>IF('3.Plan de Estudios'!B52="","",'3.Plan de Estudios'!B52)</f>
        <v>4</v>
      </c>
      <c r="C38" s="385" t="str">
        <f>IF('3.Plan de Estudios'!C52="","",'3.Plan de Estudios'!C52)</f>
        <v>EDG51015</v>
      </c>
      <c r="D38" s="386" t="str">
        <f>IF('3.Plan de Estudios'!E52="","",'3.Plan de Estudios'!E52)</f>
        <v>DISEÑO Y PROGRAMACIÓN CURRICULAR</v>
      </c>
      <c r="E38" s="305"/>
      <c r="F38" s="305"/>
      <c r="G38" s="579" t="s">
        <v>1042</v>
      </c>
      <c r="H38" s="388">
        <f>IF('3.Plan de Estudios'!P52=0,"",'3.Plan de Estudios'!P52)</f>
        <v>4</v>
      </c>
    </row>
    <row r="39" spans="2:8" ht="72">
      <c r="B39" s="385">
        <f>IF('3.Plan de Estudios'!B53="","",'3.Plan de Estudios'!B53)</f>
        <v>4</v>
      </c>
      <c r="C39" s="385" t="str">
        <f>IF('3.Plan de Estudios'!C53="","",'3.Plan de Estudios'!C53)</f>
        <v>ENG42089</v>
      </c>
      <c r="D39" s="386" t="str">
        <f>IF('3.Plan de Estudios'!E53="","",'3.Plan de Estudios'!E53)</f>
        <v>ENGLISH IV</v>
      </c>
      <c r="E39" s="305"/>
      <c r="F39" s="305"/>
      <c r="G39" s="579" t="s">
        <v>1043</v>
      </c>
      <c r="H39" s="388">
        <f>IF('3.Plan de Estudios'!P53=0,"",'3.Plan de Estudios'!P53)</f>
        <v>4</v>
      </c>
    </row>
    <row r="40" spans="2:8" ht="84">
      <c r="B40" s="385">
        <f>IF('3.Plan de Estudios'!B54="","",'3.Plan de Estudios'!B54)</f>
        <v>4</v>
      </c>
      <c r="C40" s="385" t="str">
        <f>IF('3.Plan de Estudios'!C54="","",'3.Plan de Estudios'!C54)</f>
        <v>ENG53009</v>
      </c>
      <c r="D40" s="386" t="str">
        <f>IF('3.Plan de Estudios'!E54="","",'3.Plan de Estudios'!E54)</f>
        <v>ENGLISH VOCABULARY</v>
      </c>
      <c r="E40" s="305"/>
      <c r="F40" s="305"/>
      <c r="G40" s="579" t="s">
        <v>1044</v>
      </c>
      <c r="H40" s="388">
        <f>IF('3.Plan de Estudios'!P54=0,"",'3.Plan de Estudios'!P54)</f>
        <v>4</v>
      </c>
    </row>
    <row r="41" spans="2:8" ht="96">
      <c r="B41" s="385">
        <f>IF('3.Plan de Estudios'!B55="","",'3.Plan de Estudios'!B55)</f>
        <v>4</v>
      </c>
      <c r="C41" s="385" t="str">
        <f>IF('3.Plan de Estudios'!C55="","",'3.Plan de Estudios'!C55)</f>
        <v>INV51002</v>
      </c>
      <c r="D41" s="386" t="str">
        <f>IF('3.Plan de Estudios'!E55="","",'3.Plan de Estudios'!E55)</f>
        <v>METODOLOGÍA DE LA INVESTIGACIÓN</v>
      </c>
      <c r="E41" s="305"/>
      <c r="F41" s="305"/>
      <c r="G41" s="579" t="s">
        <v>1045</v>
      </c>
      <c r="H41" s="388">
        <f>IF('3.Plan de Estudios'!P55=0,"",'3.Plan de Estudios'!P55)</f>
        <v>4</v>
      </c>
    </row>
    <row r="42" spans="2:8" ht="144">
      <c r="B42" s="385">
        <f>IF('3.Plan de Estudios'!B56="","",'3.Plan de Estudios'!B56)</f>
        <v>4</v>
      </c>
      <c r="C42" s="385" t="str">
        <f>IF('3.Plan de Estudios'!C56="","",'3.Plan de Estudios'!C56)</f>
        <v>ECO51012</v>
      </c>
      <c r="D42" s="386" t="str">
        <f>IF('3.Plan de Estudios'!E56="","",'3.Plan de Estudios'!E56)</f>
        <v>PRINCIPIOS DE ECONOMÍA</v>
      </c>
      <c r="E42" s="305"/>
      <c r="F42" s="305"/>
      <c r="G42" s="579" t="s">
        <v>1046</v>
      </c>
      <c r="H42" s="388">
        <f>IF('3.Plan de Estudios'!P56=0,"",'3.Plan de Estudios'!P56)</f>
        <v>4</v>
      </c>
    </row>
    <row r="43" spans="2:8" hidden="1">
      <c r="B43" s="385">
        <f>IF('3.Plan de Estudios'!B57="","",'3.Plan de Estudios'!B57)</f>
        <v>4</v>
      </c>
      <c r="C43" s="385" t="str">
        <f>IF('3.Plan de Estudios'!C57="","",'3.Plan de Estudios'!C57)</f>
        <v/>
      </c>
      <c r="D43" s="386" t="str">
        <f>IF('3.Plan de Estudios'!E57="","",'3.Plan de Estudios'!E57)</f>
        <v/>
      </c>
      <c r="E43" s="305"/>
      <c r="F43" s="305"/>
      <c r="G43" s="579" t="s">
        <v>244</v>
      </c>
      <c r="H43" s="388" t="str">
        <f>IF('3.Plan de Estudios'!P57=0,"",'3.Plan de Estudios'!P57)</f>
        <v/>
      </c>
    </row>
    <row r="44" spans="2:8" hidden="1">
      <c r="B44" s="385">
        <f>IF('3.Plan de Estudios'!B58="","",'3.Plan de Estudios'!B58)</f>
        <v>4</v>
      </c>
      <c r="C44" s="385" t="str">
        <f>IF('3.Plan de Estudios'!C58="","",'3.Plan de Estudios'!C58)</f>
        <v/>
      </c>
      <c r="D44" s="386" t="str">
        <f>IF('3.Plan de Estudios'!E58="","",'3.Plan de Estudios'!E58)</f>
        <v/>
      </c>
      <c r="E44" s="305"/>
      <c r="F44" s="305"/>
      <c r="G44" s="579" t="s">
        <v>244</v>
      </c>
      <c r="H44" s="388" t="str">
        <f>IF('3.Plan de Estudios'!P58=0,"",'3.Plan de Estudios'!P58)</f>
        <v/>
      </c>
    </row>
    <row r="45" spans="2:8" hidden="1">
      <c r="B45" s="385">
        <f>IF('3.Plan de Estudios'!B59="","",'3.Plan de Estudios'!B59)</f>
        <v>4</v>
      </c>
      <c r="C45" s="385" t="str">
        <f>IF('3.Plan de Estudios'!C59="","",'3.Plan de Estudios'!C59)</f>
        <v/>
      </c>
      <c r="D45" s="386" t="str">
        <f>IF('3.Plan de Estudios'!E59="","",'3.Plan de Estudios'!E59)</f>
        <v/>
      </c>
      <c r="E45" s="305"/>
      <c r="F45" s="305"/>
      <c r="G45" s="579" t="s">
        <v>244</v>
      </c>
      <c r="H45" s="388" t="str">
        <f>IF('3.Plan de Estudios'!P59=0,"",'3.Plan de Estudios'!P59)</f>
        <v/>
      </c>
    </row>
    <row r="46" spans="2:8" hidden="1">
      <c r="B46" s="385">
        <f>IF('3.Plan de Estudios'!B60="","",'3.Plan de Estudios'!B60)</f>
        <v>4</v>
      </c>
      <c r="C46" s="385" t="str">
        <f>IF('3.Plan de Estudios'!C60="","",'3.Plan de Estudios'!C60)</f>
        <v/>
      </c>
      <c r="D46" s="386" t="str">
        <f>IF('3.Plan de Estudios'!E60="","",'3.Plan de Estudios'!E60)</f>
        <v/>
      </c>
      <c r="E46" s="305"/>
      <c r="F46" s="305"/>
      <c r="G46" s="579" t="s">
        <v>244</v>
      </c>
      <c r="H46" s="388" t="str">
        <f>IF('3.Plan de Estudios'!P60=0,"",'3.Plan de Estudios'!P60)</f>
        <v/>
      </c>
    </row>
    <row r="47" spans="2:8" hidden="1">
      <c r="B47" s="385">
        <f>IF('3.Plan de Estudios'!B61="","",'3.Plan de Estudios'!B61)</f>
        <v>4</v>
      </c>
      <c r="C47" s="385" t="str">
        <f>IF('3.Plan de Estudios'!C61="","",'3.Plan de Estudios'!C61)</f>
        <v/>
      </c>
      <c r="D47" s="386" t="str">
        <f>IF('3.Plan de Estudios'!E61="","",'3.Plan de Estudios'!E61)</f>
        <v/>
      </c>
      <c r="E47" s="305"/>
      <c r="F47" s="305"/>
      <c r="G47" s="579" t="s">
        <v>244</v>
      </c>
      <c r="H47" s="388" t="str">
        <f>IF('3.Plan de Estudios'!P61=0,"",'3.Plan de Estudios'!P61)</f>
        <v/>
      </c>
    </row>
    <row r="48" spans="2:8" ht="72">
      <c r="B48" s="385">
        <f>IF('3.Plan de Estudios'!B63="","",'3.Plan de Estudios'!B63)</f>
        <v>5</v>
      </c>
      <c r="C48" s="385" t="str">
        <f>IF('3.Plan de Estudios'!C63="","",'3.Plan de Estudios'!C63)</f>
        <v>ENG42091</v>
      </c>
      <c r="D48" s="386" t="str">
        <f>IF('3.Plan de Estudios'!E63="","",'3.Plan de Estudios'!E63)</f>
        <v>ENGLISH V</v>
      </c>
      <c r="E48" s="305"/>
      <c r="F48" s="305"/>
      <c r="G48" s="579" t="s">
        <v>1047</v>
      </c>
      <c r="H48" s="388">
        <f>IF('3.Plan de Estudios'!P63=0,"",'3.Plan de Estudios'!P63)</f>
        <v>4</v>
      </c>
    </row>
    <row r="49" spans="2:8" ht="72">
      <c r="B49" s="385">
        <f>IF('3.Plan de Estudios'!B64="","",'3.Plan de Estudios'!B64)</f>
        <v>5</v>
      </c>
      <c r="C49" s="385" t="str">
        <f>IF('3.Plan de Estudios'!C64="","",'3.Plan de Estudios'!C64)</f>
        <v>EDG62026</v>
      </c>
      <c r="D49" s="386" t="str">
        <f>IF('3.Plan de Estudios'!E64="","",'3.Plan de Estudios'!E64)</f>
        <v>ESTRATEGIAS DE ENSEÑANZA APRENDIZAJE</v>
      </c>
      <c r="E49" s="305"/>
      <c r="F49" s="305"/>
      <c r="G49" s="579" t="s">
        <v>1048</v>
      </c>
      <c r="H49" s="388">
        <f>IF('3.Plan de Estudios'!P64=0,"",'3.Plan de Estudios'!P64)</f>
        <v>4</v>
      </c>
    </row>
    <row r="50" spans="2:8" ht="84">
      <c r="B50" s="385">
        <f>IF('3.Plan de Estudios'!B65="","",'3.Plan de Estudios'!B65)</f>
        <v>5</v>
      </c>
      <c r="C50" s="385" t="str">
        <f>IF('3.Plan de Estudios'!C65="","",'3.Plan de Estudios'!C65)</f>
        <v>ETM41007</v>
      </c>
      <c r="D50" s="386" t="str">
        <f>IF('3.Plan de Estudios'!E65="","",'3.Plan de Estudios'!E65)</f>
        <v>ÉTICA Y CIUDADANÍA</v>
      </c>
      <c r="E50" s="305"/>
      <c r="F50" s="305"/>
      <c r="G50" s="579" t="s">
        <v>1049</v>
      </c>
      <c r="H50" s="388">
        <f>IF('3.Plan de Estudios'!P65=0,"",'3.Plan de Estudios'!P65)</f>
        <v>3</v>
      </c>
    </row>
    <row r="51" spans="2:8" ht="84">
      <c r="B51" s="385">
        <f>IF('3.Plan de Estudios'!B66="","",'3.Plan de Estudios'!B66)</f>
        <v>5</v>
      </c>
      <c r="C51" s="385" t="str">
        <f>IF('3.Plan de Estudios'!C66="","",'3.Plan de Estudios'!C66)</f>
        <v>ESE61015</v>
      </c>
      <c r="D51" s="386" t="str">
        <f>IF('3.Plan de Estudios'!E66="","",'3.Plan de Estudios'!E66)</f>
        <v>FOUNDATIONS OF GENERAL LINGUISTICS</v>
      </c>
      <c r="E51" s="305"/>
      <c r="F51" s="305"/>
      <c r="G51" s="579" t="s">
        <v>1050</v>
      </c>
      <c r="H51" s="388">
        <f>IF('3.Plan de Estudios'!P66=0,"",'3.Plan de Estudios'!P66)</f>
        <v>4</v>
      </c>
    </row>
    <row r="52" spans="2:8" ht="84">
      <c r="B52" s="385">
        <f>IF('3.Plan de Estudios'!B67="","",'3.Plan de Estudios'!B67)</f>
        <v>5</v>
      </c>
      <c r="C52" s="385" t="str">
        <f>IF('3.Plan de Estudios'!C67="","",'3.Plan de Estudios'!C67)</f>
        <v>FIN42006</v>
      </c>
      <c r="D52" s="386" t="str">
        <f>IF('3.Plan de Estudios'!E67="","",'3.Plan de Estudios'!E67)</f>
        <v>FUNDAMENTOS DE LAS FINANZAS</v>
      </c>
      <c r="E52" s="305"/>
      <c r="F52" s="305"/>
      <c r="G52" s="579" t="s">
        <v>1051</v>
      </c>
      <c r="H52" s="388">
        <f>IF('3.Plan de Estudios'!P67=0,"",'3.Plan de Estudios'!P67)</f>
        <v>4</v>
      </c>
    </row>
    <row r="53" spans="2:8" ht="84">
      <c r="B53" s="385">
        <f>IF('3.Plan de Estudios'!B68="","",'3.Plan de Estudios'!B68)</f>
        <v>5</v>
      </c>
      <c r="C53" s="385" t="str">
        <f>IF('3.Plan de Estudios'!C68="","",'3.Plan de Estudios'!C68)</f>
        <v>PSI52006</v>
      </c>
      <c r="D53" s="386" t="str">
        <f>IF('3.Plan de Estudios'!E68="","",'3.Plan de Estudios'!E68)</f>
        <v>PSICOLOGÍA EVOLUTIVA PARA EDUCACIÓN</v>
      </c>
      <c r="E53" s="305"/>
      <c r="F53" s="305"/>
      <c r="G53" s="579" t="s">
        <v>1052</v>
      </c>
      <c r="H53" s="388">
        <f>IF('3.Plan de Estudios'!P68=0,"",'3.Plan de Estudios'!P68)</f>
        <v>2</v>
      </c>
    </row>
    <row r="54" spans="2:8" hidden="1">
      <c r="B54" s="385">
        <f>IF('3.Plan de Estudios'!B69="","",'3.Plan de Estudios'!B69)</f>
        <v>5</v>
      </c>
      <c r="C54" s="385" t="str">
        <f>IF('3.Plan de Estudios'!C69="","",'3.Plan de Estudios'!C69)</f>
        <v/>
      </c>
      <c r="D54" s="386" t="str">
        <f>IF('3.Plan de Estudios'!E69="","",'3.Plan de Estudios'!E69)</f>
        <v/>
      </c>
      <c r="E54" s="305"/>
      <c r="F54" s="305"/>
      <c r="G54" s="579" t="s">
        <v>244</v>
      </c>
      <c r="H54" s="388" t="str">
        <f>IF('3.Plan de Estudios'!P69=0,"",'3.Plan de Estudios'!P69)</f>
        <v/>
      </c>
    </row>
    <row r="55" spans="2:8" hidden="1">
      <c r="B55" s="385">
        <f>IF('3.Plan de Estudios'!B70="","",'3.Plan de Estudios'!B70)</f>
        <v>5</v>
      </c>
      <c r="C55" s="385" t="str">
        <f>IF('3.Plan de Estudios'!C70="","",'3.Plan de Estudios'!C70)</f>
        <v/>
      </c>
      <c r="D55" s="386" t="str">
        <f>IF('3.Plan de Estudios'!E70="","",'3.Plan de Estudios'!E70)</f>
        <v/>
      </c>
      <c r="E55" s="305"/>
      <c r="F55" s="305"/>
      <c r="G55" s="579" t="s">
        <v>244</v>
      </c>
      <c r="H55" s="388" t="str">
        <f>IF('3.Plan de Estudios'!P70=0,"",'3.Plan de Estudios'!P70)</f>
        <v/>
      </c>
    </row>
    <row r="56" spans="2:8" hidden="1">
      <c r="B56" s="385">
        <f>IF('3.Plan de Estudios'!B71="","",'3.Plan de Estudios'!B71)</f>
        <v>5</v>
      </c>
      <c r="C56" s="385" t="str">
        <f>IF('3.Plan de Estudios'!C71="","",'3.Plan de Estudios'!C71)</f>
        <v/>
      </c>
      <c r="D56" s="386" t="str">
        <f>IF('3.Plan de Estudios'!E71="","",'3.Plan de Estudios'!E71)</f>
        <v/>
      </c>
      <c r="E56" s="305"/>
      <c r="F56" s="305"/>
      <c r="G56" s="579" t="s">
        <v>244</v>
      </c>
      <c r="H56" s="388" t="str">
        <f>IF('3.Plan de Estudios'!P71=0,"",'3.Plan de Estudios'!P71)</f>
        <v/>
      </c>
    </row>
    <row r="57" spans="2:8" hidden="1">
      <c r="B57" s="385">
        <f>IF('3.Plan de Estudios'!B72="","",'3.Plan de Estudios'!B72)</f>
        <v>5</v>
      </c>
      <c r="C57" s="385" t="str">
        <f>IF('3.Plan de Estudios'!C72="","",'3.Plan de Estudios'!C72)</f>
        <v/>
      </c>
      <c r="D57" s="386" t="str">
        <f>IF('3.Plan de Estudios'!E72="","",'3.Plan de Estudios'!E72)</f>
        <v/>
      </c>
      <c r="E57" s="305"/>
      <c r="F57" s="305"/>
      <c r="G57" s="579" t="s">
        <v>244</v>
      </c>
      <c r="H57" s="388" t="str">
        <f>IF('3.Plan de Estudios'!P72=0,"",'3.Plan de Estudios'!P72)</f>
        <v/>
      </c>
    </row>
    <row r="58" spans="2:8" ht="60">
      <c r="B58" s="385">
        <f>IF('3.Plan de Estudios'!B74="","",'3.Plan de Estudios'!B74)</f>
        <v>6</v>
      </c>
      <c r="C58" s="385" t="str">
        <f>IF('3.Plan de Estudios'!C74="","",'3.Plan de Estudios'!C74)</f>
        <v>ENG53008</v>
      </c>
      <c r="D58" s="386" t="str">
        <f>IF('3.Plan de Estudios'!E74="","",'3.Plan de Estudios'!E74)</f>
        <v>ENGLISH LANGUAGE PHONETICS</v>
      </c>
      <c r="E58" s="305"/>
      <c r="F58" s="305"/>
      <c r="G58" s="579" t="s">
        <v>1053</v>
      </c>
      <c r="H58" s="388">
        <f>IF('3.Plan de Estudios'!P74=0,"",'3.Plan de Estudios'!P74)</f>
        <v>4</v>
      </c>
    </row>
    <row r="59" spans="2:8" ht="72">
      <c r="B59" s="385">
        <f>IF('3.Plan de Estudios'!B75="","",'3.Plan de Estudios'!B75)</f>
        <v>6</v>
      </c>
      <c r="C59" s="385" t="str">
        <f>IF('3.Plan de Estudios'!C75="","",'3.Plan de Estudios'!C75)</f>
        <v>ENG42093</v>
      </c>
      <c r="D59" s="386" t="str">
        <f>IF('3.Plan de Estudios'!E75="","",'3.Plan de Estudios'!E75)</f>
        <v>ENGLISH VI: RREL</v>
      </c>
      <c r="E59" s="305"/>
      <c r="F59" s="305"/>
      <c r="G59" s="579" t="s">
        <v>1054</v>
      </c>
      <c r="H59" s="388">
        <f>IF('3.Plan de Estudios'!P75=0,"",'3.Plan de Estudios'!P75)</f>
        <v>3</v>
      </c>
    </row>
    <row r="60" spans="2:8" ht="96">
      <c r="B60" s="385">
        <f>IF('3.Plan de Estudios'!B76="","",'3.Plan de Estudios'!B76)</f>
        <v>6</v>
      </c>
      <c r="C60" s="385" t="str">
        <f>IF('3.Plan de Estudios'!C76="","",'3.Plan de Estudios'!C76)</f>
        <v>GES66021</v>
      </c>
      <c r="D60" s="386" t="str">
        <f>IF('3.Plan de Estudios'!E76="","",'3.Plan de Estudios'!E76)</f>
        <v>GERENCIA DE INSTITUCIONES EDUCATIVAS</v>
      </c>
      <c r="E60" s="305"/>
      <c r="F60" s="305"/>
      <c r="G60" s="579" t="s">
        <v>1055</v>
      </c>
      <c r="H60" s="388">
        <f>IF('3.Plan de Estudios'!P76=0,"",'3.Plan de Estudios'!P76)</f>
        <v>4</v>
      </c>
    </row>
    <row r="61" spans="2:8" ht="96">
      <c r="B61" s="385">
        <f>IF('3.Plan de Estudios'!B77="","",'3.Plan de Estudios'!B77)</f>
        <v>6</v>
      </c>
      <c r="C61" s="385" t="str">
        <f>IF('3.Plan de Estudios'!C77="","",'3.Plan de Estudios'!C77)</f>
        <v>ENG41003</v>
      </c>
      <c r="D61" s="386" t="str">
        <f>IF('3.Plan de Estudios'!E77="","",'3.Plan de Estudios'!E77)</f>
        <v>PUBLIC SPEAKING</v>
      </c>
      <c r="E61" s="305"/>
      <c r="F61" s="305"/>
      <c r="G61" s="579" t="s">
        <v>1056</v>
      </c>
      <c r="H61" s="388">
        <f>IF('3.Plan de Estudios'!P77=0,"",'3.Plan de Estudios'!P77)</f>
        <v>4</v>
      </c>
    </row>
    <row r="62" spans="2:8" ht="96">
      <c r="B62" s="385">
        <f>IF('3.Plan de Estudios'!B78="","",'3.Plan de Estudios'!B78)</f>
        <v>6</v>
      </c>
      <c r="C62" s="385" t="str">
        <f>IF('3.Plan de Estudios'!C78="","",'3.Plan de Estudios'!C78)</f>
        <v>ESE61020</v>
      </c>
      <c r="D62" s="386" t="str">
        <f>IF('3.Plan de Estudios'!E78="","",'3.Plan de Estudios'!E78)</f>
        <v>SOFTWARE EDUCATIVO</v>
      </c>
      <c r="E62" s="305"/>
      <c r="F62" s="305"/>
      <c r="G62" s="579" t="s">
        <v>1057</v>
      </c>
      <c r="H62" s="388">
        <f>IF('3.Plan de Estudios'!P78=0,"",'3.Plan de Estudios'!P78)</f>
        <v>2</v>
      </c>
    </row>
    <row r="63" spans="2:8" ht="72">
      <c r="B63" s="385">
        <f>IF('3.Plan de Estudios'!B79="","",'3.Plan de Estudios'!B79)</f>
        <v>6</v>
      </c>
      <c r="C63" s="385" t="str">
        <f>IF('3.Plan de Estudios'!C79="","",'3.Plan de Estudios'!C79)</f>
        <v>ESE61021</v>
      </c>
      <c r="D63" s="386" t="str">
        <f>IF('3.Plan de Estudios'!E79="","",'3.Plan de Estudios'!E79)</f>
        <v>TEACHING ENGLISH AS SECOND LANGUAGE: METHODS &amp; S. I</v>
      </c>
      <c r="E63" s="305"/>
      <c r="F63" s="305"/>
      <c r="G63" s="579" t="s">
        <v>1058</v>
      </c>
      <c r="H63" s="388">
        <f>IF('3.Plan de Estudios'!P79=0,"",'3.Plan de Estudios'!P79)</f>
        <v>4</v>
      </c>
    </row>
    <row r="64" spans="2:8" hidden="1">
      <c r="B64" s="385">
        <f>IF('3.Plan de Estudios'!B80="","",'3.Plan de Estudios'!B80)</f>
        <v>6</v>
      </c>
      <c r="C64" s="385" t="str">
        <f>IF('3.Plan de Estudios'!C80="","",'3.Plan de Estudios'!C80)</f>
        <v/>
      </c>
      <c r="D64" s="386" t="str">
        <f>IF('3.Plan de Estudios'!E80="","",'3.Plan de Estudios'!E80)</f>
        <v/>
      </c>
      <c r="E64" s="305"/>
      <c r="F64" s="305"/>
      <c r="G64" s="579" t="s">
        <v>244</v>
      </c>
      <c r="H64" s="388" t="str">
        <f>IF('3.Plan de Estudios'!P80=0,"",'3.Plan de Estudios'!P80)</f>
        <v/>
      </c>
    </row>
    <row r="65" spans="2:8" hidden="1">
      <c r="B65" s="385">
        <f>IF('3.Plan de Estudios'!B81="","",'3.Plan de Estudios'!B81)</f>
        <v>6</v>
      </c>
      <c r="C65" s="385" t="str">
        <f>IF('3.Plan de Estudios'!C81="","",'3.Plan de Estudios'!C81)</f>
        <v/>
      </c>
      <c r="D65" s="386" t="str">
        <f>IF('3.Plan de Estudios'!E81="","",'3.Plan de Estudios'!E81)</f>
        <v/>
      </c>
      <c r="E65" s="305"/>
      <c r="F65" s="305"/>
      <c r="G65" s="579" t="s">
        <v>244</v>
      </c>
      <c r="H65" s="388" t="str">
        <f>IF('3.Plan de Estudios'!P81=0,"",'3.Plan de Estudios'!P81)</f>
        <v/>
      </c>
    </row>
    <row r="66" spans="2:8" hidden="1">
      <c r="B66" s="385">
        <f>IF('3.Plan de Estudios'!B82="","",'3.Plan de Estudios'!B82)</f>
        <v>6</v>
      </c>
      <c r="C66" s="385" t="str">
        <f>IF('3.Plan de Estudios'!C82="","",'3.Plan de Estudios'!C82)</f>
        <v/>
      </c>
      <c r="D66" s="386" t="str">
        <f>IF('3.Plan de Estudios'!E82="","",'3.Plan de Estudios'!E82)</f>
        <v/>
      </c>
      <c r="E66" s="305"/>
      <c r="F66" s="305"/>
      <c r="G66" s="579" t="s">
        <v>244</v>
      </c>
      <c r="H66" s="388" t="str">
        <f>IF('3.Plan de Estudios'!P82=0,"",'3.Plan de Estudios'!P82)</f>
        <v/>
      </c>
    </row>
    <row r="67" spans="2:8" hidden="1">
      <c r="B67" s="385">
        <f>IF('3.Plan de Estudios'!B83="","",'3.Plan de Estudios'!B83)</f>
        <v>6</v>
      </c>
      <c r="C67" s="385" t="str">
        <f>IF('3.Plan de Estudios'!C83="","",'3.Plan de Estudios'!C83)</f>
        <v/>
      </c>
      <c r="D67" s="386" t="str">
        <f>IF('3.Plan de Estudios'!E83="","",'3.Plan de Estudios'!E83)</f>
        <v/>
      </c>
      <c r="E67" s="305"/>
      <c r="F67" s="305"/>
      <c r="G67" s="579" t="s">
        <v>244</v>
      </c>
      <c r="H67" s="388" t="str">
        <f>IF('3.Plan de Estudios'!P83=0,"",'3.Plan de Estudios'!P83)</f>
        <v/>
      </c>
    </row>
    <row r="68" spans="2:8" ht="96">
      <c r="B68" s="385">
        <f>IF('3.Plan de Estudios'!B85="","",'3.Plan de Estudios'!B85)</f>
        <v>7</v>
      </c>
      <c r="C68" s="385" t="str">
        <f>IF('3.Plan de Estudios'!C85="","",'3.Plan de Estudios'!C85)</f>
        <v>ENC51001</v>
      </c>
      <c r="D68" s="386" t="str">
        <f>IF('3.Plan de Estudios'!E85="","",'3.Plan de Estudios'!E85)</f>
        <v>ENGLISH COMPOSITION</v>
      </c>
      <c r="E68" s="305"/>
      <c r="F68" s="305"/>
      <c r="G68" s="579" t="s">
        <v>1059</v>
      </c>
      <c r="H68" s="388">
        <f>IF('3.Plan de Estudios'!P85=0,"",'3.Plan de Estudios'!P85)</f>
        <v>4</v>
      </c>
    </row>
    <row r="69" spans="2:8" ht="108">
      <c r="B69" s="385">
        <f>IF('3.Plan de Estudios'!B86="","",'3.Plan de Estudios'!B86)</f>
        <v>7</v>
      </c>
      <c r="C69" s="385" t="str">
        <f>IF('3.Plan de Estudios'!C86="","",'3.Plan de Estudios'!C86)</f>
        <v>INV41052</v>
      </c>
      <c r="D69" s="386" t="str">
        <f>IF('3.Plan de Estudios'!E86="","",'3.Plan de Estudios'!E86)</f>
        <v>INVESTIGACIÓN EDUCACIONAL</v>
      </c>
      <c r="E69" s="305"/>
      <c r="F69" s="305"/>
      <c r="G69" s="579" t="s">
        <v>1060</v>
      </c>
      <c r="H69" s="388">
        <f>IF('3.Plan de Estudios'!P86=0,"",'3.Plan de Estudios'!P86)</f>
        <v>4</v>
      </c>
    </row>
    <row r="70" spans="2:8" ht="72">
      <c r="B70" s="385">
        <f>IF('3.Plan de Estudios'!B87="","",'3.Plan de Estudios'!B87)</f>
        <v>7</v>
      </c>
      <c r="C70" s="385" t="str">
        <f>IF('3.Plan de Estudios'!C87="","",'3.Plan de Estudios'!C87)</f>
        <v>GES67063</v>
      </c>
      <c r="D70" s="386" t="str">
        <f>IF('3.Plan de Estudios'!E87="","",'3.Plan de Estudios'!E87)</f>
        <v>PROYECTO INTEGRADOR</v>
      </c>
      <c r="E70" s="305"/>
      <c r="F70" s="305"/>
      <c r="G70" s="579" t="s">
        <v>1061</v>
      </c>
      <c r="H70" s="388">
        <f>IF('3.Plan de Estudios'!P87=0,"",'3.Plan de Estudios'!P87)</f>
        <v>4</v>
      </c>
    </row>
    <row r="71" spans="2:8" ht="72">
      <c r="B71" s="385">
        <f>IF('3.Plan de Estudios'!B88="","",'3.Plan de Estudios'!B88)</f>
        <v>7</v>
      </c>
      <c r="C71" s="385" t="str">
        <f>IF('3.Plan de Estudios'!C88="","",'3.Plan de Estudios'!C88)</f>
        <v>ESE61022</v>
      </c>
      <c r="D71" s="386" t="str">
        <f>IF('3.Plan de Estudios'!E88="","",'3.Plan de Estudios'!E88)</f>
        <v>TEACHING ENGLISH AS SECOND LANGUAGE: METHODS &amp; S. II</v>
      </c>
      <c r="E71" s="305"/>
      <c r="F71" s="305"/>
      <c r="G71" s="579" t="s">
        <v>1062</v>
      </c>
      <c r="H71" s="388">
        <f>IF('3.Plan de Estudios'!P88=0,"",'3.Plan de Estudios'!P88)</f>
        <v>4</v>
      </c>
    </row>
    <row r="72" spans="2:8">
      <c r="B72" s="385">
        <f>IF('3.Plan de Estudios'!B89="","",'3.Plan de Estudios'!B89)</f>
        <v>7</v>
      </c>
      <c r="C72" s="385" t="str">
        <f>IF('3.Plan de Estudios'!C89="","",'3.Plan de Estudios'!C89)</f>
        <v/>
      </c>
      <c r="D72" s="386" t="str">
        <f>IF('3.Plan de Estudios'!E89="","",'3.Plan de Estudios'!E89)</f>
        <v>ELECTIVO 1</v>
      </c>
      <c r="E72" s="305"/>
      <c r="F72" s="305"/>
      <c r="G72" s="579" t="s">
        <v>244</v>
      </c>
      <c r="H72" s="388">
        <f>IF('3.Plan de Estudios'!P89=0,"",'3.Plan de Estudios'!P89)</f>
        <v>4</v>
      </c>
    </row>
    <row r="73" spans="2:8" hidden="1">
      <c r="B73" s="385">
        <f>IF('3.Plan de Estudios'!B90="","",'3.Plan de Estudios'!B90)</f>
        <v>7</v>
      </c>
      <c r="C73" s="385" t="str">
        <f>IF('3.Plan de Estudios'!C90="","",'3.Plan de Estudios'!C90)</f>
        <v/>
      </c>
      <c r="D73" s="386" t="str">
        <f>IF('3.Plan de Estudios'!E90="","",'3.Plan de Estudios'!E90)</f>
        <v/>
      </c>
      <c r="E73" s="305"/>
      <c r="F73" s="305"/>
      <c r="G73" s="579" t="s">
        <v>244</v>
      </c>
      <c r="H73" s="388" t="str">
        <f>IF('3.Plan de Estudios'!P90=0,"",'3.Plan de Estudios'!P90)</f>
        <v/>
      </c>
    </row>
    <row r="74" spans="2:8" hidden="1">
      <c r="B74" s="385">
        <f>IF('3.Plan de Estudios'!B91="","",'3.Plan de Estudios'!B91)</f>
        <v>7</v>
      </c>
      <c r="C74" s="385" t="str">
        <f>IF('3.Plan de Estudios'!C91="","",'3.Plan de Estudios'!C91)</f>
        <v/>
      </c>
      <c r="D74" s="386" t="str">
        <f>IF('3.Plan de Estudios'!E91="","",'3.Plan de Estudios'!E91)</f>
        <v/>
      </c>
      <c r="E74" s="305"/>
      <c r="F74" s="305"/>
      <c r="G74" s="579" t="s">
        <v>244</v>
      </c>
      <c r="H74" s="388" t="str">
        <f>IF('3.Plan de Estudios'!P91=0,"",'3.Plan de Estudios'!P91)</f>
        <v/>
      </c>
    </row>
    <row r="75" spans="2:8" hidden="1">
      <c r="B75" s="385">
        <f>IF('3.Plan de Estudios'!B92="","",'3.Plan de Estudios'!B92)</f>
        <v>7</v>
      </c>
      <c r="C75" s="385" t="str">
        <f>IF('3.Plan de Estudios'!C92="","",'3.Plan de Estudios'!C92)</f>
        <v/>
      </c>
      <c r="D75" s="386" t="str">
        <f>IF('3.Plan de Estudios'!E92="","",'3.Plan de Estudios'!E92)</f>
        <v/>
      </c>
      <c r="E75" s="305"/>
      <c r="F75" s="305"/>
      <c r="G75" s="579" t="s">
        <v>244</v>
      </c>
      <c r="H75" s="388" t="str">
        <f>IF('3.Plan de Estudios'!P92=0,"",'3.Plan de Estudios'!P92)</f>
        <v/>
      </c>
    </row>
    <row r="76" spans="2:8" hidden="1">
      <c r="B76" s="385">
        <f>IF('3.Plan de Estudios'!B93="","",'3.Plan de Estudios'!B93)</f>
        <v>7</v>
      </c>
      <c r="C76" s="385" t="str">
        <f>IF('3.Plan de Estudios'!C93="","",'3.Plan de Estudios'!C93)</f>
        <v/>
      </c>
      <c r="D76" s="386" t="str">
        <f>IF('3.Plan de Estudios'!E93="","",'3.Plan de Estudios'!E93)</f>
        <v/>
      </c>
      <c r="E76" s="305"/>
      <c r="F76" s="305"/>
      <c r="G76" s="579" t="s">
        <v>244</v>
      </c>
      <c r="H76" s="388" t="str">
        <f>IF('3.Plan de Estudios'!P93=0,"",'3.Plan de Estudios'!P93)</f>
        <v/>
      </c>
    </row>
    <row r="77" spans="2:8" hidden="1">
      <c r="B77" s="385">
        <f>IF('3.Plan de Estudios'!B94="","",'3.Plan de Estudios'!B94)</f>
        <v>7</v>
      </c>
      <c r="C77" s="385" t="str">
        <f>IF('3.Plan de Estudios'!C94="","",'3.Plan de Estudios'!C94)</f>
        <v/>
      </c>
      <c r="D77" s="386" t="str">
        <f>IF('3.Plan de Estudios'!E94="","",'3.Plan de Estudios'!E94)</f>
        <v/>
      </c>
      <c r="E77" s="305"/>
      <c r="F77" s="305"/>
      <c r="G77" s="579" t="s">
        <v>244</v>
      </c>
      <c r="H77" s="388" t="str">
        <f>IF('3.Plan de Estudios'!P94=0,"",'3.Plan de Estudios'!P94)</f>
        <v/>
      </c>
    </row>
    <row r="78" spans="2:8" ht="84">
      <c r="B78" s="385">
        <f>IF('3.Plan de Estudios'!B96="","",'3.Plan de Estudios'!B96)</f>
        <v>8</v>
      </c>
      <c r="C78" s="385" t="str">
        <f>IF('3.Plan de Estudios'!C96="","",'3.Plan de Estudios'!C96)</f>
        <v>ESE61009</v>
      </c>
      <c r="D78" s="386" t="str">
        <f>IF('3.Plan de Estudios'!E96="","",'3.Plan de Estudios'!E96)</f>
        <v>ESL: LEARNER STRATEGIES</v>
      </c>
      <c r="E78" s="305"/>
      <c r="F78" s="305"/>
      <c r="G78" s="579" t="s">
        <v>1063</v>
      </c>
      <c r="H78" s="388">
        <f>IF('3.Plan de Estudios'!P96=0,"",'3.Plan de Estudios'!P96)</f>
        <v>4</v>
      </c>
    </row>
    <row r="79" spans="2:8" ht="84">
      <c r="B79" s="385">
        <f>IF('3.Plan de Estudios'!B97="","",'3.Plan de Estudios'!B97)</f>
        <v>8</v>
      </c>
      <c r="C79" s="385" t="str">
        <f>IF('3.Plan de Estudios'!C97="","",'3.Plan de Estudios'!C97)</f>
        <v>ENG52001</v>
      </c>
      <c r="D79" s="386" t="str">
        <f>IF('3.Plan de Estudios'!E97="","",'3.Plan de Estudios'!E97)</f>
        <v>LISTENING COMPREHENSION</v>
      </c>
      <c r="E79" s="305"/>
      <c r="F79" s="305"/>
      <c r="G79" s="579" t="s">
        <v>1064</v>
      </c>
      <c r="H79" s="388">
        <f>IF('3.Plan de Estudios'!P97=0,"",'3.Plan de Estudios'!P97)</f>
        <v>4</v>
      </c>
    </row>
    <row r="80" spans="2:8" ht="84">
      <c r="B80" s="385">
        <f>IF('3.Plan de Estudios'!B98="","",'3.Plan de Estudios'!B98)</f>
        <v>8</v>
      </c>
      <c r="C80" s="385" t="str">
        <f>IF('3.Plan de Estudios'!C98="","",'3.Plan de Estudios'!C98)</f>
        <v>INV51047</v>
      </c>
      <c r="D80" s="386" t="str">
        <f>IF('3.Plan de Estudios'!E98="","",'3.Plan de Estudios'!E98)</f>
        <v>ORGANIZACIÓN DE LA INFORMACIÓN</v>
      </c>
      <c r="E80" s="305"/>
      <c r="F80" s="305"/>
      <c r="G80" s="579" t="s">
        <v>1065</v>
      </c>
      <c r="H80" s="388">
        <f>IF('3.Plan de Estudios'!P98=0,"",'3.Plan de Estudios'!P98)</f>
        <v>4</v>
      </c>
    </row>
    <row r="81" spans="2:8" ht="72">
      <c r="B81" s="385">
        <f>IF('3.Plan de Estudios'!B99="","",'3.Plan de Estudios'!B99)</f>
        <v>8</v>
      </c>
      <c r="C81" s="385" t="str">
        <f>IF('3.Plan de Estudios'!C99="","",'3.Plan de Estudios'!C99)</f>
        <v>EIC61040</v>
      </c>
      <c r="D81" s="386" t="str">
        <f>IF('3.Plan de Estudios'!E99="","",'3.Plan de Estudios'!E99)</f>
        <v>PRÁCTICA PRE-PROFESIONAL INICIAL</v>
      </c>
      <c r="E81" s="305"/>
      <c r="F81" s="305"/>
      <c r="G81" s="579" t="s">
        <v>1066</v>
      </c>
      <c r="H81" s="388">
        <f>IF('3.Plan de Estudios'!P99=0,"",'3.Plan de Estudios'!P99)</f>
        <v>4</v>
      </c>
    </row>
    <row r="82" spans="2:8">
      <c r="B82" s="385">
        <f>IF('3.Plan de Estudios'!B100="","",'3.Plan de Estudios'!B100)</f>
        <v>8</v>
      </c>
      <c r="C82" s="385" t="str">
        <f>IF('3.Plan de Estudios'!C100="","",'3.Plan de Estudios'!C100)</f>
        <v/>
      </c>
      <c r="D82" s="386" t="str">
        <f>IF('3.Plan de Estudios'!E100="","",'3.Plan de Estudios'!E100)</f>
        <v>ELECTIVO 2</v>
      </c>
      <c r="E82" s="305"/>
      <c r="F82" s="305"/>
      <c r="G82" s="579" t="s">
        <v>244</v>
      </c>
      <c r="H82" s="388">
        <f>IF('3.Plan de Estudios'!P100=0,"",'3.Plan de Estudios'!P100)</f>
        <v>4</v>
      </c>
    </row>
    <row r="83" spans="2:8" hidden="1">
      <c r="B83" s="385">
        <f>IF('3.Plan de Estudios'!B101="","",'3.Plan de Estudios'!B101)</f>
        <v>8</v>
      </c>
      <c r="C83" s="385" t="str">
        <f>IF('3.Plan de Estudios'!C101="","",'3.Plan de Estudios'!C101)</f>
        <v/>
      </c>
      <c r="D83" s="386" t="str">
        <f>IF('3.Plan de Estudios'!E101="","",'3.Plan de Estudios'!E101)</f>
        <v/>
      </c>
      <c r="E83" s="305"/>
      <c r="F83" s="305"/>
      <c r="G83" s="579" t="s">
        <v>244</v>
      </c>
      <c r="H83" s="388" t="str">
        <f>IF('3.Plan de Estudios'!P101=0,"",'3.Plan de Estudios'!P101)</f>
        <v/>
      </c>
    </row>
    <row r="84" spans="2:8" hidden="1">
      <c r="B84" s="385">
        <f>IF('3.Plan de Estudios'!B102="","",'3.Plan de Estudios'!B102)</f>
        <v>8</v>
      </c>
      <c r="C84" s="385" t="str">
        <f>IF('3.Plan de Estudios'!C102="","",'3.Plan de Estudios'!C102)</f>
        <v/>
      </c>
      <c r="D84" s="386" t="str">
        <f>IF('3.Plan de Estudios'!E102="","",'3.Plan de Estudios'!E102)</f>
        <v/>
      </c>
      <c r="E84" s="305"/>
      <c r="F84" s="305"/>
      <c r="G84" s="579" t="s">
        <v>244</v>
      </c>
      <c r="H84" s="388" t="str">
        <f>IF('3.Plan de Estudios'!P102=0,"",'3.Plan de Estudios'!P102)</f>
        <v/>
      </c>
    </row>
    <row r="85" spans="2:8" hidden="1">
      <c r="B85" s="385">
        <f>IF('3.Plan de Estudios'!B103="","",'3.Plan de Estudios'!B103)</f>
        <v>8</v>
      </c>
      <c r="C85" s="385" t="str">
        <f>IF('3.Plan de Estudios'!C103="","",'3.Plan de Estudios'!C103)</f>
        <v/>
      </c>
      <c r="D85" s="386" t="str">
        <f>IF('3.Plan de Estudios'!E103="","",'3.Plan de Estudios'!E103)</f>
        <v/>
      </c>
      <c r="E85" s="305"/>
      <c r="F85" s="305"/>
      <c r="G85" s="579" t="s">
        <v>244</v>
      </c>
      <c r="H85" s="388" t="str">
        <f>IF('3.Plan de Estudios'!P103=0,"",'3.Plan de Estudios'!P103)</f>
        <v/>
      </c>
    </row>
    <row r="86" spans="2:8" hidden="1">
      <c r="B86" s="385">
        <f>IF('3.Plan de Estudios'!B104="","",'3.Plan de Estudios'!B104)</f>
        <v>8</v>
      </c>
      <c r="C86" s="385" t="str">
        <f>IF('3.Plan de Estudios'!C104="","",'3.Plan de Estudios'!C104)</f>
        <v/>
      </c>
      <c r="D86" s="386" t="str">
        <f>IF('3.Plan de Estudios'!E104="","",'3.Plan de Estudios'!E104)</f>
        <v/>
      </c>
      <c r="E86" s="305"/>
      <c r="F86" s="305"/>
      <c r="G86" s="579" t="s">
        <v>244</v>
      </c>
      <c r="H86" s="388" t="str">
        <f>IF('3.Plan de Estudios'!P104=0,"",'3.Plan de Estudios'!P104)</f>
        <v/>
      </c>
    </row>
    <row r="87" spans="2:8" hidden="1">
      <c r="B87" s="385">
        <f>IF('3.Plan de Estudios'!B105="","",'3.Plan de Estudios'!B105)</f>
        <v>8</v>
      </c>
      <c r="C87" s="385" t="str">
        <f>IF('3.Plan de Estudios'!C105="","",'3.Plan de Estudios'!C105)</f>
        <v/>
      </c>
      <c r="D87" s="386" t="str">
        <f>IF('3.Plan de Estudios'!E105="","",'3.Plan de Estudios'!E105)</f>
        <v/>
      </c>
      <c r="E87" s="305"/>
      <c r="F87" s="305"/>
      <c r="G87" s="579" t="s">
        <v>244</v>
      </c>
      <c r="H87" s="388" t="str">
        <f>IF('3.Plan de Estudios'!P105=0,"",'3.Plan de Estudios'!P105)</f>
        <v/>
      </c>
    </row>
    <row r="88" spans="2:8" ht="72">
      <c r="B88" s="385">
        <f>IF('3.Plan de Estudios'!B107="","",'3.Plan de Estudios'!B107)</f>
        <v>9</v>
      </c>
      <c r="C88" s="385" t="str">
        <f>IF('3.Plan de Estudios'!C107="","",'3.Plan de Estudios'!C107)</f>
        <v>EDG62029</v>
      </c>
      <c r="D88" s="386" t="str">
        <f>IF('3.Plan de Estudios'!E107="","",'3.Plan de Estudios'!E107)</f>
        <v>MICROCOMPUTERS &amp; MEDIA IN THE ESL CLASSROOM</v>
      </c>
      <c r="E88" s="305"/>
      <c r="F88" s="305"/>
      <c r="G88" s="579" t="s">
        <v>1067</v>
      </c>
      <c r="H88" s="388">
        <f>IF('3.Plan de Estudios'!P107=0,"",'3.Plan de Estudios'!P107)</f>
        <v>4</v>
      </c>
    </row>
    <row r="89" spans="2:8" ht="84">
      <c r="B89" s="385">
        <f>IF('3.Plan de Estudios'!B108="","",'3.Plan de Estudios'!B108)</f>
        <v>9</v>
      </c>
      <c r="C89" s="385" t="str">
        <f>IF('3.Plan de Estudios'!C108="","",'3.Plan de Estudios'!C108)</f>
        <v>EIC61039</v>
      </c>
      <c r="D89" s="386" t="str">
        <f>IF('3.Plan de Estudios'!E108="","",'3.Plan de Estudios'!E108)</f>
        <v>PLANIFICACIÓN DE CLASES Y ACTIVIDADES</v>
      </c>
      <c r="E89" s="305"/>
      <c r="F89" s="305"/>
      <c r="G89" s="579" t="s">
        <v>1068</v>
      </c>
      <c r="H89" s="388">
        <f>IF('3.Plan de Estudios'!P108=0,"",'3.Plan de Estudios'!P108)</f>
        <v>4</v>
      </c>
    </row>
    <row r="90" spans="2:8" ht="84">
      <c r="B90" s="385">
        <f>IF('3.Plan de Estudios'!B109="","",'3.Plan de Estudios'!B109)</f>
        <v>9</v>
      </c>
      <c r="C90" s="385" t="str">
        <f>IF('3.Plan de Estudios'!C109="","",'3.Plan de Estudios'!C109)</f>
        <v>EIC61053</v>
      </c>
      <c r="D90" s="386" t="str">
        <f>IF('3.Plan de Estudios'!E109="","",'3.Plan de Estudios'!E109)</f>
        <v>PRÁCTICA PRE-PROFESIONAL INTERMEDIA</v>
      </c>
      <c r="E90" s="305"/>
      <c r="F90" s="305"/>
      <c r="G90" s="579" t="s">
        <v>1069</v>
      </c>
      <c r="H90" s="388">
        <f>IF('3.Plan de Estudios'!P109=0,"",'3.Plan de Estudios'!P109)</f>
        <v>4</v>
      </c>
    </row>
    <row r="91" spans="2:8" ht="60">
      <c r="B91" s="385">
        <f>IF('3.Plan de Estudios'!B110="","",'3.Plan de Estudios'!B110)</f>
        <v>9</v>
      </c>
      <c r="C91" s="385" t="str">
        <f>IF('3.Plan de Estudios'!C110="","",'3.Plan de Estudios'!C110)</f>
        <v>EDG51019</v>
      </c>
      <c r="D91" s="386" t="str">
        <f>IF('3.Plan de Estudios'!E110="","",'3.Plan de Estudios'!E110)</f>
        <v xml:space="preserve">PROJECTS IN THE CLASSROOM </v>
      </c>
      <c r="E91" s="305"/>
      <c r="F91" s="305"/>
      <c r="G91" s="579" t="s">
        <v>1070</v>
      </c>
      <c r="H91" s="388">
        <f>IF('3.Plan de Estudios'!P110=0,"",'3.Plan de Estudios'!P110)</f>
        <v>2</v>
      </c>
    </row>
    <row r="92" spans="2:8" ht="96">
      <c r="B92" s="385">
        <f>IF('3.Plan de Estudios'!B111="","",'3.Plan de Estudios'!B111)</f>
        <v>9</v>
      </c>
      <c r="C92" s="385" t="str">
        <f>IF('3.Plan de Estudios'!C111="","",'3.Plan de Estudios'!C111)</f>
        <v>ESE61017</v>
      </c>
      <c r="D92" s="386" t="str">
        <f>IF('3.Plan de Estudios'!E111="","",'3.Plan de Estudios'!E111)</f>
        <v>SISTEMATIZACIÓN DE LA INFORMACIÓN</v>
      </c>
      <c r="E92" s="305"/>
      <c r="F92" s="305"/>
      <c r="G92" s="579" t="s">
        <v>1071</v>
      </c>
      <c r="H92" s="388">
        <f>IF('3.Plan de Estudios'!P111=0,"",'3.Plan de Estudios'!P111)</f>
        <v>2</v>
      </c>
    </row>
    <row r="93" spans="2:8">
      <c r="B93" s="385">
        <f>IF('3.Plan de Estudios'!B112="","",'3.Plan de Estudios'!B112)</f>
        <v>9</v>
      </c>
      <c r="C93" s="385" t="str">
        <f>IF('3.Plan de Estudios'!C112="","",'3.Plan de Estudios'!C112)</f>
        <v/>
      </c>
      <c r="D93" s="386" t="str">
        <f>IF('3.Plan de Estudios'!E112="","",'3.Plan de Estudios'!E112)</f>
        <v>ELECTIVO 3</v>
      </c>
      <c r="E93" s="305"/>
      <c r="F93" s="305"/>
      <c r="G93" s="579" t="s">
        <v>244</v>
      </c>
      <c r="H93" s="388">
        <f>IF('3.Plan de Estudios'!P112=0,"",'3.Plan de Estudios'!P112)</f>
        <v>4</v>
      </c>
    </row>
    <row r="94" spans="2:8" hidden="1">
      <c r="B94" s="385">
        <f>IF('3.Plan de Estudios'!B113="","",'3.Plan de Estudios'!B113)</f>
        <v>9</v>
      </c>
      <c r="C94" s="385" t="str">
        <f>IF('3.Plan de Estudios'!C113="","",'3.Plan de Estudios'!C113)</f>
        <v/>
      </c>
      <c r="D94" s="386" t="str">
        <f>IF('3.Plan de Estudios'!E113="","",'3.Plan de Estudios'!E113)</f>
        <v/>
      </c>
      <c r="E94" s="305"/>
      <c r="F94" s="305"/>
      <c r="G94" s="579" t="s">
        <v>244</v>
      </c>
      <c r="H94" s="388" t="str">
        <f>IF('3.Plan de Estudios'!P113=0,"",'3.Plan de Estudios'!P113)</f>
        <v/>
      </c>
    </row>
    <row r="95" spans="2:8" hidden="1">
      <c r="B95" s="385">
        <f>IF('3.Plan de Estudios'!B114="","",'3.Plan de Estudios'!B114)</f>
        <v>9</v>
      </c>
      <c r="C95" s="385" t="str">
        <f>IF('3.Plan de Estudios'!C114="","",'3.Plan de Estudios'!C114)</f>
        <v/>
      </c>
      <c r="D95" s="386" t="str">
        <f>IF('3.Plan de Estudios'!E114="","",'3.Plan de Estudios'!E114)</f>
        <v/>
      </c>
      <c r="E95" s="305"/>
      <c r="F95" s="305"/>
      <c r="G95" s="579" t="s">
        <v>244</v>
      </c>
      <c r="H95" s="388" t="str">
        <f>IF('3.Plan de Estudios'!P114=0,"",'3.Plan de Estudios'!P114)</f>
        <v/>
      </c>
    </row>
    <row r="96" spans="2:8" hidden="1">
      <c r="B96" s="385">
        <f>IF('3.Plan de Estudios'!B115="","",'3.Plan de Estudios'!B115)</f>
        <v>9</v>
      </c>
      <c r="C96" s="385" t="str">
        <f>IF('3.Plan de Estudios'!C115="","",'3.Plan de Estudios'!C115)</f>
        <v/>
      </c>
      <c r="D96" s="386" t="str">
        <f>IF('3.Plan de Estudios'!E115="","",'3.Plan de Estudios'!E115)</f>
        <v/>
      </c>
      <c r="E96" s="305"/>
      <c r="F96" s="305"/>
      <c r="G96" s="579" t="s">
        <v>244</v>
      </c>
      <c r="H96" s="388" t="str">
        <f>IF('3.Plan de Estudios'!P115=0,"",'3.Plan de Estudios'!P115)</f>
        <v/>
      </c>
    </row>
    <row r="97" spans="2:8" hidden="1">
      <c r="B97" s="385">
        <f>IF('3.Plan de Estudios'!B116="","",'3.Plan de Estudios'!B116)</f>
        <v>9</v>
      </c>
      <c r="C97" s="385" t="str">
        <f>IF('3.Plan de Estudios'!C116="","",'3.Plan de Estudios'!C116)</f>
        <v/>
      </c>
      <c r="D97" s="386" t="str">
        <f>IF('3.Plan de Estudios'!E116="","",'3.Plan de Estudios'!E116)</f>
        <v/>
      </c>
      <c r="E97" s="305"/>
      <c r="F97" s="305"/>
      <c r="G97" s="579" t="s">
        <v>244</v>
      </c>
      <c r="H97" s="388" t="str">
        <f>IF('3.Plan de Estudios'!P116=0,"",'3.Plan de Estudios'!P116)</f>
        <v/>
      </c>
    </row>
    <row r="98" spans="2:8" ht="84">
      <c r="B98" s="385">
        <f>IF('3.Plan de Estudios'!B118="","",'3.Plan de Estudios'!B118)</f>
        <v>10</v>
      </c>
      <c r="C98" s="385" t="str">
        <f>IF('3.Plan de Estudios'!C118="","",'3.Plan de Estudios'!C118)</f>
        <v>DRH63011</v>
      </c>
      <c r="D98" s="386" t="str">
        <f>IF('3.Plan de Estudios'!E118="","",'3.Plan de Estudios'!E118)</f>
        <v>COACHING EDUCATIVO</v>
      </c>
      <c r="E98" s="305"/>
      <c r="F98" s="305"/>
      <c r="G98" s="579" t="s">
        <v>1072</v>
      </c>
      <c r="H98" s="388">
        <f>IF('3.Plan de Estudios'!P118=0,"",'3.Plan de Estudios'!P118)</f>
        <v>2</v>
      </c>
    </row>
    <row r="99" spans="2:8" ht="60">
      <c r="B99" s="385">
        <f>IF('3.Plan de Estudios'!B119="","",'3.Plan de Estudios'!B119)</f>
        <v>10</v>
      </c>
      <c r="C99" s="385" t="str">
        <f>IF('3.Plan de Estudios'!C119="","",'3.Plan de Estudios'!C119)</f>
        <v>INV61054</v>
      </c>
      <c r="D99" s="386" t="str">
        <f>IF('3.Plan de Estudios'!E119="","",'3.Plan de Estudios'!E119)</f>
        <v>INFORME Y SUSTENTACIÓN DEL PROYECTO DE INVESTIGACIÓN</v>
      </c>
      <c r="E99" s="305"/>
      <c r="F99" s="305"/>
      <c r="G99" s="579" t="s">
        <v>1073</v>
      </c>
      <c r="H99" s="388">
        <f>IF('3.Plan de Estudios'!P119=0,"",'3.Plan de Estudios'!P119)</f>
        <v>4</v>
      </c>
    </row>
    <row r="100" spans="2:8" ht="108">
      <c r="B100" s="385">
        <f>IF('3.Plan de Estudios'!B120="","",'3.Plan de Estudios'!B120)</f>
        <v>10</v>
      </c>
      <c r="C100" s="385" t="str">
        <f>IF('3.Plan de Estudios'!C120="","",'3.Plan de Estudios'!C120)</f>
        <v>DER54032</v>
      </c>
      <c r="D100" s="386" t="str">
        <f>IF('3.Plan de Estudios'!E120="","",'3.Plan de Estudios'!E120)</f>
        <v>LEGISLACIÓN EDUCATIVA</v>
      </c>
      <c r="E100" s="305"/>
      <c r="F100" s="305"/>
      <c r="G100" s="579" t="s">
        <v>1074</v>
      </c>
      <c r="H100" s="388">
        <f>IF('3.Plan de Estudios'!P120=0,"",'3.Plan de Estudios'!P120)</f>
        <v>2</v>
      </c>
    </row>
    <row r="101" spans="2:8" ht="84">
      <c r="B101" s="385">
        <f>IF('3.Plan de Estudios'!B121="","",'3.Plan de Estudios'!B121)</f>
        <v>10</v>
      </c>
      <c r="C101" s="385" t="str">
        <f>IF('3.Plan de Estudios'!C121="","",'3.Plan de Estudios'!C121)</f>
        <v>EIC61041</v>
      </c>
      <c r="D101" s="386" t="str">
        <f>IF('3.Plan de Estudios'!E121="","",'3.Plan de Estudios'!E121)</f>
        <v>PRÁCTICA PRE-PROFESIONAL INTENSIVA</v>
      </c>
      <c r="E101" s="305"/>
      <c r="F101" s="305"/>
      <c r="G101" s="579" t="s">
        <v>1075</v>
      </c>
      <c r="H101" s="388">
        <f>IF('3.Plan de Estudios'!P121=0,"",'3.Plan de Estudios'!P121)</f>
        <v>6</v>
      </c>
    </row>
    <row r="102" spans="2:8">
      <c r="B102" s="385">
        <f>IF('3.Plan de Estudios'!B122="","",'3.Plan de Estudios'!B122)</f>
        <v>10</v>
      </c>
      <c r="C102" s="385" t="str">
        <f>IF('3.Plan de Estudios'!C122="","",'3.Plan de Estudios'!C122)</f>
        <v/>
      </c>
      <c r="D102" s="386" t="str">
        <f>IF('3.Plan de Estudios'!E122="","",'3.Plan de Estudios'!E122)</f>
        <v>ELECTIVO 4</v>
      </c>
      <c r="E102" s="305"/>
      <c r="F102" s="305"/>
      <c r="G102" s="579" t="s">
        <v>244</v>
      </c>
      <c r="H102" s="388">
        <f>IF('3.Plan de Estudios'!P122=0,"",'3.Plan de Estudios'!P122)</f>
        <v>4</v>
      </c>
    </row>
    <row r="103" spans="2:8">
      <c r="B103" s="385">
        <f>IF('3.Plan de Estudios'!B123="","",'3.Plan de Estudios'!B123)</f>
        <v>10</v>
      </c>
      <c r="C103" s="385" t="str">
        <f>IF('3.Plan de Estudios'!C123="","",'3.Plan de Estudios'!C123)</f>
        <v/>
      </c>
      <c r="D103" s="386" t="str">
        <f>IF('3.Plan de Estudios'!E123="","",'3.Plan de Estudios'!E123)</f>
        <v/>
      </c>
      <c r="E103" s="305"/>
      <c r="F103" s="305"/>
      <c r="G103" s="387" t="s">
        <v>244</v>
      </c>
      <c r="H103" s="388" t="str">
        <f>IF('3.Plan de Estudios'!P123=0,"",'3.Plan de Estudios'!P123)</f>
        <v/>
      </c>
    </row>
    <row r="104" spans="2:8">
      <c r="B104" s="385">
        <f>IF('3.Plan de Estudios'!B124="","",'3.Plan de Estudios'!B124)</f>
        <v>10</v>
      </c>
      <c r="C104" s="385" t="str">
        <f>IF('3.Plan de Estudios'!C124="","",'3.Plan de Estudios'!C124)</f>
        <v/>
      </c>
      <c r="D104" s="386" t="str">
        <f>IF('3.Plan de Estudios'!E124="","",'3.Plan de Estudios'!E124)</f>
        <v/>
      </c>
      <c r="E104" s="305"/>
      <c r="F104" s="305"/>
      <c r="G104" s="387" t="s">
        <v>244</v>
      </c>
      <c r="H104" s="388" t="str">
        <f>IF('3.Plan de Estudios'!P124=0,"",'3.Plan de Estudios'!P124)</f>
        <v/>
      </c>
    </row>
    <row r="105" spans="2:8">
      <c r="B105" s="385">
        <f>IF('3.Plan de Estudios'!B125="","",'3.Plan de Estudios'!B125)</f>
        <v>10</v>
      </c>
      <c r="C105" s="385" t="str">
        <f>IF('3.Plan de Estudios'!C125="","",'3.Plan de Estudios'!C125)</f>
        <v/>
      </c>
      <c r="D105" s="386" t="str">
        <f>IF('3.Plan de Estudios'!E125="","",'3.Plan de Estudios'!E125)</f>
        <v/>
      </c>
      <c r="E105" s="305"/>
      <c r="F105" s="305"/>
      <c r="G105" s="387" t="s">
        <v>244</v>
      </c>
      <c r="H105" s="388" t="str">
        <f>IF('3.Plan de Estudios'!P125=0,"",'3.Plan de Estudios'!P125)</f>
        <v/>
      </c>
    </row>
    <row r="106" spans="2:8">
      <c r="B106" s="385">
        <f>IF('3.Plan de Estudios'!B126="","",'3.Plan de Estudios'!B126)</f>
        <v>10</v>
      </c>
      <c r="C106" s="385" t="str">
        <f>IF('3.Plan de Estudios'!C126="","",'3.Plan de Estudios'!C126)</f>
        <v/>
      </c>
      <c r="D106" s="386" t="str">
        <f>IF('3.Plan de Estudios'!E126="","",'3.Plan de Estudios'!E126)</f>
        <v/>
      </c>
      <c r="E106" s="305"/>
      <c r="F106" s="305"/>
      <c r="G106" s="387" t="s">
        <v>244</v>
      </c>
      <c r="H106" s="388" t="str">
        <f>IF('3.Plan de Estudios'!P126=0,"",'3.Plan de Estudios'!P126)</f>
        <v/>
      </c>
    </row>
    <row r="107" spans="2:8">
      <c r="B107" s="385">
        <f>IF('3.Plan de Estudios'!B127="","",'3.Plan de Estudios'!B127)</f>
        <v>10</v>
      </c>
      <c r="C107" s="385" t="str">
        <f>IF('3.Plan de Estudios'!C127="","",'3.Plan de Estudios'!C127)</f>
        <v/>
      </c>
      <c r="D107" s="386" t="str">
        <f>IF('3.Plan de Estudios'!E127="","",'3.Plan de Estudios'!E127)</f>
        <v/>
      </c>
      <c r="E107" s="305"/>
      <c r="F107" s="305"/>
      <c r="G107" s="387" t="s">
        <v>244</v>
      </c>
      <c r="H107" s="388" t="str">
        <f>IF('3.Plan de Estudios'!P127=0,"",'3.Plan de Estudios'!P127)</f>
        <v/>
      </c>
    </row>
    <row r="108" spans="2:8">
      <c r="B108" s="303">
        <f>IF('3.Plan de Estudios'!B129="","",'3.Plan de Estudios'!B129)</f>
        <v>11</v>
      </c>
      <c r="C108" s="303" t="str">
        <f>IF('3.Plan de Estudios'!C129="","",'3.Plan de Estudios'!C129)</f>
        <v/>
      </c>
      <c r="D108" s="304" t="str">
        <f>IF('3.Plan de Estudios'!E129="","",'3.Plan de Estudios'!E129)</f>
        <v/>
      </c>
      <c r="E108" s="305"/>
      <c r="F108" s="305"/>
      <c r="G108" s="387" t="s">
        <v>244</v>
      </c>
      <c r="H108" s="81" t="str">
        <f>IF('3.Plan de Estudios'!P129=0,"",'3.Plan de Estudios'!P129)</f>
        <v/>
      </c>
    </row>
    <row r="109" spans="2:8">
      <c r="B109" s="303">
        <f>IF('3.Plan de Estudios'!B130="","",'3.Plan de Estudios'!B130)</f>
        <v>11</v>
      </c>
      <c r="C109" s="303" t="str">
        <f>IF('3.Plan de Estudios'!C130="","",'3.Plan de Estudios'!C130)</f>
        <v/>
      </c>
      <c r="D109" s="304" t="str">
        <f>IF('3.Plan de Estudios'!E130="","",'3.Plan de Estudios'!E130)</f>
        <v/>
      </c>
      <c r="E109" s="305"/>
      <c r="F109" s="305"/>
      <c r="G109" s="387" t="s">
        <v>244</v>
      </c>
      <c r="H109" s="81" t="str">
        <f>IF('3.Plan de Estudios'!P130=0,"",'3.Plan de Estudios'!P130)</f>
        <v/>
      </c>
    </row>
    <row r="110" spans="2:8">
      <c r="B110" s="303">
        <f>IF('3.Plan de Estudios'!B131="","",'3.Plan de Estudios'!B131)</f>
        <v>11</v>
      </c>
      <c r="C110" s="303" t="str">
        <f>IF('3.Plan de Estudios'!C131="","",'3.Plan de Estudios'!C131)</f>
        <v/>
      </c>
      <c r="D110" s="304" t="str">
        <f>IF('3.Plan de Estudios'!E131="","",'3.Plan de Estudios'!E131)</f>
        <v/>
      </c>
      <c r="E110" s="305"/>
      <c r="F110" s="305"/>
      <c r="G110" s="387" t="s">
        <v>244</v>
      </c>
      <c r="H110" s="81" t="str">
        <f>IF('3.Plan de Estudios'!P131=0,"",'3.Plan de Estudios'!P131)</f>
        <v/>
      </c>
    </row>
    <row r="111" spans="2:8">
      <c r="B111" s="303">
        <f>IF('3.Plan de Estudios'!B132="","",'3.Plan de Estudios'!B132)</f>
        <v>11</v>
      </c>
      <c r="C111" s="303" t="str">
        <f>IF('3.Plan de Estudios'!C132="","",'3.Plan de Estudios'!C132)</f>
        <v/>
      </c>
      <c r="D111" s="304" t="str">
        <f>IF('3.Plan de Estudios'!E132="","",'3.Plan de Estudios'!E132)</f>
        <v/>
      </c>
      <c r="E111" s="305"/>
      <c r="F111" s="305"/>
      <c r="G111" s="387" t="s">
        <v>244</v>
      </c>
      <c r="H111" s="81" t="str">
        <f>IF('3.Plan de Estudios'!P132=0,"",'3.Plan de Estudios'!P132)</f>
        <v/>
      </c>
    </row>
    <row r="112" spans="2:8">
      <c r="B112" s="303">
        <f>IF('3.Plan de Estudios'!B133="","",'3.Plan de Estudios'!B133)</f>
        <v>11</v>
      </c>
      <c r="C112" s="303" t="str">
        <f>IF('3.Plan de Estudios'!C133="","",'3.Plan de Estudios'!C133)</f>
        <v/>
      </c>
      <c r="D112" s="304" t="str">
        <f>IF('3.Plan de Estudios'!E133="","",'3.Plan de Estudios'!E133)</f>
        <v/>
      </c>
      <c r="E112" s="305"/>
      <c r="F112" s="305"/>
      <c r="G112" s="387" t="s">
        <v>244</v>
      </c>
      <c r="H112" s="81" t="str">
        <f>IF('3.Plan de Estudios'!P133=0,"",'3.Plan de Estudios'!P133)</f>
        <v/>
      </c>
    </row>
    <row r="113" spans="2:8">
      <c r="B113" s="303">
        <f>IF('3.Plan de Estudios'!B134="","",'3.Plan de Estudios'!B134)</f>
        <v>11</v>
      </c>
      <c r="C113" s="303" t="str">
        <f>IF('3.Plan de Estudios'!C134="","",'3.Plan de Estudios'!C134)</f>
        <v/>
      </c>
      <c r="D113" s="304" t="str">
        <f>IF('3.Plan de Estudios'!E134="","",'3.Plan de Estudios'!E134)</f>
        <v/>
      </c>
      <c r="E113" s="305"/>
      <c r="F113" s="305"/>
      <c r="G113" s="387" t="s">
        <v>244</v>
      </c>
      <c r="H113" s="81" t="str">
        <f>IF('3.Plan de Estudios'!P134=0,"",'3.Plan de Estudios'!P134)</f>
        <v/>
      </c>
    </row>
    <row r="114" spans="2:8">
      <c r="B114" s="303">
        <f>IF('3.Plan de Estudios'!B135="","",'3.Plan de Estudios'!B135)</f>
        <v>11</v>
      </c>
      <c r="C114" s="303" t="str">
        <f>IF('3.Plan de Estudios'!C135="","",'3.Plan de Estudios'!C135)</f>
        <v/>
      </c>
      <c r="D114" s="304" t="str">
        <f>IF('3.Plan de Estudios'!E135="","",'3.Plan de Estudios'!E135)</f>
        <v/>
      </c>
      <c r="E114" s="305"/>
      <c r="F114" s="305"/>
      <c r="G114" s="387" t="s">
        <v>244</v>
      </c>
      <c r="H114" s="81" t="str">
        <f>IF('3.Plan de Estudios'!P135=0,"",'3.Plan de Estudios'!P135)</f>
        <v/>
      </c>
    </row>
    <row r="115" spans="2:8">
      <c r="B115" s="303">
        <f>IF('3.Plan de Estudios'!B136="","",'3.Plan de Estudios'!B136)</f>
        <v>11</v>
      </c>
      <c r="C115" s="303" t="str">
        <f>IF('3.Plan de Estudios'!C136="","",'3.Plan de Estudios'!C136)</f>
        <v/>
      </c>
      <c r="D115" s="304" t="str">
        <f>IF('3.Plan de Estudios'!E136="","",'3.Plan de Estudios'!E136)</f>
        <v/>
      </c>
      <c r="E115" s="305"/>
      <c r="F115" s="305"/>
      <c r="G115" s="387" t="s">
        <v>244</v>
      </c>
      <c r="H115" s="81" t="str">
        <f>IF('3.Plan de Estudios'!P136=0,"",'3.Plan de Estudios'!P136)</f>
        <v/>
      </c>
    </row>
    <row r="116" spans="2:8">
      <c r="B116" s="303">
        <f>IF('3.Plan de Estudios'!B137="","",'3.Plan de Estudios'!B137)</f>
        <v>11</v>
      </c>
      <c r="C116" s="303" t="str">
        <f>IF('3.Plan de Estudios'!C137="","",'3.Plan de Estudios'!C137)</f>
        <v/>
      </c>
      <c r="D116" s="304" t="str">
        <f>IF('3.Plan de Estudios'!E137="","",'3.Plan de Estudios'!E137)</f>
        <v/>
      </c>
      <c r="E116" s="305"/>
      <c r="F116" s="305"/>
      <c r="G116" s="387"/>
      <c r="H116" s="81" t="str">
        <f>IF('3.Plan de Estudios'!P137=0,"",'3.Plan de Estudios'!P137)</f>
        <v/>
      </c>
    </row>
    <row r="117" spans="2:8">
      <c r="B117" s="303">
        <f>IF('3.Plan de Estudios'!B138="","",'3.Plan de Estudios'!B138)</f>
        <v>11</v>
      </c>
      <c r="C117" s="303" t="str">
        <f>IF('3.Plan de Estudios'!C138="","",'3.Plan de Estudios'!C138)</f>
        <v/>
      </c>
      <c r="D117" s="304" t="str">
        <f>IF('3.Plan de Estudios'!E138="","",'3.Plan de Estudios'!E138)</f>
        <v/>
      </c>
      <c r="E117" s="305"/>
      <c r="F117" s="305"/>
      <c r="G117" s="387"/>
      <c r="H117" s="81" t="str">
        <f>IF('3.Plan de Estudios'!P138=0,"",'3.Plan de Estudios'!P138)</f>
        <v/>
      </c>
    </row>
    <row r="118" spans="2:8">
      <c r="B118" s="303">
        <f>IF('3.Plan de Estudios'!B140="","",'3.Plan de Estudios'!B140)</f>
        <v>12</v>
      </c>
      <c r="C118" s="303" t="str">
        <f>IF('3.Plan de Estudios'!C140="","",'3.Plan de Estudios'!C140)</f>
        <v/>
      </c>
      <c r="D118" s="304" t="str">
        <f>IF('3.Plan de Estudios'!E140="","",'3.Plan de Estudios'!E140)</f>
        <v/>
      </c>
      <c r="E118" s="305"/>
      <c r="F118" s="305"/>
      <c r="G118" s="387"/>
      <c r="H118" s="81" t="str">
        <f>IF('3.Plan de Estudios'!P140=0,"",'3.Plan de Estudios'!P140)</f>
        <v/>
      </c>
    </row>
    <row r="119" spans="2:8">
      <c r="B119" s="303">
        <f>IF('3.Plan de Estudios'!B141="","",'3.Plan de Estudios'!B141)</f>
        <v>12</v>
      </c>
      <c r="C119" s="303" t="str">
        <f>IF('3.Plan de Estudios'!C141="","",'3.Plan de Estudios'!C141)</f>
        <v/>
      </c>
      <c r="D119" s="304" t="str">
        <f>IF('3.Plan de Estudios'!E141="","",'3.Plan de Estudios'!E141)</f>
        <v/>
      </c>
      <c r="E119" s="305"/>
      <c r="F119" s="305"/>
      <c r="G119" s="387"/>
      <c r="H119" s="81" t="str">
        <f>IF('3.Plan de Estudios'!P141=0,"",'3.Plan de Estudios'!P141)</f>
        <v/>
      </c>
    </row>
    <row r="120" spans="2:8">
      <c r="B120" s="303">
        <f>IF('3.Plan de Estudios'!B142="","",'3.Plan de Estudios'!B142)</f>
        <v>12</v>
      </c>
      <c r="C120" s="303" t="str">
        <f>IF('3.Plan de Estudios'!C142="","",'3.Plan de Estudios'!C142)</f>
        <v/>
      </c>
      <c r="D120" s="304" t="str">
        <f>IF('3.Plan de Estudios'!E142="","",'3.Plan de Estudios'!E142)</f>
        <v/>
      </c>
      <c r="E120" s="305"/>
      <c r="F120" s="305"/>
      <c r="G120" s="387"/>
      <c r="H120" s="81" t="str">
        <f>IF('3.Plan de Estudios'!P142=0,"",'3.Plan de Estudios'!P142)</f>
        <v/>
      </c>
    </row>
    <row r="121" spans="2:8">
      <c r="B121" s="303">
        <f>IF('3.Plan de Estudios'!B143="","",'3.Plan de Estudios'!B143)</f>
        <v>12</v>
      </c>
      <c r="C121" s="303" t="str">
        <f>IF('3.Plan de Estudios'!C143="","",'3.Plan de Estudios'!C143)</f>
        <v/>
      </c>
      <c r="D121" s="304" t="str">
        <f>IF('3.Plan de Estudios'!E143="","",'3.Plan de Estudios'!E143)</f>
        <v/>
      </c>
      <c r="E121" s="305"/>
      <c r="F121" s="305"/>
      <c r="G121" s="387"/>
      <c r="H121" s="81" t="str">
        <f>IF('3.Plan de Estudios'!P143=0,"",'3.Plan de Estudios'!P143)</f>
        <v/>
      </c>
    </row>
    <row r="122" spans="2:8">
      <c r="B122" s="303">
        <f>IF('3.Plan de Estudios'!B144="","",'3.Plan de Estudios'!B144)</f>
        <v>12</v>
      </c>
      <c r="C122" s="303" t="str">
        <f>IF('3.Plan de Estudios'!C144="","",'3.Plan de Estudios'!C144)</f>
        <v/>
      </c>
      <c r="D122" s="304" t="str">
        <f>IF('3.Plan de Estudios'!E144="","",'3.Plan de Estudios'!E144)</f>
        <v/>
      </c>
      <c r="E122" s="305"/>
      <c r="F122" s="305"/>
      <c r="G122" s="387"/>
      <c r="H122" s="81" t="str">
        <f>IF('3.Plan de Estudios'!P144=0,"",'3.Plan de Estudios'!P144)</f>
        <v/>
      </c>
    </row>
    <row r="123" spans="2:8">
      <c r="B123" s="303">
        <f>IF('3.Plan de Estudios'!B145="","",'3.Plan de Estudios'!B145)</f>
        <v>12</v>
      </c>
      <c r="C123" s="303" t="str">
        <f>IF('3.Plan de Estudios'!C145="","",'3.Plan de Estudios'!C145)</f>
        <v/>
      </c>
      <c r="D123" s="304" t="str">
        <f>IF('3.Plan de Estudios'!E145="","",'3.Plan de Estudios'!E145)</f>
        <v/>
      </c>
      <c r="E123" s="305"/>
      <c r="F123" s="305"/>
      <c r="G123" s="387"/>
      <c r="H123" s="81" t="str">
        <f>IF('3.Plan de Estudios'!P145=0,"",'3.Plan de Estudios'!P145)</f>
        <v/>
      </c>
    </row>
    <row r="124" spans="2:8">
      <c r="B124" s="303">
        <f>IF('3.Plan de Estudios'!B146="","",'3.Plan de Estudios'!B146)</f>
        <v>12</v>
      </c>
      <c r="C124" s="303" t="str">
        <f>IF('3.Plan de Estudios'!C146="","",'3.Plan de Estudios'!C146)</f>
        <v/>
      </c>
      <c r="D124" s="304" t="str">
        <f>IF('3.Plan de Estudios'!E146="","",'3.Plan de Estudios'!E146)</f>
        <v/>
      </c>
      <c r="E124" s="305"/>
      <c r="F124" s="305"/>
      <c r="G124" s="387"/>
      <c r="H124" s="81" t="str">
        <f>IF('3.Plan de Estudios'!P146=0,"",'3.Plan de Estudios'!P146)</f>
        <v/>
      </c>
    </row>
    <row r="125" spans="2:8">
      <c r="B125" s="303">
        <f>IF('3.Plan de Estudios'!B147="","",'3.Plan de Estudios'!B147)</f>
        <v>12</v>
      </c>
      <c r="C125" s="303" t="str">
        <f>IF('3.Plan de Estudios'!C147="","",'3.Plan de Estudios'!C147)</f>
        <v/>
      </c>
      <c r="D125" s="304" t="str">
        <f>IF('3.Plan de Estudios'!E147="","",'3.Plan de Estudios'!E147)</f>
        <v/>
      </c>
      <c r="E125" s="305"/>
      <c r="F125" s="305"/>
      <c r="G125" s="387"/>
      <c r="H125" s="81" t="str">
        <f>IF('3.Plan de Estudios'!P147=0,"",'3.Plan de Estudios'!P147)</f>
        <v/>
      </c>
    </row>
    <row r="126" spans="2:8">
      <c r="B126" s="303">
        <f>IF('3.Plan de Estudios'!B148="","",'3.Plan de Estudios'!B148)</f>
        <v>12</v>
      </c>
      <c r="C126" s="303" t="str">
        <f>IF('3.Plan de Estudios'!C148="","",'3.Plan de Estudios'!C148)</f>
        <v/>
      </c>
      <c r="D126" s="304" t="str">
        <f>IF('3.Plan de Estudios'!E148="","",'3.Plan de Estudios'!E148)</f>
        <v/>
      </c>
      <c r="E126" s="305"/>
      <c r="F126" s="305"/>
      <c r="G126" s="387"/>
      <c r="H126" s="81" t="str">
        <f>IF('3.Plan de Estudios'!P148=0,"",'3.Plan de Estudios'!P148)</f>
        <v/>
      </c>
    </row>
    <row r="127" spans="2:8">
      <c r="B127" s="303">
        <f>IF('3.Plan de Estudios'!B149="","",'3.Plan de Estudios'!B149)</f>
        <v>12</v>
      </c>
      <c r="C127" s="303" t="str">
        <f>IF('3.Plan de Estudios'!C149="","",'3.Plan de Estudios'!C149)</f>
        <v/>
      </c>
      <c r="D127" s="304" t="str">
        <f>IF('3.Plan de Estudios'!E149="","",'3.Plan de Estudios'!E149)</f>
        <v/>
      </c>
      <c r="E127" s="305"/>
      <c r="F127" s="305"/>
      <c r="G127" s="387"/>
      <c r="H127" s="81" t="str">
        <f>IF('3.Plan de Estudios'!P149=0,"",'3.Plan de Estudios'!P149)</f>
        <v/>
      </c>
    </row>
    <row r="128" spans="2:8">
      <c r="B128" s="303">
        <f>IF('3.Plan de Estudios'!B151="","",'3.Plan de Estudios'!B151)</f>
        <v>13</v>
      </c>
      <c r="C128" s="303" t="str">
        <f>IF('3.Plan de Estudios'!C151="","",'3.Plan de Estudios'!C151)</f>
        <v/>
      </c>
      <c r="D128" s="304" t="str">
        <f>IF('3.Plan de Estudios'!E151="","",'3.Plan de Estudios'!E151)</f>
        <v/>
      </c>
      <c r="E128" s="305"/>
      <c r="F128" s="305"/>
      <c r="G128" s="387"/>
      <c r="H128" s="81" t="str">
        <f>IF('3.Plan de Estudios'!P151=0,"",'3.Plan de Estudios'!P151)</f>
        <v/>
      </c>
    </row>
    <row r="129" spans="2:8">
      <c r="B129" s="303">
        <f>IF('3.Plan de Estudios'!B152="","",'3.Plan de Estudios'!B152)</f>
        <v>13</v>
      </c>
      <c r="C129" s="303" t="str">
        <f>IF('3.Plan de Estudios'!C152="","",'3.Plan de Estudios'!C152)</f>
        <v/>
      </c>
      <c r="D129" s="304" t="str">
        <f>IF('3.Plan de Estudios'!E152="","",'3.Plan de Estudios'!E152)</f>
        <v/>
      </c>
      <c r="E129" s="305"/>
      <c r="F129" s="305"/>
      <c r="G129" s="387"/>
      <c r="H129" s="81" t="str">
        <f>IF('3.Plan de Estudios'!P152=0,"",'3.Plan de Estudios'!P152)</f>
        <v/>
      </c>
    </row>
    <row r="130" spans="2:8">
      <c r="B130" s="303">
        <f>IF('3.Plan de Estudios'!B153="","",'3.Plan de Estudios'!B153)</f>
        <v>13</v>
      </c>
      <c r="C130" s="303" t="str">
        <f>IF('3.Plan de Estudios'!C153="","",'3.Plan de Estudios'!C153)</f>
        <v/>
      </c>
      <c r="D130" s="304" t="str">
        <f>IF('3.Plan de Estudios'!E153="","",'3.Plan de Estudios'!E153)</f>
        <v/>
      </c>
      <c r="E130" s="305"/>
      <c r="F130" s="305"/>
      <c r="G130" s="387"/>
      <c r="H130" s="81" t="str">
        <f>IF('3.Plan de Estudios'!P153=0,"",'3.Plan de Estudios'!P153)</f>
        <v/>
      </c>
    </row>
    <row r="131" spans="2:8">
      <c r="B131" s="303">
        <f>IF('3.Plan de Estudios'!B154="","",'3.Plan de Estudios'!B154)</f>
        <v>13</v>
      </c>
      <c r="C131" s="303" t="str">
        <f>IF('3.Plan de Estudios'!C154="","",'3.Plan de Estudios'!C154)</f>
        <v/>
      </c>
      <c r="D131" s="304" t="str">
        <f>IF('3.Plan de Estudios'!E154="","",'3.Plan de Estudios'!E154)</f>
        <v/>
      </c>
      <c r="E131" s="305"/>
      <c r="F131" s="305"/>
      <c r="G131" s="387"/>
      <c r="H131" s="81" t="str">
        <f>IF('3.Plan de Estudios'!P154=0,"",'3.Plan de Estudios'!P154)</f>
        <v/>
      </c>
    </row>
    <row r="132" spans="2:8">
      <c r="B132" s="303">
        <f>IF('3.Plan de Estudios'!B155="","",'3.Plan de Estudios'!B155)</f>
        <v>13</v>
      </c>
      <c r="C132" s="303" t="str">
        <f>IF('3.Plan de Estudios'!C155="","",'3.Plan de Estudios'!C155)</f>
        <v/>
      </c>
      <c r="D132" s="304" t="str">
        <f>IF('3.Plan de Estudios'!E155="","",'3.Plan de Estudios'!E155)</f>
        <v/>
      </c>
      <c r="E132" s="305"/>
      <c r="F132" s="305"/>
      <c r="G132" s="387"/>
      <c r="H132" s="81" t="str">
        <f>IF('3.Plan de Estudios'!P155=0,"",'3.Plan de Estudios'!P155)</f>
        <v/>
      </c>
    </row>
    <row r="133" spans="2:8">
      <c r="B133" s="303">
        <f>IF('3.Plan de Estudios'!B156="","",'3.Plan de Estudios'!B156)</f>
        <v>13</v>
      </c>
      <c r="C133" s="303" t="str">
        <f>IF('3.Plan de Estudios'!C156="","",'3.Plan de Estudios'!C156)</f>
        <v/>
      </c>
      <c r="D133" s="304" t="str">
        <f>IF('3.Plan de Estudios'!E156="","",'3.Plan de Estudios'!E156)</f>
        <v/>
      </c>
      <c r="E133" s="305"/>
      <c r="F133" s="305"/>
      <c r="G133" s="387"/>
      <c r="H133" s="81" t="str">
        <f>IF('3.Plan de Estudios'!P156=0,"",'3.Plan de Estudios'!P156)</f>
        <v/>
      </c>
    </row>
    <row r="134" spans="2:8">
      <c r="B134" s="303">
        <f>IF('3.Plan de Estudios'!B157="","",'3.Plan de Estudios'!B157)</f>
        <v>13</v>
      </c>
      <c r="C134" s="303" t="str">
        <f>IF('3.Plan de Estudios'!C157="","",'3.Plan de Estudios'!C157)</f>
        <v/>
      </c>
      <c r="D134" s="304" t="str">
        <f>IF('3.Plan de Estudios'!E157="","",'3.Plan de Estudios'!E157)</f>
        <v/>
      </c>
      <c r="E134" s="305"/>
      <c r="F134" s="305"/>
      <c r="G134" s="387"/>
      <c r="H134" s="81" t="str">
        <f>IF('3.Plan de Estudios'!P157=0,"",'3.Plan de Estudios'!P157)</f>
        <v/>
      </c>
    </row>
    <row r="135" spans="2:8">
      <c r="B135" s="303">
        <f>IF('3.Plan de Estudios'!B158="","",'3.Plan de Estudios'!B158)</f>
        <v>13</v>
      </c>
      <c r="C135" s="303" t="str">
        <f>IF('3.Plan de Estudios'!C158="","",'3.Plan de Estudios'!C158)</f>
        <v/>
      </c>
      <c r="D135" s="304" t="str">
        <f>IF('3.Plan de Estudios'!E158="","",'3.Plan de Estudios'!E158)</f>
        <v/>
      </c>
      <c r="E135" s="305"/>
      <c r="F135" s="305"/>
      <c r="G135" s="387"/>
      <c r="H135" s="81" t="str">
        <f>IF('3.Plan de Estudios'!P158=0,"",'3.Plan de Estudios'!P158)</f>
        <v/>
      </c>
    </row>
    <row r="136" spans="2:8">
      <c r="B136" s="303">
        <f>IF('3.Plan de Estudios'!B159="","",'3.Plan de Estudios'!B159)</f>
        <v>13</v>
      </c>
      <c r="C136" s="303" t="str">
        <f>IF('3.Plan de Estudios'!C159="","",'3.Plan de Estudios'!C159)</f>
        <v/>
      </c>
      <c r="D136" s="304" t="str">
        <f>IF('3.Plan de Estudios'!E159="","",'3.Plan de Estudios'!E159)</f>
        <v/>
      </c>
      <c r="E136" s="305"/>
      <c r="F136" s="305"/>
      <c r="G136" s="387"/>
      <c r="H136" s="81" t="str">
        <f>IF('3.Plan de Estudios'!P159=0,"",'3.Plan de Estudios'!P159)</f>
        <v/>
      </c>
    </row>
    <row r="137" spans="2:8">
      <c r="B137" s="303">
        <f>IF('3.Plan de Estudios'!B160="","",'3.Plan de Estudios'!B160)</f>
        <v>13</v>
      </c>
      <c r="C137" s="303" t="str">
        <f>IF('3.Plan de Estudios'!C160="","",'3.Plan de Estudios'!C160)</f>
        <v/>
      </c>
      <c r="D137" s="304" t="str">
        <f>IF('3.Plan de Estudios'!E160="","",'3.Plan de Estudios'!E160)</f>
        <v/>
      </c>
      <c r="E137" s="305"/>
      <c r="F137" s="305"/>
      <c r="G137" s="387"/>
      <c r="H137" s="81" t="str">
        <f>IF('3.Plan de Estudios'!P160=0,"",'3.Plan de Estudios'!P160)</f>
        <v/>
      </c>
    </row>
    <row r="138" spans="2:8">
      <c r="B138" s="303">
        <f>IF('3.Plan de Estudios'!B162="","",'3.Plan de Estudios'!B162)</f>
        <v>14</v>
      </c>
      <c r="C138" s="303" t="str">
        <f>IF('3.Plan de Estudios'!C162="","",'3.Plan de Estudios'!C162)</f>
        <v/>
      </c>
      <c r="D138" s="304" t="str">
        <f>IF('3.Plan de Estudios'!E162="","",'3.Plan de Estudios'!E162)</f>
        <v/>
      </c>
      <c r="E138" s="305"/>
      <c r="F138" s="305"/>
      <c r="G138" s="387"/>
      <c r="H138" s="81" t="str">
        <f>IF('3.Plan de Estudios'!P162=0,"",'3.Plan de Estudios'!P162)</f>
        <v/>
      </c>
    </row>
    <row r="139" spans="2:8">
      <c r="B139" s="303">
        <f>IF('3.Plan de Estudios'!B163="","",'3.Plan de Estudios'!B163)</f>
        <v>14</v>
      </c>
      <c r="C139" s="303" t="str">
        <f>IF('3.Plan de Estudios'!C163="","",'3.Plan de Estudios'!C163)</f>
        <v/>
      </c>
      <c r="D139" s="304" t="str">
        <f>IF('3.Plan de Estudios'!E163="","",'3.Plan de Estudios'!E163)</f>
        <v/>
      </c>
      <c r="E139" s="305"/>
      <c r="F139" s="305"/>
      <c r="G139" s="387"/>
      <c r="H139" s="81" t="str">
        <f>IF('3.Plan de Estudios'!P163=0,"",'3.Plan de Estudios'!P163)</f>
        <v/>
      </c>
    </row>
    <row r="140" spans="2:8">
      <c r="B140" s="303">
        <f>IF('3.Plan de Estudios'!B164="","",'3.Plan de Estudios'!B164)</f>
        <v>14</v>
      </c>
      <c r="C140" s="303" t="str">
        <f>IF('3.Plan de Estudios'!C164="","",'3.Plan de Estudios'!C164)</f>
        <v/>
      </c>
      <c r="D140" s="304" t="str">
        <f>IF('3.Plan de Estudios'!E164="","",'3.Plan de Estudios'!E164)</f>
        <v/>
      </c>
      <c r="E140" s="305"/>
      <c r="F140" s="305"/>
      <c r="G140" s="387"/>
      <c r="H140" s="81" t="str">
        <f>IF('3.Plan de Estudios'!P164=0,"",'3.Plan de Estudios'!P164)</f>
        <v/>
      </c>
    </row>
    <row r="141" spans="2:8">
      <c r="B141" s="303">
        <f>IF('3.Plan de Estudios'!B165="","",'3.Plan de Estudios'!B165)</f>
        <v>14</v>
      </c>
      <c r="C141" s="303" t="str">
        <f>IF('3.Plan de Estudios'!C165="","",'3.Plan de Estudios'!C165)</f>
        <v/>
      </c>
      <c r="D141" s="304" t="str">
        <f>IF('3.Plan de Estudios'!E165="","",'3.Plan de Estudios'!E165)</f>
        <v/>
      </c>
      <c r="E141" s="305"/>
      <c r="F141" s="305"/>
      <c r="G141" s="387"/>
      <c r="H141" s="81" t="str">
        <f>IF('3.Plan de Estudios'!P165=0,"",'3.Plan de Estudios'!P165)</f>
        <v/>
      </c>
    </row>
    <row r="142" spans="2:8">
      <c r="B142" s="303">
        <f>IF('3.Plan de Estudios'!B166="","",'3.Plan de Estudios'!B166)</f>
        <v>14</v>
      </c>
      <c r="C142" s="303" t="str">
        <f>IF('3.Plan de Estudios'!C166="","",'3.Plan de Estudios'!C166)</f>
        <v/>
      </c>
      <c r="D142" s="304" t="str">
        <f>IF('3.Plan de Estudios'!E166="","",'3.Plan de Estudios'!E166)</f>
        <v/>
      </c>
      <c r="E142" s="305"/>
      <c r="F142" s="305"/>
      <c r="G142" s="387"/>
      <c r="H142" s="81" t="str">
        <f>IF('3.Plan de Estudios'!P166=0,"",'3.Plan de Estudios'!P166)</f>
        <v/>
      </c>
    </row>
    <row r="143" spans="2:8">
      <c r="B143" s="303">
        <f>IF('3.Plan de Estudios'!B167="","",'3.Plan de Estudios'!B167)</f>
        <v>14</v>
      </c>
      <c r="C143" s="303" t="str">
        <f>IF('3.Plan de Estudios'!C167="","",'3.Plan de Estudios'!C167)</f>
        <v/>
      </c>
      <c r="D143" s="304" t="str">
        <f>IF('3.Plan de Estudios'!E167="","",'3.Plan de Estudios'!E167)</f>
        <v/>
      </c>
      <c r="E143" s="305"/>
      <c r="F143" s="305"/>
      <c r="G143" s="387"/>
      <c r="H143" s="81" t="str">
        <f>IF('3.Plan de Estudios'!P167=0,"",'3.Plan de Estudios'!P167)</f>
        <v/>
      </c>
    </row>
    <row r="144" spans="2:8">
      <c r="B144" s="303">
        <f>IF('3.Plan de Estudios'!B168="","",'3.Plan de Estudios'!B168)</f>
        <v>14</v>
      </c>
      <c r="C144" s="303" t="str">
        <f>IF('3.Plan de Estudios'!C168="","",'3.Plan de Estudios'!C168)</f>
        <v/>
      </c>
      <c r="D144" s="304" t="str">
        <f>IF('3.Plan de Estudios'!E168="","",'3.Plan de Estudios'!E168)</f>
        <v/>
      </c>
      <c r="E144" s="305"/>
      <c r="F144" s="305"/>
      <c r="G144" s="387"/>
      <c r="H144" s="81" t="str">
        <f>IF('3.Plan de Estudios'!P168=0,"",'3.Plan de Estudios'!P168)</f>
        <v/>
      </c>
    </row>
    <row r="145" spans="2:8">
      <c r="B145" s="303">
        <f>IF('3.Plan de Estudios'!B169="","",'3.Plan de Estudios'!B169)</f>
        <v>14</v>
      </c>
      <c r="C145" s="303" t="str">
        <f>IF('3.Plan de Estudios'!C169="","",'3.Plan de Estudios'!C169)</f>
        <v/>
      </c>
      <c r="D145" s="304" t="str">
        <f>IF('3.Plan de Estudios'!E169="","",'3.Plan de Estudios'!E169)</f>
        <v/>
      </c>
      <c r="E145" s="305"/>
      <c r="F145" s="305"/>
      <c r="G145" s="387"/>
      <c r="H145" s="81" t="str">
        <f>IF('3.Plan de Estudios'!P169=0,"",'3.Plan de Estudios'!P169)</f>
        <v/>
      </c>
    </row>
    <row r="146" spans="2:8">
      <c r="B146" s="303">
        <f>IF('3.Plan de Estudios'!B170="","",'3.Plan de Estudios'!B170)</f>
        <v>14</v>
      </c>
      <c r="C146" s="303" t="str">
        <f>IF('3.Plan de Estudios'!C170="","",'3.Plan de Estudios'!C170)</f>
        <v/>
      </c>
      <c r="D146" s="304" t="str">
        <f>IF('3.Plan de Estudios'!E170="","",'3.Plan de Estudios'!E170)</f>
        <v/>
      </c>
      <c r="E146" s="305"/>
      <c r="F146" s="305"/>
      <c r="G146" s="387"/>
      <c r="H146" s="81" t="str">
        <f>IF('3.Plan de Estudios'!P170=0,"",'3.Plan de Estudios'!P170)</f>
        <v/>
      </c>
    </row>
    <row r="147" spans="2:8">
      <c r="B147" s="303">
        <f>IF('3.Plan de Estudios'!B171="","",'3.Plan de Estudios'!B171)</f>
        <v>14</v>
      </c>
      <c r="C147" s="303" t="str">
        <f>IF('3.Plan de Estudios'!C171="","",'3.Plan de Estudios'!C171)</f>
        <v/>
      </c>
      <c r="D147" s="304" t="str">
        <f>IF('3.Plan de Estudios'!E171="","",'3.Plan de Estudios'!E171)</f>
        <v/>
      </c>
      <c r="E147" s="305"/>
      <c r="F147" s="305"/>
      <c r="G147" s="387" t="s">
        <v>244</v>
      </c>
      <c r="H147" s="81" t="str">
        <f>IF('3.Plan de Estudios'!P171=0,"",'3.Plan de Estudios'!P171)</f>
        <v/>
      </c>
    </row>
    <row r="148" spans="2:8" ht="15">
      <c r="G148" s="4"/>
    </row>
    <row r="149" spans="2:8" ht="15">
      <c r="B149" s="136" t="s">
        <v>1076</v>
      </c>
      <c r="C149" s="4"/>
      <c r="D149" s="4"/>
      <c r="E149" s="4"/>
      <c r="F149" s="4"/>
      <c r="H149" s="4"/>
    </row>
    <row r="150" spans="2:8">
      <c r="B150" s="15" t="s">
        <v>224</v>
      </c>
      <c r="C150" s="16" t="s">
        <v>226</v>
      </c>
      <c r="D150" s="15" t="s">
        <v>480</v>
      </c>
      <c r="E150" s="15" t="s">
        <v>1022</v>
      </c>
      <c r="F150" s="15" t="s">
        <v>1023</v>
      </c>
      <c r="G150" s="15" t="s">
        <v>1024</v>
      </c>
      <c r="H150" s="15" t="s">
        <v>233</v>
      </c>
    </row>
    <row r="151" spans="2:8" hidden="1">
      <c r="B151" s="385">
        <f>IF('4.Electivos'!B9="","",'4.Electivos'!B9)</f>
        <v>5</v>
      </c>
      <c r="C151" s="385" t="str">
        <f>IF('4.Electivos'!C9="","",'4.Electivos'!C9)</f>
        <v/>
      </c>
      <c r="D151" s="386" t="str">
        <f>IF('4.Electivos'!E9="","",'4.Electivos'!E9)</f>
        <v/>
      </c>
      <c r="E151" s="299"/>
      <c r="F151" s="299"/>
      <c r="G151" s="387" t="s">
        <v>244</v>
      </c>
      <c r="H151" s="388" t="str">
        <f>IF('4.Electivos'!P9=0,"",'4.Electivos'!P9)</f>
        <v/>
      </c>
    </row>
    <row r="152" spans="2:8" hidden="1">
      <c r="B152" s="385">
        <f>IF('4.Electivos'!B10="","",'4.Electivos'!B10)</f>
        <v>5</v>
      </c>
      <c r="C152" s="385" t="str">
        <f>IF('4.Electivos'!C10="","",'4.Electivos'!C10)</f>
        <v/>
      </c>
      <c r="D152" s="386" t="str">
        <f>IF('4.Electivos'!E10="","",'4.Electivos'!E10)</f>
        <v/>
      </c>
      <c r="E152" s="299"/>
      <c r="F152" s="299"/>
      <c r="G152" s="387" t="s">
        <v>244</v>
      </c>
      <c r="H152" s="388" t="str">
        <f>IF('4.Electivos'!P10=0,"",'4.Electivos'!P10)</f>
        <v/>
      </c>
    </row>
    <row r="153" spans="2:8" hidden="1">
      <c r="B153" s="385">
        <f>IF('4.Electivos'!B11="","",'4.Electivos'!B11)</f>
        <v>5</v>
      </c>
      <c r="C153" s="385" t="str">
        <f>IF('4.Electivos'!C11="","",'4.Electivos'!C11)</f>
        <v/>
      </c>
      <c r="D153" s="386" t="str">
        <f>IF('4.Electivos'!E11="","",'4.Electivos'!E11)</f>
        <v/>
      </c>
      <c r="E153" s="299"/>
      <c r="F153" s="299"/>
      <c r="G153" s="387" t="s">
        <v>244</v>
      </c>
      <c r="H153" s="388" t="str">
        <f>IF('4.Electivos'!P11=0,"",'4.Electivos'!P11)</f>
        <v/>
      </c>
    </row>
    <row r="154" spans="2:8" hidden="1">
      <c r="B154" s="385">
        <f>IF('4.Electivos'!B12="","",'4.Electivos'!B12)</f>
        <v>5</v>
      </c>
      <c r="C154" s="385" t="str">
        <f>IF('4.Electivos'!C12="","",'4.Electivos'!C12)</f>
        <v/>
      </c>
      <c r="D154" s="386" t="str">
        <f>IF('4.Electivos'!E12="","",'4.Electivos'!E12)</f>
        <v/>
      </c>
      <c r="E154" s="299"/>
      <c r="F154" s="299"/>
      <c r="G154" s="387" t="s">
        <v>244</v>
      </c>
      <c r="H154" s="388" t="str">
        <f>IF('4.Electivos'!P12=0,"",'4.Electivos'!P12)</f>
        <v/>
      </c>
    </row>
    <row r="155" spans="2:8" hidden="1">
      <c r="B155" s="385">
        <f>IF('4.Electivos'!B13="","",'4.Electivos'!B13)</f>
        <v>5</v>
      </c>
      <c r="C155" s="385" t="str">
        <f>IF('4.Electivos'!C13="","",'4.Electivos'!C13)</f>
        <v/>
      </c>
      <c r="D155" s="386" t="str">
        <f>IF('4.Electivos'!E13="","",'4.Electivos'!E13)</f>
        <v/>
      </c>
      <c r="E155" s="299"/>
      <c r="F155" s="299"/>
      <c r="G155" s="387" t="s">
        <v>244</v>
      </c>
      <c r="H155" s="388" t="str">
        <f>IF('4.Electivos'!P13=0,"",'4.Electivos'!P13)</f>
        <v/>
      </c>
    </row>
    <row r="156" spans="2:8" hidden="1">
      <c r="B156" s="385">
        <f>IF('4.Electivos'!B14="","",'4.Electivos'!B14)</f>
        <v>5</v>
      </c>
      <c r="C156" s="385" t="str">
        <f>IF('4.Electivos'!C14="","",'4.Electivos'!C14)</f>
        <v/>
      </c>
      <c r="D156" s="386" t="str">
        <f>IF('4.Electivos'!E14="","",'4.Electivos'!E14)</f>
        <v/>
      </c>
      <c r="E156" s="299"/>
      <c r="F156" s="299"/>
      <c r="G156" s="387" t="s">
        <v>244</v>
      </c>
      <c r="H156" s="388" t="str">
        <f>IF('4.Electivos'!P14=0,"",'4.Electivos'!P14)</f>
        <v/>
      </c>
    </row>
    <row r="157" spans="2:8" hidden="1">
      <c r="B157" s="385">
        <f>IF('4.Electivos'!B15="","",'4.Electivos'!B15)</f>
        <v>5</v>
      </c>
      <c r="C157" s="385" t="str">
        <f>IF('4.Electivos'!C15="","",'4.Electivos'!C15)</f>
        <v/>
      </c>
      <c r="D157" s="386" t="str">
        <f>IF('4.Electivos'!E15="","",'4.Electivos'!E15)</f>
        <v/>
      </c>
      <c r="E157" s="299"/>
      <c r="F157" s="299"/>
      <c r="G157" s="387" t="s">
        <v>244</v>
      </c>
      <c r="H157" s="388" t="str">
        <f>IF('4.Electivos'!P15=0,"",'4.Electivos'!P15)</f>
        <v/>
      </c>
    </row>
    <row r="158" spans="2:8" hidden="1">
      <c r="B158" s="385">
        <f>IF('4.Electivos'!B16="","",'4.Electivos'!B16)</f>
        <v>5</v>
      </c>
      <c r="C158" s="385" t="str">
        <f>IF('4.Electivos'!C16="","",'4.Electivos'!C16)</f>
        <v/>
      </c>
      <c r="D158" s="386" t="str">
        <f>IF('4.Electivos'!E16="","",'4.Electivos'!E16)</f>
        <v/>
      </c>
      <c r="E158" s="299"/>
      <c r="F158" s="299"/>
      <c r="G158" s="387" t="s">
        <v>244</v>
      </c>
      <c r="H158" s="388" t="str">
        <f>IF('4.Electivos'!P16=0,"",'4.Electivos'!P16)</f>
        <v/>
      </c>
    </row>
    <row r="159" spans="2:8" hidden="1">
      <c r="B159" s="385">
        <f>IF('4.Electivos'!B17="","",'4.Electivos'!B17)</f>
        <v>5</v>
      </c>
      <c r="C159" s="385" t="str">
        <f>IF('4.Electivos'!C17="","",'4.Electivos'!C17)</f>
        <v/>
      </c>
      <c r="D159" s="386" t="str">
        <f>IF('4.Electivos'!E17="","",'4.Electivos'!E17)</f>
        <v/>
      </c>
      <c r="E159" s="299"/>
      <c r="F159" s="299"/>
      <c r="G159" s="387" t="s">
        <v>244</v>
      </c>
      <c r="H159" s="388" t="str">
        <f>IF('4.Electivos'!P17=0,"",'4.Electivos'!P17)</f>
        <v/>
      </c>
    </row>
    <row r="160" spans="2:8" hidden="1">
      <c r="B160" s="385">
        <f>IF('4.Electivos'!B18="","",'4.Electivos'!B18)</f>
        <v>5</v>
      </c>
      <c r="C160" s="385" t="str">
        <f>IF('4.Electivos'!C18="","",'4.Electivos'!C18)</f>
        <v/>
      </c>
      <c r="D160" s="386" t="str">
        <f>IF('4.Electivos'!E18="","",'4.Electivos'!E18)</f>
        <v/>
      </c>
      <c r="E160" s="299"/>
      <c r="F160" s="299"/>
      <c r="G160" s="387" t="s">
        <v>244</v>
      </c>
      <c r="H160" s="388" t="str">
        <f>IF('4.Electivos'!P18=0,"",'4.Electivos'!P18)</f>
        <v/>
      </c>
    </row>
    <row r="161" spans="2:8" hidden="1">
      <c r="B161" s="385">
        <f>IF('4.Electivos'!B19="","",'4.Electivos'!B19)</f>
        <v>6</v>
      </c>
      <c r="C161" s="385" t="str">
        <f>IF('4.Electivos'!C19="","",'4.Electivos'!C19)</f>
        <v/>
      </c>
      <c r="D161" s="386" t="str">
        <f>IF('4.Electivos'!E19="","",'4.Electivos'!E19)</f>
        <v/>
      </c>
      <c r="E161" s="299"/>
      <c r="F161" s="299"/>
      <c r="G161" s="387" t="s">
        <v>244</v>
      </c>
      <c r="H161" s="388" t="str">
        <f>IF('4.Electivos'!P19=0,"",'4.Electivos'!P19)</f>
        <v/>
      </c>
    </row>
    <row r="162" spans="2:8" hidden="1">
      <c r="B162" s="385">
        <f>IF('4.Electivos'!B20="","",'4.Electivos'!B20)</f>
        <v>6</v>
      </c>
      <c r="C162" s="385" t="str">
        <f>IF('4.Electivos'!C20="","",'4.Electivos'!C20)</f>
        <v/>
      </c>
      <c r="D162" s="386" t="str">
        <f>IF('4.Electivos'!E20="","",'4.Electivos'!E20)</f>
        <v/>
      </c>
      <c r="E162" s="299"/>
      <c r="F162" s="299"/>
      <c r="G162" s="387" t="s">
        <v>244</v>
      </c>
      <c r="H162" s="388" t="str">
        <f>IF('4.Electivos'!P20=0,"",'4.Electivos'!P20)</f>
        <v/>
      </c>
    </row>
    <row r="163" spans="2:8" hidden="1">
      <c r="B163" s="385">
        <f>IF('4.Electivos'!B21="","",'4.Electivos'!B21)</f>
        <v>6</v>
      </c>
      <c r="C163" s="385" t="str">
        <f>IF('4.Electivos'!C21="","",'4.Electivos'!C21)</f>
        <v/>
      </c>
      <c r="D163" s="386" t="str">
        <f>IF('4.Electivos'!E21="","",'4.Electivos'!E21)</f>
        <v/>
      </c>
      <c r="E163" s="299"/>
      <c r="F163" s="299"/>
      <c r="G163" s="387" t="s">
        <v>244</v>
      </c>
      <c r="H163" s="388" t="str">
        <f>IF('4.Electivos'!P21=0,"",'4.Electivos'!P21)</f>
        <v/>
      </c>
    </row>
    <row r="164" spans="2:8" hidden="1">
      <c r="B164" s="385">
        <f>IF('4.Electivos'!B22="","",'4.Electivos'!B22)</f>
        <v>6</v>
      </c>
      <c r="C164" s="385" t="str">
        <f>IF('4.Electivos'!C22="","",'4.Electivos'!C22)</f>
        <v/>
      </c>
      <c r="D164" s="386" t="str">
        <f>IF('4.Electivos'!E22="","",'4.Electivos'!E22)</f>
        <v/>
      </c>
      <c r="E164" s="299"/>
      <c r="F164" s="299"/>
      <c r="G164" s="387" t="s">
        <v>244</v>
      </c>
      <c r="H164" s="388" t="str">
        <f>IF('4.Electivos'!P22=0,"",'4.Electivos'!P22)</f>
        <v/>
      </c>
    </row>
    <row r="165" spans="2:8" hidden="1">
      <c r="B165" s="385">
        <f>IF('4.Electivos'!B23="","",'4.Electivos'!B23)</f>
        <v>6</v>
      </c>
      <c r="C165" s="385" t="str">
        <f>IF('4.Electivos'!C23="","",'4.Electivos'!C23)</f>
        <v/>
      </c>
      <c r="D165" s="386" t="str">
        <f>IF('4.Electivos'!E23="","",'4.Electivos'!E23)</f>
        <v/>
      </c>
      <c r="E165" s="299"/>
      <c r="F165" s="299"/>
      <c r="G165" s="387" t="s">
        <v>244</v>
      </c>
      <c r="H165" s="388" t="str">
        <f>IF('4.Electivos'!P23=0,"",'4.Electivos'!P23)</f>
        <v/>
      </c>
    </row>
    <row r="166" spans="2:8" hidden="1">
      <c r="B166" s="385">
        <f>IF('4.Electivos'!B24="","",'4.Electivos'!B24)</f>
        <v>6</v>
      </c>
      <c r="C166" s="385" t="str">
        <f>IF('4.Electivos'!C24="","",'4.Electivos'!C24)</f>
        <v/>
      </c>
      <c r="D166" s="386" t="str">
        <f>IF('4.Electivos'!E24="","",'4.Electivos'!E24)</f>
        <v/>
      </c>
      <c r="E166" s="299"/>
      <c r="F166" s="299"/>
      <c r="G166" s="387" t="s">
        <v>244</v>
      </c>
      <c r="H166" s="388" t="str">
        <f>IF('4.Electivos'!P24=0,"",'4.Electivos'!P24)</f>
        <v/>
      </c>
    </row>
    <row r="167" spans="2:8" hidden="1">
      <c r="B167" s="385">
        <f>IF('4.Electivos'!B25="","",'4.Electivos'!B25)</f>
        <v>6</v>
      </c>
      <c r="C167" s="385" t="str">
        <f>IF('4.Electivos'!C25="","",'4.Electivos'!C25)</f>
        <v/>
      </c>
      <c r="D167" s="386" t="str">
        <f>IF('4.Electivos'!E25="","",'4.Electivos'!E25)</f>
        <v/>
      </c>
      <c r="E167" s="299"/>
      <c r="F167" s="299"/>
      <c r="G167" s="387" t="s">
        <v>244</v>
      </c>
      <c r="H167" s="388" t="str">
        <f>IF('4.Electivos'!P25=0,"",'4.Electivos'!P25)</f>
        <v/>
      </c>
    </row>
    <row r="168" spans="2:8" hidden="1">
      <c r="B168" s="385">
        <f>IF('4.Electivos'!B26="","",'4.Electivos'!B26)</f>
        <v>6</v>
      </c>
      <c r="C168" s="385" t="str">
        <f>IF('4.Electivos'!C26="","",'4.Electivos'!C26)</f>
        <v/>
      </c>
      <c r="D168" s="386" t="str">
        <f>IF('4.Electivos'!E26="","",'4.Electivos'!E26)</f>
        <v/>
      </c>
      <c r="E168" s="299"/>
      <c r="F168" s="299"/>
      <c r="G168" s="387" t="s">
        <v>244</v>
      </c>
      <c r="H168" s="388" t="str">
        <f>IF('4.Electivos'!P26=0,"",'4.Electivos'!P26)</f>
        <v/>
      </c>
    </row>
    <row r="169" spans="2:8" hidden="1">
      <c r="B169" s="385">
        <f>IF('4.Electivos'!B27="","",'4.Electivos'!B27)</f>
        <v>6</v>
      </c>
      <c r="C169" s="385" t="str">
        <f>IF('4.Electivos'!C27="","",'4.Electivos'!C27)</f>
        <v/>
      </c>
      <c r="D169" s="386" t="str">
        <f>IF('4.Electivos'!E27="","",'4.Electivos'!E27)</f>
        <v/>
      </c>
      <c r="E169" s="299"/>
      <c r="F169" s="299"/>
      <c r="G169" s="387" t="s">
        <v>244</v>
      </c>
      <c r="H169" s="388" t="str">
        <f>IF('4.Electivos'!P27=0,"",'4.Electivos'!P27)</f>
        <v/>
      </c>
    </row>
    <row r="170" spans="2:8" hidden="1">
      <c r="B170" s="385">
        <f>IF('4.Electivos'!B28="","",'4.Electivos'!B28)</f>
        <v>6</v>
      </c>
      <c r="C170" s="385" t="str">
        <f>IF('4.Electivos'!C28="","",'4.Electivos'!C28)</f>
        <v/>
      </c>
      <c r="D170" s="386" t="str">
        <f>IF('4.Electivos'!E28="","",'4.Electivos'!E28)</f>
        <v/>
      </c>
      <c r="E170" s="299"/>
      <c r="F170" s="299"/>
      <c r="G170" s="387" t="s">
        <v>244</v>
      </c>
      <c r="H170" s="388" t="str">
        <f>IF('4.Electivos'!P28=0,"",'4.Electivos'!P28)</f>
        <v/>
      </c>
    </row>
    <row r="171" spans="2:8" ht="72">
      <c r="B171" s="385">
        <f>IF('4.Electivos'!B29="","",'4.Electivos'!B29)</f>
        <v>7</v>
      </c>
      <c r="C171" s="385" t="str">
        <f>IF('4.Electivos'!C29="","",'4.Electivos'!C29)</f>
        <v>SDE51002</v>
      </c>
      <c r="D171" s="386" t="str">
        <f>IF('4.Electivos'!E29="","",'4.Electivos'!E29)</f>
        <v>FUNDAMENTOS DE LA TUTORÍA</v>
      </c>
      <c r="E171" s="299"/>
      <c r="F171" s="299"/>
      <c r="G171" s="579" t="s">
        <v>1077</v>
      </c>
      <c r="H171" s="388">
        <f>IF('4.Electivos'!P29=0,"",'4.Electivos'!P29)</f>
        <v>4</v>
      </c>
    </row>
    <row r="172" spans="2:8" ht="84">
      <c r="B172" s="385">
        <f>IF('4.Electivos'!B30="","",'4.Electivos'!B30)</f>
        <v>7</v>
      </c>
      <c r="C172" s="385" t="str">
        <f>IF('4.Electivos'!C30="","",'4.Electivos'!C30)</f>
        <v>EDG51007</v>
      </c>
      <c r="D172" s="386" t="str">
        <f>IF('4.Electivos'!E30="","",'4.Electivos'!E30)</f>
        <v>LA EVALUACIÓN DE LOS APRENDIZAJES EN EL PERÚ</v>
      </c>
      <c r="E172" s="299"/>
      <c r="F172" s="299"/>
      <c r="G172" s="579" t="s">
        <v>1078</v>
      </c>
      <c r="H172" s="388">
        <f>IF('4.Electivos'!P30=0,"",'4.Electivos'!P30)</f>
        <v>4</v>
      </c>
    </row>
    <row r="173" spans="2:8" ht="99.75" customHeight="1">
      <c r="B173" s="385">
        <f>IF('4.Electivos'!B31="","",'4.Electivos'!B31)</f>
        <v>7</v>
      </c>
      <c r="C173" s="385" t="str">
        <f>IF('4.Electivos'!C31="","",'4.Electivos'!C31)</f>
        <v>RSO61013</v>
      </c>
      <c r="D173" s="386" t="str">
        <f>IF('4.Electivos'!E31="","",'4.Electivos'!E31)</f>
        <v>BASES PARA LA GESTIÓN ESTRATÉGICA DE LA SOSTENIBILIDAD</v>
      </c>
      <c r="E173" s="299"/>
      <c r="F173" s="299"/>
      <c r="G173" s="580" t="s">
        <v>1079</v>
      </c>
      <c r="H173" s="388">
        <f>IF('4.Electivos'!P31=0,"",'4.Electivos'!P31)</f>
        <v>4</v>
      </c>
    </row>
    <row r="174" spans="2:8" ht="145.5" customHeight="1">
      <c r="B174" s="385">
        <f>IF('4.Electivos'!B32="","",'4.Electivos'!B32)</f>
        <v>7</v>
      </c>
      <c r="C174" s="385" t="str">
        <f>IF('4.Electivos'!C32="","",'4.Electivos'!C32)</f>
        <v>GES61009</v>
      </c>
      <c r="D174" s="386" t="str">
        <f>IF('4.Electivos'!E32="","",'4.Electivos'!E32)</f>
        <v>C. M.: OPORTUNIDADES DE NEGOCIOS</v>
      </c>
      <c r="E174" s="299"/>
      <c r="F174" s="299"/>
      <c r="G174" s="581" t="s">
        <v>1080</v>
      </c>
      <c r="H174" s="388">
        <f>IF('4.Electivos'!P32=0,"",'4.Electivos'!P32)</f>
        <v>4</v>
      </c>
    </row>
    <row r="175" spans="2:8" ht="112.5" customHeight="1">
      <c r="B175" s="385">
        <f>IF('4.Electivos'!B33="","",'4.Electivos'!B33)</f>
        <v>7</v>
      </c>
      <c r="C175" s="385" t="str">
        <f>IF('4.Electivos'!C33="","",'4.Electivos'!C33)</f>
        <v>DRH65005</v>
      </c>
      <c r="D175" s="386" t="str">
        <f>IF('4.Electivos'!E33="","",'4.Electivos'!E33)</f>
        <v>CULTURAL TRANSFORMATION FOR DIGITAL TRANSFORMATION</v>
      </c>
      <c r="E175" s="299"/>
      <c r="F175" s="299"/>
      <c r="G175" s="581" t="s">
        <v>1081</v>
      </c>
      <c r="H175" s="388">
        <f>IF('4.Electivos'!P33=0,"",'4.Electivos'!P33)</f>
        <v>4</v>
      </c>
    </row>
    <row r="176" spans="2:8" ht="87.75" customHeight="1">
      <c r="B176" s="385">
        <f>IF('4.Electivos'!B34="","",'4.Electivos'!B34)</f>
        <v>7</v>
      </c>
      <c r="C176" s="385" t="str">
        <f>IF('4.Electivos'!C34="","",'4.Electivos'!C34)</f>
        <v>UOR61002</v>
      </c>
      <c r="D176" s="386" t="str">
        <f>IF('4.Electivos'!E34="","",'4.Electivos'!E34)</f>
        <v>TECNOLOGÍAS EMERGENTES</v>
      </c>
      <c r="E176" s="299"/>
      <c r="F176" s="299"/>
      <c r="G176" s="581" t="s">
        <v>1082</v>
      </c>
      <c r="H176" s="388">
        <f>IF('4.Electivos'!P34=0,"",'4.Electivos'!P34)</f>
        <v>4</v>
      </c>
    </row>
    <row r="177" spans="2:8" hidden="1">
      <c r="B177" s="385">
        <f>IF('4.Electivos'!B35="","",'4.Electivos'!B35)</f>
        <v>7</v>
      </c>
      <c r="C177" s="385" t="str">
        <f>IF('4.Electivos'!C35="","",'4.Electivos'!C35)</f>
        <v/>
      </c>
      <c r="D177" s="386" t="str">
        <f>IF('4.Electivos'!E35="","",'4.Electivos'!E35)</f>
        <v/>
      </c>
      <c r="E177" s="299"/>
      <c r="F177" s="299"/>
      <c r="G177" s="579" t="s">
        <v>244</v>
      </c>
      <c r="H177" s="388" t="str">
        <f>IF('4.Electivos'!P35=0,"",'4.Electivos'!P35)</f>
        <v/>
      </c>
    </row>
    <row r="178" spans="2:8" hidden="1">
      <c r="B178" s="385">
        <f>IF('4.Electivos'!B36="","",'4.Electivos'!B36)</f>
        <v>7</v>
      </c>
      <c r="C178" s="385" t="str">
        <f>IF('4.Electivos'!C36="","",'4.Electivos'!C36)</f>
        <v/>
      </c>
      <c r="D178" s="386" t="str">
        <f>IF('4.Electivos'!E36="","",'4.Electivos'!E36)</f>
        <v/>
      </c>
      <c r="E178" s="299"/>
      <c r="F178" s="299"/>
      <c r="G178" s="579" t="s">
        <v>244</v>
      </c>
      <c r="H178" s="388" t="str">
        <f>IF('4.Electivos'!P36=0,"",'4.Electivos'!P36)</f>
        <v/>
      </c>
    </row>
    <row r="179" spans="2:8" hidden="1">
      <c r="B179" s="385">
        <f>IF('4.Electivos'!B37="","",'4.Electivos'!B37)</f>
        <v>7</v>
      </c>
      <c r="C179" s="385" t="str">
        <f>IF('4.Electivos'!C37="","",'4.Electivos'!C37)</f>
        <v/>
      </c>
      <c r="D179" s="386" t="str">
        <f>IF('4.Electivos'!E37="","",'4.Electivos'!E37)</f>
        <v/>
      </c>
      <c r="E179" s="299"/>
      <c r="F179" s="299"/>
      <c r="G179" s="579" t="s">
        <v>244</v>
      </c>
      <c r="H179" s="388" t="str">
        <f>IF('4.Electivos'!P37=0,"",'4.Electivos'!P37)</f>
        <v/>
      </c>
    </row>
    <row r="180" spans="2:8">
      <c r="B180" s="385">
        <f>IF('4.Electivos'!B38="","",'4.Electivos'!B38)</f>
        <v>7</v>
      </c>
      <c r="C180" s="385" t="str">
        <f>IF('4.Electivos'!C38="","",'4.Electivos'!C38)</f>
        <v/>
      </c>
      <c r="D180" s="386" t="str">
        <f>IF('4.Electivos'!E38="","",'4.Electivos'!E38)</f>
        <v/>
      </c>
      <c r="E180" s="299"/>
      <c r="F180" s="299"/>
      <c r="G180" s="579" t="s">
        <v>244</v>
      </c>
      <c r="H180" s="388" t="str">
        <f>IF('4.Electivos'!P38=0,"",'4.Electivos'!P38)</f>
        <v/>
      </c>
    </row>
    <row r="181" spans="2:8" ht="108">
      <c r="B181" s="385">
        <f>IF('4.Electivos'!B39="","",'4.Electivos'!B39)</f>
        <v>8</v>
      </c>
      <c r="C181" s="385" t="str">
        <f>IF('4.Electivos'!C39="","",'4.Electivos'!C39)</f>
        <v>EIC51007</v>
      </c>
      <c r="D181" s="386" t="str">
        <f>IF('4.Electivos'!E39="","",'4.Electivos'!E39)</f>
        <v>DESARROLLO Y DINÁMICA DE LOS GRUPOS HUMANOS</v>
      </c>
      <c r="E181" s="299"/>
      <c r="F181" s="299"/>
      <c r="G181" s="579" t="s">
        <v>1083</v>
      </c>
      <c r="H181" s="388">
        <f>IF('4.Electivos'!P39=0,"",'4.Electivos'!P39)</f>
        <v>4.0625</v>
      </c>
    </row>
    <row r="182" spans="2:8" ht="72">
      <c r="B182" s="385">
        <f>IF('4.Electivos'!B40="","",'4.Electivos'!B40)</f>
        <v>8</v>
      </c>
      <c r="C182" s="385" t="str">
        <f>IF('4.Electivos'!C40="","",'4.Electivos'!C40)</f>
        <v>EIC51008</v>
      </c>
      <c r="D182" s="386" t="str">
        <f>IF('4.Electivos'!E40="","",'4.Electivos'!E40)</f>
        <v>ESTRATEGIAS DE EVALUACIÓN DE LOS APRENDIZAJES</v>
      </c>
      <c r="E182" s="299"/>
      <c r="F182" s="299"/>
      <c r="G182" s="579" t="s">
        <v>1084</v>
      </c>
      <c r="H182" s="388">
        <f>IF('4.Electivos'!P40=0,"",'4.Electivos'!P40)</f>
        <v>4</v>
      </c>
    </row>
    <row r="183" spans="2:8" ht="123.75" customHeight="1">
      <c r="B183" s="385">
        <f>IF('4.Electivos'!B41="","",'4.Electivos'!B41)</f>
        <v>8</v>
      </c>
      <c r="C183" s="385" t="str">
        <f>IF('4.Electivos'!C41="","",'4.Electivos'!C41)</f>
        <v>RSO61015</v>
      </c>
      <c r="D183" s="386" t="str">
        <f>IF('4.Electivos'!E41="","",'4.Electivos'!E41)</f>
        <v>GESTIÓN EMPRESARIAL SOSTENIBLE</v>
      </c>
      <c r="E183" s="299"/>
      <c r="F183" s="299"/>
      <c r="G183" s="581" t="s">
        <v>1085</v>
      </c>
      <c r="H183" s="388">
        <f>IF('4.Electivos'!P41=0,"",'4.Electivos'!P41)</f>
        <v>4</v>
      </c>
    </row>
    <row r="184" spans="2:8" ht="93.75" customHeight="1">
      <c r="B184" s="385">
        <f>IF('4.Electivos'!B42="","",'4.Electivos'!B42)</f>
        <v>8</v>
      </c>
      <c r="C184" s="385" t="str">
        <f>IF('4.Electivos'!C42="","",'4.Electivos'!C42)</f>
        <v>GES61010</v>
      </c>
      <c r="D184" s="386" t="str">
        <f>IF('4.Electivos'!E42="","",'4.Electivos'!E42)</f>
        <v>C. M.: PLAN DE NEGOCIOS</v>
      </c>
      <c r="E184" s="299"/>
      <c r="F184" s="299"/>
      <c r="G184" s="581" t="s">
        <v>1086</v>
      </c>
      <c r="H184" s="388">
        <f>IF('4.Electivos'!P42=0,"",'4.Electivos'!P42)</f>
        <v>4</v>
      </c>
    </row>
    <row r="185" spans="2:8" ht="99" customHeight="1">
      <c r="B185" s="385">
        <f>IF('4.Electivos'!B43="","",'4.Electivos'!B43)</f>
        <v>8</v>
      </c>
      <c r="C185" s="385" t="str">
        <f>IF('4.Electivos'!C43="","",'4.Electivos'!C43)</f>
        <v>GES52024</v>
      </c>
      <c r="D185" s="386" t="str">
        <f>IF('4.Electivos'!E43="","",'4.Electivos'!E43)</f>
        <v>CLOUD BUSINESS</v>
      </c>
      <c r="E185" s="299"/>
      <c r="F185" s="299"/>
      <c r="G185" s="581" t="s">
        <v>1087</v>
      </c>
      <c r="H185" s="388">
        <f>IF('4.Electivos'!P43=0,"",'4.Electivos'!P43)</f>
        <v>4</v>
      </c>
    </row>
    <row r="186" spans="2:8" ht="113.25" customHeight="1">
      <c r="B186" s="385">
        <f>IF('4.Electivos'!B44="","",'4.Electivos'!B44)</f>
        <v>8</v>
      </c>
      <c r="C186" s="385" t="str">
        <f>IF('4.Electivos'!C44="","",'4.Electivos'!C44)</f>
        <v>UOR61004</v>
      </c>
      <c r="D186" s="386" t="str">
        <f>IF('4.Electivos'!E44="","",'4.Electivos'!E44)</f>
        <v>INTELIGENCIA ARTIFICIAL GENERATIVA</v>
      </c>
      <c r="E186" s="299"/>
      <c r="F186" s="299"/>
      <c r="G186" s="581" t="s">
        <v>1088</v>
      </c>
      <c r="H186" s="388">
        <f>IF('4.Electivos'!P44=0,"",'4.Electivos'!P44)</f>
        <v>4</v>
      </c>
    </row>
    <row r="187" spans="2:8" hidden="1">
      <c r="B187" s="385">
        <f>IF('4.Electivos'!B45="","",'4.Electivos'!B45)</f>
        <v>8</v>
      </c>
      <c r="C187" s="385" t="str">
        <f>IF('4.Electivos'!C45="","",'4.Electivos'!C45)</f>
        <v/>
      </c>
      <c r="D187" s="386" t="str">
        <f>IF('4.Electivos'!E45="","",'4.Electivos'!E45)</f>
        <v/>
      </c>
      <c r="E187" s="299"/>
      <c r="F187" s="299"/>
      <c r="G187" s="579" t="s">
        <v>244</v>
      </c>
      <c r="H187" s="388" t="str">
        <f>IF('4.Electivos'!P45=0,"",'4.Electivos'!P45)</f>
        <v/>
      </c>
    </row>
    <row r="188" spans="2:8" hidden="1">
      <c r="B188" s="385">
        <f>IF('4.Electivos'!B46="","",'4.Electivos'!B46)</f>
        <v>8</v>
      </c>
      <c r="C188" s="385" t="str">
        <f>IF('4.Electivos'!C46="","",'4.Electivos'!C46)</f>
        <v/>
      </c>
      <c r="D188" s="386" t="str">
        <f>IF('4.Electivos'!E46="","",'4.Electivos'!E46)</f>
        <v/>
      </c>
      <c r="E188" s="299"/>
      <c r="F188" s="299"/>
      <c r="G188" s="579" t="s">
        <v>244</v>
      </c>
      <c r="H188" s="388" t="str">
        <f>IF('4.Electivos'!P46=0,"",'4.Electivos'!P46)</f>
        <v/>
      </c>
    </row>
    <row r="189" spans="2:8" hidden="1">
      <c r="B189" s="385">
        <f>IF('4.Electivos'!B47="","",'4.Electivos'!B47)</f>
        <v>8</v>
      </c>
      <c r="C189" s="385" t="str">
        <f>IF('4.Electivos'!C47="","",'4.Electivos'!C47)</f>
        <v/>
      </c>
      <c r="D189" s="386" t="str">
        <f>IF('4.Electivos'!E47="","",'4.Electivos'!E47)</f>
        <v/>
      </c>
      <c r="E189" s="299"/>
      <c r="F189" s="299"/>
      <c r="G189" s="579" t="s">
        <v>244</v>
      </c>
      <c r="H189" s="388" t="str">
        <f>IF('4.Electivos'!P47=0,"",'4.Electivos'!P47)</f>
        <v/>
      </c>
    </row>
    <row r="190" spans="2:8">
      <c r="B190" s="385">
        <f>IF('4.Electivos'!B48="","",'4.Electivos'!B48)</f>
        <v>8</v>
      </c>
      <c r="C190" s="385" t="str">
        <f>IF('4.Electivos'!C48="","",'4.Electivos'!C48)</f>
        <v/>
      </c>
      <c r="D190" s="386" t="str">
        <f>IF('4.Electivos'!E48="","",'4.Electivos'!E48)</f>
        <v/>
      </c>
      <c r="E190" s="299"/>
      <c r="F190" s="299"/>
      <c r="G190" s="579" t="s">
        <v>244</v>
      </c>
      <c r="H190" s="388" t="str">
        <f>IF('4.Electivos'!P48=0,"",'4.Electivos'!P48)</f>
        <v/>
      </c>
    </row>
    <row r="191" spans="2:8" ht="111.75" customHeight="1">
      <c r="B191" s="385">
        <f>IF('4.Electivos'!B49="","",'4.Electivos'!B49)</f>
        <v>9</v>
      </c>
      <c r="C191" s="385" t="str">
        <f>IF('4.Electivos'!C49="","",'4.Electivos'!C49)</f>
        <v>SDE51003</v>
      </c>
      <c r="D191" s="386" t="str">
        <f>IF('4.Electivos'!E49="","",'4.Electivos'!E49)</f>
        <v>DESARROLLO DE LAS ÁREAS DE TUTORÍA</v>
      </c>
      <c r="E191" s="299"/>
      <c r="F191" s="299"/>
      <c r="G191" s="579" t="s">
        <v>1089</v>
      </c>
      <c r="H191" s="388">
        <f>IF('4.Electivos'!P49=0,"",'4.Electivos'!P49)</f>
        <v>4</v>
      </c>
    </row>
    <row r="192" spans="2:8" ht="117" customHeight="1">
      <c r="B192" s="385">
        <f>IF('4.Electivos'!B50="","",'4.Electivos'!B50)</f>
        <v>9</v>
      </c>
      <c r="C192" s="385" t="str">
        <f>IF('4.Electivos'!C50="","",'4.Electivos'!C50)</f>
        <v>EIC61003</v>
      </c>
      <c r="D192" s="386" t="str">
        <f>IF('4.Electivos'!E50="","",'4.Electivos'!E50)</f>
        <v>DISEÑO DE INSTRUMENTOS DE EVALUACIÓN</v>
      </c>
      <c r="E192" s="299"/>
      <c r="F192" s="299"/>
      <c r="G192" s="579" t="s">
        <v>1090</v>
      </c>
      <c r="H192" s="388">
        <f>IF('4.Electivos'!P50=0,"",'4.Electivos'!P50)</f>
        <v>4</v>
      </c>
    </row>
    <row r="193" spans="2:8" ht="103.5" customHeight="1">
      <c r="B193" s="385">
        <f>IF('4.Electivos'!B51="","",'4.Electivos'!B51)</f>
        <v>9</v>
      </c>
      <c r="C193" s="385" t="str">
        <f>IF('4.Electivos'!C51="","",'4.Electivos'!C51)</f>
        <v>RSO61014</v>
      </c>
      <c r="D193" s="386" t="str">
        <f>IF('4.Electivos'!E51="","",'4.Electivos'!E51)</f>
        <v>GESTIÓN DE EMPRENDIMIENTOS SOCIOAMBIENTALES</v>
      </c>
      <c r="E193" s="299"/>
      <c r="F193" s="299"/>
      <c r="G193" s="581" t="s">
        <v>1091</v>
      </c>
      <c r="H193" s="388">
        <f>IF('4.Electivos'!P51=0,"",'4.Electivos'!P51)</f>
        <v>4</v>
      </c>
    </row>
    <row r="194" spans="2:8" ht="82.5" customHeight="1">
      <c r="B194" s="385">
        <f>IF('4.Electivos'!B52="","",'4.Electivos'!B52)</f>
        <v>9</v>
      </c>
      <c r="C194" s="385" t="str">
        <f>IF('4.Electivos'!C52="","",'4.Electivos'!C52)</f>
        <v>GES61007</v>
      </c>
      <c r="D194" s="386" t="str">
        <f>IF('4.Electivos'!E52="","",'4.Electivos'!E52)</f>
        <v>C. M.: INCUBACIÓN I</v>
      </c>
      <c r="E194" s="299"/>
      <c r="F194" s="299"/>
      <c r="G194" s="581" t="s">
        <v>1092</v>
      </c>
      <c r="H194" s="388">
        <f>IF('4.Electivos'!P52=0,"",'4.Electivos'!P52)</f>
        <v>4</v>
      </c>
    </row>
    <row r="195" spans="2:8" ht="102" customHeight="1">
      <c r="B195" s="385">
        <f>IF('4.Electivos'!B53="","",'4.Electivos'!B53)</f>
        <v>9</v>
      </c>
      <c r="C195" s="385" t="str">
        <f>IF('4.Electivos'!C53="","",'4.Electivos'!C53)</f>
        <v>GSI61015</v>
      </c>
      <c r="D195" s="386" t="str">
        <f>IF('4.Electivos'!E53="","",'4.Electivos'!E53)</f>
        <v>BUSINESS AND INTERNET OF THINGS</v>
      </c>
      <c r="E195" s="299"/>
      <c r="F195" s="299"/>
      <c r="G195" s="581" t="s">
        <v>1093</v>
      </c>
      <c r="H195" s="388">
        <f>IF('4.Electivos'!P53=0,"",'4.Electivos'!P53)</f>
        <v>4</v>
      </c>
    </row>
    <row r="196" spans="2:8" ht="125.25" customHeight="1">
      <c r="B196" s="385">
        <f>IF('4.Electivos'!B54="","",'4.Electivos'!B54)</f>
        <v>9</v>
      </c>
      <c r="C196" s="385" t="str">
        <f>IF('4.Electivos'!C54="","",'4.Electivos'!C54)</f>
        <v>MSI64005</v>
      </c>
      <c r="D196" s="386" t="str">
        <f>IF('4.Electivos'!E54="","",'4.Electivos'!E54)</f>
        <v>PENSAMIENTO COMPUTACIONAL Y ANALÍTICA DE DATOS</v>
      </c>
      <c r="E196" s="299"/>
      <c r="F196" s="299"/>
      <c r="G196" s="581" t="s">
        <v>1094</v>
      </c>
      <c r="H196" s="388">
        <f>IF('4.Electivos'!P54=0,"",'4.Electivos'!P54)</f>
        <v>4</v>
      </c>
    </row>
    <row r="197" spans="2:8" hidden="1">
      <c r="B197" s="385">
        <f>IF('4.Electivos'!B55="","",'4.Electivos'!B55)</f>
        <v>9</v>
      </c>
      <c r="C197" s="385" t="str">
        <f>IF('4.Electivos'!C55="","",'4.Electivos'!C55)</f>
        <v/>
      </c>
      <c r="D197" s="386" t="str">
        <f>IF('4.Electivos'!E55="","",'4.Electivos'!E55)</f>
        <v/>
      </c>
      <c r="E197" s="299"/>
      <c r="F197" s="299"/>
      <c r="G197" s="579" t="s">
        <v>244</v>
      </c>
      <c r="H197" s="388" t="str">
        <f>IF('4.Electivos'!P55=0,"",'4.Electivos'!P55)</f>
        <v/>
      </c>
    </row>
    <row r="198" spans="2:8" hidden="1">
      <c r="B198" s="385">
        <f>IF('4.Electivos'!B56="","",'4.Electivos'!B56)</f>
        <v>9</v>
      </c>
      <c r="C198" s="385" t="str">
        <f>IF('4.Electivos'!C56="","",'4.Electivos'!C56)</f>
        <v/>
      </c>
      <c r="D198" s="386" t="str">
        <f>IF('4.Electivos'!E56="","",'4.Electivos'!E56)</f>
        <v/>
      </c>
      <c r="E198" s="299"/>
      <c r="F198" s="299"/>
      <c r="G198" s="579" t="s">
        <v>244</v>
      </c>
      <c r="H198" s="388" t="str">
        <f>IF('4.Electivos'!P56=0,"",'4.Electivos'!P56)</f>
        <v/>
      </c>
    </row>
    <row r="199" spans="2:8" hidden="1">
      <c r="B199" s="385">
        <f>IF('4.Electivos'!B57="","",'4.Electivos'!B57)</f>
        <v>9</v>
      </c>
      <c r="C199" s="385" t="str">
        <f>IF('4.Electivos'!C57="","",'4.Electivos'!C57)</f>
        <v/>
      </c>
      <c r="D199" s="386" t="str">
        <f>IF('4.Electivos'!E57="","",'4.Electivos'!E57)</f>
        <v/>
      </c>
      <c r="E199" s="299"/>
      <c r="F199" s="299"/>
      <c r="G199" s="579" t="s">
        <v>244</v>
      </c>
      <c r="H199" s="388" t="str">
        <f>IF('4.Electivos'!P57=0,"",'4.Electivos'!P57)</f>
        <v/>
      </c>
    </row>
    <row r="200" spans="2:8">
      <c r="B200" s="385">
        <f>IF('4.Electivos'!B58="","",'4.Electivos'!B58)</f>
        <v>9</v>
      </c>
      <c r="C200" s="385" t="str">
        <f>IF('4.Electivos'!C58="","",'4.Electivos'!C58)</f>
        <v/>
      </c>
      <c r="D200" s="386" t="str">
        <f>IF('4.Electivos'!E58="","",'4.Electivos'!E58)</f>
        <v/>
      </c>
      <c r="E200" s="299"/>
      <c r="F200" s="299"/>
      <c r="G200" s="579" t="s">
        <v>244</v>
      </c>
      <c r="H200" s="388" t="str">
        <f>IF('4.Electivos'!P58=0,"",'4.Electivos'!P58)</f>
        <v/>
      </c>
    </row>
    <row r="201" spans="2:8" ht="87" customHeight="1">
      <c r="B201" s="385">
        <f>IF('4.Electivos'!B59="","",'4.Electivos'!B59)</f>
        <v>10</v>
      </c>
      <c r="C201" s="385" t="str">
        <f>IF('4.Electivos'!C59="","",'4.Electivos'!C59)</f>
        <v>EIC61004</v>
      </c>
      <c r="D201" s="386" t="str">
        <f>IF('4.Electivos'!E59="","",'4.Electivos'!E59)</f>
        <v>ACTIVIDADES DE EVALUACIÓN DE LOS APRENDIZAJES</v>
      </c>
      <c r="E201" s="299"/>
      <c r="F201" s="299"/>
      <c r="G201" s="579" t="s">
        <v>1095</v>
      </c>
      <c r="H201" s="388">
        <f>IF('4.Electivos'!P59=0,"",'4.Electivos'!P59)</f>
        <v>4</v>
      </c>
    </row>
    <row r="202" spans="2:8" ht="75.75" customHeight="1">
      <c r="B202" s="385">
        <f>IF('4.Electivos'!B60="","",'4.Electivos'!B60)</f>
        <v>10</v>
      </c>
      <c r="C202" s="385" t="str">
        <f>IF('4.Electivos'!C60="","",'4.Electivos'!C60)</f>
        <v>SDE51004</v>
      </c>
      <c r="D202" s="386" t="str">
        <f>IF('4.Electivos'!E60="","",'4.Electivos'!E60)</f>
        <v>PLAN DE TUTORÍA Y CONVIVENCIA ESCOLAR</v>
      </c>
      <c r="E202" s="299"/>
      <c r="F202" s="299"/>
      <c r="G202" s="579" t="s">
        <v>1096</v>
      </c>
      <c r="H202" s="388">
        <f>IF('4.Electivos'!P60=0,"",'4.Electivos'!P60)</f>
        <v>4</v>
      </c>
    </row>
    <row r="203" spans="2:8" ht="114" customHeight="1">
      <c r="B203" s="385">
        <f>IF('4.Electivos'!B61="","",'4.Electivos'!B61)</f>
        <v>10</v>
      </c>
      <c r="C203" s="385" t="str">
        <f>IF('4.Electivos'!C61="","",'4.Electivos'!C61)</f>
        <v>RSO61016</v>
      </c>
      <c r="D203" s="386" t="str">
        <f>IF('4.Electivos'!E61="","",'4.Electivos'!E61)</f>
        <v>GESTIÓN DEL SECTOR PÚBLICO Y SOCIEDAD CIVIL PARA EL DESARROLLO SOSTENIBLE</v>
      </c>
      <c r="E203" s="299"/>
      <c r="F203" s="299"/>
      <c r="G203" s="581" t="s">
        <v>1097</v>
      </c>
      <c r="H203" s="388">
        <f>IF('4.Electivos'!P61=0,"",'4.Electivos'!P61)</f>
        <v>4</v>
      </c>
    </row>
    <row r="204" spans="2:8" ht="67.5" customHeight="1">
      <c r="B204" s="385">
        <f>IF('4.Electivos'!B62="","",'4.Electivos'!B62)</f>
        <v>10</v>
      </c>
      <c r="C204" s="385" t="str">
        <f>IF('4.Electivos'!C62="","",'4.Electivos'!C62)</f>
        <v>GES61008</v>
      </c>
      <c r="D204" s="386" t="str">
        <f>IF('4.Electivos'!E62="","",'4.Electivos'!E62)</f>
        <v>C. M.: INCUBACIÓN II</v>
      </c>
      <c r="E204" s="299"/>
      <c r="F204" s="299"/>
      <c r="G204" s="581" t="s">
        <v>1098</v>
      </c>
      <c r="H204" s="388">
        <f>IF('4.Electivos'!P62=0,"",'4.Electivos'!P62)</f>
        <v>4</v>
      </c>
    </row>
    <row r="205" spans="2:8" ht="108">
      <c r="B205" s="385">
        <f>IF('4.Electivos'!B63="","",'4.Electivos'!B63)</f>
        <v>10</v>
      </c>
      <c r="C205" s="385" t="str">
        <f>IF('4.Electivos'!C63="","",'4.Electivos'!C63)</f>
        <v>GSI61017</v>
      </c>
      <c r="D205" s="386" t="str">
        <f>IF('4.Electivos'!E63="","",'4.Electivos'!E63)</f>
        <v>ARTIFICIAL INTELLIGENCE FOR BUSINESS</v>
      </c>
      <c r="E205" s="299"/>
      <c r="F205" s="299"/>
      <c r="G205" s="581" t="s">
        <v>1099</v>
      </c>
      <c r="H205" s="388">
        <f>IF('4.Electivos'!P63=0,"",'4.Electivos'!P63)</f>
        <v>4</v>
      </c>
    </row>
    <row r="206" spans="2:8" ht="104.25" customHeight="1">
      <c r="B206" s="385">
        <f>IF('4.Electivos'!B64="","",'4.Electivos'!B64)</f>
        <v>10</v>
      </c>
      <c r="C206" s="385" t="str">
        <f>IF('4.Electivos'!C64="","",'4.Electivos'!C64)</f>
        <v>MSI64007</v>
      </c>
      <c r="D206" s="386" t="str">
        <f>IF('4.Electivos'!E64="","",'4.Electivos'!E64)</f>
        <v>ANÁLISIS Y VISUALIZACIÓN DE DATOS</v>
      </c>
      <c r="E206" s="299"/>
      <c r="F206" s="299"/>
      <c r="G206" s="581" t="s">
        <v>1100</v>
      </c>
      <c r="H206" s="388">
        <f>IF('4.Electivos'!P64=0,"",'4.Electivos'!P64)</f>
        <v>4</v>
      </c>
    </row>
    <row r="207" spans="2:8">
      <c r="B207" s="385">
        <f>IF('4.Electivos'!B65="","",'4.Electivos'!B65)</f>
        <v>10</v>
      </c>
      <c r="C207" s="385" t="str">
        <f>IF('4.Electivos'!C65="","",'4.Electivos'!C65)</f>
        <v/>
      </c>
      <c r="D207" s="386" t="str">
        <f>IF('4.Electivos'!E65="","",'4.Electivos'!E65)</f>
        <v/>
      </c>
      <c r="E207" s="299"/>
      <c r="F207" s="299"/>
      <c r="G207" s="387" t="s">
        <v>244</v>
      </c>
      <c r="H207" s="388" t="str">
        <f>IF('4.Electivos'!P65=0,"",'4.Electivos'!P65)</f>
        <v/>
      </c>
    </row>
    <row r="208" spans="2:8">
      <c r="B208" s="385">
        <f>IF('4.Electivos'!B66="","",'4.Electivos'!B66)</f>
        <v>10</v>
      </c>
      <c r="C208" s="385" t="str">
        <f>IF('4.Electivos'!C66="","",'4.Electivos'!C66)</f>
        <v/>
      </c>
      <c r="D208" s="386" t="str">
        <f>IF('4.Electivos'!E66="","",'4.Electivos'!E66)</f>
        <v/>
      </c>
      <c r="E208" s="299"/>
      <c r="F208" s="299"/>
      <c r="G208" s="387" t="s">
        <v>244</v>
      </c>
      <c r="H208" s="388" t="str">
        <f>IF('4.Electivos'!P66=0,"",'4.Electivos'!P66)</f>
        <v/>
      </c>
    </row>
    <row r="209" spans="2:8">
      <c r="B209" s="385">
        <f>IF('4.Electivos'!B67="","",'4.Electivos'!B67)</f>
        <v>10</v>
      </c>
      <c r="C209" s="385" t="str">
        <f>IF('4.Electivos'!C67="","",'4.Electivos'!C67)</f>
        <v/>
      </c>
      <c r="D209" s="386" t="str">
        <f>IF('4.Electivos'!E67="","",'4.Electivos'!E67)</f>
        <v/>
      </c>
      <c r="E209" s="299"/>
      <c r="F209" s="299"/>
      <c r="G209" s="387" t="s">
        <v>244</v>
      </c>
      <c r="H209" s="388" t="str">
        <f>IF('4.Electivos'!P67=0,"",'4.Electivos'!P67)</f>
        <v/>
      </c>
    </row>
    <row r="210" spans="2:8">
      <c r="B210" s="385">
        <f>IF('4.Electivos'!B68="","",'4.Electivos'!B68)</f>
        <v>10</v>
      </c>
      <c r="C210" s="385" t="str">
        <f>IF('4.Electivos'!C68="","",'4.Electivos'!C68)</f>
        <v/>
      </c>
      <c r="D210" s="386" t="str">
        <f>IF('4.Electivos'!E68="","",'4.Electivos'!E68)</f>
        <v/>
      </c>
      <c r="E210" s="299"/>
      <c r="F210" s="299"/>
      <c r="G210" s="387" t="s">
        <v>244</v>
      </c>
      <c r="H210" s="388" t="str">
        <f>IF('4.Electivos'!P68=0,"",'4.Electivos'!P68)</f>
        <v/>
      </c>
    </row>
    <row r="211" spans="2:8">
      <c r="B211" s="303">
        <f>IF('4.Electivos'!B69="","",'4.Electivos'!B69)</f>
        <v>11</v>
      </c>
      <c r="C211" s="303" t="str">
        <f>IF('4.Electivos'!C69="","",'4.Electivos'!C69)</f>
        <v/>
      </c>
      <c r="D211" s="303" t="str">
        <f>IF('4.Electivos'!E69="","",'4.Electivos'!E69)</f>
        <v/>
      </c>
      <c r="E211" s="299"/>
      <c r="F211" s="299"/>
      <c r="G211" s="387" t="s">
        <v>244</v>
      </c>
      <c r="H211" s="81" t="str">
        <f>IF('4.Electivos'!P69=0,"",'4.Electivos'!P69)</f>
        <v/>
      </c>
    </row>
    <row r="212" spans="2:8">
      <c r="B212" s="303">
        <f>IF('4.Electivos'!B70="","",'4.Electivos'!B70)</f>
        <v>11</v>
      </c>
      <c r="C212" s="303" t="str">
        <f>IF('4.Electivos'!C70="","",'4.Electivos'!C70)</f>
        <v/>
      </c>
      <c r="D212" s="303" t="str">
        <f>IF('4.Electivos'!E70="","",'4.Electivos'!E70)</f>
        <v/>
      </c>
      <c r="E212" s="299"/>
      <c r="F212" s="299"/>
      <c r="G212" s="387" t="s">
        <v>244</v>
      </c>
      <c r="H212" s="81" t="str">
        <f>IF('4.Electivos'!P70=0,"",'4.Electivos'!P70)</f>
        <v/>
      </c>
    </row>
    <row r="213" spans="2:8">
      <c r="B213" s="303">
        <f>IF('4.Electivos'!B71="","",'4.Electivos'!B71)</f>
        <v>11</v>
      </c>
      <c r="C213" s="303" t="str">
        <f>IF('4.Electivos'!C71="","",'4.Electivos'!C71)</f>
        <v/>
      </c>
      <c r="D213" s="303" t="str">
        <f>IF('4.Electivos'!E71="","",'4.Electivos'!E71)</f>
        <v/>
      </c>
      <c r="E213" s="299"/>
      <c r="F213" s="299"/>
      <c r="G213" s="387" t="s">
        <v>244</v>
      </c>
      <c r="H213" s="81" t="str">
        <f>IF('4.Electivos'!P71=0,"",'4.Electivos'!P71)</f>
        <v/>
      </c>
    </row>
    <row r="214" spans="2:8">
      <c r="B214" s="303">
        <f>IF('4.Electivos'!B72="","",'4.Electivos'!B72)</f>
        <v>11</v>
      </c>
      <c r="C214" s="303" t="str">
        <f>IF('4.Electivos'!C72="","",'4.Electivos'!C72)</f>
        <v/>
      </c>
      <c r="D214" s="303" t="str">
        <f>IF('4.Electivos'!E72="","",'4.Electivos'!E72)</f>
        <v/>
      </c>
      <c r="E214" s="299"/>
      <c r="F214" s="299"/>
      <c r="G214" s="387" t="s">
        <v>244</v>
      </c>
      <c r="H214" s="81" t="str">
        <f>IF('4.Electivos'!P72=0,"",'4.Electivos'!P72)</f>
        <v/>
      </c>
    </row>
    <row r="215" spans="2:8">
      <c r="B215" s="303">
        <f>IF('4.Electivos'!B73="","",'4.Electivos'!B73)</f>
        <v>11</v>
      </c>
      <c r="C215" s="303" t="str">
        <f>IF('4.Electivos'!C73="","",'4.Electivos'!C73)</f>
        <v/>
      </c>
      <c r="D215" s="303" t="str">
        <f>IF('4.Electivos'!E73="","",'4.Electivos'!E73)</f>
        <v/>
      </c>
      <c r="E215" s="299"/>
      <c r="F215" s="299"/>
      <c r="G215" s="387" t="s">
        <v>244</v>
      </c>
      <c r="H215" s="81" t="str">
        <f>IF('4.Electivos'!P73=0,"",'4.Electivos'!P73)</f>
        <v/>
      </c>
    </row>
    <row r="216" spans="2:8">
      <c r="B216" s="303">
        <f>IF('4.Electivos'!B74="","",'4.Electivos'!B74)</f>
        <v>11</v>
      </c>
      <c r="C216" s="303" t="str">
        <f>IF('4.Electivos'!C74="","",'4.Electivos'!C74)</f>
        <v/>
      </c>
      <c r="D216" s="303" t="str">
        <f>IF('4.Electivos'!E74="","",'4.Electivos'!E74)</f>
        <v/>
      </c>
      <c r="E216" s="299"/>
      <c r="F216" s="299"/>
      <c r="G216" s="387" t="s">
        <v>244</v>
      </c>
      <c r="H216" s="81" t="str">
        <f>IF('4.Electivos'!P74=0,"",'4.Electivos'!P74)</f>
        <v/>
      </c>
    </row>
    <row r="217" spans="2:8">
      <c r="B217" s="303">
        <f>IF('4.Electivos'!B75="","",'4.Electivos'!B75)</f>
        <v>11</v>
      </c>
      <c r="C217" s="303" t="str">
        <f>IF('4.Electivos'!C75="","",'4.Electivos'!C75)</f>
        <v/>
      </c>
      <c r="D217" s="303" t="str">
        <f>IF('4.Electivos'!E75="","",'4.Electivos'!E75)</f>
        <v/>
      </c>
      <c r="E217" s="299"/>
      <c r="F217" s="299"/>
      <c r="G217" s="387" t="s">
        <v>244</v>
      </c>
      <c r="H217" s="81" t="str">
        <f>IF('4.Electivos'!P75=0,"",'4.Electivos'!P75)</f>
        <v/>
      </c>
    </row>
    <row r="218" spans="2:8">
      <c r="B218" s="303">
        <f>IF('4.Electivos'!B76="","",'4.Electivos'!B76)</f>
        <v>11</v>
      </c>
      <c r="C218" s="303" t="str">
        <f>IF('4.Electivos'!C76="","",'4.Electivos'!C76)</f>
        <v/>
      </c>
      <c r="D218" s="303" t="str">
        <f>IF('4.Electivos'!E76="","",'4.Electivos'!E76)</f>
        <v/>
      </c>
      <c r="E218" s="299"/>
      <c r="F218" s="299"/>
      <c r="G218" s="387" t="s">
        <v>244</v>
      </c>
      <c r="H218" s="81" t="str">
        <f>IF('4.Electivos'!P76=0,"",'4.Electivos'!P76)</f>
        <v/>
      </c>
    </row>
    <row r="219" spans="2:8">
      <c r="B219" s="303">
        <f>IF('4.Electivos'!B77="","",'4.Electivos'!B77)</f>
        <v>11</v>
      </c>
      <c r="C219" s="303" t="str">
        <f>IF('4.Electivos'!C77="","",'4.Electivos'!C77)</f>
        <v/>
      </c>
      <c r="D219" s="303" t="str">
        <f>IF('4.Electivos'!E77="","",'4.Electivos'!E77)</f>
        <v/>
      </c>
      <c r="E219" s="299"/>
      <c r="F219" s="299"/>
      <c r="G219" s="387" t="s">
        <v>244</v>
      </c>
      <c r="H219" s="81" t="str">
        <f>IF('4.Electivos'!P77=0,"",'4.Electivos'!P77)</f>
        <v/>
      </c>
    </row>
    <row r="220" spans="2:8">
      <c r="B220" s="303">
        <f>IF('4.Electivos'!B78="","",'4.Electivos'!B78)</f>
        <v>11</v>
      </c>
      <c r="C220" s="303" t="str">
        <f>IF('4.Electivos'!C78="","",'4.Electivos'!C78)</f>
        <v/>
      </c>
      <c r="D220" s="303" t="str">
        <f>IF('4.Electivos'!E78="","",'4.Electivos'!E78)</f>
        <v/>
      </c>
      <c r="E220" s="299"/>
      <c r="F220" s="299"/>
      <c r="G220" s="387" t="s">
        <v>244</v>
      </c>
      <c r="H220" s="81" t="str">
        <f>IF('4.Electivos'!P78=0,"",'4.Electivos'!P78)</f>
        <v/>
      </c>
    </row>
    <row r="221" spans="2:8">
      <c r="B221" s="303">
        <f>IF('4.Electivos'!B79="","",'4.Electivos'!B79)</f>
        <v>12</v>
      </c>
      <c r="C221" s="303" t="str">
        <f>IF('4.Electivos'!C79="","",'4.Electivos'!C79)</f>
        <v/>
      </c>
      <c r="D221" s="303" t="str">
        <f>IF('4.Electivos'!E79="","",'4.Electivos'!E79)</f>
        <v/>
      </c>
      <c r="E221" s="299"/>
      <c r="F221" s="299"/>
      <c r="G221" s="387" t="s">
        <v>244</v>
      </c>
      <c r="H221" s="81" t="str">
        <f>IF('4.Electivos'!P79=0,"",'4.Electivos'!P79)</f>
        <v/>
      </c>
    </row>
    <row r="222" spans="2:8">
      <c r="B222" s="303">
        <f>IF('4.Electivos'!B80="","",'4.Electivos'!B80)</f>
        <v>12</v>
      </c>
      <c r="C222" s="303" t="str">
        <f>IF('4.Electivos'!C80="","",'4.Electivos'!C80)</f>
        <v/>
      </c>
      <c r="D222" s="303" t="str">
        <f>IF('4.Electivos'!E80="","",'4.Electivos'!E80)</f>
        <v/>
      </c>
      <c r="E222" s="299"/>
      <c r="F222" s="299"/>
      <c r="G222" s="387" t="s">
        <v>244</v>
      </c>
      <c r="H222" s="81" t="str">
        <f>IF('4.Electivos'!P80=0,"",'4.Electivos'!P80)</f>
        <v/>
      </c>
    </row>
    <row r="223" spans="2:8">
      <c r="B223" s="303">
        <f>IF('4.Electivos'!B81="","",'4.Electivos'!B81)</f>
        <v>12</v>
      </c>
      <c r="C223" s="303" t="str">
        <f>IF('4.Electivos'!C81="","",'4.Electivos'!C81)</f>
        <v/>
      </c>
      <c r="D223" s="303" t="str">
        <f>IF('4.Electivos'!E81="","",'4.Electivos'!E81)</f>
        <v/>
      </c>
      <c r="E223" s="299"/>
      <c r="F223" s="299"/>
      <c r="G223" s="387" t="s">
        <v>244</v>
      </c>
      <c r="H223" s="81" t="str">
        <f>IF('4.Electivos'!P81=0,"",'4.Electivos'!P81)</f>
        <v/>
      </c>
    </row>
    <row r="224" spans="2:8">
      <c r="B224" s="303">
        <f>IF('4.Electivos'!B82="","",'4.Electivos'!B82)</f>
        <v>12</v>
      </c>
      <c r="C224" s="303" t="str">
        <f>IF('4.Electivos'!C82="","",'4.Electivos'!C82)</f>
        <v/>
      </c>
      <c r="D224" s="303" t="str">
        <f>IF('4.Electivos'!E82="","",'4.Electivos'!E82)</f>
        <v/>
      </c>
      <c r="E224" s="299"/>
      <c r="F224" s="299"/>
      <c r="G224" s="387" t="s">
        <v>244</v>
      </c>
      <c r="H224" s="81" t="str">
        <f>IF('4.Electivos'!P82=0,"",'4.Electivos'!P82)</f>
        <v/>
      </c>
    </row>
    <row r="225" spans="2:8">
      <c r="B225" s="303">
        <f>IF('4.Electivos'!B83="","",'4.Electivos'!B83)</f>
        <v>12</v>
      </c>
      <c r="C225" s="303" t="str">
        <f>IF('4.Electivos'!C83="","",'4.Electivos'!C83)</f>
        <v/>
      </c>
      <c r="D225" s="303" t="str">
        <f>IF('4.Electivos'!E83="","",'4.Electivos'!E83)</f>
        <v/>
      </c>
      <c r="E225" s="299"/>
      <c r="F225" s="299"/>
      <c r="G225" s="387" t="s">
        <v>244</v>
      </c>
      <c r="H225" s="81" t="str">
        <f>IF('4.Electivos'!P83=0,"",'4.Electivos'!P83)</f>
        <v/>
      </c>
    </row>
    <row r="226" spans="2:8">
      <c r="B226" s="303">
        <f>IF('4.Electivos'!B84="","",'4.Electivos'!B84)</f>
        <v>12</v>
      </c>
      <c r="C226" s="303" t="str">
        <f>IF('4.Electivos'!C84="","",'4.Electivos'!C84)</f>
        <v/>
      </c>
      <c r="D226" s="303" t="str">
        <f>IF('4.Electivos'!E84="","",'4.Electivos'!E84)</f>
        <v/>
      </c>
      <c r="E226" s="299"/>
      <c r="F226" s="299"/>
      <c r="G226" s="387" t="s">
        <v>244</v>
      </c>
      <c r="H226" s="81" t="str">
        <f>IF('4.Electivos'!P84=0,"",'4.Electivos'!P84)</f>
        <v/>
      </c>
    </row>
    <row r="227" spans="2:8">
      <c r="B227" s="303">
        <f>IF('4.Electivos'!B85="","",'4.Electivos'!B85)</f>
        <v>12</v>
      </c>
      <c r="C227" s="303" t="str">
        <f>IF('4.Electivos'!C85="","",'4.Electivos'!C85)</f>
        <v/>
      </c>
      <c r="D227" s="303" t="str">
        <f>IF('4.Electivos'!E85="","",'4.Electivos'!E85)</f>
        <v/>
      </c>
      <c r="E227" s="299"/>
      <c r="F227" s="299"/>
      <c r="G227" s="387" t="s">
        <v>244</v>
      </c>
      <c r="H227" s="81" t="str">
        <f>IF('4.Electivos'!P85=0,"",'4.Electivos'!P85)</f>
        <v/>
      </c>
    </row>
    <row r="228" spans="2:8">
      <c r="B228" s="303">
        <f>IF('4.Electivos'!B86="","",'4.Electivos'!B86)</f>
        <v>12</v>
      </c>
      <c r="C228" s="303" t="str">
        <f>IF('4.Electivos'!C86="","",'4.Electivos'!C86)</f>
        <v/>
      </c>
      <c r="D228" s="303" t="str">
        <f>IF('4.Electivos'!E86="","",'4.Electivos'!E86)</f>
        <v/>
      </c>
      <c r="E228" s="299"/>
      <c r="F228" s="299"/>
      <c r="G228" s="387" t="s">
        <v>244</v>
      </c>
      <c r="H228" s="81" t="str">
        <f>IF('4.Electivos'!P86=0,"",'4.Electivos'!P86)</f>
        <v/>
      </c>
    </row>
    <row r="229" spans="2:8">
      <c r="B229" s="303">
        <f>IF('4.Electivos'!B87="","",'4.Electivos'!B87)</f>
        <v>12</v>
      </c>
      <c r="C229" s="303" t="str">
        <f>IF('4.Electivos'!C87="","",'4.Electivos'!C87)</f>
        <v/>
      </c>
      <c r="D229" s="303" t="str">
        <f>IF('4.Electivos'!E87="","",'4.Electivos'!E87)</f>
        <v/>
      </c>
      <c r="E229" s="299"/>
      <c r="F229" s="299"/>
      <c r="G229" s="387" t="s">
        <v>244</v>
      </c>
      <c r="H229" s="81" t="str">
        <f>IF('4.Electivos'!P87=0,"",'4.Electivos'!P87)</f>
        <v/>
      </c>
    </row>
    <row r="230" spans="2:8">
      <c r="B230" s="303">
        <f>IF('4.Electivos'!B88="","",'4.Electivos'!B88)</f>
        <v>12</v>
      </c>
      <c r="C230" s="303" t="str">
        <f>IF('4.Electivos'!C88="","",'4.Electivos'!C88)</f>
        <v/>
      </c>
      <c r="D230" s="303" t="str">
        <f>IF('4.Electivos'!E88="","",'4.Electivos'!E88)</f>
        <v/>
      </c>
      <c r="E230" s="299"/>
      <c r="F230" s="299"/>
      <c r="G230" s="387" t="s">
        <v>244</v>
      </c>
      <c r="H230" s="81" t="str">
        <f>IF('4.Electivos'!P88=0,"",'4.Electivos'!P88)</f>
        <v/>
      </c>
    </row>
    <row r="231" spans="2:8">
      <c r="B231" s="303">
        <f>IF('4.Electivos'!B89="","",'4.Electivos'!B89)</f>
        <v>13</v>
      </c>
      <c r="C231" s="303" t="str">
        <f>IF('4.Electivos'!C89="","",'4.Electivos'!C89)</f>
        <v/>
      </c>
      <c r="D231" s="303" t="str">
        <f>IF('4.Electivos'!E89="","",'4.Electivos'!E89)</f>
        <v/>
      </c>
      <c r="E231" s="299"/>
      <c r="F231" s="299"/>
      <c r="G231" s="387" t="s">
        <v>244</v>
      </c>
      <c r="H231" s="81" t="str">
        <f>IF('4.Electivos'!P89=0,"",'4.Electivos'!P89)</f>
        <v/>
      </c>
    </row>
    <row r="232" spans="2:8">
      <c r="B232" s="303">
        <f>IF('4.Electivos'!B90="","",'4.Electivos'!B90)</f>
        <v>13</v>
      </c>
      <c r="C232" s="303" t="str">
        <f>IF('4.Electivos'!C90="","",'4.Electivos'!C90)</f>
        <v/>
      </c>
      <c r="D232" s="303" t="str">
        <f>IF('4.Electivos'!E90="","",'4.Electivos'!E90)</f>
        <v/>
      </c>
      <c r="E232" s="299"/>
      <c r="F232" s="299"/>
      <c r="G232" s="387" t="s">
        <v>244</v>
      </c>
      <c r="H232" s="81" t="str">
        <f>IF('4.Electivos'!P90=0,"",'4.Electivos'!P90)</f>
        <v/>
      </c>
    </row>
    <row r="233" spans="2:8">
      <c r="B233" s="303">
        <f>IF('4.Electivos'!B91="","",'4.Electivos'!B91)</f>
        <v>13</v>
      </c>
      <c r="C233" s="303" t="str">
        <f>IF('4.Electivos'!C91="","",'4.Electivos'!C91)</f>
        <v/>
      </c>
      <c r="D233" s="303" t="str">
        <f>IF('4.Electivos'!E91="","",'4.Electivos'!E91)</f>
        <v/>
      </c>
      <c r="E233" s="299"/>
      <c r="F233" s="299"/>
      <c r="G233" s="387" t="s">
        <v>244</v>
      </c>
      <c r="H233" s="81" t="str">
        <f>IF('4.Electivos'!P91=0,"",'4.Electivos'!P91)</f>
        <v/>
      </c>
    </row>
    <row r="234" spans="2:8">
      <c r="B234" s="303">
        <f>IF('4.Electivos'!B92="","",'4.Electivos'!B92)</f>
        <v>13</v>
      </c>
      <c r="C234" s="303" t="str">
        <f>IF('4.Electivos'!C92="","",'4.Electivos'!C92)</f>
        <v/>
      </c>
      <c r="D234" s="303" t="str">
        <f>IF('4.Electivos'!E92="","",'4.Electivos'!E92)</f>
        <v/>
      </c>
      <c r="E234" s="299"/>
      <c r="F234" s="299"/>
      <c r="G234" s="387" t="s">
        <v>244</v>
      </c>
      <c r="H234" s="81" t="str">
        <f>IF('4.Electivos'!P92=0,"",'4.Electivos'!P92)</f>
        <v/>
      </c>
    </row>
    <row r="235" spans="2:8">
      <c r="B235" s="303">
        <f>IF('4.Electivos'!B93="","",'4.Electivos'!B93)</f>
        <v>13</v>
      </c>
      <c r="C235" s="303" t="str">
        <f>IF('4.Electivos'!C93="","",'4.Electivos'!C93)</f>
        <v/>
      </c>
      <c r="D235" s="303" t="str">
        <f>IF('4.Electivos'!E93="","",'4.Electivos'!E93)</f>
        <v/>
      </c>
      <c r="E235" s="299"/>
      <c r="F235" s="299"/>
      <c r="G235" s="387" t="s">
        <v>244</v>
      </c>
      <c r="H235" s="81" t="str">
        <f>IF('4.Electivos'!P93=0,"",'4.Electivos'!P93)</f>
        <v/>
      </c>
    </row>
    <row r="236" spans="2:8">
      <c r="B236" s="303">
        <f>IF('4.Electivos'!B94="","",'4.Electivos'!B94)</f>
        <v>13</v>
      </c>
      <c r="C236" s="303" t="str">
        <f>IF('4.Electivos'!C94="","",'4.Electivos'!C94)</f>
        <v/>
      </c>
      <c r="D236" s="303" t="str">
        <f>IF('4.Electivos'!E94="","",'4.Electivos'!E94)</f>
        <v/>
      </c>
      <c r="E236" s="299"/>
      <c r="F236" s="299"/>
      <c r="G236" s="387" t="s">
        <v>244</v>
      </c>
      <c r="H236" s="81" t="str">
        <f>IF('4.Electivos'!P94=0,"",'4.Electivos'!P94)</f>
        <v/>
      </c>
    </row>
    <row r="237" spans="2:8">
      <c r="B237" s="303">
        <f>IF('4.Electivos'!B95="","",'4.Electivos'!B95)</f>
        <v>13</v>
      </c>
      <c r="C237" s="303" t="str">
        <f>IF('4.Electivos'!C95="","",'4.Electivos'!C95)</f>
        <v/>
      </c>
      <c r="D237" s="303" t="str">
        <f>IF('4.Electivos'!E95="","",'4.Electivos'!E95)</f>
        <v/>
      </c>
      <c r="E237" s="299"/>
      <c r="F237" s="299"/>
      <c r="G237" s="387" t="s">
        <v>244</v>
      </c>
      <c r="H237" s="81" t="str">
        <f>IF('4.Electivos'!P95=0,"",'4.Electivos'!P95)</f>
        <v/>
      </c>
    </row>
    <row r="238" spans="2:8">
      <c r="B238" s="303">
        <f>IF('4.Electivos'!B96="","",'4.Electivos'!B96)</f>
        <v>13</v>
      </c>
      <c r="C238" s="303" t="str">
        <f>IF('4.Electivos'!C96="","",'4.Electivos'!C96)</f>
        <v/>
      </c>
      <c r="D238" s="303" t="str">
        <f>IF('4.Electivos'!E96="","",'4.Electivos'!E96)</f>
        <v/>
      </c>
      <c r="E238" s="299"/>
      <c r="F238" s="299"/>
      <c r="G238" s="387" t="s">
        <v>244</v>
      </c>
      <c r="H238" s="81" t="str">
        <f>IF('4.Electivos'!P96=0,"",'4.Electivos'!P96)</f>
        <v/>
      </c>
    </row>
    <row r="239" spans="2:8">
      <c r="B239" s="303">
        <f>IF('4.Electivos'!B97="","",'4.Electivos'!B97)</f>
        <v>13</v>
      </c>
      <c r="C239" s="303" t="str">
        <f>IF('4.Electivos'!C97="","",'4.Electivos'!C97)</f>
        <v/>
      </c>
      <c r="D239" s="303" t="str">
        <f>IF('4.Electivos'!E97="","",'4.Electivos'!E97)</f>
        <v/>
      </c>
      <c r="E239" s="299"/>
      <c r="F239" s="299"/>
      <c r="G239" s="387" t="s">
        <v>244</v>
      </c>
      <c r="H239" s="81" t="str">
        <f>IF('4.Electivos'!P97=0,"",'4.Electivos'!P97)</f>
        <v/>
      </c>
    </row>
    <row r="240" spans="2:8">
      <c r="B240" s="303">
        <f>IF('4.Electivos'!B98="","",'4.Electivos'!B98)</f>
        <v>13</v>
      </c>
      <c r="C240" s="303" t="str">
        <f>IF('4.Electivos'!C98="","",'4.Electivos'!C98)</f>
        <v/>
      </c>
      <c r="D240" s="303" t="str">
        <f>IF('4.Electivos'!E98="","",'4.Electivos'!E98)</f>
        <v/>
      </c>
      <c r="E240" s="299"/>
      <c r="F240" s="299"/>
      <c r="G240" s="387" t="s">
        <v>244</v>
      </c>
      <c r="H240" s="81" t="str">
        <f>IF('4.Electivos'!P98=0,"",'4.Electivos'!P98)</f>
        <v/>
      </c>
    </row>
    <row r="241" spans="2:8">
      <c r="B241" s="303">
        <f>IF('4.Electivos'!B99="","",'4.Electivos'!B99)</f>
        <v>14</v>
      </c>
      <c r="C241" s="303" t="str">
        <f>IF('4.Electivos'!C99="","",'4.Electivos'!C99)</f>
        <v/>
      </c>
      <c r="D241" s="303" t="str">
        <f>IF('4.Electivos'!E99="","",'4.Electivos'!E99)</f>
        <v/>
      </c>
      <c r="E241" s="299"/>
      <c r="F241" s="299"/>
      <c r="G241" s="387" t="s">
        <v>244</v>
      </c>
      <c r="H241" s="81" t="str">
        <f>IF('4.Electivos'!P99=0,"",'4.Electivos'!P99)</f>
        <v/>
      </c>
    </row>
    <row r="242" spans="2:8">
      <c r="B242" s="303">
        <f>IF('4.Electivos'!B100="","",'4.Electivos'!B100)</f>
        <v>14</v>
      </c>
      <c r="C242" s="303" t="str">
        <f>IF('4.Electivos'!C100="","",'4.Electivos'!C100)</f>
        <v/>
      </c>
      <c r="D242" s="303" t="str">
        <f>IF('4.Electivos'!E100="","",'4.Electivos'!E100)</f>
        <v/>
      </c>
      <c r="E242" s="299"/>
      <c r="F242" s="299"/>
      <c r="G242" s="387" t="s">
        <v>244</v>
      </c>
      <c r="H242" s="81" t="str">
        <f>IF('4.Electivos'!P100=0,"",'4.Electivos'!P100)</f>
        <v/>
      </c>
    </row>
    <row r="243" spans="2:8">
      <c r="B243" s="303">
        <f>IF('4.Electivos'!B101="","",'4.Electivos'!B101)</f>
        <v>14</v>
      </c>
      <c r="C243" s="303" t="str">
        <f>IF('4.Electivos'!C101="","",'4.Electivos'!C101)</f>
        <v/>
      </c>
      <c r="D243" s="303" t="str">
        <f>IF('4.Electivos'!E101="","",'4.Electivos'!E101)</f>
        <v/>
      </c>
      <c r="E243" s="299"/>
      <c r="F243" s="299"/>
      <c r="G243" s="387" t="s">
        <v>244</v>
      </c>
      <c r="H243" s="81" t="str">
        <f>IF('4.Electivos'!P101=0,"",'4.Electivos'!P101)</f>
        <v/>
      </c>
    </row>
    <row r="244" spans="2:8">
      <c r="B244" s="303">
        <f>IF('4.Electivos'!B102="","",'4.Electivos'!B102)</f>
        <v>14</v>
      </c>
      <c r="C244" s="303" t="str">
        <f>IF('4.Electivos'!C102="","",'4.Electivos'!C102)</f>
        <v/>
      </c>
      <c r="D244" s="303" t="str">
        <f>IF('4.Electivos'!E102="","",'4.Electivos'!E102)</f>
        <v/>
      </c>
      <c r="E244" s="299"/>
      <c r="F244" s="299"/>
      <c r="G244" s="387" t="s">
        <v>244</v>
      </c>
      <c r="H244" s="81" t="str">
        <f>IF('4.Electivos'!P102=0,"",'4.Electivos'!P102)</f>
        <v/>
      </c>
    </row>
    <row r="245" spans="2:8">
      <c r="B245" s="303">
        <f>IF('4.Electivos'!B103="","",'4.Electivos'!B103)</f>
        <v>14</v>
      </c>
      <c r="C245" s="303" t="str">
        <f>IF('4.Electivos'!C103="","",'4.Electivos'!C103)</f>
        <v/>
      </c>
      <c r="D245" s="303" t="str">
        <f>IF('4.Electivos'!E103="","",'4.Electivos'!E103)</f>
        <v/>
      </c>
      <c r="E245" s="299"/>
      <c r="F245" s="299"/>
      <c r="G245" s="387" t="s">
        <v>244</v>
      </c>
      <c r="H245" s="81" t="str">
        <f>IF('4.Electivos'!P103=0,"",'4.Electivos'!P103)</f>
        <v/>
      </c>
    </row>
    <row r="246" spans="2:8">
      <c r="B246" s="303">
        <f>IF('4.Electivos'!B104="","",'4.Electivos'!B104)</f>
        <v>14</v>
      </c>
      <c r="C246" s="303" t="str">
        <f>IF('4.Electivos'!C104="","",'4.Electivos'!C104)</f>
        <v/>
      </c>
      <c r="D246" s="303" t="str">
        <f>IF('4.Electivos'!E104="","",'4.Electivos'!E104)</f>
        <v/>
      </c>
      <c r="E246" s="299"/>
      <c r="F246" s="299"/>
      <c r="G246" s="387" t="s">
        <v>244</v>
      </c>
      <c r="H246" s="81" t="str">
        <f>IF('4.Electivos'!P104=0,"",'4.Electivos'!P104)</f>
        <v/>
      </c>
    </row>
    <row r="247" spans="2:8">
      <c r="B247" s="303">
        <f>IF('4.Electivos'!B105="","",'4.Electivos'!B105)</f>
        <v>14</v>
      </c>
      <c r="C247" s="303" t="str">
        <f>IF('4.Electivos'!C105="","",'4.Electivos'!C105)</f>
        <v/>
      </c>
      <c r="D247" s="303" t="str">
        <f>IF('4.Electivos'!E105="","",'4.Electivos'!E105)</f>
        <v/>
      </c>
      <c r="E247" s="299"/>
      <c r="F247" s="299"/>
      <c r="G247" s="387" t="s">
        <v>244</v>
      </c>
      <c r="H247" s="81" t="str">
        <f>IF('4.Electivos'!P105=0,"",'4.Electivos'!P105)</f>
        <v/>
      </c>
    </row>
    <row r="248" spans="2:8">
      <c r="B248" s="303">
        <f>IF('4.Electivos'!B106="","",'4.Electivos'!B106)</f>
        <v>14</v>
      </c>
      <c r="C248" s="303" t="str">
        <f>IF('4.Electivos'!C106="","",'4.Electivos'!C106)</f>
        <v/>
      </c>
      <c r="D248" s="303" t="str">
        <f>IF('4.Electivos'!E106="","",'4.Electivos'!E106)</f>
        <v/>
      </c>
      <c r="E248" s="299"/>
      <c r="F248" s="299"/>
      <c r="G248" s="387" t="s">
        <v>244</v>
      </c>
      <c r="H248" s="81" t="str">
        <f>IF('4.Electivos'!P106=0,"",'4.Electivos'!P106)</f>
        <v/>
      </c>
    </row>
    <row r="249" spans="2:8">
      <c r="B249" s="303">
        <f>IF('4.Electivos'!B107="","",'4.Electivos'!B107)</f>
        <v>14</v>
      </c>
      <c r="C249" s="303" t="str">
        <f>IF('4.Electivos'!C107="","",'4.Electivos'!C107)</f>
        <v/>
      </c>
      <c r="D249" s="303" t="str">
        <f>IF('4.Electivos'!E107="","",'4.Electivos'!E107)</f>
        <v/>
      </c>
      <c r="E249" s="299"/>
      <c r="F249" s="299"/>
      <c r="G249" s="387" t="s">
        <v>244</v>
      </c>
      <c r="H249" s="81" t="str">
        <f>IF('4.Electivos'!P107=0,"",'4.Electivos'!P107)</f>
        <v/>
      </c>
    </row>
    <row r="250" spans="2:8">
      <c r="B250" s="303">
        <f>IF('4.Electivos'!B108="","",'4.Electivos'!B108)</f>
        <v>14</v>
      </c>
      <c r="C250" s="303" t="str">
        <f>IF('4.Electivos'!C108="","",'4.Electivos'!C108)</f>
        <v/>
      </c>
      <c r="D250" s="303" t="str">
        <f>IF('4.Electivos'!E108="","",'4.Electivos'!E108)</f>
        <v/>
      </c>
      <c r="E250" s="299"/>
      <c r="F250" s="299"/>
      <c r="G250" s="387" t="s">
        <v>244</v>
      </c>
      <c r="H250" s="81" t="str">
        <f>IF('4.Electivos'!P108=0,"",'4.Electivos'!P108)</f>
        <v/>
      </c>
    </row>
  </sheetData>
  <sheetProtection formatRows="0" selectLockedCells="1" sort="0" autoFilter="0" pivotTables="0"/>
  <mergeCells count="3">
    <mergeCell ref="D4:H4"/>
    <mergeCell ref="B4:C4"/>
    <mergeCell ref="B2:H2"/>
  </mergeCells>
  <pageMargins left="0.23622047244094491" right="0.23622047244094491" top="0.74803149606299213" bottom="0.74803149606299213" header="0.31496062992125984" footer="0.31496062992125984"/>
  <pageSetup paperSize="9" scale="73" fitToHeight="0" orientation="portrait" r:id="rId1"/>
  <ignoredErrors>
    <ignoredError sqref="H8:H12 H18:H19 H28 H38:H39 H48:H52 H58:H61 H68:H72 H87:H92 H78:H79 H97" unlockedFormula="1"/>
  </ignoredErrors>
  <extLst>
    <ext xmlns:x14="http://schemas.microsoft.com/office/spreadsheetml/2009/9/main" uri="{78C0D931-6437-407d-A8EE-F0AAD7539E65}">
      <x14:conditionalFormattings>
        <x14:conditionalFormatting xmlns:xm="http://schemas.microsoft.com/office/excel/2006/main">
          <x14:cfRule type="expression" priority="1" id="{47402BC0-15D0-46FB-8D51-55CB6FFB1DC8}">
            <xm:f>COUNTIF(DATOS!$B$139:$B$174,$D8)&gt;0</xm:f>
            <x14:dxf>
              <fill>
                <patternFill>
                  <bgColor theme="0" tint="-0.14996795556505021"/>
                </patternFill>
              </fill>
            </x14:dxf>
          </x14:cfRule>
          <xm:sqref>E8:F147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F575B-5690-4389-8D97-4B9E0FC862FC}">
  <sheetPr codeName="Hoja14"/>
  <dimension ref="B1:E251"/>
  <sheetViews>
    <sheetView workbookViewId="0">
      <selection activeCell="F3" sqref="F3"/>
    </sheetView>
  </sheetViews>
  <sheetFormatPr defaultColWidth="11.42578125" defaultRowHeight="15"/>
  <sheetData>
    <row r="1" spans="2:5">
      <c r="B1" s="1"/>
      <c r="C1" s="1"/>
    </row>
    <row r="5" spans="2:5">
      <c r="D5" t="s">
        <v>1020</v>
      </c>
    </row>
    <row r="8" spans="2:5">
      <c r="D8" t="s">
        <v>480</v>
      </c>
      <c r="E8" t="s">
        <v>1024</v>
      </c>
    </row>
    <row r="9" spans="2:5">
      <c r="D9" t="s">
        <v>240</v>
      </c>
      <c r="E9" t="s">
        <v>1025</v>
      </c>
    </row>
    <row r="10" spans="2:5">
      <c r="D10" t="s">
        <v>246</v>
      </c>
      <c r="E10" t="s">
        <v>1101</v>
      </c>
    </row>
    <row r="11" spans="2:5">
      <c r="D11" t="s">
        <v>249</v>
      </c>
      <c r="E11" t="s">
        <v>1027</v>
      </c>
    </row>
    <row r="12" spans="2:5">
      <c r="D12" t="s">
        <v>251</v>
      </c>
      <c r="E12" t="s">
        <v>1028</v>
      </c>
    </row>
    <row r="13" spans="2:5">
      <c r="D13" t="s">
        <v>253</v>
      </c>
      <c r="E13" t="s">
        <v>1029</v>
      </c>
    </row>
    <row r="14" spans="2:5">
      <c r="D14" t="s">
        <v>244</v>
      </c>
    </row>
    <row r="15" spans="2:5">
      <c r="D15" t="s">
        <v>244</v>
      </c>
    </row>
    <row r="16" spans="2:5">
      <c r="D16" t="s">
        <v>244</v>
      </c>
    </row>
    <row r="17" spans="4:5">
      <c r="D17" t="s">
        <v>244</v>
      </c>
    </row>
    <row r="18" spans="4:5">
      <c r="D18" t="s">
        <v>244</v>
      </c>
    </row>
    <row r="19" spans="4:5">
      <c r="D19" t="s">
        <v>255</v>
      </c>
      <c r="E19" t="s">
        <v>1030</v>
      </c>
    </row>
    <row r="20" spans="4:5">
      <c r="D20" t="s">
        <v>258</v>
      </c>
      <c r="E20" t="s">
        <v>1031</v>
      </c>
    </row>
    <row r="21" spans="4:5">
      <c r="D21" t="s">
        <v>260</v>
      </c>
      <c r="E21" t="s">
        <v>1032</v>
      </c>
    </row>
    <row r="22" spans="4:5">
      <c r="D22" t="s">
        <v>262</v>
      </c>
      <c r="E22" t="s">
        <v>1033</v>
      </c>
    </row>
    <row r="23" spans="4:5">
      <c r="D23" t="s">
        <v>264</v>
      </c>
      <c r="E23" t="s">
        <v>1034</v>
      </c>
    </row>
    <row r="24" spans="4:5">
      <c r="D24" t="s">
        <v>266</v>
      </c>
      <c r="E24" t="s">
        <v>1035</v>
      </c>
    </row>
    <row r="25" spans="4:5">
      <c r="D25" t="s">
        <v>244</v>
      </c>
    </row>
    <row r="26" spans="4:5">
      <c r="D26" t="s">
        <v>244</v>
      </c>
    </row>
    <row r="27" spans="4:5">
      <c r="D27" t="s">
        <v>244</v>
      </c>
    </row>
    <row r="28" spans="4:5">
      <c r="D28" t="s">
        <v>244</v>
      </c>
    </row>
    <row r="29" spans="4:5">
      <c r="D29" t="s">
        <v>268</v>
      </c>
      <c r="E29" t="s">
        <v>1036</v>
      </c>
    </row>
    <row r="30" spans="4:5">
      <c r="D30" t="s">
        <v>270</v>
      </c>
      <c r="E30" t="s">
        <v>1037</v>
      </c>
    </row>
    <row r="31" spans="4:5">
      <c r="D31" t="s">
        <v>272</v>
      </c>
      <c r="E31" t="s">
        <v>1038</v>
      </c>
    </row>
    <row r="32" spans="4:5">
      <c r="D32" t="s">
        <v>274</v>
      </c>
      <c r="E32" t="s">
        <v>1039</v>
      </c>
    </row>
    <row r="33" spans="4:5">
      <c r="D33" t="s">
        <v>276</v>
      </c>
      <c r="E33" t="s">
        <v>1040</v>
      </c>
    </row>
    <row r="34" spans="4:5">
      <c r="D34" t="s">
        <v>278</v>
      </c>
      <c r="E34" t="s">
        <v>1041</v>
      </c>
    </row>
    <row r="35" spans="4:5">
      <c r="D35" t="s">
        <v>244</v>
      </c>
    </row>
    <row r="36" spans="4:5">
      <c r="D36" t="s">
        <v>244</v>
      </c>
    </row>
    <row r="37" spans="4:5">
      <c r="D37" t="s">
        <v>244</v>
      </c>
    </row>
    <row r="38" spans="4:5">
      <c r="D38" t="s">
        <v>244</v>
      </c>
    </row>
    <row r="39" spans="4:5">
      <c r="D39" t="s">
        <v>280</v>
      </c>
      <c r="E39" t="s">
        <v>1042</v>
      </c>
    </row>
    <row r="40" spans="4:5">
      <c r="D40" t="s">
        <v>282</v>
      </c>
      <c r="E40" t="s">
        <v>1043</v>
      </c>
    </row>
    <row r="41" spans="4:5">
      <c r="D41" t="s">
        <v>284</v>
      </c>
      <c r="E41" t="s">
        <v>1044</v>
      </c>
    </row>
    <row r="42" spans="4:5">
      <c r="D42" t="s">
        <v>286</v>
      </c>
      <c r="E42" t="s">
        <v>1045</v>
      </c>
    </row>
    <row r="43" spans="4:5">
      <c r="D43" t="s">
        <v>288</v>
      </c>
      <c r="E43" t="s">
        <v>1046</v>
      </c>
    </row>
    <row r="44" spans="4:5">
      <c r="D44" t="s">
        <v>244</v>
      </c>
    </row>
    <row r="45" spans="4:5">
      <c r="D45" t="s">
        <v>244</v>
      </c>
    </row>
    <row r="46" spans="4:5">
      <c r="D46" t="s">
        <v>244</v>
      </c>
    </row>
    <row r="47" spans="4:5">
      <c r="D47" t="s">
        <v>244</v>
      </c>
    </row>
    <row r="48" spans="4:5">
      <c r="D48" t="s">
        <v>244</v>
      </c>
    </row>
    <row r="49" spans="4:5">
      <c r="D49" t="s">
        <v>290</v>
      </c>
      <c r="E49" t="s">
        <v>1047</v>
      </c>
    </row>
    <row r="50" spans="4:5">
      <c r="D50" t="s">
        <v>292</v>
      </c>
      <c r="E50" t="s">
        <v>1048</v>
      </c>
    </row>
    <row r="51" spans="4:5">
      <c r="D51" t="s">
        <v>294</v>
      </c>
      <c r="E51" t="s">
        <v>1049</v>
      </c>
    </row>
    <row r="52" spans="4:5">
      <c r="D52" t="s">
        <v>296</v>
      </c>
      <c r="E52" t="s">
        <v>1050</v>
      </c>
    </row>
    <row r="53" spans="4:5">
      <c r="D53" t="s">
        <v>298</v>
      </c>
      <c r="E53" t="s">
        <v>1051</v>
      </c>
    </row>
    <row r="54" spans="4:5">
      <c r="D54" t="s">
        <v>300</v>
      </c>
      <c r="E54" t="s">
        <v>1052</v>
      </c>
    </row>
    <row r="55" spans="4:5">
      <c r="D55" t="s">
        <v>244</v>
      </c>
    </row>
    <row r="56" spans="4:5">
      <c r="D56" t="s">
        <v>244</v>
      </c>
    </row>
    <row r="57" spans="4:5">
      <c r="D57" t="s">
        <v>244</v>
      </c>
    </row>
    <row r="58" spans="4:5">
      <c r="D58" t="s">
        <v>244</v>
      </c>
    </row>
    <row r="59" spans="4:5">
      <c r="D59" t="s">
        <v>302</v>
      </c>
      <c r="E59" t="s">
        <v>1053</v>
      </c>
    </row>
    <row r="60" spans="4:5">
      <c r="D60" t="s">
        <v>304</v>
      </c>
      <c r="E60" t="s">
        <v>1054</v>
      </c>
    </row>
    <row r="61" spans="4:5">
      <c r="D61" t="s">
        <v>306</v>
      </c>
      <c r="E61" t="s">
        <v>1055</v>
      </c>
    </row>
    <row r="62" spans="4:5">
      <c r="D62" t="s">
        <v>308</v>
      </c>
      <c r="E62" t="s">
        <v>1056</v>
      </c>
    </row>
    <row r="63" spans="4:5">
      <c r="D63" t="s">
        <v>310</v>
      </c>
      <c r="E63" t="s">
        <v>1057</v>
      </c>
    </row>
    <row r="64" spans="4:5">
      <c r="D64" t="s">
        <v>312</v>
      </c>
      <c r="E64" t="s">
        <v>1058</v>
      </c>
    </row>
    <row r="65" spans="4:5">
      <c r="D65" t="s">
        <v>244</v>
      </c>
    </row>
    <row r="66" spans="4:5">
      <c r="D66" t="s">
        <v>244</v>
      </c>
    </row>
    <row r="67" spans="4:5">
      <c r="D67" t="s">
        <v>244</v>
      </c>
    </row>
    <row r="68" spans="4:5">
      <c r="D68" t="s">
        <v>244</v>
      </c>
    </row>
    <row r="69" spans="4:5">
      <c r="D69" t="s">
        <v>314</v>
      </c>
      <c r="E69" t="s">
        <v>1059</v>
      </c>
    </row>
    <row r="70" spans="4:5">
      <c r="D70" t="s">
        <v>316</v>
      </c>
      <c r="E70" t="s">
        <v>1060</v>
      </c>
    </row>
    <row r="71" spans="4:5">
      <c r="D71" t="s">
        <v>318</v>
      </c>
      <c r="E71" t="s">
        <v>1061</v>
      </c>
    </row>
    <row r="72" spans="4:5">
      <c r="D72" t="s">
        <v>320</v>
      </c>
      <c r="E72" t="s">
        <v>1062</v>
      </c>
    </row>
    <row r="73" spans="4:5">
      <c r="D73" t="s">
        <v>321</v>
      </c>
    </row>
    <row r="74" spans="4:5">
      <c r="D74" t="s">
        <v>244</v>
      </c>
    </row>
    <row r="75" spans="4:5">
      <c r="D75" t="s">
        <v>244</v>
      </c>
    </row>
    <row r="76" spans="4:5">
      <c r="D76" t="s">
        <v>244</v>
      </c>
    </row>
    <row r="77" spans="4:5">
      <c r="D77" t="s">
        <v>244</v>
      </c>
    </row>
    <row r="78" spans="4:5">
      <c r="D78" t="s">
        <v>244</v>
      </c>
    </row>
    <row r="79" spans="4:5">
      <c r="D79" t="s">
        <v>323</v>
      </c>
      <c r="E79" t="s">
        <v>1063</v>
      </c>
    </row>
    <row r="80" spans="4:5">
      <c r="D80" t="s">
        <v>325</v>
      </c>
      <c r="E80" t="s">
        <v>1064</v>
      </c>
    </row>
    <row r="81" spans="4:5">
      <c r="D81" t="s">
        <v>327</v>
      </c>
      <c r="E81" t="s">
        <v>1065</v>
      </c>
    </row>
    <row r="82" spans="4:5">
      <c r="D82" t="s">
        <v>329</v>
      </c>
      <c r="E82" t="s">
        <v>1066</v>
      </c>
    </row>
    <row r="83" spans="4:5">
      <c r="D83" t="s">
        <v>330</v>
      </c>
    </row>
    <row r="84" spans="4:5">
      <c r="D84" t="s">
        <v>244</v>
      </c>
    </row>
    <row r="85" spans="4:5">
      <c r="D85" t="s">
        <v>244</v>
      </c>
    </row>
    <row r="86" spans="4:5">
      <c r="D86" t="s">
        <v>244</v>
      </c>
    </row>
    <row r="87" spans="4:5">
      <c r="D87" t="s">
        <v>244</v>
      </c>
    </row>
    <row r="88" spans="4:5">
      <c r="D88" t="s">
        <v>244</v>
      </c>
    </row>
    <row r="89" spans="4:5">
      <c r="D89" t="s">
        <v>332</v>
      </c>
      <c r="E89" t="s">
        <v>1067</v>
      </c>
    </row>
    <row r="90" spans="4:5">
      <c r="D90" t="s">
        <v>334</v>
      </c>
      <c r="E90" t="s">
        <v>1068</v>
      </c>
    </row>
    <row r="91" spans="4:5">
      <c r="D91" t="s">
        <v>336</v>
      </c>
      <c r="E91" t="s">
        <v>1069</v>
      </c>
    </row>
    <row r="92" spans="4:5">
      <c r="D92" t="s">
        <v>338</v>
      </c>
      <c r="E92" t="s">
        <v>1070</v>
      </c>
    </row>
    <row r="93" spans="4:5">
      <c r="D93" t="s">
        <v>340</v>
      </c>
      <c r="E93" t="s">
        <v>1071</v>
      </c>
    </row>
    <row r="94" spans="4:5">
      <c r="D94" t="s">
        <v>341</v>
      </c>
    </row>
    <row r="95" spans="4:5">
      <c r="D95" t="s">
        <v>244</v>
      </c>
    </row>
    <row r="96" spans="4:5">
      <c r="D96" t="s">
        <v>244</v>
      </c>
    </row>
    <row r="97" spans="4:5">
      <c r="D97" t="s">
        <v>244</v>
      </c>
    </row>
    <row r="98" spans="4:5">
      <c r="D98" t="s">
        <v>244</v>
      </c>
    </row>
    <row r="99" spans="4:5">
      <c r="D99" t="s">
        <v>343</v>
      </c>
      <c r="E99" t="s">
        <v>1072</v>
      </c>
    </row>
    <row r="100" spans="4:5">
      <c r="D100" t="s">
        <v>345</v>
      </c>
      <c r="E100" t="s">
        <v>1073</v>
      </c>
    </row>
    <row r="101" spans="4:5">
      <c r="D101" t="s">
        <v>347</v>
      </c>
      <c r="E101" t="s">
        <v>1074</v>
      </c>
    </row>
    <row r="102" spans="4:5">
      <c r="D102" t="s">
        <v>349</v>
      </c>
      <c r="E102" t="s">
        <v>1075</v>
      </c>
    </row>
    <row r="103" spans="4:5">
      <c r="D103" t="s">
        <v>350</v>
      </c>
    </row>
    <row r="104" spans="4:5">
      <c r="D104" t="s">
        <v>244</v>
      </c>
    </row>
    <row r="105" spans="4:5">
      <c r="D105" t="s">
        <v>244</v>
      </c>
    </row>
    <row r="106" spans="4:5">
      <c r="D106" t="s">
        <v>244</v>
      </c>
    </row>
    <row r="107" spans="4:5">
      <c r="D107" t="s">
        <v>244</v>
      </c>
    </row>
    <row r="108" spans="4:5">
      <c r="D108" t="s">
        <v>244</v>
      </c>
    </row>
    <row r="109" spans="4:5">
      <c r="D109" t="s">
        <v>244</v>
      </c>
    </row>
    <row r="110" spans="4:5">
      <c r="D110" t="s">
        <v>244</v>
      </c>
    </row>
    <row r="111" spans="4:5">
      <c r="D111" t="s">
        <v>244</v>
      </c>
    </row>
    <row r="112" spans="4:5">
      <c r="D112" t="s">
        <v>244</v>
      </c>
    </row>
    <row r="113" spans="4:4">
      <c r="D113" t="s">
        <v>244</v>
      </c>
    </row>
    <row r="114" spans="4:4">
      <c r="D114" t="s">
        <v>244</v>
      </c>
    </row>
    <row r="115" spans="4:4">
      <c r="D115" t="s">
        <v>244</v>
      </c>
    </row>
    <row r="116" spans="4:4">
      <c r="D116" t="s">
        <v>244</v>
      </c>
    </row>
    <row r="117" spans="4:4">
      <c r="D117" t="s">
        <v>244</v>
      </c>
    </row>
    <row r="118" spans="4:4">
      <c r="D118" t="s">
        <v>244</v>
      </c>
    </row>
    <row r="119" spans="4:4">
      <c r="D119" t="s">
        <v>244</v>
      </c>
    </row>
    <row r="120" spans="4:4">
      <c r="D120" t="s">
        <v>244</v>
      </c>
    </row>
    <row r="121" spans="4:4">
      <c r="D121" t="s">
        <v>244</v>
      </c>
    </row>
    <row r="122" spans="4:4">
      <c r="D122" t="s">
        <v>244</v>
      </c>
    </row>
    <row r="123" spans="4:4">
      <c r="D123" t="s">
        <v>244</v>
      </c>
    </row>
    <row r="124" spans="4:4">
      <c r="D124" t="s">
        <v>244</v>
      </c>
    </row>
    <row r="125" spans="4:4">
      <c r="D125" t="s">
        <v>244</v>
      </c>
    </row>
    <row r="126" spans="4:4">
      <c r="D126" t="s">
        <v>244</v>
      </c>
    </row>
    <row r="127" spans="4:4">
      <c r="D127" t="s">
        <v>244</v>
      </c>
    </row>
    <row r="128" spans="4:4">
      <c r="D128" t="s">
        <v>244</v>
      </c>
    </row>
    <row r="129" spans="4:4">
      <c r="D129" t="s">
        <v>244</v>
      </c>
    </row>
    <row r="130" spans="4:4">
      <c r="D130" t="s">
        <v>244</v>
      </c>
    </row>
    <row r="131" spans="4:4">
      <c r="D131" t="s">
        <v>244</v>
      </c>
    </row>
    <row r="132" spans="4:4">
      <c r="D132" t="s">
        <v>244</v>
      </c>
    </row>
    <row r="133" spans="4:4">
      <c r="D133" t="s">
        <v>244</v>
      </c>
    </row>
    <row r="134" spans="4:4">
      <c r="D134" t="s">
        <v>244</v>
      </c>
    </row>
    <row r="135" spans="4:4">
      <c r="D135" t="s">
        <v>244</v>
      </c>
    </row>
    <row r="136" spans="4:4">
      <c r="D136" t="s">
        <v>244</v>
      </c>
    </row>
    <row r="137" spans="4:4">
      <c r="D137" t="s">
        <v>244</v>
      </c>
    </row>
    <row r="138" spans="4:4">
      <c r="D138" t="s">
        <v>244</v>
      </c>
    </row>
    <row r="139" spans="4:4">
      <c r="D139" t="s">
        <v>244</v>
      </c>
    </row>
    <row r="140" spans="4:4">
      <c r="D140" t="s">
        <v>244</v>
      </c>
    </row>
    <row r="141" spans="4:4">
      <c r="D141" t="s">
        <v>244</v>
      </c>
    </row>
    <row r="142" spans="4:4">
      <c r="D142" t="s">
        <v>244</v>
      </c>
    </row>
    <row r="143" spans="4:4">
      <c r="D143" t="s">
        <v>244</v>
      </c>
    </row>
    <row r="144" spans="4:4">
      <c r="D144" t="s">
        <v>244</v>
      </c>
    </row>
    <row r="145" spans="4:5">
      <c r="D145" t="s">
        <v>244</v>
      </c>
    </row>
    <row r="146" spans="4:5">
      <c r="D146" t="s">
        <v>244</v>
      </c>
    </row>
    <row r="147" spans="4:5">
      <c r="D147" t="s">
        <v>244</v>
      </c>
    </row>
    <row r="148" spans="4:5">
      <c r="D148" t="s">
        <v>244</v>
      </c>
    </row>
    <row r="150" spans="4:5">
      <c r="D150" t="s">
        <v>1102</v>
      </c>
    </row>
    <row r="151" spans="4:5">
      <c r="D151" t="s">
        <v>480</v>
      </c>
      <c r="E151" t="s">
        <v>1024</v>
      </c>
    </row>
    <row r="152" spans="4:5">
      <c r="D152" t="s">
        <v>244</v>
      </c>
    </row>
    <row r="153" spans="4:5">
      <c r="D153" t="s">
        <v>244</v>
      </c>
    </row>
    <row r="154" spans="4:5">
      <c r="D154" t="s">
        <v>244</v>
      </c>
    </row>
    <row r="155" spans="4:5">
      <c r="D155" t="s">
        <v>244</v>
      </c>
    </row>
    <row r="156" spans="4:5">
      <c r="D156" t="s">
        <v>244</v>
      </c>
    </row>
    <row r="157" spans="4:5">
      <c r="D157" t="s">
        <v>244</v>
      </c>
    </row>
    <row r="158" spans="4:5">
      <c r="D158" t="s">
        <v>244</v>
      </c>
    </row>
    <row r="159" spans="4:5">
      <c r="D159" t="s">
        <v>244</v>
      </c>
    </row>
    <row r="160" spans="4:5">
      <c r="D160" t="s">
        <v>244</v>
      </c>
    </row>
    <row r="161" spans="4:5">
      <c r="D161" t="s">
        <v>244</v>
      </c>
    </row>
    <row r="162" spans="4:5">
      <c r="D162" t="s">
        <v>244</v>
      </c>
    </row>
    <row r="163" spans="4:5">
      <c r="D163" t="s">
        <v>244</v>
      </c>
    </row>
    <row r="164" spans="4:5">
      <c r="D164" t="s">
        <v>244</v>
      </c>
    </row>
    <row r="165" spans="4:5">
      <c r="D165" t="s">
        <v>244</v>
      </c>
    </row>
    <row r="166" spans="4:5">
      <c r="D166" t="s">
        <v>244</v>
      </c>
    </row>
    <row r="167" spans="4:5">
      <c r="D167" t="s">
        <v>244</v>
      </c>
    </row>
    <row r="168" spans="4:5">
      <c r="D168" t="s">
        <v>244</v>
      </c>
    </row>
    <row r="169" spans="4:5">
      <c r="D169" t="s">
        <v>244</v>
      </c>
    </row>
    <row r="170" spans="4:5">
      <c r="D170" t="s">
        <v>244</v>
      </c>
    </row>
    <row r="171" spans="4:5">
      <c r="D171" t="s">
        <v>244</v>
      </c>
    </row>
    <row r="172" spans="4:5">
      <c r="D172" t="s">
        <v>431</v>
      </c>
      <c r="E172" t="s">
        <v>1077</v>
      </c>
    </row>
    <row r="173" spans="4:5">
      <c r="D173" t="s">
        <v>432</v>
      </c>
      <c r="E173" t="s">
        <v>1103</v>
      </c>
    </row>
    <row r="174" spans="4:5">
      <c r="D174" t="s">
        <v>244</v>
      </c>
    </row>
    <row r="175" spans="4:5">
      <c r="D175" t="s">
        <v>244</v>
      </c>
    </row>
    <row r="176" spans="4:5">
      <c r="D176" t="s">
        <v>244</v>
      </c>
    </row>
    <row r="177" spans="4:5">
      <c r="D177" t="s">
        <v>244</v>
      </c>
    </row>
    <row r="178" spans="4:5">
      <c r="D178" t="s">
        <v>244</v>
      </c>
    </row>
    <row r="179" spans="4:5">
      <c r="D179" t="s">
        <v>244</v>
      </c>
    </row>
    <row r="180" spans="4:5">
      <c r="D180" t="s">
        <v>244</v>
      </c>
    </row>
    <row r="181" spans="4:5">
      <c r="D181" t="s">
        <v>244</v>
      </c>
    </row>
    <row r="182" spans="4:5">
      <c r="D182" t="s">
        <v>1104</v>
      </c>
      <c r="E182" t="s">
        <v>1083</v>
      </c>
    </row>
    <row r="183" spans="4:5">
      <c r="D183" t="s">
        <v>435</v>
      </c>
      <c r="E183" t="s">
        <v>1084</v>
      </c>
    </row>
    <row r="184" spans="4:5">
      <c r="D184" t="s">
        <v>244</v>
      </c>
    </row>
    <row r="185" spans="4:5">
      <c r="D185" t="s">
        <v>244</v>
      </c>
    </row>
    <row r="186" spans="4:5">
      <c r="D186" t="s">
        <v>244</v>
      </c>
    </row>
    <row r="187" spans="4:5">
      <c r="D187" t="s">
        <v>244</v>
      </c>
    </row>
    <row r="188" spans="4:5">
      <c r="D188" t="s">
        <v>244</v>
      </c>
    </row>
    <row r="189" spans="4:5">
      <c r="D189" t="s">
        <v>244</v>
      </c>
    </row>
    <row r="190" spans="4:5">
      <c r="D190" t="s">
        <v>244</v>
      </c>
    </row>
    <row r="191" spans="4:5">
      <c r="D191" t="s">
        <v>244</v>
      </c>
    </row>
    <row r="192" spans="4:5">
      <c r="D192" t="s">
        <v>437</v>
      </c>
      <c r="E192" t="s">
        <v>1105</v>
      </c>
    </row>
    <row r="193" spans="4:5">
      <c r="D193" t="s">
        <v>144</v>
      </c>
      <c r="E193" t="s">
        <v>1090</v>
      </c>
    </row>
    <row r="194" spans="4:5">
      <c r="D194" t="s">
        <v>244</v>
      </c>
    </row>
    <row r="195" spans="4:5">
      <c r="D195" t="s">
        <v>244</v>
      </c>
    </row>
    <row r="196" spans="4:5">
      <c r="D196" t="s">
        <v>244</v>
      </c>
    </row>
    <row r="197" spans="4:5">
      <c r="D197" t="s">
        <v>244</v>
      </c>
    </row>
    <row r="198" spans="4:5">
      <c r="D198" t="s">
        <v>244</v>
      </c>
    </row>
    <row r="199" spans="4:5">
      <c r="D199" t="s">
        <v>244</v>
      </c>
    </row>
    <row r="200" spans="4:5">
      <c r="D200" t="s">
        <v>244</v>
      </c>
    </row>
    <row r="201" spans="4:5">
      <c r="D201" t="s">
        <v>244</v>
      </c>
    </row>
    <row r="202" spans="4:5">
      <c r="D202" t="s">
        <v>439</v>
      </c>
      <c r="E202" t="s">
        <v>1095</v>
      </c>
    </row>
    <row r="203" spans="4:5">
      <c r="D203" t="s">
        <v>440</v>
      </c>
      <c r="E203" t="s">
        <v>1096</v>
      </c>
    </row>
    <row r="204" spans="4:5">
      <c r="D204" t="s">
        <v>244</v>
      </c>
    </row>
    <row r="205" spans="4:5">
      <c r="D205" t="s">
        <v>244</v>
      </c>
    </row>
    <row r="206" spans="4:5">
      <c r="D206" t="s">
        <v>244</v>
      </c>
    </row>
    <row r="207" spans="4:5">
      <c r="D207" t="s">
        <v>244</v>
      </c>
    </row>
    <row r="208" spans="4:5">
      <c r="D208" t="s">
        <v>244</v>
      </c>
    </row>
    <row r="209" spans="4:4">
      <c r="D209" t="s">
        <v>244</v>
      </c>
    </row>
    <row r="210" spans="4:4">
      <c r="D210" t="s">
        <v>244</v>
      </c>
    </row>
    <row r="211" spans="4:4">
      <c r="D211" t="s">
        <v>244</v>
      </c>
    </row>
    <row r="212" spans="4:4">
      <c r="D212" t="s">
        <v>244</v>
      </c>
    </row>
    <row r="213" spans="4:4">
      <c r="D213" t="s">
        <v>244</v>
      </c>
    </row>
    <row r="214" spans="4:4">
      <c r="D214" t="s">
        <v>244</v>
      </c>
    </row>
    <row r="215" spans="4:4">
      <c r="D215" t="s">
        <v>244</v>
      </c>
    </row>
    <row r="216" spans="4:4">
      <c r="D216" t="s">
        <v>244</v>
      </c>
    </row>
    <row r="217" spans="4:4">
      <c r="D217" t="s">
        <v>244</v>
      </c>
    </row>
    <row r="218" spans="4:4">
      <c r="D218" t="s">
        <v>244</v>
      </c>
    </row>
    <row r="219" spans="4:4">
      <c r="D219" t="s">
        <v>244</v>
      </c>
    </row>
    <row r="220" spans="4:4">
      <c r="D220" t="s">
        <v>244</v>
      </c>
    </row>
    <row r="221" spans="4:4">
      <c r="D221" t="s">
        <v>244</v>
      </c>
    </row>
    <row r="222" spans="4:4">
      <c r="D222" t="s">
        <v>244</v>
      </c>
    </row>
    <row r="223" spans="4:4">
      <c r="D223" t="s">
        <v>244</v>
      </c>
    </row>
    <row r="224" spans="4:4">
      <c r="D224" t="s">
        <v>244</v>
      </c>
    </row>
    <row r="225" spans="4:4">
      <c r="D225" t="s">
        <v>244</v>
      </c>
    </row>
    <row r="226" spans="4:4">
      <c r="D226" t="s">
        <v>244</v>
      </c>
    </row>
    <row r="227" spans="4:4">
      <c r="D227" t="s">
        <v>244</v>
      </c>
    </row>
    <row r="228" spans="4:4">
      <c r="D228" t="s">
        <v>244</v>
      </c>
    </row>
    <row r="229" spans="4:4">
      <c r="D229" t="s">
        <v>244</v>
      </c>
    </row>
    <row r="230" spans="4:4">
      <c r="D230" t="s">
        <v>244</v>
      </c>
    </row>
    <row r="231" spans="4:4">
      <c r="D231" t="s">
        <v>244</v>
      </c>
    </row>
    <row r="232" spans="4:4">
      <c r="D232" t="s">
        <v>244</v>
      </c>
    </row>
    <row r="233" spans="4:4">
      <c r="D233" t="s">
        <v>244</v>
      </c>
    </row>
    <row r="234" spans="4:4">
      <c r="D234" t="s">
        <v>244</v>
      </c>
    </row>
    <row r="235" spans="4:4">
      <c r="D235" t="s">
        <v>244</v>
      </c>
    </row>
    <row r="236" spans="4:4">
      <c r="D236" t="s">
        <v>244</v>
      </c>
    </row>
    <row r="237" spans="4:4">
      <c r="D237" t="s">
        <v>244</v>
      </c>
    </row>
    <row r="238" spans="4:4">
      <c r="D238" t="s">
        <v>244</v>
      </c>
    </row>
    <row r="239" spans="4:4">
      <c r="D239" t="s">
        <v>244</v>
      </c>
    </row>
    <row r="240" spans="4:4">
      <c r="D240" t="s">
        <v>244</v>
      </c>
    </row>
    <row r="241" spans="4:4">
      <c r="D241" t="s">
        <v>244</v>
      </c>
    </row>
    <row r="242" spans="4:4">
      <c r="D242" t="s">
        <v>244</v>
      </c>
    </row>
    <row r="243" spans="4:4">
      <c r="D243" t="s">
        <v>244</v>
      </c>
    </row>
    <row r="244" spans="4:4">
      <c r="D244" t="s">
        <v>244</v>
      </c>
    </row>
    <row r="245" spans="4:4">
      <c r="D245" t="s">
        <v>244</v>
      </c>
    </row>
    <row r="246" spans="4:4">
      <c r="D246" t="s">
        <v>244</v>
      </c>
    </row>
    <row r="247" spans="4:4">
      <c r="D247" t="s">
        <v>244</v>
      </c>
    </row>
    <row r="248" spans="4:4">
      <c r="D248" t="s">
        <v>244</v>
      </c>
    </row>
    <row r="249" spans="4:4">
      <c r="D249" t="s">
        <v>244</v>
      </c>
    </row>
    <row r="250" spans="4:4">
      <c r="D250" t="s">
        <v>244</v>
      </c>
    </row>
    <row r="251" spans="4:4">
      <c r="D251" t="s">
        <v>244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E48CA-1601-425D-BC50-BC5CFA0BA210}">
  <sheetPr codeName="Hoja8"/>
  <dimension ref="B1:T571"/>
  <sheetViews>
    <sheetView showGridLines="0" zoomScale="70" zoomScaleNormal="70" workbookViewId="0">
      <pane xSplit="5" ySplit="6" topLeftCell="R7" activePane="bottomRight" state="frozen"/>
      <selection pane="bottomRight" activeCell="M9" sqref="M9"/>
      <selection pane="bottomLeft" activeCell="A7" sqref="A7"/>
      <selection pane="topRight" activeCell="F1" sqref="F1"/>
    </sheetView>
  </sheetViews>
  <sheetFormatPr defaultColWidth="9.140625" defaultRowHeight="15"/>
  <cols>
    <col min="1" max="1" width="3.5703125" customWidth="1"/>
    <col min="2" max="2" width="6.7109375" bestFit="1" customWidth="1"/>
    <col min="3" max="3" width="10.5703125" customWidth="1"/>
    <col min="4" max="4" width="17.5703125" customWidth="1"/>
    <col min="5" max="5" width="18.140625" customWidth="1"/>
    <col min="6" max="11" width="8.140625" customWidth="1"/>
    <col min="12" max="12" width="9" customWidth="1"/>
    <col min="13" max="13" width="70.42578125" customWidth="1"/>
    <col min="14" max="14" width="48.5703125" style="4" customWidth="1"/>
    <col min="15" max="15" width="70.42578125" style="4" customWidth="1"/>
    <col min="16" max="16" width="70.42578125" customWidth="1"/>
    <col min="17" max="17" width="61.7109375" style="4" customWidth="1"/>
    <col min="18" max="19" width="70.42578125" style="4" customWidth="1"/>
    <col min="20" max="20" width="70.42578125" style="68" customWidth="1"/>
  </cols>
  <sheetData>
    <row r="1" spans="2:20" ht="12" customHeight="1"/>
    <row r="2" spans="2:20" s="2" customFormat="1" ht="18.75" customHeight="1">
      <c r="B2" s="828" t="str">
        <f>CONCATENATE("21. MATRIZ DE JUSTIFICACIÓN DEL PROGRAMA DE ESTUDIOS DE: ",'1.Fundamentos'!F6)</f>
        <v>21. MATRIZ DE JUSTIFICACIÓN DEL PROGRAMA DE ESTUDIOS DE: EDUCACIÓN SECUNDARIA CON ESPECIALIDAD EN INGLÉS</v>
      </c>
      <c r="C2" s="828"/>
      <c r="D2" s="828"/>
      <c r="E2" s="828"/>
      <c r="F2" s="828"/>
      <c r="G2" s="828"/>
      <c r="H2" s="828"/>
      <c r="I2" s="828"/>
      <c r="J2" s="828"/>
      <c r="K2" s="828"/>
      <c r="L2" s="828"/>
      <c r="M2" s="828"/>
      <c r="N2" s="828"/>
      <c r="O2" s="828"/>
      <c r="P2" s="828"/>
      <c r="Q2" s="828"/>
      <c r="R2" s="828"/>
      <c r="S2" s="828"/>
      <c r="T2" s="828"/>
    </row>
    <row r="3" spans="2:20" s="8" customFormat="1" ht="8.25" customHeight="1">
      <c r="B3" s="835"/>
      <c r="C3" s="835"/>
      <c r="D3" s="835"/>
      <c r="E3" s="835"/>
      <c r="F3" s="835"/>
      <c r="G3" s="835"/>
      <c r="H3" s="835"/>
      <c r="I3" s="835"/>
      <c r="J3" s="835"/>
      <c r="K3" s="835"/>
      <c r="L3" s="835"/>
      <c r="M3" s="835"/>
      <c r="N3" s="835"/>
      <c r="O3" s="835"/>
      <c r="P3" s="835"/>
      <c r="Q3" s="835"/>
      <c r="R3" s="835"/>
      <c r="S3" s="835"/>
      <c r="T3" s="835"/>
    </row>
    <row r="4" spans="2:20" s="8" customFormat="1" ht="17.25" customHeight="1">
      <c r="B4" s="389" t="s">
        <v>1106</v>
      </c>
      <c r="C4" s="316"/>
      <c r="D4" s="316"/>
      <c r="E4" s="316"/>
      <c r="F4" s="316"/>
      <c r="G4" s="316"/>
      <c r="H4" s="316"/>
      <c r="I4" s="316"/>
      <c r="J4" s="316"/>
      <c r="K4" s="316"/>
      <c r="L4" s="316"/>
      <c r="M4" s="316"/>
      <c r="N4" s="316"/>
      <c r="O4" s="316"/>
      <c r="P4" s="316"/>
      <c r="Q4" s="316"/>
      <c r="R4" s="316"/>
      <c r="S4" s="316"/>
      <c r="T4" s="316"/>
    </row>
    <row r="5" spans="2:20" s="68" customFormat="1" ht="33.75" customHeight="1">
      <c r="B5" s="829" t="s">
        <v>224</v>
      </c>
      <c r="C5" s="830" t="s">
        <v>1107</v>
      </c>
      <c r="D5" s="830" t="s">
        <v>227</v>
      </c>
      <c r="E5" s="830" t="s">
        <v>1108</v>
      </c>
      <c r="F5" s="831" t="s">
        <v>366</v>
      </c>
      <c r="G5" s="831"/>
      <c r="H5" s="831" t="s">
        <v>367</v>
      </c>
      <c r="I5" s="831"/>
      <c r="J5" s="833" t="s">
        <v>1109</v>
      </c>
      <c r="K5" s="833"/>
      <c r="L5" s="830" t="s">
        <v>233</v>
      </c>
      <c r="M5" s="834" t="s">
        <v>1024</v>
      </c>
      <c r="N5" s="834" t="s">
        <v>1110</v>
      </c>
      <c r="O5" s="836" t="s">
        <v>1111</v>
      </c>
      <c r="P5" s="832" t="s">
        <v>456</v>
      </c>
      <c r="Q5" s="832" t="s">
        <v>1112</v>
      </c>
      <c r="R5" s="832" t="s">
        <v>1113</v>
      </c>
      <c r="S5" s="832" t="s">
        <v>1114</v>
      </c>
      <c r="T5" s="832" t="s">
        <v>1115</v>
      </c>
    </row>
    <row r="6" spans="2:20" s="68" customFormat="1" ht="13.5" customHeight="1">
      <c r="B6" s="829"/>
      <c r="C6" s="830"/>
      <c r="D6" s="830"/>
      <c r="E6" s="830"/>
      <c r="F6" s="422" t="s">
        <v>1116</v>
      </c>
      <c r="G6" s="424" t="s">
        <v>1117</v>
      </c>
      <c r="H6" s="422" t="s">
        <v>1116</v>
      </c>
      <c r="I6" s="423" t="s">
        <v>1117</v>
      </c>
      <c r="J6" s="424" t="s">
        <v>1116</v>
      </c>
      <c r="K6" s="424" t="s">
        <v>1117</v>
      </c>
      <c r="L6" s="830"/>
      <c r="M6" s="834"/>
      <c r="N6" s="834"/>
      <c r="O6" s="836"/>
      <c r="P6" s="832"/>
      <c r="Q6" s="832"/>
      <c r="R6" s="832"/>
      <c r="S6" s="832"/>
      <c r="T6" s="832"/>
    </row>
    <row r="7" spans="2:20" ht="74.25" customHeight="1">
      <c r="B7" s="425">
        <f>IF('3.Plan de Estudios'!B19="","",'3.Plan de Estudios'!B19)</f>
        <v>1</v>
      </c>
      <c r="C7" s="425" t="str">
        <f>IF('3.Plan de Estudios'!C19="","",'3.Plan de Estudios'!C19)</f>
        <v>GES51001</v>
      </c>
      <c r="D7" s="435" t="str">
        <f>IF('3.Plan de Estudios'!E19="","",'3.Plan de Estudios'!E19)</f>
        <v>ADMINISTRACIÓN PARA LOS NEGOCIOS</v>
      </c>
      <c r="E7" s="426" t="str">
        <f>'3.Plan de Estudios'!I19</f>
        <v>Presencial</v>
      </c>
      <c r="F7" s="426">
        <f>IF('3.Plan de Estudios'!J19=0,"-",'3.Plan de Estudios'!J19)</f>
        <v>64</v>
      </c>
      <c r="G7" s="427" t="str">
        <f>IF('3.Plan de Estudios'!K19=0,"-",'3.Plan de Estudios'!K19)</f>
        <v>-</v>
      </c>
      <c r="H7" s="426" t="str">
        <f>IF('3.Plan de Estudios'!L19=0,"-",'3.Plan de Estudios'!L19)</f>
        <v>-</v>
      </c>
      <c r="I7" s="428" t="str">
        <f>IF('3.Plan de Estudios'!M19=0,"-",'3.Plan de Estudios'!M19)</f>
        <v>-</v>
      </c>
      <c r="J7" s="427" t="str">
        <f>IF('3.Plan de Estudios'!N19=0,"-",'3.Plan de Estudios'!N19)</f>
        <v>-</v>
      </c>
      <c r="K7" s="428" t="str">
        <f>IF('3.Plan de Estudios'!O19=0,"-",'3.Plan de Estudios'!O19)</f>
        <v>-</v>
      </c>
      <c r="L7" s="429">
        <f>IF('3.Plan de Estudios'!P19=0,"-",'3.Plan de Estudios'!P19)</f>
        <v>4</v>
      </c>
      <c r="M7" s="430" t="str">
        <f>IF('7.Sumillas'!G8=0,"",'7.Sumillas'!G8)</f>
        <v>Administración para los Negocios es un curso específico, es de naturaleza teórico, contribuye al desarrollo de la competencia general de gestión de recursos mediante la elaboración de un plan de negocios. Comprende el desarrollo de los siguientes ejes temáticos: Conceptos fundamentales de negocio, el proceso administrativo, la estructuración de un plan de negocio y su vinculación con las diferentes áreas de una organización. El producto acreditable de la asignatura es el plan de negocio.</v>
      </c>
      <c r="N7" s="431"/>
      <c r="O7" s="431"/>
      <c r="P7" s="432" t="str">
        <f>CONCATENATE(CHAR(10),CONCATENATE('3.Plan de Estudios'!AA19,CHAR(10),'3.Plan de Estudios'!AC19,CHAR(10),'3.Plan de Estudios'!AE19,CHAR(10),'3.Plan de Estudios'!AG19,CHAR(10),'3.Plan de Estudios'!AI19))</f>
        <v xml:space="preserve">
CG4: Gestión de Recursos:N1 Reconoce la teoría de gestión y sus componentes de manera aplicada para comprender la lógica empresarial.
</v>
      </c>
      <c r="Q7" s="431"/>
      <c r="R7" s="431"/>
      <c r="S7" s="431"/>
      <c r="T7" s="433" t="str">
        <f>IF(OR(I7&lt;&gt;"-",K7&lt;&gt;"-"),"","No Aplica")</f>
        <v>No Aplica</v>
      </c>
    </row>
    <row r="8" spans="2:20" ht="24" customHeight="1">
      <c r="B8" s="425">
        <f>IF('3.Plan de Estudios'!B20="","",'3.Plan de Estudios'!B20)</f>
        <v>1</v>
      </c>
      <c r="C8" s="425" t="str">
        <f>IF('3.Plan de Estudios'!C20="","",'3.Plan de Estudios'!C20)</f>
        <v>PSI53001</v>
      </c>
      <c r="D8" s="435" t="str">
        <f>IF('3.Plan de Estudios'!E20="","",'3.Plan de Estudios'!E20)</f>
        <v>DESARROLLO HUMANO</v>
      </c>
      <c r="E8" s="426" t="str">
        <f>'3.Plan de Estudios'!I20</f>
        <v>Presencial</v>
      </c>
      <c r="F8" s="426">
        <f>IF('3.Plan de Estudios'!J20=0,"-",'3.Plan de Estudios'!J20)</f>
        <v>64</v>
      </c>
      <c r="G8" s="427" t="str">
        <f>IF('3.Plan de Estudios'!K20=0,"-",'3.Plan de Estudios'!K20)</f>
        <v>-</v>
      </c>
      <c r="H8" s="426" t="str">
        <f>IF('3.Plan de Estudios'!L20=0,"-",'3.Plan de Estudios'!L20)</f>
        <v>-</v>
      </c>
      <c r="I8" s="428" t="str">
        <f>IF('3.Plan de Estudios'!M20=0,"-",'3.Plan de Estudios'!M20)</f>
        <v>-</v>
      </c>
      <c r="J8" s="427" t="str">
        <f>IF('3.Plan de Estudios'!N20=0,"-",'3.Plan de Estudios'!N20)</f>
        <v>-</v>
      </c>
      <c r="K8" s="428" t="str">
        <f>IF('3.Plan de Estudios'!O20=0,"-",'3.Plan de Estudios'!O20)</f>
        <v>-</v>
      </c>
      <c r="L8" s="429">
        <f>IF('3.Plan de Estudios'!P20=0,"-",'3.Plan de Estudios'!P20)</f>
        <v>4</v>
      </c>
      <c r="M8" s="430" t="str">
        <f>IF('7.Sumillas'!G9=0,"",'7.Sumillas'!G9)</f>
        <v>Desarrollo Humano, perteneciente a Estudios Generales, es teórico. Tributa a la competencia de desarrollo humano y tiene como propósito desarrollar en el estudiante estrategias de carácter cognitivo, afectivo y social que le permitirán hacer frente a las demandas académicas y de desarrollo personal que supone el ingreso a la vida universitaria. La estructura temática de este curso se divide en dos unidades: Estrategias para la adaptación a la vida universitaria en el ámbito personal, que comprende: desarrollo personal, desarrollo interpersonal y compromiso social; y Estrategias para la adaptación a la vida universitaria en el ámbito académico relacionado con la búsqueda de información, integración, elaboración y su aplicación en diversos productos académicos. El producto acreditable de la asignatura es el trabajo de un portafolio digital.</v>
      </c>
      <c r="N8" s="431"/>
      <c r="O8" s="431"/>
      <c r="P8" s="432" t="str">
        <f>CONCATENATE(CHAR(10),CONCATENATE('3.Plan de Estudios'!AA20,CHAR(10),'3.Plan de Estudios'!AC20,CHAR(10),'3.Plan de Estudios'!AE20,CHAR(10),'3.Plan de Estudios'!AG20,CHAR(10),'3.Plan de Estudios'!AI20))</f>
        <v xml:space="preserve">
CG5: Desarrollo Humano:N1 Identifica sus capacidades y/o cualidades personales y académicas mediante ejercicios y base teórica conducente al fortalecimiento del autoconocimiento.
</v>
      </c>
      <c r="Q8" s="431"/>
      <c r="R8" s="431"/>
      <c r="S8" s="431"/>
      <c r="T8" s="433" t="str">
        <f t="shared" ref="T8:T66" si="0">IF(OR(I8&lt;&gt;"-",K8&lt;&gt;"-"),"","No Aplica")</f>
        <v>No Aplica</v>
      </c>
    </row>
    <row r="9" spans="2:20" ht="24" customHeight="1">
      <c r="B9" s="425">
        <f>IF('3.Plan de Estudios'!B21="","",'3.Plan de Estudios'!B21)</f>
        <v>1</v>
      </c>
      <c r="C9" s="425" t="str">
        <f>IF('3.Plan de Estudios'!C21="","",'3.Plan de Estudios'!C21)</f>
        <v>ENG42003</v>
      </c>
      <c r="D9" s="435" t="str">
        <f>IF('3.Plan de Estudios'!E21="","",'3.Plan de Estudios'!E21)</f>
        <v>ENGLISH I</v>
      </c>
      <c r="E9" s="426" t="str">
        <f>'3.Plan de Estudios'!I21</f>
        <v>Presencial</v>
      </c>
      <c r="F9" s="426">
        <f>IF('3.Plan de Estudios'!J21=0,"-",'3.Plan de Estudios'!J21)</f>
        <v>36</v>
      </c>
      <c r="G9" s="427" t="str">
        <f>IF('3.Plan de Estudios'!K21=0,"-",'3.Plan de Estudios'!K21)</f>
        <v>-</v>
      </c>
      <c r="H9" s="426">
        <f>IF('3.Plan de Estudios'!L21=0,"-",'3.Plan de Estudios'!L21)</f>
        <v>56</v>
      </c>
      <c r="I9" s="428" t="str">
        <f>IF('3.Plan de Estudios'!M21=0,"-",'3.Plan de Estudios'!M21)</f>
        <v>-</v>
      </c>
      <c r="J9" s="427" t="str">
        <f>IF('3.Plan de Estudios'!N21=0,"-",'3.Plan de Estudios'!N21)</f>
        <v>-</v>
      </c>
      <c r="K9" s="428" t="str">
        <f>IF('3.Plan de Estudios'!O21=0,"-",'3.Plan de Estudios'!O21)</f>
        <v>-</v>
      </c>
      <c r="L9" s="429">
        <f>IF('3.Plan de Estudios'!P21=0,"-",'3.Plan de Estudios'!P21)</f>
        <v>4</v>
      </c>
      <c r="M9" s="430" t="str">
        <f>IF('7.Sumillas'!G10=0,"",'7.Sumillas'!G10)</f>
        <v>English I, es un curso que pertenece al área formativa de estudios específicos, tiene carácter teórico-práctico, y tributa a la competencia de comunicación bilingüe. Contribuye al desarrollo de la competencia comunicativa, nivel A1-A2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N9" s="431"/>
      <c r="O9" s="431"/>
      <c r="P9" s="432" t="str">
        <f>CONCATENATE(CHAR(10),CONCATENATE('3.Plan de Estudios'!AA21,CHAR(10),'3.Plan de Estudios'!AC21,CHAR(10),'3.Plan de Estudios'!AE21,CHAR(10),'3.Plan de Estudios'!AG21,CHAR(10),'3.Plan de Estudios'!AI21))</f>
        <v xml:space="preserve">
CG2: Comunicación Bilingüe:N1 Aplica las competencias correspondientes al nivel A2 según los estándares del Marco de Referencia de la Comunidad Europea (CEFR).
</v>
      </c>
      <c r="Q9" s="431"/>
      <c r="R9" s="431"/>
      <c r="S9" s="431"/>
      <c r="T9" s="433" t="str">
        <f t="shared" si="0"/>
        <v>No Aplica</v>
      </c>
    </row>
    <row r="10" spans="2:20" ht="24" customHeight="1">
      <c r="B10" s="425">
        <f>IF('3.Plan de Estudios'!B22="","",'3.Plan de Estudios'!B22)</f>
        <v>1</v>
      </c>
      <c r="C10" s="425" t="str">
        <f>IF('3.Plan de Estudios'!C22="","",'3.Plan de Estudios'!C22)</f>
        <v>COM42008</v>
      </c>
      <c r="D10" s="435" t="str">
        <f>IF('3.Plan de Estudios'!E22="","",'3.Plan de Estudios'!E22)</f>
        <v>LENGUAJE I</v>
      </c>
      <c r="E10" s="426" t="str">
        <f>'3.Plan de Estudios'!I22</f>
        <v>Presencial</v>
      </c>
      <c r="F10" s="426">
        <f>IF('3.Plan de Estudios'!J22=0,"-",'3.Plan de Estudios'!J22)</f>
        <v>64</v>
      </c>
      <c r="G10" s="427" t="str">
        <f>IF('3.Plan de Estudios'!K22=0,"-",'3.Plan de Estudios'!K22)</f>
        <v>-</v>
      </c>
      <c r="H10" s="426" t="str">
        <f>IF('3.Plan de Estudios'!L22=0,"-",'3.Plan de Estudios'!L22)</f>
        <v>-</v>
      </c>
      <c r="I10" s="428" t="str">
        <f>IF('3.Plan de Estudios'!M22=0,"-",'3.Plan de Estudios'!M22)</f>
        <v>-</v>
      </c>
      <c r="J10" s="427" t="str">
        <f>IF('3.Plan de Estudios'!N22=0,"-",'3.Plan de Estudios'!N22)</f>
        <v>-</v>
      </c>
      <c r="K10" s="428" t="str">
        <f>IF('3.Plan de Estudios'!O22=0,"-",'3.Plan de Estudios'!O22)</f>
        <v>-</v>
      </c>
      <c r="L10" s="429">
        <f>IF('3.Plan de Estudios'!P22=0,"-",'3.Plan de Estudios'!P22)</f>
        <v>4</v>
      </c>
      <c r="M10" s="430" t="str">
        <f>IF('7.Sumillas'!G11=0,"",'7.Sumillas'!G11)</f>
        <v>Lenguaje I pertenece al área de estudios generales. La asignatura es de naturaleza teórico y tiene como propósito brindar las bases fundamentales para el logro de la Competencia General de Comunicación Integral. Sus ejes temáticos son los siguientes: análisis de diversos textos, gramática textual, redacción de textos argumentativos, la expresión oral a través de presentaciones académicas, haciendo uso eficiente de las TIC. Las estrategias didácticas aplicadas son los estudios de caso, entre otras. El producto acreditable es un proyecto que consiste en la redacción y sustentación de un texto académico argumentativo con una actitud ética frente a la sociedad y entorno.</v>
      </c>
      <c r="N10" s="431"/>
      <c r="O10" s="431"/>
      <c r="P10" s="432" t="str">
        <f>CONCATENATE(CHAR(10),CONCATENATE('3.Plan de Estudios'!AA22,CHAR(10),'3.Plan de Estudios'!AC22,CHAR(10),'3.Plan de Estudios'!AE22,CHAR(10),'3.Plan de Estudios'!AG22,CHAR(10),'3.Plan de Estudios'!AI22))</f>
        <v xml:space="preserve">
CG1: Comunicación Integral:N1 Elabora textos académicos escritos y comunicaciones orales con una estructura básica para exponer con eficiencia sus ideas en un entorno académico y/o social.
</v>
      </c>
      <c r="Q10" s="431"/>
      <c r="R10" s="431"/>
      <c r="S10" s="431"/>
      <c r="T10" s="433" t="str">
        <f t="shared" si="0"/>
        <v>No Aplica</v>
      </c>
    </row>
    <row r="11" spans="2:20" ht="24" customHeight="1">
      <c r="B11" s="425">
        <f>IF('3.Plan de Estudios'!B23="","",'3.Plan de Estudios'!B23)</f>
        <v>1</v>
      </c>
      <c r="C11" s="425" t="str">
        <f>IF('3.Plan de Estudios'!C23="","",'3.Plan de Estudios'!C23)</f>
        <v>MAT41003</v>
      </c>
      <c r="D11" s="435" t="str">
        <f>IF('3.Plan de Estudios'!E23="","",'3.Plan de Estudios'!E23)</f>
        <v>MATEMÁTICA</v>
      </c>
      <c r="E11" s="426" t="str">
        <f>'3.Plan de Estudios'!I23</f>
        <v>Presencial</v>
      </c>
      <c r="F11" s="426">
        <f>IF('3.Plan de Estudios'!J23=0,"-",'3.Plan de Estudios'!J23)</f>
        <v>64</v>
      </c>
      <c r="G11" s="427" t="str">
        <f>IF('3.Plan de Estudios'!K23=0,"-",'3.Plan de Estudios'!K23)</f>
        <v>-</v>
      </c>
      <c r="H11" s="426" t="str">
        <f>IF('3.Plan de Estudios'!L23=0,"-",'3.Plan de Estudios'!L23)</f>
        <v>-</v>
      </c>
      <c r="I11" s="428" t="str">
        <f>IF('3.Plan de Estudios'!M23=0,"-",'3.Plan de Estudios'!M23)</f>
        <v>-</v>
      </c>
      <c r="J11" s="427" t="str">
        <f>IF('3.Plan de Estudios'!N23=0,"-",'3.Plan de Estudios'!N23)</f>
        <v>-</v>
      </c>
      <c r="K11" s="428" t="str">
        <f>IF('3.Plan de Estudios'!O23=0,"-",'3.Plan de Estudios'!O23)</f>
        <v>-</v>
      </c>
      <c r="L11" s="429">
        <f>IF('3.Plan de Estudios'!P23=0,"-",'3.Plan de Estudios'!P23)</f>
        <v>4</v>
      </c>
      <c r="M11" s="430" t="str">
        <f>IF('7.Sumillas'!G12=0,"",'7.Sumillas'!G12)</f>
        <v>Matemática es teórico, pertenece al área de estudios generales y tiene como propósito el logro de la competencia de comunicación integral, a través de la aplicación del lenguaje matemático, la matematización y el cálculo, haciendo uso eficiente de las TIC, con una actitud ética frente a una sociedad globalizada. El contenido incluye temas relacionados con los números reales, las funciones, las derivadas y sus aplicaciones. El producto del curso consiste en la elaboración de un e-portafolio con problemas contextualizados resueltos.</v>
      </c>
      <c r="N11" s="431"/>
      <c r="O11" s="431"/>
      <c r="P11" s="432" t="str">
        <f>CONCATENATE(CHAR(10),CONCATENATE('3.Plan de Estudios'!AA23,CHAR(10),'3.Plan de Estudios'!AC23,CHAR(10),'3.Plan de Estudios'!AE23,CHAR(10),'3.Plan de Estudios'!AG23,CHAR(10),'3.Plan de Estudios'!AI23))</f>
        <v xml:space="preserve">
CG1: Comunicación Integral:N1 Elabora textos académicos escritos y comunicaciones orales con una estructura básica para exponer con eficiencia sus ideas en un entorno académico y/o social.
</v>
      </c>
      <c r="Q11" s="431"/>
      <c r="R11" s="431"/>
      <c r="S11" s="431"/>
      <c r="T11" s="433" t="str">
        <f t="shared" si="0"/>
        <v>No Aplica</v>
      </c>
    </row>
    <row r="12" spans="2:20" ht="24" customHeight="1">
      <c r="B12" s="425">
        <f>IF('3.Plan de Estudios'!B24="","",'3.Plan de Estudios'!B24)</f>
        <v>1</v>
      </c>
      <c r="C12" s="425" t="str">
        <f>IF('3.Plan de Estudios'!C24="","",'3.Plan de Estudios'!C24)</f>
        <v/>
      </c>
      <c r="D12" s="435" t="str">
        <f>IF('3.Plan de Estudios'!E24="","",'3.Plan de Estudios'!E24)</f>
        <v/>
      </c>
      <c r="E12" s="426" t="str">
        <f>'3.Plan de Estudios'!I24</f>
        <v/>
      </c>
      <c r="F12" s="426" t="str">
        <f>IF('3.Plan de Estudios'!J24=0,"-",'3.Plan de Estudios'!J24)</f>
        <v>-</v>
      </c>
      <c r="G12" s="427" t="str">
        <f>IF('3.Plan de Estudios'!K24=0,"-",'3.Plan de Estudios'!K24)</f>
        <v>-</v>
      </c>
      <c r="H12" s="426" t="str">
        <f>IF('3.Plan de Estudios'!L24=0,"-",'3.Plan de Estudios'!L24)</f>
        <v>-</v>
      </c>
      <c r="I12" s="428" t="str">
        <f>IF('3.Plan de Estudios'!M24=0,"-",'3.Plan de Estudios'!M24)</f>
        <v>-</v>
      </c>
      <c r="J12" s="427" t="str">
        <f>IF('3.Plan de Estudios'!N24=0,"-",'3.Plan de Estudios'!N24)</f>
        <v>-</v>
      </c>
      <c r="K12" s="428" t="str">
        <f>IF('3.Plan de Estudios'!O24=0,"-",'3.Plan de Estudios'!O24)</f>
        <v>-</v>
      </c>
      <c r="L12" s="429" t="str">
        <f>IF('3.Plan de Estudios'!P24=0,"-",'3.Plan de Estudios'!P24)</f>
        <v>-</v>
      </c>
      <c r="M12" s="430" t="str">
        <f>IF('7.Sumillas'!G13=0,"",'7.Sumillas'!G13)</f>
        <v/>
      </c>
      <c r="N12" s="431"/>
      <c r="O12" s="431"/>
      <c r="P12" s="432" t="str">
        <f>CONCATENATE(CHAR(10),CONCATENATE('3.Plan de Estudios'!AA24,CHAR(10),'3.Plan de Estudios'!AC24,CHAR(10),'3.Plan de Estudios'!AE24,CHAR(10),'3.Plan de Estudios'!AG24,CHAR(10),'3.Plan de Estudios'!AI24))</f>
        <v xml:space="preserve">
</v>
      </c>
      <c r="Q12" s="431"/>
      <c r="R12" s="431"/>
      <c r="S12" s="431"/>
      <c r="T12" s="433" t="str">
        <f t="shared" si="0"/>
        <v>No Aplica</v>
      </c>
    </row>
    <row r="13" spans="2:20" ht="24" customHeight="1">
      <c r="B13" s="425">
        <f>IF('3.Plan de Estudios'!B25="","",'3.Plan de Estudios'!B25)</f>
        <v>1</v>
      </c>
      <c r="C13" s="425" t="str">
        <f>IF('3.Plan de Estudios'!C25="","",'3.Plan de Estudios'!C25)</f>
        <v/>
      </c>
      <c r="D13" s="435" t="str">
        <f>IF('3.Plan de Estudios'!E25="","",'3.Plan de Estudios'!E25)</f>
        <v/>
      </c>
      <c r="E13" s="426" t="str">
        <f>'3.Plan de Estudios'!I25</f>
        <v/>
      </c>
      <c r="F13" s="426" t="str">
        <f>IF('3.Plan de Estudios'!J25=0,"-",'3.Plan de Estudios'!J25)</f>
        <v>-</v>
      </c>
      <c r="G13" s="427" t="str">
        <f>IF('3.Plan de Estudios'!K25=0,"-",'3.Plan de Estudios'!K25)</f>
        <v>-</v>
      </c>
      <c r="H13" s="426" t="str">
        <f>IF('3.Plan de Estudios'!L25=0,"-",'3.Plan de Estudios'!L25)</f>
        <v>-</v>
      </c>
      <c r="I13" s="428" t="str">
        <f>IF('3.Plan de Estudios'!M25=0,"-",'3.Plan de Estudios'!M25)</f>
        <v>-</v>
      </c>
      <c r="J13" s="427" t="str">
        <f>IF('3.Plan de Estudios'!N25=0,"-",'3.Plan de Estudios'!N25)</f>
        <v>-</v>
      </c>
      <c r="K13" s="428" t="str">
        <f>IF('3.Plan de Estudios'!O25=0,"-",'3.Plan de Estudios'!O25)</f>
        <v>-</v>
      </c>
      <c r="L13" s="429" t="str">
        <f>IF('3.Plan de Estudios'!P25=0,"-",'3.Plan de Estudios'!P25)</f>
        <v>-</v>
      </c>
      <c r="M13" s="430" t="str">
        <f>IF('7.Sumillas'!G14=0,"",'7.Sumillas'!G14)</f>
        <v/>
      </c>
      <c r="N13" s="431"/>
      <c r="O13" s="431"/>
      <c r="P13" s="432" t="str">
        <f>CONCATENATE(CHAR(10),CONCATENATE('3.Plan de Estudios'!AA25,CHAR(10),'3.Plan de Estudios'!AC25,CHAR(10),'3.Plan de Estudios'!AE25,CHAR(10),'3.Plan de Estudios'!AG25,CHAR(10),'3.Plan de Estudios'!AI25))</f>
        <v xml:space="preserve">
</v>
      </c>
      <c r="Q13" s="431"/>
      <c r="R13" s="431"/>
      <c r="S13" s="431"/>
      <c r="T13" s="433" t="str">
        <f t="shared" si="0"/>
        <v>No Aplica</v>
      </c>
    </row>
    <row r="14" spans="2:20" ht="24" customHeight="1">
      <c r="B14" s="425">
        <f>IF('3.Plan de Estudios'!B26="","",'3.Plan de Estudios'!B26)</f>
        <v>1</v>
      </c>
      <c r="C14" s="425" t="str">
        <f>IF('3.Plan de Estudios'!C26="","",'3.Plan de Estudios'!C26)</f>
        <v/>
      </c>
      <c r="D14" s="435" t="str">
        <f>IF('3.Plan de Estudios'!E26="","",'3.Plan de Estudios'!E26)</f>
        <v/>
      </c>
      <c r="E14" s="426" t="str">
        <f>'3.Plan de Estudios'!I26</f>
        <v/>
      </c>
      <c r="F14" s="426" t="str">
        <f>IF('3.Plan de Estudios'!J26=0,"-",'3.Plan de Estudios'!J26)</f>
        <v>-</v>
      </c>
      <c r="G14" s="427" t="str">
        <f>IF('3.Plan de Estudios'!K26=0,"-",'3.Plan de Estudios'!K26)</f>
        <v>-</v>
      </c>
      <c r="H14" s="426" t="str">
        <f>IF('3.Plan de Estudios'!L26=0,"-",'3.Plan de Estudios'!L26)</f>
        <v>-</v>
      </c>
      <c r="I14" s="428" t="str">
        <f>IF('3.Plan de Estudios'!M26=0,"-",'3.Plan de Estudios'!M26)</f>
        <v>-</v>
      </c>
      <c r="J14" s="427" t="str">
        <f>IF('3.Plan de Estudios'!N26=0,"-",'3.Plan de Estudios'!N26)</f>
        <v>-</v>
      </c>
      <c r="K14" s="428" t="str">
        <f>IF('3.Plan de Estudios'!O26=0,"-",'3.Plan de Estudios'!O26)</f>
        <v>-</v>
      </c>
      <c r="L14" s="429" t="str">
        <f>IF('3.Plan de Estudios'!P26=0,"-",'3.Plan de Estudios'!P26)</f>
        <v>-</v>
      </c>
      <c r="M14" s="430" t="str">
        <f>IF('7.Sumillas'!G15=0,"",'7.Sumillas'!G15)</f>
        <v/>
      </c>
      <c r="N14" s="431"/>
      <c r="O14" s="431"/>
      <c r="P14" s="432" t="str">
        <f>CONCATENATE(CHAR(10),CONCATENATE('3.Plan de Estudios'!AA26,CHAR(10),'3.Plan de Estudios'!AC26,CHAR(10),'3.Plan de Estudios'!AE26,CHAR(10),'3.Plan de Estudios'!AG26,CHAR(10),'3.Plan de Estudios'!AI26))</f>
        <v xml:space="preserve">
</v>
      </c>
      <c r="Q14" s="431"/>
      <c r="R14" s="431"/>
      <c r="S14" s="431"/>
      <c r="T14" s="433" t="str">
        <f t="shared" si="0"/>
        <v>No Aplica</v>
      </c>
    </row>
    <row r="15" spans="2:20" ht="24" customHeight="1">
      <c r="B15" s="425">
        <f>IF('3.Plan de Estudios'!B27="","",'3.Plan de Estudios'!B27)</f>
        <v>1</v>
      </c>
      <c r="C15" s="425" t="str">
        <f>IF('3.Plan de Estudios'!C27="","",'3.Plan de Estudios'!C27)</f>
        <v/>
      </c>
      <c r="D15" s="435" t="str">
        <f>IF('3.Plan de Estudios'!E27="","",'3.Plan de Estudios'!E27)</f>
        <v/>
      </c>
      <c r="E15" s="426" t="str">
        <f>'3.Plan de Estudios'!I27</f>
        <v/>
      </c>
      <c r="F15" s="426" t="str">
        <f>IF('3.Plan de Estudios'!J27=0,"-",'3.Plan de Estudios'!J27)</f>
        <v>-</v>
      </c>
      <c r="G15" s="427" t="str">
        <f>IF('3.Plan de Estudios'!K27=0,"-",'3.Plan de Estudios'!K27)</f>
        <v>-</v>
      </c>
      <c r="H15" s="426" t="str">
        <f>IF('3.Plan de Estudios'!L27=0,"-",'3.Plan de Estudios'!L27)</f>
        <v>-</v>
      </c>
      <c r="I15" s="428" t="str">
        <f>IF('3.Plan de Estudios'!M27=0,"-",'3.Plan de Estudios'!M27)</f>
        <v>-</v>
      </c>
      <c r="J15" s="427" t="str">
        <f>IF('3.Plan de Estudios'!N27=0,"-",'3.Plan de Estudios'!N27)</f>
        <v>-</v>
      </c>
      <c r="K15" s="428" t="str">
        <f>IF('3.Plan de Estudios'!O27=0,"-",'3.Plan de Estudios'!O27)</f>
        <v>-</v>
      </c>
      <c r="L15" s="429" t="str">
        <f>IF('3.Plan de Estudios'!P27=0,"-",'3.Plan de Estudios'!P27)</f>
        <v>-</v>
      </c>
      <c r="M15" s="430" t="str">
        <f>IF('7.Sumillas'!G16=0,"",'7.Sumillas'!G16)</f>
        <v/>
      </c>
      <c r="N15" s="431"/>
      <c r="O15" s="431"/>
      <c r="P15" s="432" t="str">
        <f>CONCATENATE(CHAR(10),CONCATENATE('3.Plan de Estudios'!AA27,CHAR(10),'3.Plan de Estudios'!AC27,CHAR(10),'3.Plan de Estudios'!AE27,CHAR(10),'3.Plan de Estudios'!AG27,CHAR(10),'3.Plan de Estudios'!AI27))</f>
        <v xml:space="preserve">
</v>
      </c>
      <c r="Q15" s="431"/>
      <c r="R15" s="431"/>
      <c r="S15" s="431"/>
      <c r="T15" s="433" t="str">
        <f t="shared" si="0"/>
        <v>No Aplica</v>
      </c>
    </row>
    <row r="16" spans="2:20" ht="24" customHeight="1">
      <c r="B16" s="425">
        <f>IF('3.Plan de Estudios'!B28="","",'3.Plan de Estudios'!B28)</f>
        <v>1</v>
      </c>
      <c r="C16" s="425" t="str">
        <f>IF('3.Plan de Estudios'!C28="","",'3.Plan de Estudios'!C28)</f>
        <v/>
      </c>
      <c r="D16" s="435" t="str">
        <f>IF('3.Plan de Estudios'!E28="","",'3.Plan de Estudios'!E28)</f>
        <v/>
      </c>
      <c r="E16" s="426" t="str">
        <f>'3.Plan de Estudios'!I28</f>
        <v/>
      </c>
      <c r="F16" s="426" t="str">
        <f>IF('3.Plan de Estudios'!J28=0,"-",'3.Plan de Estudios'!J28)</f>
        <v>-</v>
      </c>
      <c r="G16" s="427" t="str">
        <f>IF('3.Plan de Estudios'!K28=0,"-",'3.Plan de Estudios'!K28)</f>
        <v>-</v>
      </c>
      <c r="H16" s="426" t="str">
        <f>IF('3.Plan de Estudios'!L28=0,"-",'3.Plan de Estudios'!L28)</f>
        <v>-</v>
      </c>
      <c r="I16" s="428" t="str">
        <f>IF('3.Plan de Estudios'!M28=0,"-",'3.Plan de Estudios'!M28)</f>
        <v>-</v>
      </c>
      <c r="J16" s="427" t="str">
        <f>IF('3.Plan de Estudios'!N28=0,"-",'3.Plan de Estudios'!N28)</f>
        <v>-</v>
      </c>
      <c r="K16" s="428" t="str">
        <f>IF('3.Plan de Estudios'!O28=0,"-",'3.Plan de Estudios'!O28)</f>
        <v>-</v>
      </c>
      <c r="L16" s="429" t="str">
        <f>IF('3.Plan de Estudios'!P28=0,"-",'3.Plan de Estudios'!P28)</f>
        <v>-</v>
      </c>
      <c r="M16" s="430" t="str">
        <f>IF('7.Sumillas'!G17=0,"",'7.Sumillas'!G17)</f>
        <v/>
      </c>
      <c r="N16" s="431"/>
      <c r="O16" s="431"/>
      <c r="P16" s="432" t="str">
        <f>CONCATENATE(CHAR(10),CONCATENATE('3.Plan de Estudios'!AA28,CHAR(10),'3.Plan de Estudios'!AC28,CHAR(10),'3.Plan de Estudios'!AE28,CHAR(10),'3.Plan de Estudios'!AG28,CHAR(10),'3.Plan de Estudios'!AI28))</f>
        <v xml:space="preserve">
</v>
      </c>
      <c r="Q16" s="431"/>
      <c r="R16" s="431"/>
      <c r="S16" s="431"/>
      <c r="T16" s="433" t="str">
        <f t="shared" si="0"/>
        <v>No Aplica</v>
      </c>
    </row>
    <row r="17" spans="2:20" ht="24" customHeight="1">
      <c r="B17" s="425">
        <f>IF('3.Plan de Estudios'!B30="","",'3.Plan de Estudios'!B30)</f>
        <v>2</v>
      </c>
      <c r="C17" s="425" t="str">
        <f>IF('3.Plan de Estudios'!C30="","",'3.Plan de Estudios'!C30)</f>
        <v>EDG52030</v>
      </c>
      <c r="D17" s="435" t="str">
        <f>IF('3.Plan de Estudios'!E30="","",'3.Plan de Estudios'!E30)</f>
        <v>CULTURA POLÍTICA Y REALIDAD DE LA EDUCACIÓN PERUANA</v>
      </c>
      <c r="E17" s="426" t="str">
        <f>'3.Plan de Estudios'!I30</f>
        <v>Presencial</v>
      </c>
      <c r="F17" s="426">
        <f>IF('3.Plan de Estudios'!J30=0,"-",'3.Plan de Estudios'!J30)</f>
        <v>32</v>
      </c>
      <c r="G17" s="427" t="str">
        <f>IF('3.Plan de Estudios'!K30=0,"-",'3.Plan de Estudios'!K30)</f>
        <v>-</v>
      </c>
      <c r="H17" s="426" t="str">
        <f>IF('3.Plan de Estudios'!L30=0,"-",'3.Plan de Estudios'!L30)</f>
        <v>-</v>
      </c>
      <c r="I17" s="428" t="str">
        <f>IF('3.Plan de Estudios'!M30=0,"-",'3.Plan de Estudios'!M30)</f>
        <v>-</v>
      </c>
      <c r="J17" s="427" t="str">
        <f>IF('3.Plan de Estudios'!N30=0,"-",'3.Plan de Estudios'!N30)</f>
        <v>-</v>
      </c>
      <c r="K17" s="428" t="str">
        <f>IF('3.Plan de Estudios'!O30=0,"-",'3.Plan de Estudios'!O30)</f>
        <v>-</v>
      </c>
      <c r="L17" s="429">
        <f>IF('3.Plan de Estudios'!P30=0,"-",'3.Plan de Estudios'!P30)</f>
        <v>2</v>
      </c>
      <c r="M17" s="430" t="str">
        <f>IF('7.Sumillas'!G18=0,"",'7.Sumillas'!G18)</f>
        <v>Cultura Política y Realidad de la Educación Peruana, es una asignatura de formación especializada de naturaleza teórica. Tributa a la competencia Desarrollo enseñanza y aprendizaje.  Comprende el desarrollo de los siguientes ejes temáticos: La educación como parte de la identidad de un pueblo y los cambios políticos y la obligatoriedad de la educación. El producto acreditable consiste en un informe del análisis sobre la importancia de la Educación Humanística en el desarrollo del ejercicio de la docencia en el Perú.</v>
      </c>
      <c r="N17" s="431"/>
      <c r="O17" s="431"/>
      <c r="P17" s="432" t="str">
        <f>CONCATENATE(CHAR(10),CONCATENATE('3.Plan de Estudios'!AA30,CHAR(10),'3.Plan de Estudios'!AC30,CHAR(10),'3.Plan de Estudios'!AE30,CHAR(10),'3.Plan de Estudios'!AG30,CHAR(10),'3.Plan de Estudios'!AI30))</f>
        <v xml:space="preserve">
CP3: Desarrollo enseñanza y aprendizaje:N1 Promueve el desarrollo de la identidad del maestro para acrecentar el aprendizaje de los alumnos.
</v>
      </c>
      <c r="Q17" s="431"/>
      <c r="R17" s="431"/>
      <c r="S17" s="431"/>
      <c r="T17" s="433" t="str">
        <f t="shared" si="0"/>
        <v>No Aplica</v>
      </c>
    </row>
    <row r="18" spans="2:20" ht="24" customHeight="1">
      <c r="B18" s="425">
        <f>IF('3.Plan de Estudios'!B31="","",'3.Plan de Estudios'!B31)</f>
        <v>2</v>
      </c>
      <c r="C18" s="425" t="str">
        <f>IF('3.Plan de Estudios'!C31="","",'3.Plan de Estudios'!C31)</f>
        <v>ENG42005</v>
      </c>
      <c r="D18" s="435" t="str">
        <f>IF('3.Plan de Estudios'!E31="","",'3.Plan de Estudios'!E31)</f>
        <v>ENGLISH II</v>
      </c>
      <c r="E18" s="426" t="str">
        <f>'3.Plan de Estudios'!I31</f>
        <v>Presencial</v>
      </c>
      <c r="F18" s="426">
        <f>IF('3.Plan de Estudios'!J31=0,"-",'3.Plan de Estudios'!J31)</f>
        <v>36</v>
      </c>
      <c r="G18" s="427" t="str">
        <f>IF('3.Plan de Estudios'!K31=0,"-",'3.Plan de Estudios'!K31)</f>
        <v>-</v>
      </c>
      <c r="H18" s="426">
        <f>IF('3.Plan de Estudios'!L31=0,"-",'3.Plan de Estudios'!L31)</f>
        <v>56</v>
      </c>
      <c r="I18" s="428" t="str">
        <f>IF('3.Plan de Estudios'!M31=0,"-",'3.Plan de Estudios'!M31)</f>
        <v>-</v>
      </c>
      <c r="J18" s="427" t="str">
        <f>IF('3.Plan de Estudios'!N31=0,"-",'3.Plan de Estudios'!N31)</f>
        <v>-</v>
      </c>
      <c r="K18" s="428" t="str">
        <f>IF('3.Plan de Estudios'!O31=0,"-",'3.Plan de Estudios'!O31)</f>
        <v>-</v>
      </c>
      <c r="L18" s="429">
        <f>IF('3.Plan de Estudios'!P31=0,"-",'3.Plan de Estudios'!P31)</f>
        <v>4</v>
      </c>
      <c r="M18" s="430" t="str">
        <f>IF('7.Sumillas'!G19=0,"",'7.Sumillas'!G19)</f>
        <v>English II, es un curso que pertenece al área formativa de estudios específicos, tiene carácter teórico-práctico, y tributa a la competencia de comunicación bilingüe. Contribuye al desarrollo de la competencia comunicativa, nivel A2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N18" s="431"/>
      <c r="O18" s="431"/>
      <c r="P18" s="432" t="str">
        <f>CONCATENATE(CHAR(10),CONCATENATE('3.Plan de Estudios'!AA31,CHAR(10),'3.Plan de Estudios'!AC31,CHAR(10),'3.Plan de Estudios'!AE31,CHAR(10),'3.Plan de Estudios'!AG31,CHAR(10),'3.Plan de Estudios'!AI31))</f>
        <v xml:space="preserve">
CG2: Comunicación Bilingüe:N1 Aplica las competencias correspondientes al nivel A2 según los estándares del Marco de Referencia de la Comunidad Europea (CEFR).
</v>
      </c>
      <c r="Q18" s="431"/>
      <c r="R18" s="431"/>
      <c r="S18" s="431"/>
      <c r="T18" s="433" t="str">
        <f t="shared" si="0"/>
        <v>No Aplica</v>
      </c>
    </row>
    <row r="19" spans="2:20" ht="24" customHeight="1">
      <c r="B19" s="425">
        <f>IF('3.Plan de Estudios'!B32="","",'3.Plan de Estudios'!B32)</f>
        <v>2</v>
      </c>
      <c r="C19" s="425" t="str">
        <f>IF('3.Plan de Estudios'!C32="","",'3.Plan de Estudios'!C32)</f>
        <v>EDG51016</v>
      </c>
      <c r="D19" s="435" t="str">
        <f>IF('3.Plan de Estudios'!E32="","",'3.Plan de Estudios'!E32)</f>
        <v>HISTORIA Y FILOSOFÍA DE LA EDUCACIÓN</v>
      </c>
      <c r="E19" s="426" t="str">
        <f>'3.Plan de Estudios'!I32</f>
        <v>Presencial</v>
      </c>
      <c r="F19" s="426">
        <f>IF('3.Plan de Estudios'!J32=0,"-",'3.Plan de Estudios'!J32)</f>
        <v>64</v>
      </c>
      <c r="G19" s="427" t="str">
        <f>IF('3.Plan de Estudios'!K32=0,"-",'3.Plan de Estudios'!K32)</f>
        <v>-</v>
      </c>
      <c r="H19" s="426" t="str">
        <f>IF('3.Plan de Estudios'!L32=0,"-",'3.Plan de Estudios'!L32)</f>
        <v>-</v>
      </c>
      <c r="I19" s="428" t="str">
        <f>IF('3.Plan de Estudios'!M32=0,"-",'3.Plan de Estudios'!M32)</f>
        <v>-</v>
      </c>
      <c r="J19" s="427" t="str">
        <f>IF('3.Plan de Estudios'!N32=0,"-",'3.Plan de Estudios'!N32)</f>
        <v>-</v>
      </c>
      <c r="K19" s="428" t="str">
        <f>IF('3.Plan de Estudios'!O32=0,"-",'3.Plan de Estudios'!O32)</f>
        <v>-</v>
      </c>
      <c r="L19" s="429">
        <f>IF('3.Plan de Estudios'!P32=0,"-",'3.Plan de Estudios'!P32)</f>
        <v>4</v>
      </c>
      <c r="M19" s="430" t="str">
        <f>IF('7.Sumillas'!G20=0,"",'7.Sumillas'!G20)</f>
        <v>Historia y Filosofía de la Educación pertenece al área de formación especializada, es de naturaleza teórico; esta asignatura tributa a la competencia de Orientación Educativa. Asimismo, el nivel por alcanzar será de elaboración de textos académicos escritos y comunicaciones orales con una estructura básica para exponer con eficiencia sus ideas en un entorno académico y/o social y establecer las orientaciones fundamentales del sentido educativo en los docentes y los alumnos. . Comprende los siguientes ejes temáticos:  Marco teórico y filosófico de la educación, las dimensiones constitutivas del hombre, el problema de las valoraciones humanas y la dimensión deontológica como factor de desarrollo profesional. Su producto acreditable consiste en la elaboración de un informe crítico referido a las posturas filosóficas orientadas a la educación y su impacto en el quehacer educativo de nuestra nación.</v>
      </c>
      <c r="N19" s="431"/>
      <c r="O19" s="431"/>
      <c r="P19" s="432" t="str">
        <f>CONCATENATE(CHAR(10),CONCATENATE('3.Plan de Estudios'!AA32,CHAR(10),'3.Plan de Estudios'!AC32,CHAR(10),'3.Plan de Estudios'!AE32,CHAR(10),'3.Plan de Estudios'!AG32,CHAR(10),'3.Plan de Estudios'!AI32))</f>
        <v xml:space="preserve">
CP1: Orientación educativa:N1 Establece las orientaciones fundamentales del sentido educativo en los docentes y los alumnos. 
</v>
      </c>
      <c r="Q19" s="431"/>
      <c r="R19" s="431"/>
      <c r="S19" s="431"/>
      <c r="T19" s="433" t="str">
        <f t="shared" si="0"/>
        <v>No Aplica</v>
      </c>
    </row>
    <row r="20" spans="2:20" ht="24" customHeight="1">
      <c r="B20" s="425">
        <f>IF('3.Plan de Estudios'!B33="","",'3.Plan de Estudios'!B33)</f>
        <v>2</v>
      </c>
      <c r="C20" s="425" t="str">
        <f>IF('3.Plan de Estudios'!C33="","",'3.Plan de Estudios'!C33)</f>
        <v>COM42009</v>
      </c>
      <c r="D20" s="435" t="str">
        <f>IF('3.Plan de Estudios'!E33="","",'3.Plan de Estudios'!E33)</f>
        <v>LENGUAJE II</v>
      </c>
      <c r="E20" s="426" t="str">
        <f>'3.Plan de Estudios'!I33</f>
        <v>Presencial</v>
      </c>
      <c r="F20" s="426">
        <f>IF('3.Plan de Estudios'!J33=0,"-",'3.Plan de Estudios'!J33)</f>
        <v>64</v>
      </c>
      <c r="G20" s="427" t="str">
        <f>IF('3.Plan de Estudios'!K33=0,"-",'3.Plan de Estudios'!K33)</f>
        <v>-</v>
      </c>
      <c r="H20" s="426" t="str">
        <f>IF('3.Plan de Estudios'!L33=0,"-",'3.Plan de Estudios'!L33)</f>
        <v>-</v>
      </c>
      <c r="I20" s="428" t="str">
        <f>IF('3.Plan de Estudios'!M33=0,"-",'3.Plan de Estudios'!M33)</f>
        <v>-</v>
      </c>
      <c r="J20" s="427" t="str">
        <f>IF('3.Plan de Estudios'!N33=0,"-",'3.Plan de Estudios'!N33)</f>
        <v>-</v>
      </c>
      <c r="K20" s="428" t="str">
        <f>IF('3.Plan de Estudios'!O33=0,"-",'3.Plan de Estudios'!O33)</f>
        <v>-</v>
      </c>
      <c r="L20" s="429">
        <f>IF('3.Plan de Estudios'!P33=0,"-",'3.Plan de Estudios'!P33)</f>
        <v>4</v>
      </c>
      <c r="M20" s="430" t="str">
        <f>IF('7.Sumillas'!G21=0,"",'7.Sumillas'!G21)</f>
        <v>Lenguaje II pertenece a los cursos de estudios generales. La asignatura es de naturaleza teórico y tiene como propósito optimizar las habilidades lingüísticas para el logro de la competencia de comunicación integral a través de la comprensión y producción de textos escritos y orales donde se desarrolla la actitud crítica frente a la sociedad y su entorno. La estructura temática de esta materia está constituida por dos ejes importantes: la producción de textos argumentativos y el análisis de textos poéticos. El producto acreditable es un proyecto de redacción y sustentación oral de un escrito académico donde se enfatizan los tópicos de composición textual argumentativa.</v>
      </c>
      <c r="N20" s="431"/>
      <c r="O20" s="431"/>
      <c r="P20" s="432" t="str">
        <f>CONCATENATE(CHAR(10),CONCATENATE('3.Plan de Estudios'!AA33,CHAR(10),'3.Plan de Estudios'!AC33,CHAR(10),'3.Plan de Estudios'!AE33,CHAR(10),'3.Plan de Estudios'!AG33,CHAR(10),'3.Plan de Estudios'!AI33))</f>
        <v xml:space="preserve">
CG1: Comunicación Integral:N1 Elabora textos académicos escritos y comunicaciones orales con una estructura básica para exponer con eficiencia sus ideas en un entorno académico y/o social.
</v>
      </c>
      <c r="Q20" s="431"/>
      <c r="R20" s="431"/>
      <c r="S20" s="431"/>
      <c r="T20" s="433" t="str">
        <f t="shared" si="0"/>
        <v>No Aplica</v>
      </c>
    </row>
    <row r="21" spans="2:20" ht="24" customHeight="1">
      <c r="B21" s="425">
        <f>IF('3.Plan de Estudios'!B34="","",'3.Plan de Estudios'!B34)</f>
        <v>2</v>
      </c>
      <c r="C21" s="425" t="str">
        <f>IF('3.Plan de Estudios'!C34="","",'3.Plan de Estudios'!C34)</f>
        <v>MAR52008</v>
      </c>
      <c r="D21" s="435" t="str">
        <f>IF('3.Plan de Estudios'!E34="","",'3.Plan de Estudios'!E34)</f>
        <v>MARKETING</v>
      </c>
      <c r="E21" s="426" t="str">
        <f>'3.Plan de Estudios'!I34</f>
        <v>Presencial</v>
      </c>
      <c r="F21" s="426">
        <f>IF('3.Plan de Estudios'!J34=0,"-",'3.Plan de Estudios'!J34)</f>
        <v>64</v>
      </c>
      <c r="G21" s="427" t="str">
        <f>IF('3.Plan de Estudios'!K34=0,"-",'3.Plan de Estudios'!K34)</f>
        <v>-</v>
      </c>
      <c r="H21" s="426" t="str">
        <f>IF('3.Plan de Estudios'!L34=0,"-",'3.Plan de Estudios'!L34)</f>
        <v>-</v>
      </c>
      <c r="I21" s="428" t="str">
        <f>IF('3.Plan de Estudios'!M34=0,"-",'3.Plan de Estudios'!M34)</f>
        <v>-</v>
      </c>
      <c r="J21" s="427" t="str">
        <f>IF('3.Plan de Estudios'!N34=0,"-",'3.Plan de Estudios'!N34)</f>
        <v>-</v>
      </c>
      <c r="K21" s="428" t="str">
        <f>IF('3.Plan de Estudios'!O34=0,"-",'3.Plan de Estudios'!O34)</f>
        <v>-</v>
      </c>
      <c r="L21" s="429">
        <f>IF('3.Plan de Estudios'!P34=0,"-",'3.Plan de Estudios'!P34)</f>
        <v>4</v>
      </c>
      <c r="M21" s="430" t="str">
        <f>IF('7.Sumillas'!G22=0,"",'7.Sumillas'!G22)</f>
        <v>Marketing es una asignatura específica, de naturaleza teórico, contribuye al desarrollo de la competencia general de gestión de recursos, mediante la elaboración de un documento de un proyecto de estrategias de marketing. Comprende el desarrollo de los siguientes ejes temáticos: conceptos fundamentales de marketing, la segmentación e investigación de mercados, tópicos de posicionamiento y comportamiento del consumidor; así como el análisis del mix de marketing: producto, precio, plaza y promoción. El producto acreditable de la asignatura es un informe de un proyecto de estrategias de marketing.</v>
      </c>
      <c r="N21" s="431"/>
      <c r="O21" s="431"/>
      <c r="P21" s="432" t="str">
        <f>CONCATENATE(CHAR(10),CONCATENATE('3.Plan de Estudios'!AA34,CHAR(10),'3.Plan de Estudios'!AC34,CHAR(10),'3.Plan de Estudios'!AE34,CHAR(10),'3.Plan de Estudios'!AG34,CHAR(10),'3.Plan de Estudios'!AI34))</f>
        <v xml:space="preserve">
CG4: Gestión de Recursos:N1 Reconoce la teoría de gestión y sus componentes de manera aplicada para comprender la lógica empresarial.
</v>
      </c>
      <c r="Q21" s="431"/>
      <c r="R21" s="431"/>
      <c r="S21" s="431"/>
      <c r="T21" s="433" t="str">
        <f t="shared" si="0"/>
        <v>No Aplica</v>
      </c>
    </row>
    <row r="22" spans="2:20" ht="24" customHeight="1">
      <c r="B22" s="425">
        <f>IF('3.Plan de Estudios'!B35="","",'3.Plan de Estudios'!B35)</f>
        <v>2</v>
      </c>
      <c r="C22" s="425" t="str">
        <f>IF('3.Plan de Estudios'!C35="","",'3.Plan de Estudios'!C35)</f>
        <v>PSI51020</v>
      </c>
      <c r="D22" s="435" t="str">
        <f>IF('3.Plan de Estudios'!E35="","",'3.Plan de Estudios'!E35)</f>
        <v>PSICOLOGÍA GENERAL</v>
      </c>
      <c r="E22" s="426" t="str">
        <f>'3.Plan de Estudios'!I35</f>
        <v>Presencial</v>
      </c>
      <c r="F22" s="426">
        <f>IF('3.Plan de Estudios'!J35=0,"-",'3.Plan de Estudios'!J35)</f>
        <v>32</v>
      </c>
      <c r="G22" s="427" t="str">
        <f>IF('3.Plan de Estudios'!K35=0,"-",'3.Plan de Estudios'!K35)</f>
        <v>-</v>
      </c>
      <c r="H22" s="426" t="str">
        <f>IF('3.Plan de Estudios'!L35=0,"-",'3.Plan de Estudios'!L35)</f>
        <v>-</v>
      </c>
      <c r="I22" s="428" t="str">
        <f>IF('3.Plan de Estudios'!M35=0,"-",'3.Plan de Estudios'!M35)</f>
        <v>-</v>
      </c>
      <c r="J22" s="427" t="str">
        <f>IF('3.Plan de Estudios'!N35=0,"-",'3.Plan de Estudios'!N35)</f>
        <v>-</v>
      </c>
      <c r="K22" s="428" t="str">
        <f>IF('3.Plan de Estudios'!O35=0,"-",'3.Plan de Estudios'!O35)</f>
        <v>-</v>
      </c>
      <c r="L22" s="429">
        <f>IF('3.Plan de Estudios'!P35=0,"-",'3.Plan de Estudios'!P35)</f>
        <v>2</v>
      </c>
      <c r="M22" s="430" t="str">
        <f>IF('7.Sumillas'!G23=0,"",'7.Sumillas'!G23)</f>
        <v>Psicología General es una asignatura de formación especializada de carácter teórico-práctico que contribuye al desarrollo de la competencia de orientación educativa. El nivel por alcanzar se logrará estableciendo las orientaciones fundamentales del sentido educativo en los docentes y los alumnos.  Comprende el desarrollo de los siguientes ejes temáticos: bases filosóficas, evolución histórica, teorías y representantes puestas al servicio de la educación. El producto acreditable de la asignatura es la entrega de un informe de trabajo de investigación que se encuentre orientado al análisis y fundamentación del contenido teórico de la psicología y su aplicación en el campo pedagógico.</v>
      </c>
      <c r="N22" s="431"/>
      <c r="O22" s="431"/>
      <c r="P22" s="432" t="str">
        <f>CONCATENATE(CHAR(10),CONCATENATE('3.Plan de Estudios'!AA35,CHAR(10),'3.Plan de Estudios'!AC35,CHAR(10),'3.Plan de Estudios'!AE35,CHAR(10),'3.Plan de Estudios'!AG35,CHAR(10),'3.Plan de Estudios'!AI35))</f>
        <v xml:space="preserve">
CP1: Orientación educativa:N1 Establece las orientaciones fundamentales del sentido educativo en los docentes y los alumnos. 
</v>
      </c>
      <c r="Q22" s="431"/>
      <c r="R22" s="431"/>
      <c r="S22" s="431"/>
      <c r="T22" s="433" t="str">
        <f t="shared" si="0"/>
        <v>No Aplica</v>
      </c>
    </row>
    <row r="23" spans="2:20" ht="24" customHeight="1">
      <c r="B23" s="425">
        <f>IF('3.Plan de Estudios'!B36="","",'3.Plan de Estudios'!B36)</f>
        <v>2</v>
      </c>
      <c r="C23" s="425" t="str">
        <f>IF('3.Plan de Estudios'!C36="","",'3.Plan de Estudios'!C36)</f>
        <v/>
      </c>
      <c r="D23" s="435" t="str">
        <f>IF('3.Plan de Estudios'!E36="","",'3.Plan de Estudios'!E36)</f>
        <v/>
      </c>
      <c r="E23" s="426" t="str">
        <f>'3.Plan de Estudios'!I36</f>
        <v/>
      </c>
      <c r="F23" s="426" t="str">
        <f>IF('3.Plan de Estudios'!J36=0,"-",'3.Plan de Estudios'!J36)</f>
        <v>-</v>
      </c>
      <c r="G23" s="427" t="str">
        <f>IF('3.Plan de Estudios'!K36=0,"-",'3.Plan de Estudios'!K36)</f>
        <v>-</v>
      </c>
      <c r="H23" s="426" t="str">
        <f>IF('3.Plan de Estudios'!L36=0,"-",'3.Plan de Estudios'!L36)</f>
        <v>-</v>
      </c>
      <c r="I23" s="428" t="str">
        <f>IF('3.Plan de Estudios'!M36=0,"-",'3.Plan de Estudios'!M36)</f>
        <v>-</v>
      </c>
      <c r="J23" s="427" t="str">
        <f>IF('3.Plan de Estudios'!N36=0,"-",'3.Plan de Estudios'!N36)</f>
        <v>-</v>
      </c>
      <c r="K23" s="428" t="str">
        <f>IF('3.Plan de Estudios'!O36=0,"-",'3.Plan de Estudios'!O36)</f>
        <v>-</v>
      </c>
      <c r="L23" s="429" t="str">
        <f>IF('3.Plan de Estudios'!P36=0,"-",'3.Plan de Estudios'!P36)</f>
        <v>-</v>
      </c>
      <c r="M23" s="430" t="str">
        <f>IF('7.Sumillas'!G24=0,"",'7.Sumillas'!G24)</f>
        <v/>
      </c>
      <c r="N23" s="431"/>
      <c r="O23" s="431"/>
      <c r="P23" s="432" t="str">
        <f>CONCATENATE(CHAR(10),CONCATENATE('3.Plan de Estudios'!AA36,CHAR(10),'3.Plan de Estudios'!AC36,CHAR(10),'3.Plan de Estudios'!AE36,CHAR(10),'3.Plan de Estudios'!AG36,CHAR(10),'3.Plan de Estudios'!AI36))</f>
        <v xml:space="preserve">
</v>
      </c>
      <c r="Q23" s="431"/>
      <c r="R23" s="431"/>
      <c r="S23" s="431"/>
      <c r="T23" s="433" t="str">
        <f t="shared" si="0"/>
        <v>No Aplica</v>
      </c>
    </row>
    <row r="24" spans="2:20" ht="24" customHeight="1">
      <c r="B24" s="425">
        <f>IF('3.Plan de Estudios'!B37="","",'3.Plan de Estudios'!B37)</f>
        <v>2</v>
      </c>
      <c r="C24" s="425" t="str">
        <f>IF('3.Plan de Estudios'!C37="","",'3.Plan de Estudios'!C37)</f>
        <v/>
      </c>
      <c r="D24" s="435" t="str">
        <f>IF('3.Plan de Estudios'!E37="","",'3.Plan de Estudios'!E37)</f>
        <v/>
      </c>
      <c r="E24" s="426" t="str">
        <f>'3.Plan de Estudios'!I37</f>
        <v/>
      </c>
      <c r="F24" s="426" t="str">
        <f>IF('3.Plan de Estudios'!J37=0,"-",'3.Plan de Estudios'!J37)</f>
        <v>-</v>
      </c>
      <c r="G24" s="427" t="str">
        <f>IF('3.Plan de Estudios'!K37=0,"-",'3.Plan de Estudios'!K37)</f>
        <v>-</v>
      </c>
      <c r="H24" s="426" t="str">
        <f>IF('3.Plan de Estudios'!L37=0,"-",'3.Plan de Estudios'!L37)</f>
        <v>-</v>
      </c>
      <c r="I24" s="428" t="str">
        <f>IF('3.Plan de Estudios'!M37=0,"-",'3.Plan de Estudios'!M37)</f>
        <v>-</v>
      </c>
      <c r="J24" s="427" t="str">
        <f>IF('3.Plan de Estudios'!N37=0,"-",'3.Plan de Estudios'!N37)</f>
        <v>-</v>
      </c>
      <c r="K24" s="428" t="str">
        <f>IF('3.Plan de Estudios'!O37=0,"-",'3.Plan de Estudios'!O37)</f>
        <v>-</v>
      </c>
      <c r="L24" s="429" t="str">
        <f>IF('3.Plan de Estudios'!P37=0,"-",'3.Plan de Estudios'!P37)</f>
        <v>-</v>
      </c>
      <c r="M24" s="430" t="str">
        <f>IF('7.Sumillas'!G25=0,"",'7.Sumillas'!G25)</f>
        <v/>
      </c>
      <c r="N24" s="431"/>
      <c r="O24" s="431"/>
      <c r="P24" s="432" t="str">
        <f>CONCATENATE(CHAR(10),CONCATENATE('3.Plan de Estudios'!AA37,CHAR(10),'3.Plan de Estudios'!AC37,CHAR(10),'3.Plan de Estudios'!AE37,CHAR(10),'3.Plan de Estudios'!AG37,CHAR(10),'3.Plan de Estudios'!AI37))</f>
        <v xml:space="preserve">
</v>
      </c>
      <c r="Q24" s="431"/>
      <c r="R24" s="431"/>
      <c r="S24" s="431"/>
      <c r="T24" s="433" t="str">
        <f t="shared" si="0"/>
        <v>No Aplica</v>
      </c>
    </row>
    <row r="25" spans="2:20" ht="24" customHeight="1">
      <c r="B25" s="425">
        <f>IF('3.Plan de Estudios'!B38="","",'3.Plan de Estudios'!B38)</f>
        <v>2</v>
      </c>
      <c r="C25" s="425" t="str">
        <f>IF('3.Plan de Estudios'!C38="","",'3.Plan de Estudios'!C38)</f>
        <v/>
      </c>
      <c r="D25" s="435" t="str">
        <f>IF('3.Plan de Estudios'!E38="","",'3.Plan de Estudios'!E38)</f>
        <v/>
      </c>
      <c r="E25" s="426" t="str">
        <f>'3.Plan de Estudios'!I38</f>
        <v/>
      </c>
      <c r="F25" s="426" t="str">
        <f>IF('3.Plan de Estudios'!J38=0,"-",'3.Plan de Estudios'!J38)</f>
        <v>-</v>
      </c>
      <c r="G25" s="427" t="str">
        <f>IF('3.Plan de Estudios'!K38=0,"-",'3.Plan de Estudios'!K38)</f>
        <v>-</v>
      </c>
      <c r="H25" s="426" t="str">
        <f>IF('3.Plan de Estudios'!L38=0,"-",'3.Plan de Estudios'!L38)</f>
        <v>-</v>
      </c>
      <c r="I25" s="428" t="str">
        <f>IF('3.Plan de Estudios'!M38=0,"-",'3.Plan de Estudios'!M38)</f>
        <v>-</v>
      </c>
      <c r="J25" s="427" t="str">
        <f>IF('3.Plan de Estudios'!N38=0,"-",'3.Plan de Estudios'!N38)</f>
        <v>-</v>
      </c>
      <c r="K25" s="428" t="str">
        <f>IF('3.Plan de Estudios'!O38=0,"-",'3.Plan de Estudios'!O38)</f>
        <v>-</v>
      </c>
      <c r="L25" s="429" t="str">
        <f>IF('3.Plan de Estudios'!P38=0,"-",'3.Plan de Estudios'!P38)</f>
        <v>-</v>
      </c>
      <c r="M25" s="430" t="str">
        <f>IF('7.Sumillas'!G26=0,"",'7.Sumillas'!G26)</f>
        <v/>
      </c>
      <c r="N25" s="431"/>
      <c r="O25" s="431"/>
      <c r="P25" s="432" t="str">
        <f>CONCATENATE(CHAR(10),CONCATENATE('3.Plan de Estudios'!AA38,CHAR(10),'3.Plan de Estudios'!AC38,CHAR(10),'3.Plan de Estudios'!AE38,CHAR(10),'3.Plan de Estudios'!AG38,CHAR(10),'3.Plan de Estudios'!AI38))</f>
        <v xml:space="preserve">
</v>
      </c>
      <c r="Q25" s="431"/>
      <c r="R25" s="431"/>
      <c r="S25" s="431"/>
      <c r="T25" s="433" t="str">
        <f t="shared" si="0"/>
        <v>No Aplica</v>
      </c>
    </row>
    <row r="26" spans="2:20" ht="24" customHeight="1">
      <c r="B26" s="425">
        <f>IF('3.Plan de Estudios'!B39="","",'3.Plan de Estudios'!B39)</f>
        <v>2</v>
      </c>
      <c r="C26" s="425" t="str">
        <f>IF('3.Plan de Estudios'!C39="","",'3.Plan de Estudios'!C39)</f>
        <v/>
      </c>
      <c r="D26" s="435" t="str">
        <f>IF('3.Plan de Estudios'!E39="","",'3.Plan de Estudios'!E39)</f>
        <v/>
      </c>
      <c r="E26" s="426" t="str">
        <f>'3.Plan de Estudios'!I39</f>
        <v/>
      </c>
      <c r="F26" s="426" t="str">
        <f>IF('3.Plan de Estudios'!J39=0,"-",'3.Plan de Estudios'!J39)</f>
        <v>-</v>
      </c>
      <c r="G26" s="427" t="str">
        <f>IF('3.Plan de Estudios'!K39=0,"-",'3.Plan de Estudios'!K39)</f>
        <v>-</v>
      </c>
      <c r="H26" s="426" t="str">
        <f>IF('3.Plan de Estudios'!L39=0,"-",'3.Plan de Estudios'!L39)</f>
        <v>-</v>
      </c>
      <c r="I26" s="428" t="str">
        <f>IF('3.Plan de Estudios'!M39=0,"-",'3.Plan de Estudios'!M39)</f>
        <v>-</v>
      </c>
      <c r="J26" s="427" t="str">
        <f>IF('3.Plan de Estudios'!N39=0,"-",'3.Plan de Estudios'!N39)</f>
        <v>-</v>
      </c>
      <c r="K26" s="428" t="str">
        <f>IF('3.Plan de Estudios'!O39=0,"-",'3.Plan de Estudios'!O39)</f>
        <v>-</v>
      </c>
      <c r="L26" s="429" t="str">
        <f>IF('3.Plan de Estudios'!P39=0,"-",'3.Plan de Estudios'!P39)</f>
        <v>-</v>
      </c>
      <c r="M26" s="430" t="str">
        <f>IF('7.Sumillas'!G27=0,"",'7.Sumillas'!G27)</f>
        <v/>
      </c>
      <c r="N26" s="431"/>
      <c r="O26" s="431"/>
      <c r="P26" s="432" t="str">
        <f>CONCATENATE(CHAR(10),CONCATENATE('3.Plan de Estudios'!AA39,CHAR(10),'3.Plan de Estudios'!AC39,CHAR(10),'3.Plan de Estudios'!AE39,CHAR(10),'3.Plan de Estudios'!AG39,CHAR(10),'3.Plan de Estudios'!AI39))</f>
        <v xml:space="preserve">
</v>
      </c>
      <c r="Q26" s="431"/>
      <c r="R26" s="431"/>
      <c r="S26" s="431"/>
      <c r="T26" s="433" t="str">
        <f t="shared" si="0"/>
        <v>No Aplica</v>
      </c>
    </row>
    <row r="27" spans="2:20" ht="24" customHeight="1">
      <c r="B27" s="425">
        <f>IF('3.Plan de Estudios'!B41="","",'3.Plan de Estudios'!B41)</f>
        <v>3</v>
      </c>
      <c r="C27" s="425" t="str">
        <f>IF('3.Plan de Estudios'!C41="","",'3.Plan de Estudios'!C41)</f>
        <v>ENG42087</v>
      </c>
      <c r="D27" s="435" t="str">
        <f>IF('3.Plan de Estudios'!E41="","",'3.Plan de Estudios'!E41)</f>
        <v>ENGLISH III</v>
      </c>
      <c r="E27" s="426" t="str">
        <f>'3.Plan de Estudios'!I41</f>
        <v>Presencial</v>
      </c>
      <c r="F27" s="426">
        <f>IF('3.Plan de Estudios'!J41=0,"-",'3.Plan de Estudios'!J41)</f>
        <v>48</v>
      </c>
      <c r="G27" s="427" t="str">
        <f>IF('3.Plan de Estudios'!K41=0,"-",'3.Plan de Estudios'!K41)</f>
        <v>-</v>
      </c>
      <c r="H27" s="426">
        <f>IF('3.Plan de Estudios'!L41=0,"-",'3.Plan de Estudios'!L41)</f>
        <v>32</v>
      </c>
      <c r="I27" s="428" t="str">
        <f>IF('3.Plan de Estudios'!M41=0,"-",'3.Plan de Estudios'!M41)</f>
        <v>-</v>
      </c>
      <c r="J27" s="427" t="str">
        <f>IF('3.Plan de Estudios'!N41=0,"-",'3.Plan de Estudios'!N41)</f>
        <v>-</v>
      </c>
      <c r="K27" s="428" t="str">
        <f>IF('3.Plan de Estudios'!O41=0,"-",'3.Plan de Estudios'!O41)</f>
        <v>-</v>
      </c>
      <c r="L27" s="429">
        <f>IF('3.Plan de Estudios'!P41=0,"-",'3.Plan de Estudios'!P41)</f>
        <v>4</v>
      </c>
      <c r="M27" s="430" t="str">
        <f>IF('7.Sumillas'!G28=0,"",'7.Sumillas'!G28)</f>
        <v>English III, es un curso que pertenece al área formativa de estudios específicos, tiene carácter teórico-práctico, y tributa a la competencia de comunicación bilingüe. Contribuye al desarrollo de la competencia comunicativa y aplica las competencias correspondientes al nivel A2 según los estándares del Marco de Referencia de la Comunidad Europea (CEFR). Sus ejes temáticos son: producción de textos escritos, expresión de textos orales, comprensión de textos escritos y comprensión de textos orales. El producto acreditable de la asignatura es el examen final.</v>
      </c>
      <c r="N27" s="431"/>
      <c r="O27" s="431"/>
      <c r="P27" s="432" t="str">
        <f>CONCATENATE(CHAR(10),CONCATENATE('3.Plan de Estudios'!AA41,CHAR(10),'3.Plan de Estudios'!AC41,CHAR(10),'3.Plan de Estudios'!AE41,CHAR(10),'3.Plan de Estudios'!AG41,CHAR(10),'3.Plan de Estudios'!AI41))</f>
        <v xml:space="preserve">
CG2: Comunicación Bilingüe:N1 Aplica las competencias correspondientes al nivel A2 según los estándares del Marco de Referencia de la Comunidad Europea (CEFR).
</v>
      </c>
      <c r="Q27" s="431"/>
      <c r="R27" s="431"/>
      <c r="S27" s="431"/>
      <c r="T27" s="433" t="str">
        <f t="shared" si="0"/>
        <v>No Aplica</v>
      </c>
    </row>
    <row r="28" spans="2:20" ht="24" customHeight="1">
      <c r="B28" s="425">
        <f>IF('3.Plan de Estudios'!B42="","",'3.Plan de Estudios'!B42)</f>
        <v>3</v>
      </c>
      <c r="C28" s="425" t="str">
        <f>IF('3.Plan de Estudios'!C42="","",'3.Plan de Estudios'!C42)</f>
        <v>EST41016</v>
      </c>
      <c r="D28" s="435" t="str">
        <f>IF('3.Plan de Estudios'!E42="","",'3.Plan de Estudios'!E42)</f>
        <v>ESTADÍSTICA GENERAL</v>
      </c>
      <c r="E28" s="426" t="str">
        <f>'3.Plan de Estudios'!I42</f>
        <v>Presencial</v>
      </c>
      <c r="F28" s="426">
        <f>IF('3.Plan de Estudios'!J42=0,"-",'3.Plan de Estudios'!J42)</f>
        <v>48</v>
      </c>
      <c r="G28" s="427" t="str">
        <f>IF('3.Plan de Estudios'!K42=0,"-",'3.Plan de Estudios'!K42)</f>
        <v>-</v>
      </c>
      <c r="H28" s="426">
        <f>IF('3.Plan de Estudios'!L42=0,"-",'3.Plan de Estudios'!L42)</f>
        <v>16</v>
      </c>
      <c r="I28" s="428" t="str">
        <f>IF('3.Plan de Estudios'!M42=0,"-",'3.Plan de Estudios'!M42)</f>
        <v>-</v>
      </c>
      <c r="J28" s="427">
        <f>IF('3.Plan de Estudios'!N42=0,"-",'3.Plan de Estudios'!N42)</f>
        <v>16</v>
      </c>
      <c r="K28" s="428" t="str">
        <f>IF('3.Plan de Estudios'!O42=0,"-",'3.Plan de Estudios'!O42)</f>
        <v>-</v>
      </c>
      <c r="L28" s="429">
        <f>IF('3.Plan de Estudios'!P42=0,"-",'3.Plan de Estudios'!P42)</f>
        <v>4</v>
      </c>
      <c r="M28" s="430" t="str">
        <f>IF('7.Sumillas'!G29=0,"",'7.Sumillas'!G29)</f>
        <v>Estadística General pertenece a la área de estudios generales, de naturaleza teórico-práctico. Tributa a la competencia de investigación a través del análisis e interpretación de datos de las investigaciones que realice en el área de su formación profesional, mediante técnicas estadísticas y con el apoyo de software especializado.. Se estudiarán los siguientes tópicos: Estadística Descriptiva, Probabilidades e Inferencia Estadística. Se obtendrá como producto del curso un reporte estadístico elaborado en base a los típicos de estadística descriptiva e inferencial adquiridos en el curso, utilizando una base de datos relacionada con su especialidad.</v>
      </c>
      <c r="N28" s="431"/>
      <c r="O28" s="431"/>
      <c r="P28" s="432" t="str">
        <f>CONCATENATE(CHAR(10),CONCATENATE('3.Plan de Estudios'!AA42,CHAR(10),'3.Plan de Estudios'!AC42,CHAR(10),'3.Plan de Estudios'!AE42,CHAR(10),'3.Plan de Estudios'!AG42,CHAR(10),'3.Plan de Estudios'!AI42))</f>
        <v xml:space="preserve">
CG3: Investigación:N1 Reconoce y plantea adecuadamente que es un problema de investigación y los objetivos de la misma.
</v>
      </c>
      <c r="Q28" s="431"/>
      <c r="R28" s="431"/>
      <c r="S28" s="431"/>
      <c r="T28" s="433" t="str">
        <f t="shared" si="0"/>
        <v>No Aplica</v>
      </c>
    </row>
    <row r="29" spans="2:20" ht="24" customHeight="1">
      <c r="B29" s="425">
        <f>IF('3.Plan de Estudios'!B43="","",'3.Plan de Estudios'!B43)</f>
        <v>3</v>
      </c>
      <c r="C29" s="425" t="str">
        <f>IF('3.Plan de Estudios'!C43="","",'3.Plan de Estudios'!C43)</f>
        <v>API51001</v>
      </c>
      <c r="D29" s="435" t="str">
        <f>IF('3.Plan de Estudios'!E43="","",'3.Plan de Estudios'!E43)</f>
        <v>INFORMÁTICA APLICADA A LA EDUCACIÓN</v>
      </c>
      <c r="E29" s="426" t="str">
        <f>'3.Plan de Estudios'!I43</f>
        <v>Presencial</v>
      </c>
      <c r="F29" s="426">
        <f>IF('3.Plan de Estudios'!J43=0,"-",'3.Plan de Estudios'!J43)</f>
        <v>2</v>
      </c>
      <c r="G29" s="427" t="str">
        <f>IF('3.Plan de Estudios'!K43=0,"-",'3.Plan de Estudios'!K43)</f>
        <v>-</v>
      </c>
      <c r="H29" s="426">
        <f>IF('3.Plan de Estudios'!L43=0,"-",'3.Plan de Estudios'!L43)</f>
        <v>60</v>
      </c>
      <c r="I29" s="428" t="str">
        <f>IF('3.Plan de Estudios'!M43=0,"-",'3.Plan de Estudios'!M43)</f>
        <v>-</v>
      </c>
      <c r="J29" s="427" t="str">
        <f>IF('3.Plan de Estudios'!N43=0,"-",'3.Plan de Estudios'!N43)</f>
        <v>-</v>
      </c>
      <c r="K29" s="428" t="str">
        <f>IF('3.Plan de Estudios'!O43=0,"-",'3.Plan de Estudios'!O43)</f>
        <v>-</v>
      </c>
      <c r="L29" s="429">
        <f>IF('3.Plan de Estudios'!P43=0,"-",'3.Plan de Estudios'!P43)</f>
        <v>2</v>
      </c>
      <c r="M29" s="430" t="str">
        <f>IF('7.Sumillas'!G30=0,"",'7.Sumillas'!G30)</f>
        <v>Informática Aplicada a la Educación, es una asignatura de formación especializada de naturaleza teórico - práctico. Tributa a las competencias de desarrollo de gestión educativa y gestión de recursos. Los niveles por alcanzar serán: Desarrollar algunos principios básicos de la gestión educativa para brindar un adecuado servicio educativo y reconocer la teoría de gestión y sus componentes de manera aplicada para comprender la lógica empresarial. Comprende el desarrollo de los siguientes ejes temáticos: Beneficios de la informática y de las tecnologías en el quehacer educativo; la búsqueda y organización de la información en espacios de aprendizaje social, y la evaluación de software educativo como recurso de aprendizaje y sus aplicaciones. El producto acreditable es un informe de una propuesta de innovación educativa.</v>
      </c>
      <c r="N29" s="431"/>
      <c r="O29" s="431"/>
      <c r="P29" s="432" t="str">
        <f>CONCATENATE(CHAR(10),CONCATENATE('3.Plan de Estudios'!AA43,CHAR(10),'3.Plan de Estudios'!AC43,CHAR(10),'3.Plan de Estudios'!AE43,CHAR(10),'3.Plan de Estudios'!AG43,CHAR(10),'3.Plan de Estudios'!AI43))</f>
        <v xml:space="preserve">
CP2: Desarrollo de gestión educativa:N1 Desarrolla algunos principios básicos de la gestión educativa para brindar un adecuado servicio educativo.
CG4: Gestión de Recursos:N1 Reconoce la teoría de gestión y sus componentes de manera aplicada para comprender la lógica empresarial.
</v>
      </c>
      <c r="Q29" s="431"/>
      <c r="R29" s="431"/>
      <c r="S29" s="431"/>
      <c r="T29" s="433" t="str">
        <f t="shared" si="0"/>
        <v>No Aplica</v>
      </c>
    </row>
    <row r="30" spans="2:20" ht="24" customHeight="1">
      <c r="B30" s="425">
        <f>IF('3.Plan de Estudios'!B44="","",'3.Plan de Estudios'!B44)</f>
        <v>3</v>
      </c>
      <c r="C30" s="425" t="str">
        <f>IF('3.Plan de Estudios'!C44="","",'3.Plan de Estudios'!C44)</f>
        <v>COM43009</v>
      </c>
      <c r="D30" s="435" t="str">
        <f>IF('3.Plan de Estudios'!E44="","",'3.Plan de Estudios'!E44)</f>
        <v>INTERPRETACIÓN DE TEXTOS</v>
      </c>
      <c r="E30" s="426" t="str">
        <f>'3.Plan de Estudios'!I44</f>
        <v>Presencial</v>
      </c>
      <c r="F30" s="426">
        <f>IF('3.Plan de Estudios'!J44=0,"-",'3.Plan de Estudios'!J44)</f>
        <v>36</v>
      </c>
      <c r="G30" s="427" t="str">
        <f>IF('3.Plan de Estudios'!K44=0,"-",'3.Plan de Estudios'!K44)</f>
        <v>-</v>
      </c>
      <c r="H30" s="426">
        <f>IF('3.Plan de Estudios'!L44=0,"-",'3.Plan de Estudios'!L44)</f>
        <v>56</v>
      </c>
      <c r="I30" s="428" t="str">
        <f>IF('3.Plan de Estudios'!M44=0,"-",'3.Plan de Estudios'!M44)</f>
        <v>-</v>
      </c>
      <c r="J30" s="427" t="str">
        <f>IF('3.Plan de Estudios'!N44=0,"-",'3.Plan de Estudios'!N44)</f>
        <v>-</v>
      </c>
      <c r="K30" s="428" t="str">
        <f>IF('3.Plan de Estudios'!O44=0,"-",'3.Plan de Estudios'!O44)</f>
        <v>-</v>
      </c>
      <c r="L30" s="429">
        <f>IF('3.Plan de Estudios'!P44=0,"-",'3.Plan de Estudios'!P44)</f>
        <v>4</v>
      </c>
      <c r="M30" s="430" t="str">
        <f>IF('7.Sumillas'!G31=0,"",'7.Sumillas'!G31)</f>
        <v>Comprensión e Interpretación de Textos, es una asignatura de formación especializada y de naturaleza teórico –práctico. Tributa a la competencia de comprensión y expresión del idioma inglés. Comprende el desarrollo de los siguientes ejes temáticos: Interpretación, características de un buen intérprete, las relaciones entre forma y contenido. El producto acreditable es un informe de investigación bibliográfica acerca de alguna obra destacada una autoridad en su especialidad.</v>
      </c>
      <c r="N30" s="431"/>
      <c r="O30" s="431"/>
      <c r="P30" s="432" t="str">
        <f>CONCATENATE(CHAR(10),CONCATENATE('3.Plan de Estudios'!AA44,CHAR(10),'3.Plan de Estudios'!AC44,CHAR(10),'3.Plan de Estudios'!AE44,CHAR(10),'3.Plan de Estudios'!AG44,CHAR(10),'3.Plan de Estudios'!AI44))</f>
        <v xml:space="preserve">
CP5: Comprensión y expresión del idioma inglés:N1 Emplea el uso de las TIC para el proceso de sistematización del proceso enseñanza aprendizaje.
</v>
      </c>
      <c r="Q30" s="431"/>
      <c r="R30" s="431"/>
      <c r="S30" s="431"/>
      <c r="T30" s="433" t="str">
        <f t="shared" si="0"/>
        <v>No Aplica</v>
      </c>
    </row>
    <row r="31" spans="2:20" ht="24" customHeight="1">
      <c r="B31" s="425">
        <f>IF('3.Plan de Estudios'!B45="","",'3.Plan de Estudios'!B45)</f>
        <v>3</v>
      </c>
      <c r="C31" s="425" t="str">
        <f>IF('3.Plan de Estudios'!C45="","",'3.Plan de Estudios'!C45)</f>
        <v>GLB41002</v>
      </c>
      <c r="D31" s="435" t="str">
        <f>IF('3.Plan de Estudios'!E45="","",'3.Plan de Estudios'!E45)</f>
        <v>REALIDAD NACIONAL Y GLOBALIZACIÓN</v>
      </c>
      <c r="E31" s="426" t="str">
        <f>'3.Plan de Estudios'!I45</f>
        <v>Presencial</v>
      </c>
      <c r="F31" s="426">
        <f>IF('3.Plan de Estudios'!J45=0,"-",'3.Plan de Estudios'!J45)</f>
        <v>64</v>
      </c>
      <c r="G31" s="427" t="str">
        <f>IF('3.Plan de Estudios'!K45=0,"-",'3.Plan de Estudios'!K45)</f>
        <v>-</v>
      </c>
      <c r="H31" s="426" t="str">
        <f>IF('3.Plan de Estudios'!L45=0,"-",'3.Plan de Estudios'!L45)</f>
        <v>-</v>
      </c>
      <c r="I31" s="428" t="str">
        <f>IF('3.Plan de Estudios'!M45=0,"-",'3.Plan de Estudios'!M45)</f>
        <v>-</v>
      </c>
      <c r="J31" s="427" t="str">
        <f>IF('3.Plan de Estudios'!N45=0,"-",'3.Plan de Estudios'!N45)</f>
        <v>-</v>
      </c>
      <c r="K31" s="428" t="str">
        <f>IF('3.Plan de Estudios'!O45=0,"-",'3.Plan de Estudios'!O45)</f>
        <v>-</v>
      </c>
      <c r="L31" s="429">
        <f>IF('3.Plan de Estudios'!P45=0,"-",'3.Plan de Estudios'!P45)</f>
        <v>4</v>
      </c>
      <c r="M31" s="430" t="str">
        <f>IF('7.Sumillas'!G32=0,"",'7.Sumillas'!G32)</f>
        <v xml:space="preserve">Realidad Nacional y Globalización, es un curso que pertenece al área formativa de estudios generales, es de naturaleza teórica. Contribuye al desarrollo de las competencias de Orientación Educativa y Desarrollo Humano. Comprende el desarrollo de los siguientes ejes temáticos: la ecología, la economía y la cultura del Perú, y el impacto de la globalización en estos tres campos. Su producto acreditable es un informe que analiza las potencialidades de nuestro país y las principales tendencias del mundo actual con el marco teórico de las ciencias sociales y las nuevas tecnologías de la información y la comunicación. </v>
      </c>
      <c r="N31" s="431"/>
      <c r="O31" s="431"/>
      <c r="P31" s="432" t="str">
        <f>CONCATENATE(CHAR(10),CONCATENATE('3.Plan de Estudios'!AA45,CHAR(10),'3.Plan de Estudios'!AC45,CHAR(10),'3.Plan de Estudios'!AE45,CHAR(10),'3.Plan de Estudios'!AG45,CHAR(10),'3.Plan de Estudios'!AI45))</f>
        <v xml:space="preserve">
CP1: Orientación educativa:N1 Establece las orientaciones fundamentales del sentido educativo en los docentes y los alumnos. 
CG5: Desarrollo Humano:N1 Identifica sus capacidades y/o cualidades personales y académicas mediante ejercicios y base teórica conducente al fortalecimiento del autoconocimiento.
</v>
      </c>
      <c r="Q31" s="431"/>
      <c r="R31" s="431"/>
      <c r="S31" s="431"/>
      <c r="T31" s="433" t="str">
        <f t="shared" si="0"/>
        <v>No Aplica</v>
      </c>
    </row>
    <row r="32" spans="2:20" ht="24" customHeight="1">
      <c r="B32" s="425">
        <f>IF('3.Plan de Estudios'!B46="","",'3.Plan de Estudios'!B46)</f>
        <v>3</v>
      </c>
      <c r="C32" s="425" t="str">
        <f>IF('3.Plan de Estudios'!C46="","",'3.Plan de Estudios'!C46)</f>
        <v>EDG51002</v>
      </c>
      <c r="D32" s="435" t="str">
        <f>IF('3.Plan de Estudios'!E46="","",'3.Plan de Estudios'!E46)</f>
        <v>TEORÍA DE LA EDUCACIÓN</v>
      </c>
      <c r="E32" s="426" t="str">
        <f>'3.Plan de Estudios'!I46</f>
        <v>Presencial</v>
      </c>
      <c r="F32" s="426">
        <f>IF('3.Plan de Estudios'!J46=0,"-",'3.Plan de Estudios'!J46)</f>
        <v>32</v>
      </c>
      <c r="G32" s="427" t="str">
        <f>IF('3.Plan de Estudios'!K46=0,"-",'3.Plan de Estudios'!K46)</f>
        <v>-</v>
      </c>
      <c r="H32" s="426" t="str">
        <f>IF('3.Plan de Estudios'!L46=0,"-",'3.Plan de Estudios'!L46)</f>
        <v>-</v>
      </c>
      <c r="I32" s="428" t="str">
        <f>IF('3.Plan de Estudios'!M46=0,"-",'3.Plan de Estudios'!M46)</f>
        <v>-</v>
      </c>
      <c r="J32" s="427" t="str">
        <f>IF('3.Plan de Estudios'!N46=0,"-",'3.Plan de Estudios'!N46)</f>
        <v>-</v>
      </c>
      <c r="K32" s="428" t="str">
        <f>IF('3.Plan de Estudios'!O46=0,"-",'3.Plan de Estudios'!O46)</f>
        <v>-</v>
      </c>
      <c r="L32" s="429">
        <f>IF('3.Plan de Estudios'!P46=0,"-",'3.Plan de Estudios'!P46)</f>
        <v>2</v>
      </c>
      <c r="M32" s="430" t="str">
        <f>IF('7.Sumillas'!G33=0,"",'7.Sumillas'!G33)</f>
        <v>Teoría de la Educación, es un asignatura de formación especializada y naturaleza teórica. Tributa a la competencia de desarrollo, enseñanza y aprendizaje. Comprende el desarrollo de los siguientes ejes temáticos: Bases Teóricas de la educación; teorías del aprendizaje y educación en la actualidad. El producto acreditable es un informe de investigación orientado al análisis y fundamentación de la teoría de la educación.</v>
      </c>
      <c r="N32" s="431"/>
      <c r="O32" s="431"/>
      <c r="P32" s="432" t="str">
        <f>CONCATENATE(CHAR(10),CONCATENATE('3.Plan de Estudios'!AA46,CHAR(10),'3.Plan de Estudios'!AC46,CHAR(10),'3.Plan de Estudios'!AE46,CHAR(10),'3.Plan de Estudios'!AG46,CHAR(10),'3.Plan de Estudios'!AI46))</f>
        <v xml:space="preserve">
CP3: Desarrollo enseñanza y aprendizaje:N1 Promueve el desarrollo de la identidad del maestro para acrecentar el aprendizaje de los alumnos.
</v>
      </c>
      <c r="Q32" s="431"/>
      <c r="R32" s="431"/>
      <c r="S32" s="431"/>
      <c r="T32" s="433" t="str">
        <f t="shared" si="0"/>
        <v>No Aplica</v>
      </c>
    </row>
    <row r="33" spans="2:20" ht="24" customHeight="1">
      <c r="B33" s="425">
        <f>IF('3.Plan de Estudios'!B47="","",'3.Plan de Estudios'!B47)</f>
        <v>3</v>
      </c>
      <c r="C33" s="425" t="str">
        <f>IF('3.Plan de Estudios'!C47="","",'3.Plan de Estudios'!C47)</f>
        <v/>
      </c>
      <c r="D33" s="435" t="str">
        <f>IF('3.Plan de Estudios'!E47="","",'3.Plan de Estudios'!E47)</f>
        <v/>
      </c>
      <c r="E33" s="426" t="str">
        <f>'3.Plan de Estudios'!I47</f>
        <v/>
      </c>
      <c r="F33" s="426" t="str">
        <f>IF('3.Plan de Estudios'!J47=0,"-",'3.Plan de Estudios'!J47)</f>
        <v>-</v>
      </c>
      <c r="G33" s="427" t="str">
        <f>IF('3.Plan de Estudios'!K47=0,"-",'3.Plan de Estudios'!K47)</f>
        <v>-</v>
      </c>
      <c r="H33" s="426" t="str">
        <f>IF('3.Plan de Estudios'!L47=0,"-",'3.Plan de Estudios'!L47)</f>
        <v>-</v>
      </c>
      <c r="I33" s="428" t="str">
        <f>IF('3.Plan de Estudios'!M47=0,"-",'3.Plan de Estudios'!M47)</f>
        <v>-</v>
      </c>
      <c r="J33" s="427" t="str">
        <f>IF('3.Plan de Estudios'!N47=0,"-",'3.Plan de Estudios'!N47)</f>
        <v>-</v>
      </c>
      <c r="K33" s="428" t="str">
        <f>IF('3.Plan de Estudios'!O47=0,"-",'3.Plan de Estudios'!O47)</f>
        <v>-</v>
      </c>
      <c r="L33" s="429" t="str">
        <f>IF('3.Plan de Estudios'!P47=0,"-",'3.Plan de Estudios'!P47)</f>
        <v>-</v>
      </c>
      <c r="M33" s="430" t="str">
        <f>IF('7.Sumillas'!G34=0,"",'7.Sumillas'!G34)</f>
        <v/>
      </c>
      <c r="N33" s="431"/>
      <c r="O33" s="431"/>
      <c r="P33" s="432" t="str">
        <f>CONCATENATE(CHAR(10),CONCATENATE('3.Plan de Estudios'!AA47,CHAR(10),'3.Plan de Estudios'!AC47,CHAR(10),'3.Plan de Estudios'!AE47,CHAR(10),'3.Plan de Estudios'!AG47,CHAR(10),'3.Plan de Estudios'!AI47))</f>
        <v xml:space="preserve">
</v>
      </c>
      <c r="Q33" s="431"/>
      <c r="R33" s="431"/>
      <c r="S33" s="431"/>
      <c r="T33" s="433" t="str">
        <f t="shared" si="0"/>
        <v>No Aplica</v>
      </c>
    </row>
    <row r="34" spans="2:20" ht="24" customHeight="1">
      <c r="B34" s="425">
        <f>IF('3.Plan de Estudios'!B48="","",'3.Plan de Estudios'!B48)</f>
        <v>3</v>
      </c>
      <c r="C34" s="425" t="str">
        <f>IF('3.Plan de Estudios'!C48="","",'3.Plan de Estudios'!C48)</f>
        <v/>
      </c>
      <c r="D34" s="435" t="str">
        <f>IF('3.Plan de Estudios'!E48="","",'3.Plan de Estudios'!E48)</f>
        <v/>
      </c>
      <c r="E34" s="426" t="str">
        <f>'3.Plan de Estudios'!I48</f>
        <v/>
      </c>
      <c r="F34" s="426" t="str">
        <f>IF('3.Plan de Estudios'!J48=0,"-",'3.Plan de Estudios'!J48)</f>
        <v>-</v>
      </c>
      <c r="G34" s="427" t="str">
        <f>IF('3.Plan de Estudios'!K48=0,"-",'3.Plan de Estudios'!K48)</f>
        <v>-</v>
      </c>
      <c r="H34" s="426" t="str">
        <f>IF('3.Plan de Estudios'!L48=0,"-",'3.Plan de Estudios'!L48)</f>
        <v>-</v>
      </c>
      <c r="I34" s="428" t="str">
        <f>IF('3.Plan de Estudios'!M48=0,"-",'3.Plan de Estudios'!M48)</f>
        <v>-</v>
      </c>
      <c r="J34" s="427" t="str">
        <f>IF('3.Plan de Estudios'!N48=0,"-",'3.Plan de Estudios'!N48)</f>
        <v>-</v>
      </c>
      <c r="K34" s="428" t="str">
        <f>IF('3.Plan de Estudios'!O48=0,"-",'3.Plan de Estudios'!O48)</f>
        <v>-</v>
      </c>
      <c r="L34" s="429" t="str">
        <f>IF('3.Plan de Estudios'!P48=0,"-",'3.Plan de Estudios'!P48)</f>
        <v>-</v>
      </c>
      <c r="M34" s="430" t="str">
        <f>IF('7.Sumillas'!G35=0,"",'7.Sumillas'!G35)</f>
        <v/>
      </c>
      <c r="N34" s="431"/>
      <c r="O34" s="431"/>
      <c r="P34" s="432" t="str">
        <f>CONCATENATE(CHAR(10),CONCATENATE('3.Plan de Estudios'!AA48,CHAR(10),'3.Plan de Estudios'!AC48,CHAR(10),'3.Plan de Estudios'!AE48,CHAR(10),'3.Plan de Estudios'!AG48,CHAR(10),'3.Plan de Estudios'!AI48))</f>
        <v xml:space="preserve">
</v>
      </c>
      <c r="Q34" s="431"/>
      <c r="R34" s="431"/>
      <c r="S34" s="431"/>
      <c r="T34" s="433" t="str">
        <f t="shared" si="0"/>
        <v>No Aplica</v>
      </c>
    </row>
    <row r="35" spans="2:20" ht="24" customHeight="1">
      <c r="B35" s="425">
        <f>IF('3.Plan de Estudios'!B49="","",'3.Plan de Estudios'!B49)</f>
        <v>3</v>
      </c>
      <c r="C35" s="425" t="str">
        <f>IF('3.Plan de Estudios'!C49="","",'3.Plan de Estudios'!C49)</f>
        <v/>
      </c>
      <c r="D35" s="435" t="str">
        <f>IF('3.Plan de Estudios'!E49="","",'3.Plan de Estudios'!E49)</f>
        <v/>
      </c>
      <c r="E35" s="426" t="str">
        <f>'3.Plan de Estudios'!I49</f>
        <v/>
      </c>
      <c r="F35" s="426" t="str">
        <f>IF('3.Plan de Estudios'!J49=0,"-",'3.Plan de Estudios'!J49)</f>
        <v>-</v>
      </c>
      <c r="G35" s="427" t="str">
        <f>IF('3.Plan de Estudios'!K49=0,"-",'3.Plan de Estudios'!K49)</f>
        <v>-</v>
      </c>
      <c r="H35" s="426" t="str">
        <f>IF('3.Plan de Estudios'!L49=0,"-",'3.Plan de Estudios'!L49)</f>
        <v>-</v>
      </c>
      <c r="I35" s="428" t="str">
        <f>IF('3.Plan de Estudios'!M49=0,"-",'3.Plan de Estudios'!M49)</f>
        <v>-</v>
      </c>
      <c r="J35" s="427" t="str">
        <f>IF('3.Plan de Estudios'!N49=0,"-",'3.Plan de Estudios'!N49)</f>
        <v>-</v>
      </c>
      <c r="K35" s="428" t="str">
        <f>IF('3.Plan de Estudios'!O49=0,"-",'3.Plan de Estudios'!O49)</f>
        <v>-</v>
      </c>
      <c r="L35" s="429" t="str">
        <f>IF('3.Plan de Estudios'!P49=0,"-",'3.Plan de Estudios'!P49)</f>
        <v>-</v>
      </c>
      <c r="M35" s="430" t="str">
        <f>IF('7.Sumillas'!G36=0,"",'7.Sumillas'!G36)</f>
        <v/>
      </c>
      <c r="N35" s="431"/>
      <c r="O35" s="431"/>
      <c r="P35" s="432" t="str">
        <f>CONCATENATE(CHAR(10),CONCATENATE('3.Plan de Estudios'!AA49,CHAR(10),'3.Plan de Estudios'!AC49,CHAR(10),'3.Plan de Estudios'!AE49,CHAR(10),'3.Plan de Estudios'!AG49,CHAR(10),'3.Plan de Estudios'!AI49))</f>
        <v xml:space="preserve">
</v>
      </c>
      <c r="Q35" s="431"/>
      <c r="R35" s="431"/>
      <c r="S35" s="431"/>
      <c r="T35" s="433" t="str">
        <f t="shared" si="0"/>
        <v>No Aplica</v>
      </c>
    </row>
    <row r="36" spans="2:20" ht="24" customHeight="1">
      <c r="B36" s="425">
        <f>IF('3.Plan de Estudios'!B50="","",'3.Plan de Estudios'!B50)</f>
        <v>3</v>
      </c>
      <c r="C36" s="425" t="str">
        <f>IF('3.Plan de Estudios'!C50="","",'3.Plan de Estudios'!C50)</f>
        <v/>
      </c>
      <c r="D36" s="435" t="str">
        <f>IF('3.Plan de Estudios'!E50="","",'3.Plan de Estudios'!E50)</f>
        <v/>
      </c>
      <c r="E36" s="426" t="str">
        <f>'3.Plan de Estudios'!I50</f>
        <v/>
      </c>
      <c r="F36" s="426" t="str">
        <f>IF('3.Plan de Estudios'!J50=0,"-",'3.Plan de Estudios'!J50)</f>
        <v>-</v>
      </c>
      <c r="G36" s="427" t="str">
        <f>IF('3.Plan de Estudios'!K50=0,"-",'3.Plan de Estudios'!K50)</f>
        <v>-</v>
      </c>
      <c r="H36" s="426" t="str">
        <f>IF('3.Plan de Estudios'!L50=0,"-",'3.Plan de Estudios'!L50)</f>
        <v>-</v>
      </c>
      <c r="I36" s="428" t="str">
        <f>IF('3.Plan de Estudios'!M50=0,"-",'3.Plan de Estudios'!M50)</f>
        <v>-</v>
      </c>
      <c r="J36" s="427" t="str">
        <f>IF('3.Plan de Estudios'!N50=0,"-",'3.Plan de Estudios'!N50)</f>
        <v>-</v>
      </c>
      <c r="K36" s="428" t="str">
        <f>IF('3.Plan de Estudios'!O50=0,"-",'3.Plan de Estudios'!O50)</f>
        <v>-</v>
      </c>
      <c r="L36" s="429" t="str">
        <f>IF('3.Plan de Estudios'!P50=0,"-",'3.Plan de Estudios'!P50)</f>
        <v>-</v>
      </c>
      <c r="M36" s="430" t="str">
        <f>IF('7.Sumillas'!G37=0,"",'7.Sumillas'!G37)</f>
        <v/>
      </c>
      <c r="N36" s="431"/>
      <c r="O36" s="431"/>
      <c r="P36" s="432" t="str">
        <f>CONCATENATE(CHAR(10),CONCATENATE('3.Plan de Estudios'!AA50,CHAR(10),'3.Plan de Estudios'!AC50,CHAR(10),'3.Plan de Estudios'!AE50,CHAR(10),'3.Plan de Estudios'!AG50,CHAR(10),'3.Plan de Estudios'!AI50))</f>
        <v xml:space="preserve">
</v>
      </c>
      <c r="Q36" s="431"/>
      <c r="R36" s="431"/>
      <c r="S36" s="431"/>
      <c r="T36" s="433" t="str">
        <f t="shared" si="0"/>
        <v>No Aplica</v>
      </c>
    </row>
    <row r="37" spans="2:20" ht="24" customHeight="1">
      <c r="B37" s="425">
        <f>IF('3.Plan de Estudios'!B52="","",'3.Plan de Estudios'!B52)</f>
        <v>4</v>
      </c>
      <c r="C37" s="425" t="str">
        <f>IF('3.Plan de Estudios'!C52="","",'3.Plan de Estudios'!C52)</f>
        <v>EDG51015</v>
      </c>
      <c r="D37" s="435" t="str">
        <f>IF('3.Plan de Estudios'!E52="","",'3.Plan de Estudios'!E52)</f>
        <v>DISEÑO Y PROGRAMACIÓN CURRICULAR</v>
      </c>
      <c r="E37" s="426" t="str">
        <f>'3.Plan de Estudios'!I52</f>
        <v>Presencial</v>
      </c>
      <c r="F37" s="426">
        <f>IF('3.Plan de Estudios'!J52=0,"-",'3.Plan de Estudios'!J52)</f>
        <v>36</v>
      </c>
      <c r="G37" s="427" t="str">
        <f>IF('3.Plan de Estudios'!K52=0,"-",'3.Plan de Estudios'!K52)</f>
        <v>-</v>
      </c>
      <c r="H37" s="426">
        <f>IF('3.Plan de Estudios'!L52=0,"-",'3.Plan de Estudios'!L52)</f>
        <v>56</v>
      </c>
      <c r="I37" s="428" t="str">
        <f>IF('3.Plan de Estudios'!M52=0,"-",'3.Plan de Estudios'!M52)</f>
        <v>-</v>
      </c>
      <c r="J37" s="427" t="str">
        <f>IF('3.Plan de Estudios'!N52=0,"-",'3.Plan de Estudios'!N52)</f>
        <v>-</v>
      </c>
      <c r="K37" s="428" t="str">
        <f>IF('3.Plan de Estudios'!O52=0,"-",'3.Plan de Estudios'!O52)</f>
        <v>-</v>
      </c>
      <c r="L37" s="429">
        <f>IF('3.Plan de Estudios'!P52=0,"-",'3.Plan de Estudios'!P52)</f>
        <v>4</v>
      </c>
      <c r="M37" s="430" t="str">
        <f>IF('7.Sumillas'!G38=0,"",'7.Sumillas'!G38)</f>
        <v xml:space="preserve">Diseño y Programación Curricular, es una asignatura de formación especializada y es de naturaleza teórico-práctico. Tributa a las competencias de desarrollo de enseñanza y aprendizaje; desarrollo gestión educativa. Promueve el desarrollo de la identidad del maestro para acrecentar el aprendizaje de los alumnos. Comprende el desarrollo de los siguientes ejes temáticos: fundamentos del currículo nacional de la educación básica y la programación curricular en la educación básica regular. El producto acreditable de la asignatura es el informe de una propuesta de sesión de aprendizaje considerando fundamentos teóricos y tendencias actuales curriculares. </v>
      </c>
      <c r="N37" s="431"/>
      <c r="O37" s="431"/>
      <c r="P37" s="432" t="str">
        <f>CONCATENATE(CHAR(10),CONCATENATE('3.Plan de Estudios'!AA52,CHAR(10),'3.Plan de Estudios'!AC52,CHAR(10),'3.Plan de Estudios'!AE52,CHAR(10),'3.Plan de Estudios'!AG52,CHAR(10),'3.Plan de Estudios'!AI52))</f>
        <v xml:space="preserve">
CP2: Desarrollo de gestión educativa:N1 Desarrolla algunos principios básicos de la gestión educativa para brindar un adecuado servicio educativo.
CP3: Desarrollo enseñanza y aprendizaje:N1 Promueve el desarrollo de la identidad del maestro para acrecentar el aprendizaje de los alumnos.
</v>
      </c>
      <c r="Q37" s="431"/>
      <c r="R37" s="431"/>
      <c r="S37" s="431"/>
      <c r="T37" s="433" t="str">
        <f t="shared" si="0"/>
        <v>No Aplica</v>
      </c>
    </row>
    <row r="38" spans="2:20" ht="24" customHeight="1">
      <c r="B38" s="425">
        <f>IF('3.Plan de Estudios'!B53="","",'3.Plan de Estudios'!B53)</f>
        <v>4</v>
      </c>
      <c r="C38" s="425" t="str">
        <f>IF('3.Plan de Estudios'!C53="","",'3.Plan de Estudios'!C53)</f>
        <v>ENG42089</v>
      </c>
      <c r="D38" s="435" t="str">
        <f>IF('3.Plan de Estudios'!E53="","",'3.Plan de Estudios'!E53)</f>
        <v>ENGLISH IV</v>
      </c>
      <c r="E38" s="426" t="str">
        <f>'3.Plan de Estudios'!I53</f>
        <v>Presencial</v>
      </c>
      <c r="F38" s="426">
        <f>IF('3.Plan de Estudios'!J53=0,"-",'3.Plan de Estudios'!J53)</f>
        <v>48</v>
      </c>
      <c r="G38" s="427" t="str">
        <f>IF('3.Plan de Estudios'!K53=0,"-",'3.Plan de Estudios'!K53)</f>
        <v>-</v>
      </c>
      <c r="H38" s="426">
        <f>IF('3.Plan de Estudios'!L53=0,"-",'3.Plan de Estudios'!L53)</f>
        <v>32</v>
      </c>
      <c r="I38" s="428" t="str">
        <f>IF('3.Plan de Estudios'!M53=0,"-",'3.Plan de Estudios'!M53)</f>
        <v>-</v>
      </c>
      <c r="J38" s="427" t="str">
        <f>IF('3.Plan de Estudios'!N53=0,"-",'3.Plan de Estudios'!N53)</f>
        <v>-</v>
      </c>
      <c r="K38" s="428" t="str">
        <f>IF('3.Plan de Estudios'!O53=0,"-",'3.Plan de Estudios'!O53)</f>
        <v>-</v>
      </c>
      <c r="L38" s="429">
        <f>IF('3.Plan de Estudios'!P53=0,"-",'3.Plan de Estudios'!P53)</f>
        <v>4</v>
      </c>
      <c r="M38" s="430" t="str">
        <f>IF('7.Sumillas'!G39=0,"",'7.Sumillas'!G39)</f>
        <v xml:space="preserve">English IV, es un curso que pertenece al área formativa de estudios específicos, tiene carácter teórico-práctico, y tributa a la competencia de comunicación bilingüe. Contribuye al desarrollo de la competencia comunicativa, nivel B1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 </v>
      </c>
      <c r="N38" s="431"/>
      <c r="O38" s="431"/>
      <c r="P38" s="432" t="str">
        <f>CONCATENATE(CHAR(10),CONCATENATE('3.Plan de Estudios'!AA53,CHAR(10),'3.Plan de Estudios'!AC53,CHAR(10),'3.Plan de Estudios'!AE53,CHAR(10),'3.Plan de Estudios'!AG53,CHAR(10),'3.Plan de Estudios'!AI53))</f>
        <v xml:space="preserve">
CG2: Comunicación Bilingüe:N2 Aplica las competencias correspondientes al nivel B1 según los estándares del Marco de Referencia de la Comunidad Europea (CEFR).
</v>
      </c>
      <c r="Q38" s="431"/>
      <c r="R38" s="431"/>
      <c r="S38" s="431"/>
      <c r="T38" s="433" t="str">
        <f t="shared" si="0"/>
        <v>No Aplica</v>
      </c>
    </row>
    <row r="39" spans="2:20" ht="24" customHeight="1">
      <c r="B39" s="425">
        <f>IF('3.Plan de Estudios'!B54="","",'3.Plan de Estudios'!B54)</f>
        <v>4</v>
      </c>
      <c r="C39" s="425" t="str">
        <f>IF('3.Plan de Estudios'!C54="","",'3.Plan de Estudios'!C54)</f>
        <v>ENG53009</v>
      </c>
      <c r="D39" s="435" t="str">
        <f>IF('3.Plan de Estudios'!E54="","",'3.Plan de Estudios'!E54)</f>
        <v>ENGLISH VOCABULARY</v>
      </c>
      <c r="E39" s="426" t="str">
        <f>'3.Plan de Estudios'!I54</f>
        <v>Presencial</v>
      </c>
      <c r="F39" s="426">
        <f>IF('3.Plan de Estudios'!J54=0,"-",'3.Plan de Estudios'!J54)</f>
        <v>36</v>
      </c>
      <c r="G39" s="427" t="str">
        <f>IF('3.Plan de Estudios'!K54=0,"-",'3.Plan de Estudios'!K54)</f>
        <v>-</v>
      </c>
      <c r="H39" s="426">
        <f>IF('3.Plan de Estudios'!L54=0,"-",'3.Plan de Estudios'!L54)</f>
        <v>56</v>
      </c>
      <c r="I39" s="428" t="str">
        <f>IF('3.Plan de Estudios'!M54=0,"-",'3.Plan de Estudios'!M54)</f>
        <v>-</v>
      </c>
      <c r="J39" s="427" t="str">
        <f>IF('3.Plan de Estudios'!N54=0,"-",'3.Plan de Estudios'!N54)</f>
        <v>-</v>
      </c>
      <c r="K39" s="428" t="str">
        <f>IF('3.Plan de Estudios'!O54=0,"-",'3.Plan de Estudios'!O54)</f>
        <v>-</v>
      </c>
      <c r="L39" s="429">
        <f>IF('3.Plan de Estudios'!P54=0,"-",'3.Plan de Estudios'!P54)</f>
        <v>4</v>
      </c>
      <c r="M39" s="430" t="str">
        <f>IF('7.Sumillas'!G40=0,"",'7.Sumillas'!G40)</f>
        <v>The English Vocabulary course is of a theoretical-practical nature, its purpose is to broaden the lexical, semantic and morphological linguistic knowledge of future English teachers. The course pays tribute to the competence: Comprehension and expression of the English language. The level of the course employs the use of ICT for the systematization process of the teaching-learning process. In addition, teachers will be able to analyze, reflect and make the right decisions when implementing ICT in current teaching scenarios. The accreditable product will be that the students make a visual organizer to demonstrate the learning of the subject.</v>
      </c>
      <c r="N39" s="431"/>
      <c r="O39" s="431"/>
      <c r="P39" s="432" t="str">
        <f>CONCATENATE(CHAR(10),CONCATENATE('3.Plan de Estudios'!AA54,CHAR(10),'3.Plan de Estudios'!AC54,CHAR(10),'3.Plan de Estudios'!AE54,CHAR(10),'3.Plan de Estudios'!AG54,CHAR(10),'3.Plan de Estudios'!AI54))</f>
        <v xml:space="preserve">
CP5: Comprensión y expresión del idioma inglés:N1 Emplea el uso de las TIC para el proceso de sistematización del proceso enseñanza aprendizaje.
</v>
      </c>
      <c r="Q39" s="431"/>
      <c r="R39" s="431"/>
      <c r="S39" s="431"/>
      <c r="T39" s="433" t="str">
        <f t="shared" si="0"/>
        <v>No Aplica</v>
      </c>
    </row>
    <row r="40" spans="2:20" ht="24" customHeight="1">
      <c r="B40" s="425">
        <f>IF('3.Plan de Estudios'!B55="","",'3.Plan de Estudios'!B55)</f>
        <v>4</v>
      </c>
      <c r="C40" s="425" t="str">
        <f>IF('3.Plan de Estudios'!C55="","",'3.Plan de Estudios'!C55)</f>
        <v>INV51002</v>
      </c>
      <c r="D40" s="435" t="str">
        <f>IF('3.Plan de Estudios'!E55="","",'3.Plan de Estudios'!E55)</f>
        <v>METODOLOGÍA DE LA INVESTIGACIÓN</v>
      </c>
      <c r="E40" s="426" t="str">
        <f>'3.Plan de Estudios'!I55</f>
        <v>Presencial</v>
      </c>
      <c r="F40" s="426">
        <f>IF('3.Plan de Estudios'!J55=0,"-",'3.Plan de Estudios'!J55)</f>
        <v>64</v>
      </c>
      <c r="G40" s="427" t="str">
        <f>IF('3.Plan de Estudios'!K55=0,"-",'3.Plan de Estudios'!K55)</f>
        <v>-</v>
      </c>
      <c r="H40" s="426" t="str">
        <f>IF('3.Plan de Estudios'!L55=0,"-",'3.Plan de Estudios'!L55)</f>
        <v>-</v>
      </c>
      <c r="I40" s="428" t="str">
        <f>IF('3.Plan de Estudios'!M55=0,"-",'3.Plan de Estudios'!M55)</f>
        <v>-</v>
      </c>
      <c r="J40" s="427" t="str">
        <f>IF('3.Plan de Estudios'!N55=0,"-",'3.Plan de Estudios'!N55)</f>
        <v>-</v>
      </c>
      <c r="K40" s="428" t="str">
        <f>IF('3.Plan de Estudios'!O55=0,"-",'3.Plan de Estudios'!O55)</f>
        <v>-</v>
      </c>
      <c r="L40" s="429">
        <f>IF('3.Plan de Estudios'!P55=0,"-",'3.Plan de Estudios'!P55)</f>
        <v>4</v>
      </c>
      <c r="M40" s="430" t="str">
        <f>IF('7.Sumillas'!G41=0,"",'7.Sumillas'!G41)</f>
        <v>Metodología de la investigación, es un curso que pertenece al área formativa de estudios generales, tiene carácter teórico. Contribuye al desarrollo de la competencia de investigación educativa y a la competencia general de investigación. Es estudiante tendrá la oportunidad de implementar el marco teórico del proyecto de investigación para la validación de los posibles instrumentos a aplicar. El contenido temático comprende desde las habilidades para la búsqueda de información y redacción académica, hasta la construcción del proyecto: problematización, argumentación del enfoque teórico-conceptual, formulación de objetivos e hipótesis e identificación de las estrategias metodológicas.  El producto acreditable de la asignatura es una matriz de consistencia que luego se convertirá en un proyecto de investigación.</v>
      </c>
      <c r="N40" s="431"/>
      <c r="O40" s="431"/>
      <c r="P40" s="432" t="str">
        <f>CONCATENATE(CHAR(10),CONCATENATE('3.Plan de Estudios'!AA55,CHAR(10),'3.Plan de Estudios'!AC55,CHAR(10),'3.Plan de Estudios'!AE55,CHAR(10),'3.Plan de Estudios'!AG55,CHAR(10),'3.Plan de Estudios'!AI55))</f>
        <v xml:space="preserve">
CP4: Investigación Educativa:N1 Implementa el marco teórico del proyecto de investigación para la validación de los posibles instrumentos a aplicar.
CG3: Investigación:N1 Reconoce y plantea adecuadamente que es un problema de investigación y los objetivos de la misma.
</v>
      </c>
      <c r="Q40" s="431"/>
      <c r="R40" s="431"/>
      <c r="S40" s="431"/>
      <c r="T40" s="433" t="str">
        <f t="shared" si="0"/>
        <v>No Aplica</v>
      </c>
    </row>
    <row r="41" spans="2:20" ht="24" customHeight="1">
      <c r="B41" s="425">
        <f>IF('3.Plan de Estudios'!B56="","",'3.Plan de Estudios'!B56)</f>
        <v>4</v>
      </c>
      <c r="C41" s="425" t="str">
        <f>IF('3.Plan de Estudios'!C56="","",'3.Plan de Estudios'!C56)</f>
        <v>ECO51012</v>
      </c>
      <c r="D41" s="435" t="str">
        <f>IF('3.Plan de Estudios'!E56="","",'3.Plan de Estudios'!E56)</f>
        <v>PRINCIPIOS DE ECONOMÍA</v>
      </c>
      <c r="E41" s="426" t="str">
        <f>'3.Plan de Estudios'!I56</f>
        <v>Presencial</v>
      </c>
      <c r="F41" s="426">
        <f>IF('3.Plan de Estudios'!J56=0,"-",'3.Plan de Estudios'!J56)</f>
        <v>64</v>
      </c>
      <c r="G41" s="427" t="str">
        <f>IF('3.Plan de Estudios'!K56=0,"-",'3.Plan de Estudios'!K56)</f>
        <v>-</v>
      </c>
      <c r="H41" s="426" t="str">
        <f>IF('3.Plan de Estudios'!L56=0,"-",'3.Plan de Estudios'!L56)</f>
        <v>-</v>
      </c>
      <c r="I41" s="428" t="str">
        <f>IF('3.Plan de Estudios'!M56=0,"-",'3.Plan de Estudios'!M56)</f>
        <v>-</v>
      </c>
      <c r="J41" s="427" t="str">
        <f>IF('3.Plan de Estudios'!N56=0,"-",'3.Plan de Estudios'!N56)</f>
        <v>-</v>
      </c>
      <c r="K41" s="428" t="str">
        <f>IF('3.Plan de Estudios'!O56=0,"-",'3.Plan de Estudios'!O56)</f>
        <v>-</v>
      </c>
      <c r="L41" s="429">
        <f>IF('3.Plan de Estudios'!P56=0,"-",'3.Plan de Estudios'!P56)</f>
        <v>4</v>
      </c>
      <c r="M41" s="430" t="str">
        <f>IF('7.Sumillas'!G42=0,"",'7.Sumillas'!G42)</f>
        <v>Principios de Economía es una asignatura de formación específica,  de naturaleza teórico. Contribuye al desarrollo de competencia de gestión de recursos. Tiene como propósito proporcionar a los estudiantes elementos conceptuales de la teoría económica para la comprensión del debate económico nacional, sin requerir complejidad matemática alguna. El curso cubre temas de la microeconomía y la macroeconomía. En microeconomía, se estudia el funcionamiento de los mercados y sus componentes principales, la demanda y oferta, introduciendo a los alumnos al estudio de los mercados perfectamente competitivos para culminar con el análisis de las situaciones de mercado no competitivo. En macroeconomía, se abordan los grandes objetivos macroeconómicos, la estabilización de los ciclos económicos, la estabilidad de precios y el crecimiento a largo plazo, así como la influencia de las políticas económicas. Se estudia adicionalmente el fundamento teórico de la importancia del comercio internacional. El producto acreditable de la asignatura es el trabajo final relacionado al aspecto macroeconómico y microeconómico referentes a la teoría económica.</v>
      </c>
      <c r="N41" s="431"/>
      <c r="O41" s="431"/>
      <c r="P41" s="432" t="str">
        <f>CONCATENATE(CHAR(10),CONCATENATE('3.Plan de Estudios'!AA56,CHAR(10),'3.Plan de Estudios'!AC56,CHAR(10),'3.Plan de Estudios'!AE56,CHAR(10),'3.Plan de Estudios'!AG56,CHAR(10),'3.Plan de Estudios'!AI56))</f>
        <v xml:space="preserve">
CG4: Gestión de Recursos:N1 Reconoce la teoría de gestión y sus componentes de manera aplicada para comprender la lógica empresarial.
</v>
      </c>
      <c r="Q41" s="431"/>
      <c r="R41" s="431"/>
      <c r="S41" s="431"/>
      <c r="T41" s="433" t="str">
        <f t="shared" si="0"/>
        <v>No Aplica</v>
      </c>
    </row>
    <row r="42" spans="2:20" ht="24" customHeight="1">
      <c r="B42" s="425">
        <f>IF('3.Plan de Estudios'!B57="","",'3.Plan de Estudios'!B57)</f>
        <v>4</v>
      </c>
      <c r="C42" s="425" t="str">
        <f>IF('3.Plan de Estudios'!C57="","",'3.Plan de Estudios'!C57)</f>
        <v/>
      </c>
      <c r="D42" s="435" t="str">
        <f>IF('3.Plan de Estudios'!E57="","",'3.Plan de Estudios'!E57)</f>
        <v/>
      </c>
      <c r="E42" s="426" t="str">
        <f>'3.Plan de Estudios'!I57</f>
        <v/>
      </c>
      <c r="F42" s="426" t="str">
        <f>IF('3.Plan de Estudios'!J57=0,"-",'3.Plan de Estudios'!J57)</f>
        <v>-</v>
      </c>
      <c r="G42" s="427" t="str">
        <f>IF('3.Plan de Estudios'!K57=0,"-",'3.Plan de Estudios'!K57)</f>
        <v>-</v>
      </c>
      <c r="H42" s="426" t="str">
        <f>IF('3.Plan de Estudios'!L57=0,"-",'3.Plan de Estudios'!L57)</f>
        <v>-</v>
      </c>
      <c r="I42" s="428" t="str">
        <f>IF('3.Plan de Estudios'!M57=0,"-",'3.Plan de Estudios'!M57)</f>
        <v>-</v>
      </c>
      <c r="J42" s="427" t="str">
        <f>IF('3.Plan de Estudios'!N57=0,"-",'3.Plan de Estudios'!N57)</f>
        <v>-</v>
      </c>
      <c r="K42" s="428" t="str">
        <f>IF('3.Plan de Estudios'!O57=0,"-",'3.Plan de Estudios'!O57)</f>
        <v>-</v>
      </c>
      <c r="L42" s="429" t="str">
        <f>IF('3.Plan de Estudios'!P57=0,"-",'3.Plan de Estudios'!P57)</f>
        <v>-</v>
      </c>
      <c r="M42" s="430" t="str">
        <f>IF('7.Sumillas'!G43=0,"",'7.Sumillas'!G43)</f>
        <v/>
      </c>
      <c r="N42" s="431"/>
      <c r="O42" s="431"/>
      <c r="P42" s="432" t="str">
        <f>CONCATENATE(CHAR(10),CONCATENATE('3.Plan de Estudios'!AA57,CHAR(10),'3.Plan de Estudios'!AC57,CHAR(10),'3.Plan de Estudios'!AE57,CHAR(10),'3.Plan de Estudios'!AG57,CHAR(10),'3.Plan de Estudios'!AI57))</f>
        <v xml:space="preserve">
</v>
      </c>
      <c r="Q42" s="431"/>
      <c r="R42" s="431"/>
      <c r="S42" s="431"/>
      <c r="T42" s="433" t="str">
        <f t="shared" si="0"/>
        <v>No Aplica</v>
      </c>
    </row>
    <row r="43" spans="2:20" ht="24" customHeight="1">
      <c r="B43" s="425">
        <f>IF('3.Plan de Estudios'!B58="","",'3.Plan de Estudios'!B58)</f>
        <v>4</v>
      </c>
      <c r="C43" s="425" t="str">
        <f>IF('3.Plan de Estudios'!C58="","",'3.Plan de Estudios'!C58)</f>
        <v/>
      </c>
      <c r="D43" s="435" t="str">
        <f>IF('3.Plan de Estudios'!E58="","",'3.Plan de Estudios'!E58)</f>
        <v/>
      </c>
      <c r="E43" s="426" t="str">
        <f>'3.Plan de Estudios'!I58</f>
        <v/>
      </c>
      <c r="F43" s="426" t="str">
        <f>IF('3.Plan de Estudios'!J58=0,"-",'3.Plan de Estudios'!J58)</f>
        <v>-</v>
      </c>
      <c r="G43" s="427" t="str">
        <f>IF('3.Plan de Estudios'!K58=0,"-",'3.Plan de Estudios'!K58)</f>
        <v>-</v>
      </c>
      <c r="H43" s="426" t="str">
        <f>IF('3.Plan de Estudios'!L58=0,"-",'3.Plan de Estudios'!L58)</f>
        <v>-</v>
      </c>
      <c r="I43" s="428" t="str">
        <f>IF('3.Plan de Estudios'!M58=0,"-",'3.Plan de Estudios'!M58)</f>
        <v>-</v>
      </c>
      <c r="J43" s="427" t="str">
        <f>IF('3.Plan de Estudios'!N58=0,"-",'3.Plan de Estudios'!N58)</f>
        <v>-</v>
      </c>
      <c r="K43" s="428" t="str">
        <f>IF('3.Plan de Estudios'!O58=0,"-",'3.Plan de Estudios'!O58)</f>
        <v>-</v>
      </c>
      <c r="L43" s="429" t="str">
        <f>IF('3.Plan de Estudios'!P58=0,"-",'3.Plan de Estudios'!P58)</f>
        <v>-</v>
      </c>
      <c r="M43" s="430" t="str">
        <f>IF('7.Sumillas'!G44=0,"",'7.Sumillas'!G44)</f>
        <v/>
      </c>
      <c r="N43" s="431"/>
      <c r="O43" s="431"/>
      <c r="P43" s="432" t="str">
        <f>CONCATENATE(CHAR(10),CONCATENATE('3.Plan de Estudios'!AA58,CHAR(10),'3.Plan de Estudios'!AC58,CHAR(10),'3.Plan de Estudios'!AE58,CHAR(10),'3.Plan de Estudios'!AG58,CHAR(10),'3.Plan de Estudios'!AI58))</f>
        <v xml:space="preserve">
</v>
      </c>
      <c r="Q43" s="431"/>
      <c r="R43" s="431"/>
      <c r="S43" s="431"/>
      <c r="T43" s="433" t="str">
        <f t="shared" si="0"/>
        <v>No Aplica</v>
      </c>
    </row>
    <row r="44" spans="2:20" ht="24" customHeight="1">
      <c r="B44" s="425">
        <f>IF('3.Plan de Estudios'!B59="","",'3.Plan de Estudios'!B59)</f>
        <v>4</v>
      </c>
      <c r="C44" s="425" t="str">
        <f>IF('3.Plan de Estudios'!C59="","",'3.Plan de Estudios'!C59)</f>
        <v/>
      </c>
      <c r="D44" s="435" t="str">
        <f>IF('3.Plan de Estudios'!E59="","",'3.Plan de Estudios'!E59)</f>
        <v/>
      </c>
      <c r="E44" s="426" t="str">
        <f>'3.Plan de Estudios'!I59</f>
        <v/>
      </c>
      <c r="F44" s="426" t="str">
        <f>IF('3.Plan de Estudios'!J59=0,"-",'3.Plan de Estudios'!J59)</f>
        <v>-</v>
      </c>
      <c r="G44" s="427" t="str">
        <f>IF('3.Plan de Estudios'!K59=0,"-",'3.Plan de Estudios'!K59)</f>
        <v>-</v>
      </c>
      <c r="H44" s="426" t="str">
        <f>IF('3.Plan de Estudios'!L59=0,"-",'3.Plan de Estudios'!L59)</f>
        <v>-</v>
      </c>
      <c r="I44" s="428" t="str">
        <f>IF('3.Plan de Estudios'!M59=0,"-",'3.Plan de Estudios'!M59)</f>
        <v>-</v>
      </c>
      <c r="J44" s="427" t="str">
        <f>IF('3.Plan de Estudios'!N59=0,"-",'3.Plan de Estudios'!N59)</f>
        <v>-</v>
      </c>
      <c r="K44" s="428" t="str">
        <f>IF('3.Plan de Estudios'!O59=0,"-",'3.Plan de Estudios'!O59)</f>
        <v>-</v>
      </c>
      <c r="L44" s="429" t="str">
        <f>IF('3.Plan de Estudios'!P59=0,"-",'3.Plan de Estudios'!P59)</f>
        <v>-</v>
      </c>
      <c r="M44" s="430" t="str">
        <f>IF('7.Sumillas'!G45=0,"",'7.Sumillas'!G45)</f>
        <v/>
      </c>
      <c r="N44" s="431"/>
      <c r="O44" s="431"/>
      <c r="P44" s="432" t="str">
        <f>CONCATENATE(CHAR(10),CONCATENATE('3.Plan de Estudios'!AA59,CHAR(10),'3.Plan de Estudios'!AC59,CHAR(10),'3.Plan de Estudios'!AE59,CHAR(10),'3.Plan de Estudios'!AG59,CHAR(10),'3.Plan de Estudios'!AI59))</f>
        <v xml:space="preserve">
</v>
      </c>
      <c r="Q44" s="431"/>
      <c r="R44" s="431"/>
      <c r="S44" s="431"/>
      <c r="T44" s="433" t="str">
        <f t="shared" si="0"/>
        <v>No Aplica</v>
      </c>
    </row>
    <row r="45" spans="2:20" ht="24" customHeight="1">
      <c r="B45" s="425">
        <f>IF('3.Plan de Estudios'!B60="","",'3.Plan de Estudios'!B60)</f>
        <v>4</v>
      </c>
      <c r="C45" s="425" t="str">
        <f>IF('3.Plan de Estudios'!C60="","",'3.Plan de Estudios'!C60)</f>
        <v/>
      </c>
      <c r="D45" s="435" t="str">
        <f>IF('3.Plan de Estudios'!E60="","",'3.Plan de Estudios'!E60)</f>
        <v/>
      </c>
      <c r="E45" s="426" t="str">
        <f>'3.Plan de Estudios'!I60</f>
        <v/>
      </c>
      <c r="F45" s="426" t="str">
        <f>IF('3.Plan de Estudios'!J60=0,"-",'3.Plan de Estudios'!J60)</f>
        <v>-</v>
      </c>
      <c r="G45" s="427" t="str">
        <f>IF('3.Plan de Estudios'!K60=0,"-",'3.Plan de Estudios'!K60)</f>
        <v>-</v>
      </c>
      <c r="H45" s="426" t="str">
        <f>IF('3.Plan de Estudios'!L60=0,"-",'3.Plan de Estudios'!L60)</f>
        <v>-</v>
      </c>
      <c r="I45" s="428" t="str">
        <f>IF('3.Plan de Estudios'!M60=0,"-",'3.Plan de Estudios'!M60)</f>
        <v>-</v>
      </c>
      <c r="J45" s="427" t="str">
        <f>IF('3.Plan de Estudios'!N60=0,"-",'3.Plan de Estudios'!N60)</f>
        <v>-</v>
      </c>
      <c r="K45" s="428" t="str">
        <f>IF('3.Plan de Estudios'!O60=0,"-",'3.Plan de Estudios'!O60)</f>
        <v>-</v>
      </c>
      <c r="L45" s="429" t="str">
        <f>IF('3.Plan de Estudios'!P60=0,"-",'3.Plan de Estudios'!P60)</f>
        <v>-</v>
      </c>
      <c r="M45" s="430" t="str">
        <f>IF('7.Sumillas'!G46=0,"",'7.Sumillas'!G46)</f>
        <v/>
      </c>
      <c r="N45" s="431"/>
      <c r="O45" s="431"/>
      <c r="P45" s="432" t="str">
        <f>CONCATENATE(CHAR(10),CONCATENATE('3.Plan de Estudios'!AA60,CHAR(10),'3.Plan de Estudios'!AC60,CHAR(10),'3.Plan de Estudios'!AE60,CHAR(10),'3.Plan de Estudios'!AG60,CHAR(10),'3.Plan de Estudios'!AI60))</f>
        <v xml:space="preserve">
</v>
      </c>
      <c r="Q45" s="431"/>
      <c r="R45" s="431"/>
      <c r="S45" s="431"/>
      <c r="T45" s="433" t="str">
        <f t="shared" si="0"/>
        <v>No Aplica</v>
      </c>
    </row>
    <row r="46" spans="2:20" ht="24" customHeight="1">
      <c r="B46" s="425">
        <f>IF('3.Plan de Estudios'!B61="","",'3.Plan de Estudios'!B61)</f>
        <v>4</v>
      </c>
      <c r="C46" s="425" t="str">
        <f>IF('3.Plan de Estudios'!C61="","",'3.Plan de Estudios'!C61)</f>
        <v/>
      </c>
      <c r="D46" s="435" t="str">
        <f>IF('3.Plan de Estudios'!E61="","",'3.Plan de Estudios'!E61)</f>
        <v/>
      </c>
      <c r="E46" s="426" t="str">
        <f>'3.Plan de Estudios'!I61</f>
        <v/>
      </c>
      <c r="F46" s="426" t="str">
        <f>IF('3.Plan de Estudios'!J61=0,"-",'3.Plan de Estudios'!J61)</f>
        <v>-</v>
      </c>
      <c r="G46" s="427" t="str">
        <f>IF('3.Plan de Estudios'!K61=0,"-",'3.Plan de Estudios'!K61)</f>
        <v>-</v>
      </c>
      <c r="H46" s="426" t="str">
        <f>IF('3.Plan de Estudios'!L61=0,"-",'3.Plan de Estudios'!L61)</f>
        <v>-</v>
      </c>
      <c r="I46" s="428" t="str">
        <f>IF('3.Plan de Estudios'!M61=0,"-",'3.Plan de Estudios'!M61)</f>
        <v>-</v>
      </c>
      <c r="J46" s="427" t="str">
        <f>IF('3.Plan de Estudios'!N61=0,"-",'3.Plan de Estudios'!N61)</f>
        <v>-</v>
      </c>
      <c r="K46" s="428" t="str">
        <f>IF('3.Plan de Estudios'!O61=0,"-",'3.Plan de Estudios'!O61)</f>
        <v>-</v>
      </c>
      <c r="L46" s="429" t="str">
        <f>IF('3.Plan de Estudios'!P61=0,"-",'3.Plan de Estudios'!P61)</f>
        <v>-</v>
      </c>
      <c r="M46" s="430" t="str">
        <f>IF('7.Sumillas'!G47=0,"",'7.Sumillas'!G47)</f>
        <v/>
      </c>
      <c r="N46" s="431"/>
      <c r="O46" s="431"/>
      <c r="P46" s="432" t="str">
        <f>CONCATENATE(CHAR(10),CONCATENATE('3.Plan de Estudios'!AA61,CHAR(10),'3.Plan de Estudios'!AC61,CHAR(10),'3.Plan de Estudios'!AE61,CHAR(10),'3.Plan de Estudios'!AG61,CHAR(10),'3.Plan de Estudios'!AI61))</f>
        <v xml:space="preserve">
</v>
      </c>
      <c r="Q46" s="431"/>
      <c r="R46" s="431"/>
      <c r="S46" s="431"/>
      <c r="T46" s="433" t="str">
        <f t="shared" si="0"/>
        <v>No Aplica</v>
      </c>
    </row>
    <row r="47" spans="2:20" ht="24" customHeight="1">
      <c r="B47" s="425">
        <f>IF('3.Plan de Estudios'!B63="","",'3.Plan de Estudios'!B63)</f>
        <v>5</v>
      </c>
      <c r="C47" s="425" t="str">
        <f>IF('3.Plan de Estudios'!C63="","",'3.Plan de Estudios'!C63)</f>
        <v>ENG42091</v>
      </c>
      <c r="D47" s="435" t="str">
        <f>IF('3.Plan de Estudios'!E63="","",'3.Plan de Estudios'!E63)</f>
        <v>ENGLISH V</v>
      </c>
      <c r="E47" s="426" t="str">
        <f>'3.Plan de Estudios'!I63</f>
        <v>Presencial</v>
      </c>
      <c r="F47" s="426">
        <f>IF('3.Plan de Estudios'!J63=0,"-",'3.Plan de Estudios'!J63)</f>
        <v>48</v>
      </c>
      <c r="G47" s="427" t="str">
        <f>IF('3.Plan de Estudios'!K63=0,"-",'3.Plan de Estudios'!K63)</f>
        <v>-</v>
      </c>
      <c r="H47" s="426">
        <f>IF('3.Plan de Estudios'!L63=0,"-",'3.Plan de Estudios'!L63)</f>
        <v>32</v>
      </c>
      <c r="I47" s="428" t="str">
        <f>IF('3.Plan de Estudios'!M63=0,"-",'3.Plan de Estudios'!M63)</f>
        <v>-</v>
      </c>
      <c r="J47" s="427" t="str">
        <f>IF('3.Plan de Estudios'!N63=0,"-",'3.Plan de Estudios'!N63)</f>
        <v>-</v>
      </c>
      <c r="K47" s="428" t="str">
        <f>IF('3.Plan de Estudios'!O63=0,"-",'3.Plan de Estudios'!O63)</f>
        <v>-</v>
      </c>
      <c r="L47" s="429">
        <f>IF('3.Plan de Estudios'!P63=0,"-",'3.Plan de Estudios'!P63)</f>
        <v>4</v>
      </c>
      <c r="M47" s="430" t="str">
        <f>IF('7.Sumillas'!G48=0,"",'7.Sumillas'!G48)</f>
        <v xml:space="preserve">English V, es un curso que pertenece al área formativa de estudios específicos, tiene carácter teórico-práctico, y tributa a la competencia de comunicación bilingüe. Contribuye al desarrollo de la competencia comunicativa, nivel B1-B2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 </v>
      </c>
      <c r="N47" s="431"/>
      <c r="O47" s="431"/>
      <c r="P47" s="432" t="str">
        <f>CONCATENATE(CHAR(10),CONCATENATE('3.Plan de Estudios'!AA63,CHAR(10),'3.Plan de Estudios'!AC63,CHAR(10),'3.Plan de Estudios'!AE63,CHAR(10),'3.Plan de Estudios'!AG63,CHAR(10),'3.Plan de Estudios'!AI63))</f>
        <v xml:space="preserve">
CG2: Comunicación Bilingüe:N2 Aplica las competencias correspondientes al nivel B1 según los estándares del Marco de Referencia de la Comunidad Europea (CEFR).
</v>
      </c>
      <c r="Q47" s="431"/>
      <c r="R47" s="431"/>
      <c r="S47" s="431"/>
      <c r="T47" s="433" t="str">
        <f t="shared" si="0"/>
        <v>No Aplica</v>
      </c>
    </row>
    <row r="48" spans="2:20" ht="24" customHeight="1">
      <c r="B48" s="425">
        <f>IF('3.Plan de Estudios'!B64="","",'3.Plan de Estudios'!B64)</f>
        <v>5</v>
      </c>
      <c r="C48" s="425" t="str">
        <f>IF('3.Plan de Estudios'!C64="","",'3.Plan de Estudios'!C64)</f>
        <v>EDG62026</v>
      </c>
      <c r="D48" s="435" t="str">
        <f>IF('3.Plan de Estudios'!E64="","",'3.Plan de Estudios'!E64)</f>
        <v>ESTRATEGIAS DE ENSEÑANZA APRENDIZAJE</v>
      </c>
      <c r="E48" s="426" t="str">
        <f>'3.Plan de Estudios'!I64</f>
        <v>Presencial</v>
      </c>
      <c r="F48" s="426">
        <f>IF('3.Plan de Estudios'!J64=0,"-",'3.Plan de Estudios'!J64)</f>
        <v>36</v>
      </c>
      <c r="G48" s="427" t="str">
        <f>IF('3.Plan de Estudios'!K64=0,"-",'3.Plan de Estudios'!K64)</f>
        <v>-</v>
      </c>
      <c r="H48" s="426">
        <f>IF('3.Plan de Estudios'!L64=0,"-",'3.Plan de Estudios'!L64)</f>
        <v>56</v>
      </c>
      <c r="I48" s="428" t="str">
        <f>IF('3.Plan de Estudios'!M64=0,"-",'3.Plan de Estudios'!M64)</f>
        <v>-</v>
      </c>
      <c r="J48" s="427" t="str">
        <f>IF('3.Plan de Estudios'!N64=0,"-",'3.Plan de Estudios'!N64)</f>
        <v>-</v>
      </c>
      <c r="K48" s="428" t="str">
        <f>IF('3.Plan de Estudios'!O64=0,"-",'3.Plan de Estudios'!O64)</f>
        <v>-</v>
      </c>
      <c r="L48" s="429">
        <f>IF('3.Plan de Estudios'!P64=0,"-",'3.Plan de Estudios'!P64)</f>
        <v>4</v>
      </c>
      <c r="M48" s="430" t="str">
        <f>IF('7.Sumillas'!G49=0,"",'7.Sumillas'!G49)</f>
        <v>Estrategias de Enseñanza Aprendizaje, es un asignatura de formación especializada y naturaleza teórico-práctico. Este curso tributa a la competencia: Desarrollo de Enseñanza y aprendizaje y que el estudiante alcance el nivel de manera eficaz y el mejoramiento de la enseñanza docente para elevar la calidad educativa.Comprende los siguientes ejes temáticos: Neuro-educación, los aportes de la neurociencia a la educación; estrategias de enseñanza aprendizaje y la didáctica de enseñanza aprendizaje. El producto acreditable de la asignatura es el informe de una propuesta de sesión de aprendizaje utilizando el ABP.</v>
      </c>
      <c r="N48" s="431"/>
      <c r="O48" s="431"/>
      <c r="P48" s="432" t="str">
        <f>CONCATENATE(CHAR(10),CONCATENATE('3.Plan de Estudios'!AA64,CHAR(10),'3.Plan de Estudios'!AC64,CHAR(10),'3.Plan de Estudios'!AE64,CHAR(10),'3.Plan de Estudios'!AG64,CHAR(10),'3.Plan de Estudios'!AI64))</f>
        <v xml:space="preserve">
CP3: Desarrollo enseñanza y aprendizaje:N2 Efectúa, de manera eficaz, el mejoramiento de la enseñanza docente para elevar la calidad educativa.
</v>
      </c>
      <c r="Q48" s="431"/>
      <c r="R48" s="431"/>
      <c r="S48" s="431"/>
      <c r="T48" s="433" t="str">
        <f t="shared" si="0"/>
        <v>No Aplica</v>
      </c>
    </row>
    <row r="49" spans="2:20" ht="24" customHeight="1">
      <c r="B49" s="425">
        <f>IF('3.Plan de Estudios'!B65="","",'3.Plan de Estudios'!B65)</f>
        <v>5</v>
      </c>
      <c r="C49" s="425" t="str">
        <f>IF('3.Plan de Estudios'!C65="","",'3.Plan de Estudios'!C65)</f>
        <v>ETM41007</v>
      </c>
      <c r="D49" s="435" t="str">
        <f>IF('3.Plan de Estudios'!E65="","",'3.Plan de Estudios'!E65)</f>
        <v>ÉTICA Y CIUDADANÍA</v>
      </c>
      <c r="E49" s="426" t="str">
        <f>'3.Plan de Estudios'!I65</f>
        <v>Presencial</v>
      </c>
      <c r="F49" s="426">
        <f>IF('3.Plan de Estudios'!J65=0,"-",'3.Plan de Estudios'!J65)</f>
        <v>34</v>
      </c>
      <c r="G49" s="427" t="str">
        <f>IF('3.Plan de Estudios'!K65=0,"-",'3.Plan de Estudios'!K65)</f>
        <v>-</v>
      </c>
      <c r="H49" s="426">
        <f>IF('3.Plan de Estudios'!L65=0,"-",'3.Plan de Estudios'!L65)</f>
        <v>28</v>
      </c>
      <c r="I49" s="428" t="str">
        <f>IF('3.Plan de Estudios'!M65=0,"-",'3.Plan de Estudios'!M65)</f>
        <v>-</v>
      </c>
      <c r="J49" s="427" t="str">
        <f>IF('3.Plan de Estudios'!N65=0,"-",'3.Plan de Estudios'!N65)</f>
        <v>-</v>
      </c>
      <c r="K49" s="428" t="str">
        <f>IF('3.Plan de Estudios'!O65=0,"-",'3.Plan de Estudios'!O65)</f>
        <v>-</v>
      </c>
      <c r="L49" s="429">
        <f>IF('3.Plan de Estudios'!P65=0,"-",'3.Plan de Estudios'!P65)</f>
        <v>3</v>
      </c>
      <c r="M49" s="430" t="str">
        <f>IF('7.Sumillas'!G50=0,"",'7.Sumillas'!G50)</f>
        <v>Ética y Ciudadanía, perteneciente a estudios generales, es un curso teórico-práctico, tributa a la competencia de desarrollo humano, a través de la aplicación a casos de la realidad actual, en el que los estudiantes desarrollan capacidades para reflexionar e intervenir, a través de juicios críticos y argumentativos, en los espacios públicos y privados pertinentes. La asignatura comprende las investigaciones filosóficas de la ética y la ciudadanía, así como sus aplicaciones en la persona, la sociedad y la vida profesional. El curso está organizado en cuatro áreas temáticas: ética; ética y persona; ética para la ciudadanía; ética y profesión. El producto acreditable es un ensayo sobre los temas del curso.</v>
      </c>
      <c r="N49" s="431"/>
      <c r="O49" s="431"/>
      <c r="P49" s="432" t="str">
        <f>CONCATENATE(CHAR(10),CONCATENATE('3.Plan de Estudios'!AA65,CHAR(10),'3.Plan de Estudios'!AC65,CHAR(10),'3.Plan de Estudios'!AE65,CHAR(10),'3.Plan de Estudios'!AG65,CHAR(10),'3.Plan de Estudios'!AI65))</f>
        <v xml:space="preserve">
CG5: Desarrollo Humano:N3 Demuestra sensibilidad y disposición social en las interacciones de su vida académica, con asertividad y empatía, para afrontar de manera satisfactoria las exigencias sociales y profesionales.
</v>
      </c>
      <c r="Q49" s="431"/>
      <c r="R49" s="431"/>
      <c r="S49" s="431"/>
      <c r="T49" s="433" t="str">
        <f t="shared" si="0"/>
        <v>No Aplica</v>
      </c>
    </row>
    <row r="50" spans="2:20" ht="24" customHeight="1">
      <c r="B50" s="425">
        <f>IF('3.Plan de Estudios'!B66="","",'3.Plan de Estudios'!B66)</f>
        <v>5</v>
      </c>
      <c r="C50" s="425" t="str">
        <f>IF('3.Plan de Estudios'!C66="","",'3.Plan de Estudios'!C66)</f>
        <v>ESE61015</v>
      </c>
      <c r="D50" s="435" t="str">
        <f>IF('3.Plan de Estudios'!E66="","",'3.Plan de Estudios'!E66)</f>
        <v>FOUNDATIONS OF GENERAL LINGUISTICS</v>
      </c>
      <c r="E50" s="426" t="str">
        <f>'3.Plan de Estudios'!I66</f>
        <v>Presencial</v>
      </c>
      <c r="F50" s="426">
        <f>IF('3.Plan de Estudios'!J66=0,"-",'3.Plan de Estudios'!J66)</f>
        <v>36</v>
      </c>
      <c r="G50" s="427" t="str">
        <f>IF('3.Plan de Estudios'!K66=0,"-",'3.Plan de Estudios'!K66)</f>
        <v>-</v>
      </c>
      <c r="H50" s="426">
        <f>IF('3.Plan de Estudios'!L66=0,"-",'3.Plan de Estudios'!L66)</f>
        <v>56</v>
      </c>
      <c r="I50" s="428" t="str">
        <f>IF('3.Plan de Estudios'!M66=0,"-",'3.Plan de Estudios'!M66)</f>
        <v>-</v>
      </c>
      <c r="J50" s="427" t="str">
        <f>IF('3.Plan de Estudios'!N66=0,"-",'3.Plan de Estudios'!N66)</f>
        <v>-</v>
      </c>
      <c r="K50" s="428" t="str">
        <f>IF('3.Plan de Estudios'!O66=0,"-",'3.Plan de Estudios'!O66)</f>
        <v>-</v>
      </c>
      <c r="L50" s="429">
        <f>IF('3.Plan de Estudios'!P66=0,"-",'3.Plan de Estudios'!P66)</f>
        <v>4</v>
      </c>
      <c r="M50" s="430" t="str">
        <f>IF('7.Sumillas'!G51=0,"",'7.Sumillas'!G51)</f>
        <v>The Fundamentals of General Linguistics course is of a theoretical-practical nature, its purpose is to privilege the use of the English language and introduce students to the problems of the various currents of linguistics, so that they can respond to the demands of their future students. . This subject attributes to the competence: Comprehension and expression of the English language. Understands and develops critical thinking in an integral way of the English language as a second language, perfecting certain fundamental aspects such as the phonetic and lexical field. The accreditable product is the production of an argumentative and expository text.</v>
      </c>
      <c r="N50" s="431"/>
      <c r="O50" s="431"/>
      <c r="P50" s="432" t="str">
        <f>CONCATENATE(CHAR(10),CONCATENATE('3.Plan de Estudios'!AA66,CHAR(10),'3.Plan de Estudios'!AC66,CHAR(10),'3.Plan de Estudios'!AE66,CHAR(10),'3.Plan de Estudios'!AG66,CHAR(10),'3.Plan de Estudios'!AI66))</f>
        <v xml:space="preserve">
CP5: Comprensión y expresión del idioma inglés:N2 Comprende y desarrolla el pensamiento crítico de manera integral del idioma inglés como segunda lengua, perfeccionando ciertos aspectos fundamentales como el campo fonético y léxico. 
</v>
      </c>
      <c r="Q50" s="431"/>
      <c r="R50" s="431"/>
      <c r="S50" s="431"/>
      <c r="T50" s="433" t="str">
        <f t="shared" si="0"/>
        <v>No Aplica</v>
      </c>
    </row>
    <row r="51" spans="2:20" ht="24" customHeight="1">
      <c r="B51" s="425">
        <f>IF('3.Plan de Estudios'!B67="","",'3.Plan de Estudios'!B67)</f>
        <v>5</v>
      </c>
      <c r="C51" s="425" t="str">
        <f>IF('3.Plan de Estudios'!C67="","",'3.Plan de Estudios'!C67)</f>
        <v>FIN42006</v>
      </c>
      <c r="D51" s="435" t="str">
        <f>IF('3.Plan de Estudios'!E67="","",'3.Plan de Estudios'!E67)</f>
        <v>FUNDAMENTOS DE LAS FINANZAS</v>
      </c>
      <c r="E51" s="426" t="str">
        <f>'3.Plan de Estudios'!I67</f>
        <v>Presencial</v>
      </c>
      <c r="F51" s="426">
        <f>IF('3.Plan de Estudios'!J67=0,"-",'3.Plan de Estudios'!J67)</f>
        <v>64</v>
      </c>
      <c r="G51" s="427" t="str">
        <f>IF('3.Plan de Estudios'!K67=0,"-",'3.Plan de Estudios'!K67)</f>
        <v>-</v>
      </c>
      <c r="H51" s="426" t="str">
        <f>IF('3.Plan de Estudios'!L67=0,"-",'3.Plan de Estudios'!L67)</f>
        <v>-</v>
      </c>
      <c r="I51" s="428" t="str">
        <f>IF('3.Plan de Estudios'!M67=0,"-",'3.Plan de Estudios'!M67)</f>
        <v>-</v>
      </c>
      <c r="J51" s="427" t="str">
        <f>IF('3.Plan de Estudios'!N67=0,"-",'3.Plan de Estudios'!N67)</f>
        <v>-</v>
      </c>
      <c r="K51" s="428" t="str">
        <f>IF('3.Plan de Estudios'!O67=0,"-",'3.Plan de Estudios'!O67)</f>
        <v>-</v>
      </c>
      <c r="L51" s="429">
        <f>IF('3.Plan de Estudios'!P67=0,"-",'3.Plan de Estudios'!P67)</f>
        <v>4</v>
      </c>
      <c r="M51" s="430" t="str">
        <f>IF('7.Sumillas'!G52=0,"",'7.Sumillas'!G52)</f>
        <v>Fundamentos de las Finanzas, es un curso teórico, pertenece al área específica y contribuye a la competencia general de gestión de recursos. Brinda los conocimientos fundamentales sobre las finanzas de corto, mediano y largo plazo para la toma de decisiones en la empresa. Sus ejes temáticos incluyen nociones generales de valor de dinero en el tiempo, la contabilidad como herramienta de gestión, conceptos básicos de finanzas de corto plazo y evaluación de inversiones. El producto acreditable consiste en la entrega de un trabajo final grupal y sustentación de un tema seleccionado que tiene referencia con el curso.</v>
      </c>
      <c r="N51" s="431"/>
      <c r="O51" s="431"/>
      <c r="P51" s="432" t="str">
        <f>CONCATENATE(CHAR(10),CONCATENATE('3.Plan de Estudios'!AA67,CHAR(10),'3.Plan de Estudios'!AC67,CHAR(10),'3.Plan de Estudios'!AE67,CHAR(10),'3.Plan de Estudios'!AG67,CHAR(10),'3.Plan de Estudios'!AI67))</f>
        <v xml:space="preserve">
CG4: Gestión de Recursos:N2 Describe el mercado con el uso de herramientas de marketing y/o modelos económicos para definir objetivos empresariales.
</v>
      </c>
      <c r="Q51" s="431"/>
      <c r="R51" s="431"/>
      <c r="S51" s="431"/>
      <c r="T51" s="433" t="str">
        <f t="shared" si="0"/>
        <v>No Aplica</v>
      </c>
    </row>
    <row r="52" spans="2:20" ht="24" customHeight="1">
      <c r="B52" s="425">
        <f>IF('3.Plan de Estudios'!B68="","",'3.Plan de Estudios'!B68)</f>
        <v>5</v>
      </c>
      <c r="C52" s="425" t="str">
        <f>IF('3.Plan de Estudios'!C68="","",'3.Plan de Estudios'!C68)</f>
        <v>PSI52006</v>
      </c>
      <c r="D52" s="435" t="str">
        <f>IF('3.Plan de Estudios'!E68="","",'3.Plan de Estudios'!E68)</f>
        <v>PSICOLOGÍA EVOLUTIVA PARA EDUCACIÓN</v>
      </c>
      <c r="E52" s="426" t="str">
        <f>'3.Plan de Estudios'!I68</f>
        <v>Presencial</v>
      </c>
      <c r="F52" s="426">
        <f>IF('3.Plan de Estudios'!J68=0,"-",'3.Plan de Estudios'!J68)</f>
        <v>32</v>
      </c>
      <c r="G52" s="427" t="str">
        <f>IF('3.Plan de Estudios'!K68=0,"-",'3.Plan de Estudios'!K68)</f>
        <v>-</v>
      </c>
      <c r="H52" s="426" t="str">
        <f>IF('3.Plan de Estudios'!L68=0,"-",'3.Plan de Estudios'!L68)</f>
        <v>-</v>
      </c>
      <c r="I52" s="428" t="str">
        <f>IF('3.Plan de Estudios'!M68=0,"-",'3.Plan de Estudios'!M68)</f>
        <v>-</v>
      </c>
      <c r="J52" s="427" t="str">
        <f>IF('3.Plan de Estudios'!N68=0,"-",'3.Plan de Estudios'!N68)</f>
        <v>-</v>
      </c>
      <c r="K52" s="428" t="str">
        <f>IF('3.Plan de Estudios'!O68=0,"-",'3.Plan de Estudios'!O68)</f>
        <v>-</v>
      </c>
      <c r="L52" s="429">
        <f>IF('3.Plan de Estudios'!P68=0,"-",'3.Plan de Estudios'!P68)</f>
        <v>2</v>
      </c>
      <c r="M52" s="430" t="str">
        <f>IF('7.Sumillas'!G53=0,"",'7.Sumillas'!G53)</f>
        <v>El curso Psicología evolutiva para la educación, es de naturaleza teórico, atributa a las competencias: Orientación Educativa y Desarrollo Humano. Asimismo, concibe la observación educativa a nivel de la teoría, historia y psicología  para establecer las orientaciones básicas que permitan el desarrollo evolutivo. Así como las alteraciones conductuales que influyen en su evolución, con el fin de evitar desajustes en el desarrollo personal y mental del ser humano. El producto acreditable de la asignatura pretende desarrollar y poner en contacto al futuro educador, con conocimientos y criterios que fundamentarán su labor de formación y adecuada estimulación de los niños y niñas en edad escolar.</v>
      </c>
      <c r="N52" s="431"/>
      <c r="O52" s="431"/>
      <c r="P52" s="432" t="str">
        <f>CONCATENATE(CHAR(10),CONCATENATE('3.Plan de Estudios'!AA68,CHAR(10),'3.Plan de Estudios'!AC68,CHAR(10),'3.Plan de Estudios'!AE68,CHAR(10),'3.Plan de Estudios'!AG68,CHAR(10),'3.Plan de Estudios'!AI68))</f>
        <v xml:space="preserve">
CP1: Orientación educativa:N2 Concibe la observación educativa a nivel de la teoría, historia y psicología  para establecer las orientaciones básicas que permitan el desarrollo evolutivo.
CG5: Desarrollo Humano:N2 Relaciona sus características personales, valores y capacidades a través del análisis de casos para interactuar de forma propositiva con su entorno social.
</v>
      </c>
      <c r="Q52" s="431"/>
      <c r="R52" s="431"/>
      <c r="S52" s="431"/>
      <c r="T52" s="433" t="str">
        <f t="shared" si="0"/>
        <v>No Aplica</v>
      </c>
    </row>
    <row r="53" spans="2:20" ht="24" customHeight="1">
      <c r="B53" s="425">
        <f>IF('3.Plan de Estudios'!B69="","",'3.Plan de Estudios'!B69)</f>
        <v>5</v>
      </c>
      <c r="C53" s="425" t="str">
        <f>IF('3.Plan de Estudios'!C69="","",'3.Plan de Estudios'!C69)</f>
        <v/>
      </c>
      <c r="D53" s="435" t="str">
        <f>IF('3.Plan de Estudios'!E69="","",'3.Plan de Estudios'!E69)</f>
        <v/>
      </c>
      <c r="E53" s="426" t="str">
        <f>'3.Plan de Estudios'!I69</f>
        <v/>
      </c>
      <c r="F53" s="426" t="str">
        <f>IF('3.Plan de Estudios'!J69=0,"-",'3.Plan de Estudios'!J69)</f>
        <v>-</v>
      </c>
      <c r="G53" s="427" t="str">
        <f>IF('3.Plan de Estudios'!K69=0,"-",'3.Plan de Estudios'!K69)</f>
        <v>-</v>
      </c>
      <c r="H53" s="426" t="str">
        <f>IF('3.Plan de Estudios'!L69=0,"-",'3.Plan de Estudios'!L69)</f>
        <v>-</v>
      </c>
      <c r="I53" s="428" t="str">
        <f>IF('3.Plan de Estudios'!M69=0,"-",'3.Plan de Estudios'!M69)</f>
        <v>-</v>
      </c>
      <c r="J53" s="427" t="str">
        <f>IF('3.Plan de Estudios'!N69=0,"-",'3.Plan de Estudios'!N69)</f>
        <v>-</v>
      </c>
      <c r="K53" s="428" t="str">
        <f>IF('3.Plan de Estudios'!O69=0,"-",'3.Plan de Estudios'!O69)</f>
        <v>-</v>
      </c>
      <c r="L53" s="429" t="str">
        <f>IF('3.Plan de Estudios'!P69=0,"-",'3.Plan de Estudios'!P69)</f>
        <v>-</v>
      </c>
      <c r="M53" s="430" t="str">
        <f>IF('7.Sumillas'!G54=0,"",'7.Sumillas'!G54)</f>
        <v/>
      </c>
      <c r="N53" s="431"/>
      <c r="O53" s="431"/>
      <c r="P53" s="432" t="str">
        <f>CONCATENATE(CHAR(10),CONCATENATE('3.Plan de Estudios'!AA69,CHAR(10),'3.Plan de Estudios'!AC69,CHAR(10),'3.Plan de Estudios'!AE69,CHAR(10),'3.Plan de Estudios'!AG69,CHAR(10),'3.Plan de Estudios'!AI69))</f>
        <v xml:space="preserve">
</v>
      </c>
      <c r="Q53" s="431"/>
      <c r="R53" s="431"/>
      <c r="S53" s="431"/>
      <c r="T53" s="433" t="str">
        <f t="shared" si="0"/>
        <v>No Aplica</v>
      </c>
    </row>
    <row r="54" spans="2:20" ht="24" customHeight="1">
      <c r="B54" s="425">
        <f>IF('3.Plan de Estudios'!B70="","",'3.Plan de Estudios'!B70)</f>
        <v>5</v>
      </c>
      <c r="C54" s="425" t="str">
        <f>IF('3.Plan de Estudios'!C70="","",'3.Plan de Estudios'!C70)</f>
        <v/>
      </c>
      <c r="D54" s="435" t="str">
        <f>IF('3.Plan de Estudios'!E70="","",'3.Plan de Estudios'!E70)</f>
        <v/>
      </c>
      <c r="E54" s="426" t="str">
        <f>'3.Plan de Estudios'!I70</f>
        <v/>
      </c>
      <c r="F54" s="426" t="str">
        <f>IF('3.Plan de Estudios'!J70=0,"-",'3.Plan de Estudios'!J70)</f>
        <v>-</v>
      </c>
      <c r="G54" s="427" t="str">
        <f>IF('3.Plan de Estudios'!K70=0,"-",'3.Plan de Estudios'!K70)</f>
        <v>-</v>
      </c>
      <c r="H54" s="426" t="str">
        <f>IF('3.Plan de Estudios'!L70=0,"-",'3.Plan de Estudios'!L70)</f>
        <v>-</v>
      </c>
      <c r="I54" s="428" t="str">
        <f>IF('3.Plan de Estudios'!M70=0,"-",'3.Plan de Estudios'!M70)</f>
        <v>-</v>
      </c>
      <c r="J54" s="427" t="str">
        <f>IF('3.Plan de Estudios'!N70=0,"-",'3.Plan de Estudios'!N70)</f>
        <v>-</v>
      </c>
      <c r="K54" s="428" t="str">
        <f>IF('3.Plan de Estudios'!O70=0,"-",'3.Plan de Estudios'!O70)</f>
        <v>-</v>
      </c>
      <c r="L54" s="429" t="str">
        <f>IF('3.Plan de Estudios'!P70=0,"-",'3.Plan de Estudios'!P70)</f>
        <v>-</v>
      </c>
      <c r="M54" s="430" t="str">
        <f>IF('7.Sumillas'!G55=0,"",'7.Sumillas'!G55)</f>
        <v/>
      </c>
      <c r="N54" s="431"/>
      <c r="O54" s="431"/>
      <c r="P54" s="432" t="str">
        <f>CONCATENATE(CHAR(10),CONCATENATE('3.Plan de Estudios'!AA70,CHAR(10),'3.Plan de Estudios'!AC70,CHAR(10),'3.Plan de Estudios'!AE70,CHAR(10),'3.Plan de Estudios'!AG70,CHAR(10),'3.Plan de Estudios'!AI70))</f>
        <v xml:space="preserve">
</v>
      </c>
      <c r="Q54" s="431"/>
      <c r="R54" s="431"/>
      <c r="S54" s="431"/>
      <c r="T54" s="433" t="str">
        <f t="shared" si="0"/>
        <v>No Aplica</v>
      </c>
    </row>
    <row r="55" spans="2:20" ht="24" customHeight="1">
      <c r="B55" s="425">
        <f>IF('3.Plan de Estudios'!B71="","",'3.Plan de Estudios'!B71)</f>
        <v>5</v>
      </c>
      <c r="C55" s="425" t="str">
        <f>IF('3.Plan de Estudios'!C71="","",'3.Plan de Estudios'!C71)</f>
        <v/>
      </c>
      <c r="D55" s="435" t="str">
        <f>IF('3.Plan de Estudios'!E71="","",'3.Plan de Estudios'!E71)</f>
        <v/>
      </c>
      <c r="E55" s="426" t="str">
        <f>'3.Plan de Estudios'!I71</f>
        <v/>
      </c>
      <c r="F55" s="426" t="str">
        <f>IF('3.Plan de Estudios'!J71=0,"-",'3.Plan de Estudios'!J71)</f>
        <v>-</v>
      </c>
      <c r="G55" s="427" t="str">
        <f>IF('3.Plan de Estudios'!K71=0,"-",'3.Plan de Estudios'!K71)</f>
        <v>-</v>
      </c>
      <c r="H55" s="426" t="str">
        <f>IF('3.Plan de Estudios'!L71=0,"-",'3.Plan de Estudios'!L71)</f>
        <v>-</v>
      </c>
      <c r="I55" s="428" t="str">
        <f>IF('3.Plan de Estudios'!M71=0,"-",'3.Plan de Estudios'!M71)</f>
        <v>-</v>
      </c>
      <c r="J55" s="427" t="str">
        <f>IF('3.Plan de Estudios'!N71=0,"-",'3.Plan de Estudios'!N71)</f>
        <v>-</v>
      </c>
      <c r="K55" s="428" t="str">
        <f>IF('3.Plan de Estudios'!O71=0,"-",'3.Plan de Estudios'!O71)</f>
        <v>-</v>
      </c>
      <c r="L55" s="429" t="str">
        <f>IF('3.Plan de Estudios'!P71=0,"-",'3.Plan de Estudios'!P71)</f>
        <v>-</v>
      </c>
      <c r="M55" s="430" t="str">
        <f>IF('7.Sumillas'!G56=0,"",'7.Sumillas'!G56)</f>
        <v/>
      </c>
      <c r="N55" s="431"/>
      <c r="O55" s="431"/>
      <c r="P55" s="432" t="str">
        <f>CONCATENATE(CHAR(10),CONCATENATE('3.Plan de Estudios'!AA71,CHAR(10),'3.Plan de Estudios'!AC71,CHAR(10),'3.Plan de Estudios'!AE71,CHAR(10),'3.Plan de Estudios'!AG71,CHAR(10),'3.Plan de Estudios'!AI71))</f>
        <v xml:space="preserve">
</v>
      </c>
      <c r="Q55" s="431"/>
      <c r="R55" s="431"/>
      <c r="S55" s="431"/>
      <c r="T55" s="433" t="str">
        <f t="shared" si="0"/>
        <v>No Aplica</v>
      </c>
    </row>
    <row r="56" spans="2:20" ht="24" customHeight="1">
      <c r="B56" s="425">
        <f>IF('3.Plan de Estudios'!B72="","",'3.Plan de Estudios'!B72)</f>
        <v>5</v>
      </c>
      <c r="C56" s="425" t="str">
        <f>IF('3.Plan de Estudios'!C72="","",'3.Plan de Estudios'!C72)</f>
        <v/>
      </c>
      <c r="D56" s="435" t="str">
        <f>IF('3.Plan de Estudios'!E72="","",'3.Plan de Estudios'!E72)</f>
        <v/>
      </c>
      <c r="E56" s="426" t="str">
        <f>'3.Plan de Estudios'!I72</f>
        <v/>
      </c>
      <c r="F56" s="426" t="str">
        <f>IF('3.Plan de Estudios'!J72=0,"-",'3.Plan de Estudios'!J72)</f>
        <v>-</v>
      </c>
      <c r="G56" s="427" t="str">
        <f>IF('3.Plan de Estudios'!K72=0,"-",'3.Plan de Estudios'!K72)</f>
        <v>-</v>
      </c>
      <c r="H56" s="426" t="str">
        <f>IF('3.Plan de Estudios'!L72=0,"-",'3.Plan de Estudios'!L72)</f>
        <v>-</v>
      </c>
      <c r="I56" s="428" t="str">
        <f>IF('3.Plan de Estudios'!M72=0,"-",'3.Plan de Estudios'!M72)</f>
        <v>-</v>
      </c>
      <c r="J56" s="427" t="str">
        <f>IF('3.Plan de Estudios'!N72=0,"-",'3.Plan de Estudios'!N72)</f>
        <v>-</v>
      </c>
      <c r="K56" s="428" t="str">
        <f>IF('3.Plan de Estudios'!O72=0,"-",'3.Plan de Estudios'!O72)</f>
        <v>-</v>
      </c>
      <c r="L56" s="429" t="str">
        <f>IF('3.Plan de Estudios'!P72=0,"-",'3.Plan de Estudios'!P72)</f>
        <v>-</v>
      </c>
      <c r="M56" s="430" t="str">
        <f>IF('7.Sumillas'!G57=0,"",'7.Sumillas'!G57)</f>
        <v/>
      </c>
      <c r="N56" s="431"/>
      <c r="O56" s="431"/>
      <c r="P56" s="432" t="str">
        <f>CONCATENATE(CHAR(10),CONCATENATE('3.Plan de Estudios'!AA72,CHAR(10),'3.Plan de Estudios'!AC72,CHAR(10),'3.Plan de Estudios'!AE72,CHAR(10),'3.Plan de Estudios'!AG72,CHAR(10),'3.Plan de Estudios'!AI72))</f>
        <v xml:space="preserve">
</v>
      </c>
      <c r="Q56" s="431"/>
      <c r="R56" s="431"/>
      <c r="S56" s="431"/>
      <c r="T56" s="433" t="str">
        <f t="shared" si="0"/>
        <v>No Aplica</v>
      </c>
    </row>
    <row r="57" spans="2:20" ht="24" customHeight="1">
      <c r="B57" s="425">
        <f>IF('3.Plan de Estudios'!B74="","",'3.Plan de Estudios'!B74)</f>
        <v>6</v>
      </c>
      <c r="C57" s="425" t="str">
        <f>IF('3.Plan de Estudios'!C74="","",'3.Plan de Estudios'!C74)</f>
        <v>ENG53008</v>
      </c>
      <c r="D57" s="435" t="str">
        <f>IF('3.Plan de Estudios'!E74="","",'3.Plan de Estudios'!E74)</f>
        <v>ENGLISH LANGUAGE PHONETICS</v>
      </c>
      <c r="E57" s="426" t="str">
        <f>'3.Plan de Estudios'!I74</f>
        <v>Presencial</v>
      </c>
      <c r="F57" s="426">
        <f>IF('3.Plan de Estudios'!J74=0,"-",'3.Plan de Estudios'!J74)</f>
        <v>36</v>
      </c>
      <c r="G57" s="427" t="str">
        <f>IF('3.Plan de Estudios'!K74=0,"-",'3.Plan de Estudios'!K74)</f>
        <v>-</v>
      </c>
      <c r="H57" s="426">
        <f>IF('3.Plan de Estudios'!L74=0,"-",'3.Plan de Estudios'!L74)</f>
        <v>56</v>
      </c>
      <c r="I57" s="428" t="str">
        <f>IF('3.Plan de Estudios'!M74=0,"-",'3.Plan de Estudios'!M74)</f>
        <v>-</v>
      </c>
      <c r="J57" s="427" t="str">
        <f>IF('3.Plan de Estudios'!N74=0,"-",'3.Plan de Estudios'!N74)</f>
        <v>-</v>
      </c>
      <c r="K57" s="428" t="str">
        <f>IF('3.Plan de Estudios'!O74=0,"-",'3.Plan de Estudios'!O74)</f>
        <v>-</v>
      </c>
      <c r="L57" s="429">
        <f>IF('3.Plan de Estudios'!P74=0,"-",'3.Plan de Estudios'!P74)</f>
        <v>4</v>
      </c>
      <c r="M57" s="430" t="str">
        <f>IF('7.Sumillas'!G58=0,"",'7.Sumillas'!G58)</f>
        <v>The English Language Phonetics course is theoretical-practical in nature. Competence attributes: Comprehension and expression of the English language. Likewise, it should be noted that it is an active and interactive subject to improve the pronunciation and speaking of students in English by learning the phonology of the English language and the work of simple phonetic transcription. The creditable product is a lesson plan design.</v>
      </c>
      <c r="N57" s="431"/>
      <c r="O57" s="431"/>
      <c r="P57" s="432" t="str">
        <f>CONCATENATE(CHAR(10),CONCATENATE('3.Plan de Estudios'!AA74,CHAR(10),'3.Plan de Estudios'!AC74,CHAR(10),'3.Plan de Estudios'!AE74,CHAR(10),'3.Plan de Estudios'!AG74,CHAR(10),'3.Plan de Estudios'!AI74))</f>
        <v xml:space="preserve">
CP5: Comprensión y expresión del idioma inglés:N2 Comprende y desarrolla el pensamiento crítico de manera integral del idioma inglés como segunda lengua, perfeccionando ciertos aspectos fundamentales como el campo fonético y léxico. 
</v>
      </c>
      <c r="Q57" s="431"/>
      <c r="R57" s="431"/>
      <c r="S57" s="431"/>
      <c r="T57" s="433" t="str">
        <f t="shared" si="0"/>
        <v>No Aplica</v>
      </c>
    </row>
    <row r="58" spans="2:20" ht="24" customHeight="1">
      <c r="B58" s="425">
        <f>IF('3.Plan de Estudios'!B75="","",'3.Plan de Estudios'!B75)</f>
        <v>6</v>
      </c>
      <c r="C58" s="425" t="str">
        <f>IF('3.Plan de Estudios'!C75="","",'3.Plan de Estudios'!C75)</f>
        <v>ENG42093</v>
      </c>
      <c r="D58" s="435" t="str">
        <f>IF('3.Plan de Estudios'!E75="","",'3.Plan de Estudios'!E75)</f>
        <v>ENGLISH VI: RREL</v>
      </c>
      <c r="E58" s="426" t="str">
        <f>'3.Plan de Estudios'!I75</f>
        <v>Presencial</v>
      </c>
      <c r="F58" s="426">
        <f>IF('3.Plan de Estudios'!J75=0,"-",'3.Plan de Estudios'!J75)</f>
        <v>16</v>
      </c>
      <c r="G58" s="427" t="str">
        <f>IF('3.Plan de Estudios'!K75=0,"-",'3.Plan de Estudios'!K75)</f>
        <v>-</v>
      </c>
      <c r="H58" s="426">
        <f>IF('3.Plan de Estudios'!L75=0,"-",'3.Plan de Estudios'!L75)</f>
        <v>64</v>
      </c>
      <c r="I58" s="428" t="str">
        <f>IF('3.Plan de Estudios'!M75=0,"-",'3.Plan de Estudios'!M75)</f>
        <v>-</v>
      </c>
      <c r="J58" s="427" t="str">
        <f>IF('3.Plan de Estudios'!N75=0,"-",'3.Plan de Estudios'!N75)</f>
        <v>-</v>
      </c>
      <c r="K58" s="428" t="str">
        <f>IF('3.Plan de Estudios'!O75=0,"-",'3.Plan de Estudios'!O75)</f>
        <v>-</v>
      </c>
      <c r="L58" s="429">
        <f>IF('3.Plan de Estudios'!P75=0,"-",'3.Plan de Estudios'!P75)</f>
        <v>3</v>
      </c>
      <c r="M58" s="430" t="str">
        <f>IF('7.Sumillas'!G59=0,"",'7.Sumillas'!G59)</f>
        <v xml:space="preserve">English VI: RREL, es un curso que pertenece al área formativa de estudios específicos, tiene carácter práctico, y tributa a la competencia de comunicación bilingüe. Contribuye al desarrollo de la competencia comunicativa, nivel B2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 </v>
      </c>
      <c r="N58" s="431"/>
      <c r="O58" s="431"/>
      <c r="P58" s="432" t="str">
        <f>CONCATENATE(CHAR(10),CONCATENATE('3.Plan de Estudios'!AA75,CHAR(10),'3.Plan de Estudios'!AC75,CHAR(10),'3.Plan de Estudios'!AE75,CHAR(10),'3.Plan de Estudios'!AG75,CHAR(10),'3.Plan de Estudios'!AI75))</f>
        <v xml:space="preserve">
CG2: Comunicación Bilingüe:N3 Se desenvuelve en inglés utilizando las cuatro habilidades lingüísticas -comprensión auditiva, comprensión lectora, producción oral y producción escrita- con destreza y fluidez para el desempeño personal, académico y profesional.
</v>
      </c>
      <c r="Q58" s="431"/>
      <c r="R58" s="431"/>
      <c r="S58" s="431"/>
      <c r="T58" s="433" t="str">
        <f t="shared" si="0"/>
        <v>No Aplica</v>
      </c>
    </row>
    <row r="59" spans="2:20" ht="24" customHeight="1">
      <c r="B59" s="425">
        <f>IF('3.Plan de Estudios'!B76="","",'3.Plan de Estudios'!B76)</f>
        <v>6</v>
      </c>
      <c r="C59" s="425" t="str">
        <f>IF('3.Plan de Estudios'!C76="","",'3.Plan de Estudios'!C76)</f>
        <v>GES66021</v>
      </c>
      <c r="D59" s="435" t="str">
        <f>IF('3.Plan de Estudios'!E76="","",'3.Plan de Estudios'!E76)</f>
        <v>GERENCIA DE INSTITUCIONES EDUCATIVAS</v>
      </c>
      <c r="E59" s="426" t="str">
        <f>'3.Plan de Estudios'!I76</f>
        <v>Presencial</v>
      </c>
      <c r="F59" s="426">
        <f>IF('3.Plan de Estudios'!J76=0,"-",'3.Plan de Estudios'!J76)</f>
        <v>64</v>
      </c>
      <c r="G59" s="427" t="str">
        <f>IF('3.Plan de Estudios'!K76=0,"-",'3.Plan de Estudios'!K76)</f>
        <v>-</v>
      </c>
      <c r="H59" s="426" t="str">
        <f>IF('3.Plan de Estudios'!L76=0,"-",'3.Plan de Estudios'!L76)</f>
        <v>-</v>
      </c>
      <c r="I59" s="428" t="str">
        <f>IF('3.Plan de Estudios'!M76=0,"-",'3.Plan de Estudios'!M76)</f>
        <v>-</v>
      </c>
      <c r="J59" s="427" t="str">
        <f>IF('3.Plan de Estudios'!N76=0,"-",'3.Plan de Estudios'!N76)</f>
        <v>-</v>
      </c>
      <c r="K59" s="428" t="str">
        <f>IF('3.Plan de Estudios'!O76=0,"-",'3.Plan de Estudios'!O76)</f>
        <v>-</v>
      </c>
      <c r="L59" s="429">
        <f>IF('3.Plan de Estudios'!P76=0,"-",'3.Plan de Estudios'!P76)</f>
        <v>4</v>
      </c>
      <c r="M59" s="430" t="str">
        <f>IF('7.Sumillas'!G60=0,"",'7.Sumillas'!G60)</f>
        <v>Gerencia de Instituciones Educativas pertenece al área de formación especializada, es de naturaleza teórico; el curso busca analizar las propuestas de diseño de planes y proyectos educativos considerando las normas que favorecen la buena gestión y la calidad educativa. Esta asignatura tributa a la competencia: Desarrollo de gestión educativa que promueve la conformación de un conjunto de procesos organizados que permitan que las áreas de gestión educativa logren sus objetivos y metas.  los siguientes ejes temáticos: Las instituciones educativas y el proceso administrativo y la dirección de instituciones educativas. Su producto acreditable es: Elabora una propuesta de un modelo de PEI integrando el diagnóstico, políticas y objetivos estratégicos y las actividades estratégicas.</v>
      </c>
      <c r="N59" s="431"/>
      <c r="O59" s="431"/>
      <c r="P59" s="432" t="str">
        <f>CONCATENATE(CHAR(10),CONCATENATE('3.Plan de Estudios'!AA76,CHAR(10),'3.Plan de Estudios'!AC76,CHAR(10),'3.Plan de Estudios'!AE76,CHAR(10),'3.Plan de Estudios'!AG76,CHAR(10),'3.Plan de Estudios'!AI76))</f>
        <v xml:space="preserve">
CP2: Desarrollo de gestión educativa:N2 Promueve la conformación de un conjunto de procesos organizados que permitan que las áreas de gestión educativa logren sus objetivos y metas. 
CG1: Comunicación Integral:N2 Elabora textos académicos escritos y comunicaciones orales con una estructura elaborada en el cual se reconoce la revisión de fuentes y documentación apropiada para comunicar sus ideas en un entorno académico y/o social.
</v>
      </c>
      <c r="Q59" s="431"/>
      <c r="R59" s="431"/>
      <c r="S59" s="431"/>
      <c r="T59" s="433" t="str">
        <f t="shared" si="0"/>
        <v>No Aplica</v>
      </c>
    </row>
    <row r="60" spans="2:20" ht="24" customHeight="1">
      <c r="B60" s="425">
        <f>IF('3.Plan de Estudios'!B77="","",'3.Plan de Estudios'!B77)</f>
        <v>6</v>
      </c>
      <c r="C60" s="425" t="str">
        <f>IF('3.Plan de Estudios'!C77="","",'3.Plan de Estudios'!C77)</f>
        <v>ENG41003</v>
      </c>
      <c r="D60" s="435" t="str">
        <f>IF('3.Plan de Estudios'!E77="","",'3.Plan de Estudios'!E77)</f>
        <v>PUBLIC SPEAKING</v>
      </c>
      <c r="E60" s="426" t="str">
        <f>'3.Plan de Estudios'!I77</f>
        <v>Presencial</v>
      </c>
      <c r="F60" s="426">
        <f>IF('3.Plan de Estudios'!J77=0,"-",'3.Plan de Estudios'!J77)</f>
        <v>64</v>
      </c>
      <c r="G60" s="427" t="str">
        <f>IF('3.Plan de Estudios'!K77=0,"-",'3.Plan de Estudios'!K77)</f>
        <v>-</v>
      </c>
      <c r="H60" s="426" t="str">
        <f>IF('3.Plan de Estudios'!L77=0,"-",'3.Plan de Estudios'!L77)</f>
        <v>-</v>
      </c>
      <c r="I60" s="428" t="str">
        <f>IF('3.Plan de Estudios'!M77=0,"-",'3.Plan de Estudios'!M77)</f>
        <v>-</v>
      </c>
      <c r="J60" s="427" t="str">
        <f>IF('3.Plan de Estudios'!N77=0,"-",'3.Plan de Estudios'!N77)</f>
        <v>-</v>
      </c>
      <c r="K60" s="428" t="str">
        <f>IF('3.Plan de Estudios'!O77=0,"-",'3.Plan de Estudios'!O77)</f>
        <v>-</v>
      </c>
      <c r="L60" s="429">
        <f>IF('3.Plan de Estudios'!P77=0,"-",'3.Plan de Estudios'!P77)</f>
        <v>4</v>
      </c>
      <c r="M60" s="430" t="str">
        <f>IF('7.Sumillas'!G61=0,"",'7.Sumillas'!G61)</f>
        <v>Publik Speaking es un curso del área de especialidad, de naturaleza teórica. Tributa a la competencia: Comprensión y expresión del idioma inglés. Esa asignatura comprende y desarrolla el pensamiento crítico de manera integral del idioma inglés como segunda lengua, perfeccionando ciertos aspectos fundamentales como el campo fonético y léxico. Adicionalmente, examinará los elementos básicos de investigación, construcción y entrega de la presentación pública original. Al comprender qué componentes se incluyen en un buen discurso, una persona se verá más segura en su presentación. El producto acreditable de este curso es realizar asignaciones de oratoria para que los estudiantes puedan enfrentar según la casuística los diferentes escenarios en el campo educativo.</v>
      </c>
      <c r="N60" s="431"/>
      <c r="O60" s="431"/>
      <c r="P60" s="432" t="str">
        <f>CONCATENATE(CHAR(10),CONCATENATE('3.Plan de Estudios'!AA77,CHAR(10),'3.Plan de Estudios'!AC77,CHAR(10),'3.Plan de Estudios'!AE77,CHAR(10),'3.Plan de Estudios'!AG77,CHAR(10),'3.Plan de Estudios'!AI77))</f>
        <v xml:space="preserve">
CP5: Comprensión y expresión del idioma inglés:N2 Comprende y desarrolla el pensamiento crítico de manera integral del idioma inglés como segunda lengua, perfeccionando ciertos aspectos fundamentales como el campo fonético y léxico. 
</v>
      </c>
      <c r="Q60" s="431"/>
      <c r="R60" s="431"/>
      <c r="S60" s="431"/>
      <c r="T60" s="433" t="str">
        <f t="shared" si="0"/>
        <v>No Aplica</v>
      </c>
    </row>
    <row r="61" spans="2:20" ht="24" customHeight="1">
      <c r="B61" s="425">
        <f>IF('3.Plan de Estudios'!B78="","",'3.Plan de Estudios'!B78)</f>
        <v>6</v>
      </c>
      <c r="C61" s="425" t="str">
        <f>IF('3.Plan de Estudios'!C78="","",'3.Plan de Estudios'!C78)</f>
        <v>ESE61020</v>
      </c>
      <c r="D61" s="435" t="str">
        <f>IF('3.Plan de Estudios'!E78="","",'3.Plan de Estudios'!E78)</f>
        <v>SOFTWARE EDUCATIVO</v>
      </c>
      <c r="E61" s="426" t="str">
        <f>'3.Plan de Estudios'!I78</f>
        <v>Presencial</v>
      </c>
      <c r="F61" s="426">
        <f>IF('3.Plan de Estudios'!J78=0,"-",'3.Plan de Estudios'!J78)</f>
        <v>2</v>
      </c>
      <c r="G61" s="427" t="str">
        <f>IF('3.Plan de Estudios'!K78=0,"-",'3.Plan de Estudios'!K78)</f>
        <v>-</v>
      </c>
      <c r="H61" s="426">
        <f>IF('3.Plan de Estudios'!L78=0,"-",'3.Plan de Estudios'!L78)</f>
        <v>60</v>
      </c>
      <c r="I61" s="428" t="str">
        <f>IF('3.Plan de Estudios'!M78=0,"-",'3.Plan de Estudios'!M78)</f>
        <v>-</v>
      </c>
      <c r="J61" s="427" t="str">
        <f>IF('3.Plan de Estudios'!N78=0,"-",'3.Plan de Estudios'!N78)</f>
        <v>-</v>
      </c>
      <c r="K61" s="428" t="str">
        <f>IF('3.Plan de Estudios'!O78=0,"-",'3.Plan de Estudios'!O78)</f>
        <v>-</v>
      </c>
      <c r="L61" s="429">
        <f>IF('3.Plan de Estudios'!P78=0,"-",'3.Plan de Estudios'!P78)</f>
        <v>2</v>
      </c>
      <c r="M61" s="430" t="str">
        <f>IF('7.Sumillas'!G62=0,"",'7.Sumillas'!G62)</f>
        <v>Software Educativo, es  una asignatura de formación especializada y de naturaleza teórico - práctico. Tributa a las competencias de gestión de recursos y desarrollo de la gestión educativa. Promueve la conformación de un conjunto de procesos organizados que permitan que las áreas de gestión educativa logren sus objetivos y metas. Comprende el desarrollo de los siguientes ejes temáticos: La función educativa y teorías del aprendizaje, entornos virtuales: ambientes de enseñanza aprendizaje y el uso ético e innovador de las Tics. El producto acreditable de la asignatura es un portafolio digital con presentación y exposición de las herramientas digitales trabajadas del contenido teórico del Software educativo y su aplicación en el campo pedagógico.</v>
      </c>
      <c r="N61" s="431"/>
      <c r="O61" s="431"/>
      <c r="P61" s="432" t="str">
        <f>CONCATENATE(CHAR(10),CONCATENATE('3.Plan de Estudios'!AA78,CHAR(10),'3.Plan de Estudios'!AC78,CHAR(10),'3.Plan de Estudios'!AE78,CHAR(10),'3.Plan de Estudios'!AG78,CHAR(10),'3.Plan de Estudios'!AI78))</f>
        <v xml:space="preserve">
CP2: Desarrollo de gestión educativa:N2 Promueve la conformación de un conjunto de procesos organizados que permitan que las áreas de gestión educativa logren sus objetivos y metas. 
CG4: Gestión de Recursos:N2 Describe el mercado con el uso de herramientas de marketing y/o modelos económicos para definir objetivos empresariales.
</v>
      </c>
      <c r="Q61" s="431"/>
      <c r="R61" s="431"/>
      <c r="S61" s="431"/>
      <c r="T61" s="433" t="str">
        <f t="shared" si="0"/>
        <v>No Aplica</v>
      </c>
    </row>
    <row r="62" spans="2:20" ht="24" customHeight="1">
      <c r="B62" s="425">
        <f>IF('3.Plan de Estudios'!B79="","",'3.Plan de Estudios'!B79)</f>
        <v>6</v>
      </c>
      <c r="C62" s="425" t="str">
        <f>IF('3.Plan de Estudios'!C79="","",'3.Plan de Estudios'!C79)</f>
        <v>ESE61021</v>
      </c>
      <c r="D62" s="435" t="str">
        <f>IF('3.Plan de Estudios'!E79="","",'3.Plan de Estudios'!E79)</f>
        <v>TEACHING ENGLISH AS SECOND LANGUAGE: METHODS &amp; S. I</v>
      </c>
      <c r="E62" s="426" t="str">
        <f>'3.Plan de Estudios'!I79</f>
        <v>Presencial</v>
      </c>
      <c r="F62" s="426">
        <f>IF('3.Plan de Estudios'!J79=0,"-",'3.Plan de Estudios'!J79)</f>
        <v>36</v>
      </c>
      <c r="G62" s="427" t="str">
        <f>IF('3.Plan de Estudios'!K79=0,"-",'3.Plan de Estudios'!K79)</f>
        <v>-</v>
      </c>
      <c r="H62" s="426">
        <f>IF('3.Plan de Estudios'!L79=0,"-",'3.Plan de Estudios'!L79)</f>
        <v>56</v>
      </c>
      <c r="I62" s="428" t="str">
        <f>IF('3.Plan de Estudios'!M79=0,"-",'3.Plan de Estudios'!M79)</f>
        <v>-</v>
      </c>
      <c r="J62" s="427" t="str">
        <f>IF('3.Plan de Estudios'!N79=0,"-",'3.Plan de Estudios'!N79)</f>
        <v>-</v>
      </c>
      <c r="K62" s="428" t="str">
        <f>IF('3.Plan de Estudios'!O79=0,"-",'3.Plan de Estudios'!O79)</f>
        <v>-</v>
      </c>
      <c r="L62" s="429">
        <f>IF('3.Plan de Estudios'!P79=0,"-",'3.Plan de Estudios'!P79)</f>
        <v>4</v>
      </c>
      <c r="M62" s="430" t="str">
        <f>IF('7.Sumillas'!G63=0,"",'7.Sumillas'!G63)</f>
        <v>The Teaching English as Second Language: Methods &amp; S.I course is theoretical-practical in nature and attributes to the competence: Comprehension and expression of the English language. Educators become active participants in the decision-making process. A general knowledge of the different methodological approaches that have led to the development of the techniques and procedures used in the teaching of the English language will allow teachers to improve their practices in the classroom. The accreditable product is a presentation of an infographic on teaching methodologies.</v>
      </c>
      <c r="N62" s="431"/>
      <c r="O62" s="431"/>
      <c r="P62" s="432" t="str">
        <f>CONCATENATE(CHAR(10),CONCATENATE('3.Plan de Estudios'!AA79,CHAR(10),'3.Plan de Estudios'!AC79,CHAR(10),'3.Plan de Estudios'!AE79,CHAR(10),'3.Plan de Estudios'!AG79,CHAR(10),'3.Plan de Estudios'!AI79))</f>
        <v xml:space="preserve">
CP5: Comprensión y expresión del idioma inglés:N2 Comprende y desarrolla el pensamiento crítico de manera integral del idioma inglés como segunda lengua, perfeccionando ciertos aspectos fundamentales como el campo fonético y léxico. 
</v>
      </c>
      <c r="Q62" s="431"/>
      <c r="R62" s="431"/>
      <c r="S62" s="431"/>
      <c r="T62" s="433" t="str">
        <f t="shared" si="0"/>
        <v>No Aplica</v>
      </c>
    </row>
    <row r="63" spans="2:20" ht="24" customHeight="1">
      <c r="B63" s="425">
        <f>IF('3.Plan de Estudios'!B80="","",'3.Plan de Estudios'!B80)</f>
        <v>6</v>
      </c>
      <c r="C63" s="425" t="str">
        <f>IF('3.Plan de Estudios'!C80="","",'3.Plan de Estudios'!C80)</f>
        <v/>
      </c>
      <c r="D63" s="435" t="str">
        <f>IF('3.Plan de Estudios'!E80="","",'3.Plan de Estudios'!E80)</f>
        <v/>
      </c>
      <c r="E63" s="426" t="str">
        <f>'3.Plan de Estudios'!I80</f>
        <v/>
      </c>
      <c r="F63" s="426" t="str">
        <f>IF('3.Plan de Estudios'!J80=0,"-",'3.Plan de Estudios'!J80)</f>
        <v>-</v>
      </c>
      <c r="G63" s="427" t="str">
        <f>IF('3.Plan de Estudios'!K80=0,"-",'3.Plan de Estudios'!K80)</f>
        <v>-</v>
      </c>
      <c r="H63" s="426" t="str">
        <f>IF('3.Plan de Estudios'!L80=0,"-",'3.Plan de Estudios'!L80)</f>
        <v>-</v>
      </c>
      <c r="I63" s="428" t="str">
        <f>IF('3.Plan de Estudios'!M80=0,"-",'3.Plan de Estudios'!M80)</f>
        <v>-</v>
      </c>
      <c r="J63" s="427" t="str">
        <f>IF('3.Plan de Estudios'!N80=0,"-",'3.Plan de Estudios'!N80)</f>
        <v>-</v>
      </c>
      <c r="K63" s="428" t="str">
        <f>IF('3.Plan de Estudios'!O80=0,"-",'3.Plan de Estudios'!O80)</f>
        <v>-</v>
      </c>
      <c r="L63" s="429" t="str">
        <f>IF('3.Plan de Estudios'!P80=0,"-",'3.Plan de Estudios'!P80)</f>
        <v>-</v>
      </c>
      <c r="M63" s="430" t="str">
        <f>IF('7.Sumillas'!G64=0,"",'7.Sumillas'!G64)</f>
        <v/>
      </c>
      <c r="N63" s="431"/>
      <c r="O63" s="431"/>
      <c r="P63" s="432" t="str">
        <f>CONCATENATE(CHAR(10),CONCATENATE('3.Plan de Estudios'!AA80,CHAR(10),'3.Plan de Estudios'!AC80,CHAR(10),'3.Plan de Estudios'!AE80,CHAR(10),'3.Plan de Estudios'!AG80,CHAR(10),'3.Plan de Estudios'!AI80))</f>
        <v xml:space="preserve">
</v>
      </c>
      <c r="Q63" s="431"/>
      <c r="R63" s="431"/>
      <c r="S63" s="431"/>
      <c r="T63" s="433" t="str">
        <f t="shared" si="0"/>
        <v>No Aplica</v>
      </c>
    </row>
    <row r="64" spans="2:20" ht="24" customHeight="1">
      <c r="B64" s="425">
        <f>IF('3.Plan de Estudios'!B81="","",'3.Plan de Estudios'!B81)</f>
        <v>6</v>
      </c>
      <c r="C64" s="425" t="str">
        <f>IF('3.Plan de Estudios'!C81="","",'3.Plan de Estudios'!C81)</f>
        <v/>
      </c>
      <c r="D64" s="435" t="str">
        <f>IF('3.Plan de Estudios'!E81="","",'3.Plan de Estudios'!E81)</f>
        <v/>
      </c>
      <c r="E64" s="426" t="str">
        <f>'3.Plan de Estudios'!I81</f>
        <v/>
      </c>
      <c r="F64" s="426" t="str">
        <f>IF('3.Plan de Estudios'!J81=0,"-",'3.Plan de Estudios'!J81)</f>
        <v>-</v>
      </c>
      <c r="G64" s="427" t="str">
        <f>IF('3.Plan de Estudios'!K81=0,"-",'3.Plan de Estudios'!K81)</f>
        <v>-</v>
      </c>
      <c r="H64" s="426" t="str">
        <f>IF('3.Plan de Estudios'!L81=0,"-",'3.Plan de Estudios'!L81)</f>
        <v>-</v>
      </c>
      <c r="I64" s="428" t="str">
        <f>IF('3.Plan de Estudios'!M81=0,"-",'3.Plan de Estudios'!M81)</f>
        <v>-</v>
      </c>
      <c r="J64" s="427" t="str">
        <f>IF('3.Plan de Estudios'!N81=0,"-",'3.Plan de Estudios'!N81)</f>
        <v>-</v>
      </c>
      <c r="K64" s="428" t="str">
        <f>IF('3.Plan de Estudios'!O81=0,"-",'3.Plan de Estudios'!O81)</f>
        <v>-</v>
      </c>
      <c r="L64" s="429" t="str">
        <f>IF('3.Plan de Estudios'!P81=0,"-",'3.Plan de Estudios'!P81)</f>
        <v>-</v>
      </c>
      <c r="M64" s="430" t="str">
        <f>IF('7.Sumillas'!G65=0,"",'7.Sumillas'!G65)</f>
        <v/>
      </c>
      <c r="N64" s="431"/>
      <c r="O64" s="431"/>
      <c r="P64" s="432" t="str">
        <f>CONCATENATE(CHAR(10),CONCATENATE('3.Plan de Estudios'!AA81,CHAR(10),'3.Plan de Estudios'!AC81,CHAR(10),'3.Plan de Estudios'!AE81,CHAR(10),'3.Plan de Estudios'!AG81,CHAR(10),'3.Plan de Estudios'!AI81))</f>
        <v xml:space="preserve">
</v>
      </c>
      <c r="Q64" s="431"/>
      <c r="R64" s="431"/>
      <c r="S64" s="431"/>
      <c r="T64" s="433" t="str">
        <f t="shared" si="0"/>
        <v>No Aplica</v>
      </c>
    </row>
    <row r="65" spans="2:20" ht="24" customHeight="1">
      <c r="B65" s="425">
        <f>IF('3.Plan de Estudios'!B82="","",'3.Plan de Estudios'!B82)</f>
        <v>6</v>
      </c>
      <c r="C65" s="425" t="str">
        <f>IF('3.Plan de Estudios'!C82="","",'3.Plan de Estudios'!C82)</f>
        <v/>
      </c>
      <c r="D65" s="435" t="str">
        <f>IF('3.Plan de Estudios'!E82="","",'3.Plan de Estudios'!E82)</f>
        <v/>
      </c>
      <c r="E65" s="426" t="str">
        <f>'3.Plan de Estudios'!I82</f>
        <v/>
      </c>
      <c r="F65" s="426" t="str">
        <f>IF('3.Plan de Estudios'!J82=0,"-",'3.Plan de Estudios'!J82)</f>
        <v>-</v>
      </c>
      <c r="G65" s="427" t="str">
        <f>IF('3.Plan de Estudios'!K82=0,"-",'3.Plan de Estudios'!K82)</f>
        <v>-</v>
      </c>
      <c r="H65" s="426" t="str">
        <f>IF('3.Plan de Estudios'!L82=0,"-",'3.Plan de Estudios'!L82)</f>
        <v>-</v>
      </c>
      <c r="I65" s="428" t="str">
        <f>IF('3.Plan de Estudios'!M82=0,"-",'3.Plan de Estudios'!M82)</f>
        <v>-</v>
      </c>
      <c r="J65" s="427" t="str">
        <f>IF('3.Plan de Estudios'!N82=0,"-",'3.Plan de Estudios'!N82)</f>
        <v>-</v>
      </c>
      <c r="K65" s="428" t="str">
        <f>IF('3.Plan de Estudios'!O82=0,"-",'3.Plan de Estudios'!O82)</f>
        <v>-</v>
      </c>
      <c r="L65" s="429" t="str">
        <f>IF('3.Plan de Estudios'!P82=0,"-",'3.Plan de Estudios'!P82)</f>
        <v>-</v>
      </c>
      <c r="M65" s="430" t="str">
        <f>IF('7.Sumillas'!G66=0,"",'7.Sumillas'!G66)</f>
        <v/>
      </c>
      <c r="N65" s="431"/>
      <c r="O65" s="431"/>
      <c r="P65" s="432" t="str">
        <f>CONCATENATE(CHAR(10),CONCATENATE('3.Plan de Estudios'!AA82,CHAR(10),'3.Plan de Estudios'!AC82,CHAR(10),'3.Plan de Estudios'!AE82,CHAR(10),'3.Plan de Estudios'!AG82,CHAR(10),'3.Plan de Estudios'!AI82))</f>
        <v xml:space="preserve">
</v>
      </c>
      <c r="Q65" s="431"/>
      <c r="R65" s="431"/>
      <c r="S65" s="431"/>
      <c r="T65" s="433" t="str">
        <f t="shared" si="0"/>
        <v>No Aplica</v>
      </c>
    </row>
    <row r="66" spans="2:20" ht="24" customHeight="1">
      <c r="B66" s="425">
        <f>IF('3.Plan de Estudios'!B83="","",'3.Plan de Estudios'!B83)</f>
        <v>6</v>
      </c>
      <c r="C66" s="425" t="str">
        <f>IF('3.Plan de Estudios'!C83="","",'3.Plan de Estudios'!C83)</f>
        <v/>
      </c>
      <c r="D66" s="435" t="str">
        <f>IF('3.Plan de Estudios'!E83="","",'3.Plan de Estudios'!E83)</f>
        <v/>
      </c>
      <c r="E66" s="426" t="str">
        <f>'3.Plan de Estudios'!I83</f>
        <v/>
      </c>
      <c r="F66" s="426" t="str">
        <f>IF('3.Plan de Estudios'!J83=0,"-",'3.Plan de Estudios'!J83)</f>
        <v>-</v>
      </c>
      <c r="G66" s="427" t="str">
        <f>IF('3.Plan de Estudios'!K83=0,"-",'3.Plan de Estudios'!K83)</f>
        <v>-</v>
      </c>
      <c r="H66" s="426" t="str">
        <f>IF('3.Plan de Estudios'!L83=0,"-",'3.Plan de Estudios'!L83)</f>
        <v>-</v>
      </c>
      <c r="I66" s="428" t="str">
        <f>IF('3.Plan de Estudios'!M83=0,"-",'3.Plan de Estudios'!M83)</f>
        <v>-</v>
      </c>
      <c r="J66" s="427" t="str">
        <f>IF('3.Plan de Estudios'!N83=0,"-",'3.Plan de Estudios'!N83)</f>
        <v>-</v>
      </c>
      <c r="K66" s="428" t="str">
        <f>IF('3.Plan de Estudios'!O83=0,"-",'3.Plan de Estudios'!O83)</f>
        <v>-</v>
      </c>
      <c r="L66" s="429" t="str">
        <f>IF('3.Plan de Estudios'!P83=0,"-",'3.Plan de Estudios'!P83)</f>
        <v>-</v>
      </c>
      <c r="M66" s="430" t="str">
        <f>IF('7.Sumillas'!G67=0,"",'7.Sumillas'!G67)</f>
        <v/>
      </c>
      <c r="N66" s="431"/>
      <c r="O66" s="431"/>
      <c r="P66" s="432" t="str">
        <f>CONCATENATE(CHAR(10),CONCATENATE('3.Plan de Estudios'!AA83,CHAR(10),'3.Plan de Estudios'!AC83,CHAR(10),'3.Plan de Estudios'!AE83,CHAR(10),'3.Plan de Estudios'!AG83,CHAR(10),'3.Plan de Estudios'!AI83))</f>
        <v xml:space="preserve">
</v>
      </c>
      <c r="Q66" s="431"/>
      <c r="R66" s="431"/>
      <c r="S66" s="431"/>
      <c r="T66" s="433" t="str">
        <f t="shared" si="0"/>
        <v>No Aplica</v>
      </c>
    </row>
    <row r="67" spans="2:20" ht="24" customHeight="1">
      <c r="B67" s="425">
        <f>IF('3.Plan de Estudios'!B85="","",'3.Plan de Estudios'!B85)</f>
        <v>7</v>
      </c>
      <c r="C67" s="425" t="str">
        <f>IF('3.Plan de Estudios'!C85="","",'3.Plan de Estudios'!C85)</f>
        <v>ENC51001</v>
      </c>
      <c r="D67" s="435" t="str">
        <f>IF('3.Plan de Estudios'!E85="","",'3.Plan de Estudios'!E85)</f>
        <v>ENGLISH COMPOSITION</v>
      </c>
      <c r="E67" s="426" t="str">
        <f>'3.Plan de Estudios'!I85</f>
        <v>Presencial</v>
      </c>
      <c r="F67" s="426">
        <f>IF('3.Plan de Estudios'!J85=0,"-",'3.Plan de Estudios'!J85)</f>
        <v>64</v>
      </c>
      <c r="G67" s="427" t="str">
        <f>IF('3.Plan de Estudios'!K85=0,"-",'3.Plan de Estudios'!K85)</f>
        <v>-</v>
      </c>
      <c r="H67" s="426" t="str">
        <f>IF('3.Plan de Estudios'!L85=0,"-",'3.Plan de Estudios'!L85)</f>
        <v>-</v>
      </c>
      <c r="I67" s="428" t="str">
        <f>IF('3.Plan de Estudios'!M85=0,"-",'3.Plan de Estudios'!M85)</f>
        <v>-</v>
      </c>
      <c r="J67" s="427" t="str">
        <f>IF('3.Plan de Estudios'!N85=0,"-",'3.Plan de Estudios'!N85)</f>
        <v>-</v>
      </c>
      <c r="K67" s="428" t="str">
        <f>IF('3.Plan de Estudios'!O85=0,"-",'3.Plan de Estudios'!O85)</f>
        <v>-</v>
      </c>
      <c r="L67" s="429">
        <f>IF('3.Plan de Estudios'!P85=0,"-",'3.Plan de Estudios'!P85)</f>
        <v>4</v>
      </c>
      <c r="M67" s="430" t="str">
        <f>IF('7.Sumillas'!G68=0,"",'7.Sumillas'!G68)</f>
        <v>The English Composition course has an analytical-practical nature. The skills to which it is intended are: Comprehension and expression of the English language and Bilingual Communication. Understands and develops critical thinking in an integral way of the English language as a second language, perfecting certain fundamental aspects such as the phonetic and lexical field. The main objective of the course is to inform the participant about the fundamentals of testing and assessment in the field of English language teaching (ELT), as well as the theory and practice behind testing language, receptive and productive skills. The creditable product is written work that develops English language composition and evidence of continuous improvement.</v>
      </c>
      <c r="N67" s="431"/>
      <c r="O67" s="431"/>
      <c r="P67" s="432" t="str">
        <f>CONCATENATE(CHAR(10),CONCATENATE('3.Plan de Estudios'!AA85,CHAR(10),'3.Plan de Estudios'!AC85,CHAR(10),'3.Plan de Estudios'!AE85,CHAR(10),'3.Plan de Estudios'!AG85,CHAR(10),'3.Plan de Estudios'!AI85))</f>
        <v xml:space="preserve">
CP5: Comprensión y expresión del idioma inglés:N2 Comprende y desarrolla el pensamiento crítico de manera integral del idioma inglés como segunda lengua, perfeccionando ciertos aspectos fundamentales como el campo fonético y léxico. 
CG2: Comunicación Bilingüe:N3 Se desenvuelve en inglés utilizando las cuatro habilidades lingüísticas -comprensión auditiva, comprensión lectora, producción oral y producción escrita- con destreza y fluidez para el desempeño personal, académico y profesional.
</v>
      </c>
      <c r="Q67" s="431"/>
      <c r="R67" s="431"/>
      <c r="S67" s="431"/>
      <c r="T67" s="433" t="str">
        <f t="shared" ref="T67:T124" si="1">IF(OR(I67&lt;&gt;"-",K67&lt;&gt;"-"),"","No Aplica")</f>
        <v>No Aplica</v>
      </c>
    </row>
    <row r="68" spans="2:20" ht="24" customHeight="1">
      <c r="B68" s="425">
        <f>IF('3.Plan de Estudios'!B86="","",'3.Plan de Estudios'!B86)</f>
        <v>7</v>
      </c>
      <c r="C68" s="425" t="str">
        <f>IF('3.Plan de Estudios'!C86="","",'3.Plan de Estudios'!C86)</f>
        <v>INV41052</v>
      </c>
      <c r="D68" s="435" t="str">
        <f>IF('3.Plan de Estudios'!E86="","",'3.Plan de Estudios'!E86)</f>
        <v>INVESTIGACIÓN EDUCACIONAL</v>
      </c>
      <c r="E68" s="426" t="str">
        <f>'3.Plan de Estudios'!I86</f>
        <v>Presencial</v>
      </c>
      <c r="F68" s="426">
        <f>IF('3.Plan de Estudios'!J86=0,"-",'3.Plan de Estudios'!J86)</f>
        <v>36</v>
      </c>
      <c r="G68" s="427" t="str">
        <f>IF('3.Plan de Estudios'!K86=0,"-",'3.Plan de Estudios'!K86)</f>
        <v>-</v>
      </c>
      <c r="H68" s="426">
        <f>IF('3.Plan de Estudios'!L86=0,"-",'3.Plan de Estudios'!L86)</f>
        <v>56</v>
      </c>
      <c r="I68" s="428" t="str">
        <f>IF('3.Plan de Estudios'!M86=0,"-",'3.Plan de Estudios'!M86)</f>
        <v>-</v>
      </c>
      <c r="J68" s="427" t="str">
        <f>IF('3.Plan de Estudios'!N86=0,"-",'3.Plan de Estudios'!N86)</f>
        <v>-</v>
      </c>
      <c r="K68" s="428" t="str">
        <f>IF('3.Plan de Estudios'!O86=0,"-",'3.Plan de Estudios'!O86)</f>
        <v>-</v>
      </c>
      <c r="L68" s="429">
        <f>IF('3.Plan de Estudios'!P86=0,"-",'3.Plan de Estudios'!P86)</f>
        <v>4</v>
      </c>
      <c r="M68" s="430" t="str">
        <f>IF('7.Sumillas'!G69=0,"",'7.Sumillas'!G69)</f>
        <v>Investigación Educacional, es  una asignatura de formación especializada y de naturaleza teórico - práctico. Este curso tributa a las competencias de investigación e investigación educativa. Realiza proyectos de investigación reflejando sustento sobre el campo metológico y teórico para sustentar los productos acreditables. Comprende el desarrollo de los siguientes ejes temáticos: El proceso de construcción de la práctica pedagógica desde la metodología de investigación acción y la reconstrucción de la práctica pedagógica para la mejora continua. Con el fin de desarrollar el pensamiento crítico reflexivo frente a la identificación de problemas educativos y el planteamiento de soluciones relacionados a la realidad del aula y la escuela. El producto acreditable es una propuesta de intervención para la mejora de una problema encontrada en el ámbito educacional.</v>
      </c>
      <c r="N68" s="431"/>
      <c r="O68" s="431"/>
      <c r="P68" s="432" t="str">
        <f>CONCATENATE(CHAR(10),CONCATENATE('3.Plan de Estudios'!AA86,CHAR(10),'3.Plan de Estudios'!AC86,CHAR(10),'3.Plan de Estudios'!AE86,CHAR(10),'3.Plan de Estudios'!AG86,CHAR(10),'3.Plan de Estudios'!AI86))</f>
        <v xml:space="preserve">
CP4: Investigación Educativa:N2 Realiza proyectos de investigación reflejando sustento sobre el campo metodológico y teórico para sustentar los productos acreditables.
CG3: Investigación:N2 Define cual es la metodología para responder su pregunta de investigación con ética e integridad.
</v>
      </c>
      <c r="Q68" s="431"/>
      <c r="R68" s="431"/>
      <c r="S68" s="431"/>
      <c r="T68" s="433" t="str">
        <f t="shared" si="1"/>
        <v>No Aplica</v>
      </c>
    </row>
    <row r="69" spans="2:20" ht="24" customHeight="1">
      <c r="B69" s="425">
        <f>IF('3.Plan de Estudios'!B87="","",'3.Plan de Estudios'!B87)</f>
        <v>7</v>
      </c>
      <c r="C69" s="425" t="str">
        <f>IF('3.Plan de Estudios'!C87="","",'3.Plan de Estudios'!C87)</f>
        <v>GES67063</v>
      </c>
      <c r="D69" s="435" t="str">
        <f>IF('3.Plan de Estudios'!E87="","",'3.Plan de Estudios'!E87)</f>
        <v>PROYECTO INTEGRADOR</v>
      </c>
      <c r="E69" s="426" t="str">
        <f>'3.Plan de Estudios'!I87</f>
        <v>Presencial</v>
      </c>
      <c r="F69" s="426">
        <f>IF('3.Plan de Estudios'!J87=0,"-",'3.Plan de Estudios'!J87)</f>
        <v>64</v>
      </c>
      <c r="G69" s="427" t="str">
        <f>IF('3.Plan de Estudios'!K87=0,"-",'3.Plan de Estudios'!K87)</f>
        <v>-</v>
      </c>
      <c r="H69" s="426" t="str">
        <f>IF('3.Plan de Estudios'!L87=0,"-",'3.Plan de Estudios'!L87)</f>
        <v>-</v>
      </c>
      <c r="I69" s="428" t="str">
        <f>IF('3.Plan de Estudios'!M87=0,"-",'3.Plan de Estudios'!M87)</f>
        <v>-</v>
      </c>
      <c r="J69" s="427" t="str">
        <f>IF('3.Plan de Estudios'!N87=0,"-",'3.Plan de Estudios'!N87)</f>
        <v>-</v>
      </c>
      <c r="K69" s="428" t="str">
        <f>IF('3.Plan de Estudios'!O87=0,"-",'3.Plan de Estudios'!O87)</f>
        <v>-</v>
      </c>
      <c r="L69" s="429">
        <f>IF('3.Plan de Estudios'!P87=0,"-",'3.Plan de Estudios'!P87)</f>
        <v>4</v>
      </c>
      <c r="M69" s="430" t="str">
        <f>IF('7.Sumillas'!G70=0,"",'7.Sumillas'!G70)</f>
        <v>Proyecto Integrador, es una asignatura de formación especializada, es de naturaleza teórico. Tributa a las competencias de investigación educativa y comunicación integral. En este curso el estudiante realiza proyectos de investigación reflejando sustento sobre el campo metológico y teórico para sustentar los productos acreditables. Comprende el desarrollo de los siguientes ejes temáticos: Línea de base del proyecto de innovación, diseño del proyecto de innovación ;y monitoreo y evaluación del proyecto de innovación. El producto acreditable es un proyecto de innovación pedagógica.</v>
      </c>
      <c r="N69" s="431"/>
      <c r="O69" s="431"/>
      <c r="P69" s="432" t="str">
        <f>CONCATENATE(CHAR(10),CONCATENATE('3.Plan de Estudios'!AA87,CHAR(10),'3.Plan de Estudios'!AC87,CHAR(10),'3.Plan de Estudios'!AE87,CHAR(10),'3.Plan de Estudios'!AG87,CHAR(10),'3.Plan de Estudios'!AI87))</f>
        <v xml:space="preserve">
CP4: Investigación Educativa:N2 Realiza proyectos de investigación reflejando sustento sobre el campo metodológico y teórico para sustentar los productos acreditables.
CG1: Comunicación Integral:N2 Elabora textos académicos escritos y comunicaciones orales con una estructura elaborada en el cual se reconoce la revisión de fuentes y documentación apropiada para comunicar sus ideas en un entorno académico y/o social.
</v>
      </c>
      <c r="Q69" s="431"/>
      <c r="R69" s="431"/>
      <c r="S69" s="431"/>
      <c r="T69" s="433" t="str">
        <f t="shared" si="1"/>
        <v>No Aplica</v>
      </c>
    </row>
    <row r="70" spans="2:20" ht="24" customHeight="1">
      <c r="B70" s="425">
        <f>IF('3.Plan de Estudios'!B88="","",'3.Plan de Estudios'!B88)</f>
        <v>7</v>
      </c>
      <c r="C70" s="425" t="str">
        <f>IF('3.Plan de Estudios'!C88="","",'3.Plan de Estudios'!C88)</f>
        <v>ESE61022</v>
      </c>
      <c r="D70" s="435" t="str">
        <f>IF('3.Plan de Estudios'!E88="","",'3.Plan de Estudios'!E88)</f>
        <v>TEACHING ENGLISH AS SECOND LANGUAGE: METHODS &amp; S. II</v>
      </c>
      <c r="E70" s="426" t="str">
        <f>'3.Plan de Estudios'!I88</f>
        <v>Presencial</v>
      </c>
      <c r="F70" s="426">
        <f>IF('3.Plan de Estudios'!J88=0,"-",'3.Plan de Estudios'!J88)</f>
        <v>36</v>
      </c>
      <c r="G70" s="427" t="str">
        <f>IF('3.Plan de Estudios'!K88=0,"-",'3.Plan de Estudios'!K88)</f>
        <v>-</v>
      </c>
      <c r="H70" s="426">
        <f>IF('3.Plan de Estudios'!L88=0,"-",'3.Plan de Estudios'!L88)</f>
        <v>56</v>
      </c>
      <c r="I70" s="428" t="str">
        <f>IF('3.Plan de Estudios'!M88=0,"-",'3.Plan de Estudios'!M88)</f>
        <v>-</v>
      </c>
      <c r="J70" s="427" t="str">
        <f>IF('3.Plan de Estudios'!N88=0,"-",'3.Plan de Estudios'!N88)</f>
        <v>-</v>
      </c>
      <c r="K70" s="428" t="str">
        <f>IF('3.Plan de Estudios'!O88=0,"-",'3.Plan de Estudios'!O88)</f>
        <v>-</v>
      </c>
      <c r="L70" s="429">
        <f>IF('3.Plan de Estudios'!P88=0,"-",'3.Plan de Estudios'!P88)</f>
        <v>4</v>
      </c>
      <c r="M70" s="430" t="str">
        <f>IF('7.Sumillas'!G71=0,"",'7.Sumillas'!G71)</f>
        <v>The Teaching English as Second Languages: Methods &amp; Strategies II subject is of a theoretical-practical nature and is attributed to the development of teaching and learning competence. It carries out, effectively, the improvement of teacher training to raise the quality of education. Likewise, the thematic axes focus on active teaching practices where the participants make methodological decisions and develop techniques and procedures to improve their sessions. The accreditable product is the realization of a class session where the methodologies and strategies presented throughout the course are used.</v>
      </c>
      <c r="N70" s="431"/>
      <c r="O70" s="431"/>
      <c r="P70" s="432" t="str">
        <f>CONCATENATE(CHAR(10),CONCATENATE('3.Plan de Estudios'!AA88,CHAR(10),'3.Plan de Estudios'!AC88,CHAR(10),'3.Plan de Estudios'!AE88,CHAR(10),'3.Plan de Estudios'!AG88,CHAR(10),'3.Plan de Estudios'!AI88))</f>
        <v xml:space="preserve">
CP3: Desarrollo enseñanza y aprendizaje:N2 Efectúa, de manera eficaz, el mejoramiento de la enseñanza docente para elevar la calidad educativa.
</v>
      </c>
      <c r="Q70" s="431"/>
      <c r="R70" s="431"/>
      <c r="S70" s="431"/>
      <c r="T70" s="433" t="str">
        <f t="shared" si="1"/>
        <v>No Aplica</v>
      </c>
    </row>
    <row r="71" spans="2:20" ht="24" customHeight="1">
      <c r="B71" s="425">
        <f>IF('3.Plan de Estudios'!B89="","",'3.Plan de Estudios'!B89)</f>
        <v>7</v>
      </c>
      <c r="C71" s="425" t="str">
        <f>IF('3.Plan de Estudios'!C89="","",'3.Plan de Estudios'!C89)</f>
        <v/>
      </c>
      <c r="D71" s="435" t="str">
        <f>IF('3.Plan de Estudios'!E89="","",'3.Plan de Estudios'!E89)</f>
        <v>ELECTIVO 1</v>
      </c>
      <c r="E71" s="426" t="str">
        <f>'3.Plan de Estudios'!I89</f>
        <v>Presencial</v>
      </c>
      <c r="F71" s="426">
        <f>IF('3.Plan de Estudios'!J89=0,"-",'3.Plan de Estudios'!J89)</f>
        <v>64</v>
      </c>
      <c r="G71" s="427" t="str">
        <f>IF('3.Plan de Estudios'!K89=0,"-",'3.Plan de Estudios'!K89)</f>
        <v>-</v>
      </c>
      <c r="H71" s="426" t="str">
        <f>IF('3.Plan de Estudios'!L89=0,"-",'3.Plan de Estudios'!L89)</f>
        <v>-</v>
      </c>
      <c r="I71" s="428" t="str">
        <f>IF('3.Plan de Estudios'!M89=0,"-",'3.Plan de Estudios'!M89)</f>
        <v>-</v>
      </c>
      <c r="J71" s="427" t="str">
        <f>IF('3.Plan de Estudios'!N89=0,"-",'3.Plan de Estudios'!N89)</f>
        <v>-</v>
      </c>
      <c r="K71" s="428" t="str">
        <f>IF('3.Plan de Estudios'!O89=0,"-",'3.Plan de Estudios'!O89)</f>
        <v>-</v>
      </c>
      <c r="L71" s="429">
        <f>IF('3.Plan de Estudios'!P89=0,"-",'3.Plan de Estudios'!P89)</f>
        <v>4</v>
      </c>
      <c r="M71" s="430" t="str">
        <f>IF('7.Sumillas'!G72=0,"",'7.Sumillas'!G72)</f>
        <v/>
      </c>
      <c r="N71" s="431"/>
      <c r="O71" s="431"/>
      <c r="P71" s="432" t="str">
        <f>CONCATENATE(CHAR(10),CONCATENATE('3.Plan de Estudios'!AA89,CHAR(10),'3.Plan de Estudios'!AC89,CHAR(10),'3.Plan de Estudios'!AE89,CHAR(10),'3.Plan de Estudios'!AG89,CHAR(10),'3.Plan de Estudios'!AI89))</f>
        <v xml:space="preserve">
</v>
      </c>
      <c r="Q71" s="431"/>
      <c r="R71" s="431"/>
      <c r="S71" s="431"/>
      <c r="T71" s="433" t="str">
        <f t="shared" si="1"/>
        <v>No Aplica</v>
      </c>
    </row>
    <row r="72" spans="2:20" ht="24" customHeight="1">
      <c r="B72" s="425">
        <f>IF('3.Plan de Estudios'!B90="","",'3.Plan de Estudios'!B90)</f>
        <v>7</v>
      </c>
      <c r="C72" s="425" t="str">
        <f>IF('3.Plan de Estudios'!C90="","",'3.Plan de Estudios'!C90)</f>
        <v/>
      </c>
      <c r="D72" s="435" t="str">
        <f>IF('3.Plan de Estudios'!E90="","",'3.Plan de Estudios'!E90)</f>
        <v/>
      </c>
      <c r="E72" s="426" t="str">
        <f>'3.Plan de Estudios'!I90</f>
        <v/>
      </c>
      <c r="F72" s="426" t="str">
        <f>IF('3.Plan de Estudios'!J90=0,"-",'3.Plan de Estudios'!J90)</f>
        <v>-</v>
      </c>
      <c r="G72" s="427" t="str">
        <f>IF('3.Plan de Estudios'!K90=0,"-",'3.Plan de Estudios'!K90)</f>
        <v>-</v>
      </c>
      <c r="H72" s="426" t="str">
        <f>IF('3.Plan de Estudios'!L90=0,"-",'3.Plan de Estudios'!L90)</f>
        <v>-</v>
      </c>
      <c r="I72" s="428" t="str">
        <f>IF('3.Plan de Estudios'!M90=0,"-",'3.Plan de Estudios'!M90)</f>
        <v>-</v>
      </c>
      <c r="J72" s="427" t="str">
        <f>IF('3.Plan de Estudios'!N90=0,"-",'3.Plan de Estudios'!N90)</f>
        <v>-</v>
      </c>
      <c r="K72" s="428" t="str">
        <f>IF('3.Plan de Estudios'!O90=0,"-",'3.Plan de Estudios'!O90)</f>
        <v>-</v>
      </c>
      <c r="L72" s="429" t="str">
        <f>IF('3.Plan de Estudios'!P90=0,"-",'3.Plan de Estudios'!P90)</f>
        <v>-</v>
      </c>
      <c r="M72" s="430" t="str">
        <f>IF('7.Sumillas'!G73=0,"",'7.Sumillas'!G73)</f>
        <v/>
      </c>
      <c r="N72" s="431"/>
      <c r="O72" s="431"/>
      <c r="P72" s="432" t="str">
        <f>CONCATENATE(CHAR(10),CONCATENATE('3.Plan de Estudios'!AA90,CHAR(10),'3.Plan de Estudios'!AC90,CHAR(10),'3.Plan de Estudios'!AE90,CHAR(10),'3.Plan de Estudios'!AG90,CHAR(10),'3.Plan de Estudios'!AI90))</f>
        <v xml:space="preserve">
</v>
      </c>
      <c r="Q72" s="431"/>
      <c r="R72" s="431"/>
      <c r="S72" s="431"/>
      <c r="T72" s="433" t="str">
        <f t="shared" si="1"/>
        <v>No Aplica</v>
      </c>
    </row>
    <row r="73" spans="2:20" ht="24" customHeight="1">
      <c r="B73" s="425">
        <f>IF('3.Plan de Estudios'!B91="","",'3.Plan de Estudios'!B91)</f>
        <v>7</v>
      </c>
      <c r="C73" s="425" t="str">
        <f>IF('3.Plan de Estudios'!C91="","",'3.Plan de Estudios'!C91)</f>
        <v/>
      </c>
      <c r="D73" s="435" t="str">
        <f>IF('3.Plan de Estudios'!E91="","",'3.Plan de Estudios'!E91)</f>
        <v/>
      </c>
      <c r="E73" s="426" t="str">
        <f>'3.Plan de Estudios'!I91</f>
        <v/>
      </c>
      <c r="F73" s="426" t="str">
        <f>IF('3.Plan de Estudios'!J91=0,"-",'3.Plan de Estudios'!J91)</f>
        <v>-</v>
      </c>
      <c r="G73" s="427" t="str">
        <f>IF('3.Plan de Estudios'!K91=0,"-",'3.Plan de Estudios'!K91)</f>
        <v>-</v>
      </c>
      <c r="H73" s="426" t="str">
        <f>IF('3.Plan de Estudios'!L91=0,"-",'3.Plan de Estudios'!L91)</f>
        <v>-</v>
      </c>
      <c r="I73" s="428" t="str">
        <f>IF('3.Plan de Estudios'!M91=0,"-",'3.Plan de Estudios'!M91)</f>
        <v>-</v>
      </c>
      <c r="J73" s="427" t="str">
        <f>IF('3.Plan de Estudios'!N91=0,"-",'3.Plan de Estudios'!N91)</f>
        <v>-</v>
      </c>
      <c r="K73" s="428" t="str">
        <f>IF('3.Plan de Estudios'!O91=0,"-",'3.Plan de Estudios'!O91)</f>
        <v>-</v>
      </c>
      <c r="L73" s="429" t="str">
        <f>IF('3.Plan de Estudios'!P91=0,"-",'3.Plan de Estudios'!P91)</f>
        <v>-</v>
      </c>
      <c r="M73" s="430" t="str">
        <f>IF('7.Sumillas'!G74=0,"",'7.Sumillas'!G74)</f>
        <v/>
      </c>
      <c r="N73" s="431"/>
      <c r="O73" s="431"/>
      <c r="P73" s="432" t="str">
        <f>CONCATENATE(CHAR(10),CONCATENATE('3.Plan de Estudios'!AA91,CHAR(10),'3.Plan de Estudios'!AC91,CHAR(10),'3.Plan de Estudios'!AE91,CHAR(10),'3.Plan de Estudios'!AG91,CHAR(10),'3.Plan de Estudios'!AI91))</f>
        <v xml:space="preserve">
</v>
      </c>
      <c r="Q73" s="431"/>
      <c r="R73" s="431"/>
      <c r="S73" s="431"/>
      <c r="T73" s="433" t="str">
        <f t="shared" si="1"/>
        <v>No Aplica</v>
      </c>
    </row>
    <row r="74" spans="2:20" ht="24" customHeight="1">
      <c r="B74" s="425">
        <f>IF('3.Plan de Estudios'!B92="","",'3.Plan de Estudios'!B92)</f>
        <v>7</v>
      </c>
      <c r="C74" s="425" t="str">
        <f>IF('3.Plan de Estudios'!C92="","",'3.Plan de Estudios'!C92)</f>
        <v/>
      </c>
      <c r="D74" s="435" t="str">
        <f>IF('3.Plan de Estudios'!E92="","",'3.Plan de Estudios'!E92)</f>
        <v/>
      </c>
      <c r="E74" s="426" t="str">
        <f>'3.Plan de Estudios'!I92</f>
        <v/>
      </c>
      <c r="F74" s="426" t="str">
        <f>IF('3.Plan de Estudios'!J92=0,"-",'3.Plan de Estudios'!J92)</f>
        <v>-</v>
      </c>
      <c r="G74" s="427" t="str">
        <f>IF('3.Plan de Estudios'!K92=0,"-",'3.Plan de Estudios'!K92)</f>
        <v>-</v>
      </c>
      <c r="H74" s="426" t="str">
        <f>IF('3.Plan de Estudios'!L92=0,"-",'3.Plan de Estudios'!L92)</f>
        <v>-</v>
      </c>
      <c r="I74" s="428" t="str">
        <f>IF('3.Plan de Estudios'!M92=0,"-",'3.Plan de Estudios'!M92)</f>
        <v>-</v>
      </c>
      <c r="J74" s="427" t="str">
        <f>IF('3.Plan de Estudios'!N92=0,"-",'3.Plan de Estudios'!N92)</f>
        <v>-</v>
      </c>
      <c r="K74" s="428" t="str">
        <f>IF('3.Plan de Estudios'!O92=0,"-",'3.Plan de Estudios'!O92)</f>
        <v>-</v>
      </c>
      <c r="L74" s="429" t="str">
        <f>IF('3.Plan de Estudios'!P92=0,"-",'3.Plan de Estudios'!P92)</f>
        <v>-</v>
      </c>
      <c r="M74" s="430" t="str">
        <f>IF('7.Sumillas'!G75=0,"",'7.Sumillas'!G75)</f>
        <v/>
      </c>
      <c r="N74" s="431"/>
      <c r="O74" s="431"/>
      <c r="P74" s="432" t="str">
        <f>CONCATENATE(CHAR(10),CONCATENATE('3.Plan de Estudios'!AA92,CHAR(10),'3.Plan de Estudios'!AC92,CHAR(10),'3.Plan de Estudios'!AE92,CHAR(10),'3.Plan de Estudios'!AG92,CHAR(10),'3.Plan de Estudios'!AI92))</f>
        <v xml:space="preserve">
</v>
      </c>
      <c r="Q74" s="431"/>
      <c r="R74" s="431"/>
      <c r="S74" s="431"/>
      <c r="T74" s="433" t="str">
        <f t="shared" si="1"/>
        <v>No Aplica</v>
      </c>
    </row>
    <row r="75" spans="2:20" ht="24" customHeight="1">
      <c r="B75" s="425">
        <f>IF('3.Plan de Estudios'!B93="","",'3.Plan de Estudios'!B93)</f>
        <v>7</v>
      </c>
      <c r="C75" s="425" t="str">
        <f>IF('3.Plan de Estudios'!C93="","",'3.Plan de Estudios'!C93)</f>
        <v/>
      </c>
      <c r="D75" s="435" t="str">
        <f>IF('3.Plan de Estudios'!E93="","",'3.Plan de Estudios'!E93)</f>
        <v/>
      </c>
      <c r="E75" s="426" t="str">
        <f>'3.Plan de Estudios'!I93</f>
        <v/>
      </c>
      <c r="F75" s="426" t="str">
        <f>IF('3.Plan de Estudios'!J93=0,"-",'3.Plan de Estudios'!J93)</f>
        <v>-</v>
      </c>
      <c r="G75" s="427" t="str">
        <f>IF('3.Plan de Estudios'!K93=0,"-",'3.Plan de Estudios'!K93)</f>
        <v>-</v>
      </c>
      <c r="H75" s="426" t="str">
        <f>IF('3.Plan de Estudios'!L93=0,"-",'3.Plan de Estudios'!L93)</f>
        <v>-</v>
      </c>
      <c r="I75" s="428" t="str">
        <f>IF('3.Plan de Estudios'!M93=0,"-",'3.Plan de Estudios'!M93)</f>
        <v>-</v>
      </c>
      <c r="J75" s="427" t="str">
        <f>IF('3.Plan de Estudios'!N93=0,"-",'3.Plan de Estudios'!N93)</f>
        <v>-</v>
      </c>
      <c r="K75" s="428" t="str">
        <f>IF('3.Plan de Estudios'!O93=0,"-",'3.Plan de Estudios'!O93)</f>
        <v>-</v>
      </c>
      <c r="L75" s="429" t="str">
        <f>IF('3.Plan de Estudios'!P93=0,"-",'3.Plan de Estudios'!P93)</f>
        <v>-</v>
      </c>
      <c r="M75" s="430" t="str">
        <f>IF('7.Sumillas'!G76=0,"",'7.Sumillas'!G76)</f>
        <v/>
      </c>
      <c r="N75" s="431"/>
      <c r="O75" s="431"/>
      <c r="P75" s="432" t="str">
        <f>CONCATENATE(CHAR(10),CONCATENATE('3.Plan de Estudios'!AA93,CHAR(10),'3.Plan de Estudios'!AC93,CHAR(10),'3.Plan de Estudios'!AE93,CHAR(10),'3.Plan de Estudios'!AG93,CHAR(10),'3.Plan de Estudios'!AI93))</f>
        <v xml:space="preserve">
</v>
      </c>
      <c r="Q75" s="431"/>
      <c r="R75" s="431"/>
      <c r="S75" s="431"/>
      <c r="T75" s="433" t="str">
        <f t="shared" si="1"/>
        <v>No Aplica</v>
      </c>
    </row>
    <row r="76" spans="2:20" ht="24" customHeight="1">
      <c r="B76" s="425">
        <f>IF('3.Plan de Estudios'!B94="","",'3.Plan de Estudios'!B94)</f>
        <v>7</v>
      </c>
      <c r="C76" s="425" t="str">
        <f>IF('3.Plan de Estudios'!C94="","",'3.Plan de Estudios'!C94)</f>
        <v/>
      </c>
      <c r="D76" s="435" t="str">
        <f>IF('3.Plan de Estudios'!E94="","",'3.Plan de Estudios'!E94)</f>
        <v/>
      </c>
      <c r="E76" s="426" t="str">
        <f>'3.Plan de Estudios'!I94</f>
        <v/>
      </c>
      <c r="F76" s="426" t="str">
        <f>IF('3.Plan de Estudios'!J94=0,"-",'3.Plan de Estudios'!J94)</f>
        <v>-</v>
      </c>
      <c r="G76" s="427" t="str">
        <f>IF('3.Plan de Estudios'!K94=0,"-",'3.Plan de Estudios'!K94)</f>
        <v>-</v>
      </c>
      <c r="H76" s="426" t="str">
        <f>IF('3.Plan de Estudios'!L94=0,"-",'3.Plan de Estudios'!L94)</f>
        <v>-</v>
      </c>
      <c r="I76" s="428" t="str">
        <f>IF('3.Plan de Estudios'!M94=0,"-",'3.Plan de Estudios'!M94)</f>
        <v>-</v>
      </c>
      <c r="J76" s="427" t="str">
        <f>IF('3.Plan de Estudios'!N94=0,"-",'3.Plan de Estudios'!N94)</f>
        <v>-</v>
      </c>
      <c r="K76" s="428" t="str">
        <f>IF('3.Plan de Estudios'!O94=0,"-",'3.Plan de Estudios'!O94)</f>
        <v>-</v>
      </c>
      <c r="L76" s="429" t="str">
        <f>IF('3.Plan de Estudios'!P94=0,"-",'3.Plan de Estudios'!P94)</f>
        <v>-</v>
      </c>
      <c r="M76" s="430" t="str">
        <f>IF('7.Sumillas'!G77=0,"",'7.Sumillas'!G77)</f>
        <v/>
      </c>
      <c r="N76" s="431"/>
      <c r="O76" s="431"/>
      <c r="P76" s="432" t="str">
        <f>CONCATENATE(CHAR(10),CONCATENATE('3.Plan de Estudios'!AA94,CHAR(10),'3.Plan de Estudios'!AC94,CHAR(10),'3.Plan de Estudios'!AE94,CHAR(10),'3.Plan de Estudios'!AG94,CHAR(10),'3.Plan de Estudios'!AI94))</f>
        <v xml:space="preserve">
</v>
      </c>
      <c r="Q76" s="431"/>
      <c r="R76" s="431"/>
      <c r="S76" s="431"/>
      <c r="T76" s="433" t="str">
        <f t="shared" si="1"/>
        <v>No Aplica</v>
      </c>
    </row>
    <row r="77" spans="2:20" ht="24" customHeight="1">
      <c r="B77" s="425">
        <f>IF('3.Plan de Estudios'!B96="","",'3.Plan de Estudios'!B96)</f>
        <v>8</v>
      </c>
      <c r="C77" s="425" t="str">
        <f>IF('3.Plan de Estudios'!C96="","",'3.Plan de Estudios'!C96)</f>
        <v>ESE61009</v>
      </c>
      <c r="D77" s="435" t="str">
        <f>IF('3.Plan de Estudios'!E96="","",'3.Plan de Estudios'!E96)</f>
        <v>ESL: LEARNER STRATEGIES</v>
      </c>
      <c r="E77" s="426" t="str">
        <f>'3.Plan de Estudios'!I96</f>
        <v>Presencial</v>
      </c>
      <c r="F77" s="426">
        <f>IF('3.Plan de Estudios'!J96=0,"-",'3.Plan de Estudios'!J96)</f>
        <v>36</v>
      </c>
      <c r="G77" s="427" t="str">
        <f>IF('3.Plan de Estudios'!K96=0,"-",'3.Plan de Estudios'!K96)</f>
        <v>-</v>
      </c>
      <c r="H77" s="426">
        <f>IF('3.Plan de Estudios'!L96=0,"-",'3.Plan de Estudios'!L96)</f>
        <v>56</v>
      </c>
      <c r="I77" s="428" t="str">
        <f>IF('3.Plan de Estudios'!M96=0,"-",'3.Plan de Estudios'!M96)</f>
        <v>-</v>
      </c>
      <c r="J77" s="427" t="str">
        <f>IF('3.Plan de Estudios'!N96=0,"-",'3.Plan de Estudios'!N96)</f>
        <v>-</v>
      </c>
      <c r="K77" s="428" t="str">
        <f>IF('3.Plan de Estudios'!O96=0,"-",'3.Plan de Estudios'!O96)</f>
        <v>-</v>
      </c>
      <c r="L77" s="429">
        <f>IF('3.Plan de Estudios'!P96=0,"-",'3.Plan de Estudios'!P96)</f>
        <v>4</v>
      </c>
      <c r="M77" s="430" t="str">
        <f>IF('7.Sumillas'!G78=0,"",'7.Sumillas'!G78)</f>
        <v>The ESL subject: Learner Strategies is of a theoretical-practical nature and the subject attributes to the competence: Comprehension and expression of the English language. Explains, holistically criticizes the English language as a language, according to the phonetic, lexical and semantic aspects using ICT to systematize it didactically in the teaching-learning process. The second strategies developed are largely appropriate for all students. ESL and classroom teachers will collaborate to deliver the curriculum in the regular classroom. The accreditable product will be a work on the design of a personal development plan and a reflection on the experience.</v>
      </c>
      <c r="N77" s="431"/>
      <c r="O77" s="431"/>
      <c r="P77" s="432" t="str">
        <f>CONCATENATE(CHAR(10),CONCATENATE('3.Plan de Estudios'!AA96,CHAR(10),'3.Plan de Estudios'!AC96,CHAR(10),'3.Plan de Estudios'!AE96,CHAR(10),'3.Plan de Estudios'!AG96,CHAR(10),'3.Plan de Estudios'!AI96))</f>
        <v xml:space="preserve">
CP5: Comprensión y expresión del idioma inglés:N3 Explica, crítica de manera holística el idioma inglés como segunda lengua, según los aspectos fonético, léxico y semántico utilizando las TIC para sistematizarla didácticamente en el proceso de enseñanza aprendizaje.
</v>
      </c>
      <c r="Q77" s="431"/>
      <c r="R77" s="431"/>
      <c r="S77" s="431"/>
      <c r="T77" s="433" t="str">
        <f t="shared" si="1"/>
        <v>No Aplica</v>
      </c>
    </row>
    <row r="78" spans="2:20" ht="24" customHeight="1">
      <c r="B78" s="425">
        <f>IF('3.Plan de Estudios'!B97="","",'3.Plan de Estudios'!B97)</f>
        <v>8</v>
      </c>
      <c r="C78" s="425" t="str">
        <f>IF('3.Plan de Estudios'!C97="","",'3.Plan de Estudios'!C97)</f>
        <v>ENG52001</v>
      </c>
      <c r="D78" s="435" t="str">
        <f>IF('3.Plan de Estudios'!E97="","",'3.Plan de Estudios'!E97)</f>
        <v>LISTENING COMPREHENSION</v>
      </c>
      <c r="E78" s="426" t="str">
        <f>'3.Plan de Estudios'!I97</f>
        <v>Presencial</v>
      </c>
      <c r="F78" s="426">
        <f>IF('3.Plan de Estudios'!J97=0,"-",'3.Plan de Estudios'!J97)</f>
        <v>36</v>
      </c>
      <c r="G78" s="427" t="str">
        <f>IF('3.Plan de Estudios'!K97=0,"-",'3.Plan de Estudios'!K97)</f>
        <v>-</v>
      </c>
      <c r="H78" s="426">
        <f>IF('3.Plan de Estudios'!L97=0,"-",'3.Plan de Estudios'!L97)</f>
        <v>56</v>
      </c>
      <c r="I78" s="428" t="str">
        <f>IF('3.Plan de Estudios'!M97=0,"-",'3.Plan de Estudios'!M97)</f>
        <v>-</v>
      </c>
      <c r="J78" s="427" t="str">
        <f>IF('3.Plan de Estudios'!N97=0,"-",'3.Plan de Estudios'!N97)</f>
        <v>-</v>
      </c>
      <c r="K78" s="428" t="str">
        <f>IF('3.Plan de Estudios'!O97=0,"-",'3.Plan de Estudios'!O97)</f>
        <v>-</v>
      </c>
      <c r="L78" s="429">
        <f>IF('3.Plan de Estudios'!P97=0,"-",'3.Plan de Estudios'!P97)</f>
        <v>4</v>
      </c>
      <c r="M78" s="430" t="str">
        <f>IF('7.Sumillas'!G79=0,"",'7.Sumillas'!G79)</f>
        <v>The Listening Comprehension course is a theoretical-practical course that attributes to the competence: Comprehension and expression of the English language. Explains, holistically criticizes the English language as a second language, according to the phonetic, lexical and semantic aspects using ICT to systematize it didactically in the teaching-learning process. And this matter is intended for the subject to obtain a listening comprehension that is able to understand in social interaction and also in recorded form listening to general, technical and academic English at a high level. The creditable product is to produce C2 work that promotes dialogue and English language comprehension ability.</v>
      </c>
      <c r="N78" s="431"/>
      <c r="O78" s="431"/>
      <c r="P78" s="432" t="str">
        <f>CONCATENATE(CHAR(10),CONCATENATE('3.Plan de Estudios'!AA97,CHAR(10),'3.Plan de Estudios'!AC97,CHAR(10),'3.Plan de Estudios'!AE97,CHAR(10),'3.Plan de Estudios'!AG97,CHAR(10),'3.Plan de Estudios'!AI97))</f>
        <v xml:space="preserve">
CP5: Comprensión y expresión del idioma inglés:N3 Explica, crítica de manera holística el idioma inglés como segunda lengua, según los aspectos fonético, léxico y semántico utilizando las TIC para sistematizarla didácticamente en el proceso de enseñanza aprendizaje.
CG2: Comunicación Bilingüe:N3 Se desenvuelve en inglés utilizando las cuatro habilidades lingüísticas -comprensión auditiva, comprensión lectora, producción oral y producción escrita- con destreza y fluidez para el desempeño personal, académico y profesional.
</v>
      </c>
      <c r="Q78" s="431"/>
      <c r="R78" s="431"/>
      <c r="S78" s="431"/>
      <c r="T78" s="433" t="str">
        <f t="shared" si="1"/>
        <v>No Aplica</v>
      </c>
    </row>
    <row r="79" spans="2:20" ht="24" customHeight="1">
      <c r="B79" s="425">
        <f>IF('3.Plan de Estudios'!B98="","",'3.Plan de Estudios'!B98)</f>
        <v>8</v>
      </c>
      <c r="C79" s="425" t="str">
        <f>IF('3.Plan de Estudios'!C98="","",'3.Plan de Estudios'!C98)</f>
        <v>INV51047</v>
      </c>
      <c r="D79" s="435" t="str">
        <f>IF('3.Plan de Estudios'!E98="","",'3.Plan de Estudios'!E98)</f>
        <v>ORGANIZACIÓN DE LA INFORMACIÓN</v>
      </c>
      <c r="E79" s="426" t="str">
        <f>'3.Plan de Estudios'!I98</f>
        <v>Presencial</v>
      </c>
      <c r="F79" s="426">
        <f>IF('3.Plan de Estudios'!J98=0,"-",'3.Plan de Estudios'!J98)</f>
        <v>64</v>
      </c>
      <c r="G79" s="427" t="str">
        <f>IF('3.Plan de Estudios'!K98=0,"-",'3.Plan de Estudios'!K98)</f>
        <v>-</v>
      </c>
      <c r="H79" s="426" t="str">
        <f>IF('3.Plan de Estudios'!L98=0,"-",'3.Plan de Estudios'!L98)</f>
        <v>-</v>
      </c>
      <c r="I79" s="428" t="str">
        <f>IF('3.Plan de Estudios'!M98=0,"-",'3.Plan de Estudios'!M98)</f>
        <v>-</v>
      </c>
      <c r="J79" s="427" t="str">
        <f>IF('3.Plan de Estudios'!N98=0,"-",'3.Plan de Estudios'!N98)</f>
        <v>-</v>
      </c>
      <c r="K79" s="428" t="str">
        <f>IF('3.Plan de Estudios'!O98=0,"-",'3.Plan de Estudios'!O98)</f>
        <v>-</v>
      </c>
      <c r="L79" s="429">
        <f>IF('3.Plan de Estudios'!P98=0,"-",'3.Plan de Estudios'!P98)</f>
        <v>4</v>
      </c>
      <c r="M79" s="430" t="str">
        <f>IF('7.Sumillas'!G80=0,"",'7.Sumillas'!G80)</f>
        <v>Organización de la Información, es una asignatura de formación especializada y de naturaleza teórico-práctico. Tributa a la competencia de investigación educativa. Elabora el proyecto de investigación demostrando consistencia sobre todo en el marco teórico, diseño metodológico y validación de los instrumentos de investigación. Comprende el desarrollo de los siguientes ejes temáticos: Proceso de investigación científica aplicado a la educación y el marco metodológico del proyecto de investigación, instrumentos: elaboración, aplicación y sistematización de la información. El producto acreditable es un informe de investigación basado en alguna temática del contexto educacional.</v>
      </c>
      <c r="N79" s="431"/>
      <c r="O79" s="431"/>
      <c r="P79" s="432" t="str">
        <f>CONCATENATE(CHAR(10),CONCATENATE('3.Plan de Estudios'!AA98,CHAR(10),'3.Plan de Estudios'!AC98,CHAR(10),'3.Plan de Estudios'!AE98,CHAR(10),'3.Plan de Estudios'!AG98,CHAR(10),'3.Plan de Estudios'!AI98))</f>
        <v xml:space="preserve">
CP4: Investigación Educativa:N3 Elabora el proyecto de investigación demostrando consistencia sobre todo en el marco teórico, diseño metodológico y validación de los instrumentos de investigación.
CG3: Investigación:N2 Define cual es la metodología para responder su pregunta de investigación con ética e integridad.
</v>
      </c>
      <c r="Q79" s="431"/>
      <c r="R79" s="431"/>
      <c r="S79" s="431"/>
      <c r="T79" s="433" t="str">
        <f t="shared" si="1"/>
        <v>No Aplica</v>
      </c>
    </row>
    <row r="80" spans="2:20" ht="24" customHeight="1">
      <c r="B80" s="425">
        <f>IF('3.Plan de Estudios'!B99="","",'3.Plan de Estudios'!B99)</f>
        <v>8</v>
      </c>
      <c r="C80" s="425" t="str">
        <f>IF('3.Plan de Estudios'!C99="","",'3.Plan de Estudios'!C99)</f>
        <v>EIC61040</v>
      </c>
      <c r="D80" s="435" t="str">
        <f>IF('3.Plan de Estudios'!E99="","",'3.Plan de Estudios'!E99)</f>
        <v>PRÁCTICA PRE-PROFESIONAL INICIAL</v>
      </c>
      <c r="E80" s="426" t="str">
        <f>'3.Plan de Estudios'!I99</f>
        <v>Presencial</v>
      </c>
      <c r="F80" s="426">
        <f>IF('3.Plan de Estudios'!J99=0,"-",'3.Plan de Estudios'!J99)</f>
        <v>4</v>
      </c>
      <c r="G80" s="427" t="str">
        <f>IF('3.Plan de Estudios'!K99=0,"-",'3.Plan de Estudios'!K99)</f>
        <v>-</v>
      </c>
      <c r="H80" s="426">
        <f>IF('3.Plan de Estudios'!L99=0,"-",'3.Plan de Estudios'!L99)</f>
        <v>120</v>
      </c>
      <c r="I80" s="428" t="str">
        <f>IF('3.Plan de Estudios'!M99=0,"-",'3.Plan de Estudios'!M99)</f>
        <v>-</v>
      </c>
      <c r="J80" s="427" t="str">
        <f>IF('3.Plan de Estudios'!N99=0,"-",'3.Plan de Estudios'!N99)</f>
        <v>-</v>
      </c>
      <c r="K80" s="428" t="str">
        <f>IF('3.Plan de Estudios'!O99=0,"-",'3.Plan de Estudios'!O99)</f>
        <v>-</v>
      </c>
      <c r="L80" s="429">
        <f>IF('3.Plan de Estudios'!P99=0,"-",'3.Plan de Estudios'!P99)</f>
        <v>4</v>
      </c>
      <c r="M80" s="430" t="str">
        <f>IF('7.Sumillas'!G81=0,"",'7.Sumillas'!G81)</f>
        <v>Práctica Pre-profesional Inicial, es una asignatura de formación especializada y de naturaleza teórico-práctico. Tributa a las competencias de investigación educativa y desarrollo de enseñanza y aprendizaje. Comprende el desarrollo de los siguientes ejes temáticos: El reconocimiento y análisis de diversas metodologías y estrategias para facilitar el aprendizaje; y el análisis de gestión institucional en centros educativos de Lima. El producto acreditable es un portafolio con la planificación y observación de sesiones de aprendizajes de sus centros de prácticas.</v>
      </c>
      <c r="N80" s="431"/>
      <c r="O80" s="431"/>
      <c r="P80" s="432" t="str">
        <f>CONCATENATE(CHAR(10),CONCATENATE('3.Plan de Estudios'!AA99,CHAR(10),'3.Plan de Estudios'!AC99,CHAR(10),'3.Plan de Estudios'!AE99,CHAR(10),'3.Plan de Estudios'!AG99,CHAR(10),'3.Plan de Estudios'!AI99))</f>
        <v xml:space="preserve">
CP4: Investigación Educativa:N3 Elabora el proyecto de investigación demostrando consistencia sobre todo en el marco teórico, diseño metodológico y validación de los instrumentos de investigación.
CP3: Desarrollo enseñanza y aprendizaje:N3 Desempeñarse de manera eficiente en el desarrollo la enseñanza y de su desarrollo en su identidad docente para el buen aprendizaje de los estudiantes.
</v>
      </c>
      <c r="Q80" s="431"/>
      <c r="R80" s="431"/>
      <c r="S80" s="431"/>
      <c r="T80" s="433" t="str">
        <f t="shared" si="1"/>
        <v>No Aplica</v>
      </c>
    </row>
    <row r="81" spans="2:20" ht="24" customHeight="1">
      <c r="B81" s="425">
        <f>IF('3.Plan de Estudios'!B100="","",'3.Plan de Estudios'!B100)</f>
        <v>8</v>
      </c>
      <c r="C81" s="425" t="str">
        <f>IF('3.Plan de Estudios'!C100="","",'3.Plan de Estudios'!C100)</f>
        <v/>
      </c>
      <c r="D81" s="435" t="str">
        <f>IF('3.Plan de Estudios'!E100="","",'3.Plan de Estudios'!E100)</f>
        <v>ELECTIVO 2</v>
      </c>
      <c r="E81" s="426" t="str">
        <f>'3.Plan de Estudios'!I100</f>
        <v>Presencial</v>
      </c>
      <c r="F81" s="426">
        <f>IF('3.Plan de Estudios'!J100=0,"-",'3.Plan de Estudios'!J100)</f>
        <v>64</v>
      </c>
      <c r="G81" s="427" t="str">
        <f>IF('3.Plan de Estudios'!K100=0,"-",'3.Plan de Estudios'!K100)</f>
        <v>-</v>
      </c>
      <c r="H81" s="426" t="str">
        <f>IF('3.Plan de Estudios'!L100=0,"-",'3.Plan de Estudios'!L100)</f>
        <v>-</v>
      </c>
      <c r="I81" s="428" t="str">
        <f>IF('3.Plan de Estudios'!M100=0,"-",'3.Plan de Estudios'!M100)</f>
        <v>-</v>
      </c>
      <c r="J81" s="427" t="str">
        <f>IF('3.Plan de Estudios'!N100=0,"-",'3.Plan de Estudios'!N100)</f>
        <v>-</v>
      </c>
      <c r="K81" s="428" t="str">
        <f>IF('3.Plan de Estudios'!O100=0,"-",'3.Plan de Estudios'!O100)</f>
        <v>-</v>
      </c>
      <c r="L81" s="429">
        <f>IF('3.Plan de Estudios'!P100=0,"-",'3.Plan de Estudios'!P100)</f>
        <v>4</v>
      </c>
      <c r="M81" s="430" t="str">
        <f>IF('7.Sumillas'!G82=0,"",'7.Sumillas'!G82)</f>
        <v/>
      </c>
      <c r="N81" s="431"/>
      <c r="O81" s="431"/>
      <c r="P81" s="432" t="str">
        <f>CONCATENATE(CHAR(10),CONCATENATE('3.Plan de Estudios'!AA100,CHAR(10),'3.Plan de Estudios'!AC100,CHAR(10),'3.Plan de Estudios'!AE100,CHAR(10),'3.Plan de Estudios'!AG100,CHAR(10),'3.Plan de Estudios'!AI100))</f>
        <v xml:space="preserve">
</v>
      </c>
      <c r="Q81" s="431"/>
      <c r="R81" s="431"/>
      <c r="S81" s="431"/>
      <c r="T81" s="433" t="str">
        <f t="shared" si="1"/>
        <v>No Aplica</v>
      </c>
    </row>
    <row r="82" spans="2:20" ht="24" customHeight="1">
      <c r="B82" s="425">
        <f>IF('3.Plan de Estudios'!B101="","",'3.Plan de Estudios'!B101)</f>
        <v>8</v>
      </c>
      <c r="C82" s="425" t="str">
        <f>IF('3.Plan de Estudios'!C101="","",'3.Plan de Estudios'!C101)</f>
        <v/>
      </c>
      <c r="D82" s="435" t="str">
        <f>IF('3.Plan de Estudios'!E101="","",'3.Plan de Estudios'!E101)</f>
        <v/>
      </c>
      <c r="E82" s="426" t="str">
        <f>'3.Plan de Estudios'!I101</f>
        <v/>
      </c>
      <c r="F82" s="426" t="str">
        <f>IF('3.Plan de Estudios'!J101=0,"-",'3.Plan de Estudios'!J101)</f>
        <v>-</v>
      </c>
      <c r="G82" s="427" t="str">
        <f>IF('3.Plan de Estudios'!K101=0,"-",'3.Plan de Estudios'!K101)</f>
        <v>-</v>
      </c>
      <c r="H82" s="426" t="str">
        <f>IF('3.Plan de Estudios'!L101=0,"-",'3.Plan de Estudios'!L101)</f>
        <v>-</v>
      </c>
      <c r="I82" s="428" t="str">
        <f>IF('3.Plan de Estudios'!M101=0,"-",'3.Plan de Estudios'!M101)</f>
        <v>-</v>
      </c>
      <c r="J82" s="427" t="str">
        <f>IF('3.Plan de Estudios'!N101=0,"-",'3.Plan de Estudios'!N101)</f>
        <v>-</v>
      </c>
      <c r="K82" s="428" t="str">
        <f>IF('3.Plan de Estudios'!O101=0,"-",'3.Plan de Estudios'!O101)</f>
        <v>-</v>
      </c>
      <c r="L82" s="429" t="str">
        <f>IF('3.Plan de Estudios'!P101=0,"-",'3.Plan de Estudios'!P101)</f>
        <v>-</v>
      </c>
      <c r="M82" s="430" t="str">
        <f>IF('7.Sumillas'!G83=0,"",'7.Sumillas'!G83)</f>
        <v/>
      </c>
      <c r="N82" s="431"/>
      <c r="O82" s="431"/>
      <c r="P82" s="432" t="str">
        <f>CONCATENATE(CHAR(10),CONCATENATE('3.Plan de Estudios'!AA101,CHAR(10),'3.Plan de Estudios'!AC101,CHAR(10),'3.Plan de Estudios'!AE101,CHAR(10),'3.Plan de Estudios'!AG101,CHAR(10),'3.Plan de Estudios'!AI101))</f>
        <v xml:space="preserve">
</v>
      </c>
      <c r="Q82" s="431"/>
      <c r="R82" s="431"/>
      <c r="S82" s="431"/>
      <c r="T82" s="433" t="str">
        <f t="shared" si="1"/>
        <v>No Aplica</v>
      </c>
    </row>
    <row r="83" spans="2:20" ht="24" customHeight="1">
      <c r="B83" s="425">
        <f>IF('3.Plan de Estudios'!B102="","",'3.Plan de Estudios'!B102)</f>
        <v>8</v>
      </c>
      <c r="C83" s="425" t="str">
        <f>IF('3.Plan de Estudios'!C102="","",'3.Plan de Estudios'!C102)</f>
        <v/>
      </c>
      <c r="D83" s="435" t="str">
        <f>IF('3.Plan de Estudios'!E102="","",'3.Plan de Estudios'!E102)</f>
        <v/>
      </c>
      <c r="E83" s="426" t="str">
        <f>'3.Plan de Estudios'!I102</f>
        <v/>
      </c>
      <c r="F83" s="426" t="str">
        <f>IF('3.Plan de Estudios'!J102=0,"-",'3.Plan de Estudios'!J102)</f>
        <v>-</v>
      </c>
      <c r="G83" s="427" t="str">
        <f>IF('3.Plan de Estudios'!K102=0,"-",'3.Plan de Estudios'!K102)</f>
        <v>-</v>
      </c>
      <c r="H83" s="426" t="str">
        <f>IF('3.Plan de Estudios'!L102=0,"-",'3.Plan de Estudios'!L102)</f>
        <v>-</v>
      </c>
      <c r="I83" s="428" t="str">
        <f>IF('3.Plan de Estudios'!M102=0,"-",'3.Plan de Estudios'!M102)</f>
        <v>-</v>
      </c>
      <c r="J83" s="427" t="str">
        <f>IF('3.Plan de Estudios'!N102=0,"-",'3.Plan de Estudios'!N102)</f>
        <v>-</v>
      </c>
      <c r="K83" s="428" t="str">
        <f>IF('3.Plan de Estudios'!O102=0,"-",'3.Plan de Estudios'!O102)</f>
        <v>-</v>
      </c>
      <c r="L83" s="429" t="str">
        <f>IF('3.Plan de Estudios'!P102=0,"-",'3.Plan de Estudios'!P102)</f>
        <v>-</v>
      </c>
      <c r="M83" s="430" t="str">
        <f>IF('7.Sumillas'!G84=0,"",'7.Sumillas'!G84)</f>
        <v/>
      </c>
      <c r="N83" s="431"/>
      <c r="O83" s="431"/>
      <c r="P83" s="432" t="str">
        <f>CONCATENATE(CHAR(10),CONCATENATE('3.Plan de Estudios'!AA102,CHAR(10),'3.Plan de Estudios'!AC102,CHAR(10),'3.Plan de Estudios'!AE102,CHAR(10),'3.Plan de Estudios'!AG102,CHAR(10),'3.Plan de Estudios'!AI102))</f>
        <v xml:space="preserve">
</v>
      </c>
      <c r="Q83" s="431"/>
      <c r="R83" s="431"/>
      <c r="S83" s="431"/>
      <c r="T83" s="433" t="str">
        <f t="shared" si="1"/>
        <v>No Aplica</v>
      </c>
    </row>
    <row r="84" spans="2:20" ht="24" customHeight="1">
      <c r="B84" s="425">
        <f>IF('3.Plan de Estudios'!B103="","",'3.Plan de Estudios'!B103)</f>
        <v>8</v>
      </c>
      <c r="C84" s="425" t="str">
        <f>IF('3.Plan de Estudios'!C103="","",'3.Plan de Estudios'!C103)</f>
        <v/>
      </c>
      <c r="D84" s="435" t="str">
        <f>IF('3.Plan de Estudios'!E103="","",'3.Plan de Estudios'!E103)</f>
        <v/>
      </c>
      <c r="E84" s="426" t="str">
        <f>'3.Plan de Estudios'!I103</f>
        <v/>
      </c>
      <c r="F84" s="426" t="str">
        <f>IF('3.Plan de Estudios'!J103=0,"-",'3.Plan de Estudios'!J103)</f>
        <v>-</v>
      </c>
      <c r="G84" s="427" t="str">
        <f>IF('3.Plan de Estudios'!K103=0,"-",'3.Plan de Estudios'!K103)</f>
        <v>-</v>
      </c>
      <c r="H84" s="426" t="str">
        <f>IF('3.Plan de Estudios'!L103=0,"-",'3.Plan de Estudios'!L103)</f>
        <v>-</v>
      </c>
      <c r="I84" s="428" t="str">
        <f>IF('3.Plan de Estudios'!M103=0,"-",'3.Plan de Estudios'!M103)</f>
        <v>-</v>
      </c>
      <c r="J84" s="427" t="str">
        <f>IF('3.Plan de Estudios'!N103=0,"-",'3.Plan de Estudios'!N103)</f>
        <v>-</v>
      </c>
      <c r="K84" s="428" t="str">
        <f>IF('3.Plan de Estudios'!O103=0,"-",'3.Plan de Estudios'!O103)</f>
        <v>-</v>
      </c>
      <c r="L84" s="429" t="str">
        <f>IF('3.Plan de Estudios'!P103=0,"-",'3.Plan de Estudios'!P103)</f>
        <v>-</v>
      </c>
      <c r="M84" s="430" t="str">
        <f>IF('7.Sumillas'!G85=0,"",'7.Sumillas'!G85)</f>
        <v/>
      </c>
      <c r="N84" s="431"/>
      <c r="O84" s="431"/>
      <c r="P84" s="432" t="str">
        <f>CONCATENATE(CHAR(10),CONCATENATE('3.Plan de Estudios'!AA103,CHAR(10),'3.Plan de Estudios'!AC103,CHAR(10),'3.Plan de Estudios'!AE103,CHAR(10),'3.Plan de Estudios'!AG103,CHAR(10),'3.Plan de Estudios'!AI103))</f>
        <v xml:space="preserve">
</v>
      </c>
      <c r="Q84" s="431"/>
      <c r="R84" s="431"/>
      <c r="S84" s="431"/>
      <c r="T84" s="433" t="str">
        <f t="shared" si="1"/>
        <v>No Aplica</v>
      </c>
    </row>
    <row r="85" spans="2:20" ht="24" customHeight="1">
      <c r="B85" s="425">
        <f>IF('3.Plan de Estudios'!B104="","",'3.Plan de Estudios'!B104)</f>
        <v>8</v>
      </c>
      <c r="C85" s="425" t="str">
        <f>IF('3.Plan de Estudios'!C104="","",'3.Plan de Estudios'!C104)</f>
        <v/>
      </c>
      <c r="D85" s="435" t="str">
        <f>IF('3.Plan de Estudios'!E104="","",'3.Plan de Estudios'!E104)</f>
        <v/>
      </c>
      <c r="E85" s="426" t="str">
        <f>'3.Plan de Estudios'!I104</f>
        <v/>
      </c>
      <c r="F85" s="426" t="str">
        <f>IF('3.Plan de Estudios'!J104=0,"-",'3.Plan de Estudios'!J104)</f>
        <v>-</v>
      </c>
      <c r="G85" s="427" t="str">
        <f>IF('3.Plan de Estudios'!K104=0,"-",'3.Plan de Estudios'!K104)</f>
        <v>-</v>
      </c>
      <c r="H85" s="426" t="str">
        <f>IF('3.Plan de Estudios'!L104=0,"-",'3.Plan de Estudios'!L104)</f>
        <v>-</v>
      </c>
      <c r="I85" s="428" t="str">
        <f>IF('3.Plan de Estudios'!M104=0,"-",'3.Plan de Estudios'!M104)</f>
        <v>-</v>
      </c>
      <c r="J85" s="427" t="str">
        <f>IF('3.Plan de Estudios'!N104=0,"-",'3.Plan de Estudios'!N104)</f>
        <v>-</v>
      </c>
      <c r="K85" s="428" t="str">
        <f>IF('3.Plan de Estudios'!O104=0,"-",'3.Plan de Estudios'!O104)</f>
        <v>-</v>
      </c>
      <c r="L85" s="429" t="str">
        <f>IF('3.Plan de Estudios'!P104=0,"-",'3.Plan de Estudios'!P104)</f>
        <v>-</v>
      </c>
      <c r="M85" s="430" t="str">
        <f>IF('7.Sumillas'!G86=0,"",'7.Sumillas'!G86)</f>
        <v/>
      </c>
      <c r="N85" s="431"/>
      <c r="O85" s="431"/>
      <c r="P85" s="432" t="str">
        <f>CONCATENATE(CHAR(10),CONCATENATE('3.Plan de Estudios'!AA104,CHAR(10),'3.Plan de Estudios'!AC104,CHAR(10),'3.Plan de Estudios'!AE104,CHAR(10),'3.Plan de Estudios'!AG104,CHAR(10),'3.Plan de Estudios'!AI104))</f>
        <v xml:space="preserve">
</v>
      </c>
      <c r="Q85" s="431"/>
      <c r="R85" s="431"/>
      <c r="S85" s="431"/>
      <c r="T85" s="433" t="str">
        <f t="shared" si="1"/>
        <v>No Aplica</v>
      </c>
    </row>
    <row r="86" spans="2:20" ht="24" customHeight="1">
      <c r="B86" s="425">
        <f>IF('3.Plan de Estudios'!B105="","",'3.Plan de Estudios'!B105)</f>
        <v>8</v>
      </c>
      <c r="C86" s="425" t="str">
        <f>IF('3.Plan de Estudios'!C105="","",'3.Plan de Estudios'!C105)</f>
        <v/>
      </c>
      <c r="D86" s="435" t="str">
        <f>IF('3.Plan de Estudios'!E105="","",'3.Plan de Estudios'!E105)</f>
        <v/>
      </c>
      <c r="E86" s="426" t="str">
        <f>'3.Plan de Estudios'!I105</f>
        <v/>
      </c>
      <c r="F86" s="426" t="str">
        <f>IF('3.Plan de Estudios'!J105=0,"-",'3.Plan de Estudios'!J105)</f>
        <v>-</v>
      </c>
      <c r="G86" s="427" t="str">
        <f>IF('3.Plan de Estudios'!K105=0,"-",'3.Plan de Estudios'!K105)</f>
        <v>-</v>
      </c>
      <c r="H86" s="426" t="str">
        <f>IF('3.Plan de Estudios'!L105=0,"-",'3.Plan de Estudios'!L105)</f>
        <v>-</v>
      </c>
      <c r="I86" s="428" t="str">
        <f>IF('3.Plan de Estudios'!M105=0,"-",'3.Plan de Estudios'!M105)</f>
        <v>-</v>
      </c>
      <c r="J86" s="427" t="str">
        <f>IF('3.Plan de Estudios'!N105=0,"-",'3.Plan de Estudios'!N105)</f>
        <v>-</v>
      </c>
      <c r="K86" s="428" t="str">
        <f>IF('3.Plan de Estudios'!O105=0,"-",'3.Plan de Estudios'!O105)</f>
        <v>-</v>
      </c>
      <c r="L86" s="429" t="str">
        <f>IF('3.Plan de Estudios'!P105=0,"-",'3.Plan de Estudios'!P105)</f>
        <v>-</v>
      </c>
      <c r="M86" s="430" t="str">
        <f>IF('7.Sumillas'!G87=0,"",'7.Sumillas'!G87)</f>
        <v/>
      </c>
      <c r="N86" s="431"/>
      <c r="O86" s="431"/>
      <c r="P86" s="432" t="str">
        <f>CONCATENATE(CHAR(10),CONCATENATE('3.Plan de Estudios'!AA105,CHAR(10),'3.Plan de Estudios'!AC105,CHAR(10),'3.Plan de Estudios'!AE105,CHAR(10),'3.Plan de Estudios'!AG105,CHAR(10),'3.Plan de Estudios'!AI105))</f>
        <v xml:space="preserve">
</v>
      </c>
      <c r="Q86" s="431"/>
      <c r="R86" s="431"/>
      <c r="S86" s="431"/>
      <c r="T86" s="433" t="str">
        <f t="shared" si="1"/>
        <v>No Aplica</v>
      </c>
    </row>
    <row r="87" spans="2:20" ht="24" customHeight="1">
      <c r="B87" s="425">
        <f>IF('3.Plan de Estudios'!B107="","",'3.Plan de Estudios'!B107)</f>
        <v>9</v>
      </c>
      <c r="C87" s="425" t="str">
        <f>IF('3.Plan de Estudios'!C107="","",'3.Plan de Estudios'!C107)</f>
        <v>EDG62029</v>
      </c>
      <c r="D87" s="435" t="str">
        <f>IF('3.Plan de Estudios'!E107="","",'3.Plan de Estudios'!E107)</f>
        <v>MICROCOMPUTERS &amp; MEDIA IN THE ESL CLASSROOM</v>
      </c>
      <c r="E87" s="426" t="str">
        <f>'3.Plan de Estudios'!I107</f>
        <v>Presencial</v>
      </c>
      <c r="F87" s="426">
        <f>IF('3.Plan de Estudios'!J107=0,"-",'3.Plan de Estudios'!J107)</f>
        <v>36</v>
      </c>
      <c r="G87" s="427" t="str">
        <f>IF('3.Plan de Estudios'!K107=0,"-",'3.Plan de Estudios'!K107)</f>
        <v>-</v>
      </c>
      <c r="H87" s="426">
        <f>IF('3.Plan de Estudios'!L107=0,"-",'3.Plan de Estudios'!L107)</f>
        <v>56</v>
      </c>
      <c r="I87" s="428" t="str">
        <f>IF('3.Plan de Estudios'!M107=0,"-",'3.Plan de Estudios'!M107)</f>
        <v>-</v>
      </c>
      <c r="J87" s="427" t="str">
        <f>IF('3.Plan de Estudios'!N107=0,"-",'3.Plan de Estudios'!N107)</f>
        <v>-</v>
      </c>
      <c r="K87" s="428" t="str">
        <f>IF('3.Plan de Estudios'!O107=0,"-",'3.Plan de Estudios'!O107)</f>
        <v>-</v>
      </c>
      <c r="L87" s="429">
        <f>IF('3.Plan de Estudios'!P107=0,"-",'3.Plan de Estudios'!P107)</f>
        <v>4</v>
      </c>
      <c r="M87" s="430" t="str">
        <f>IF('7.Sumillas'!G88=0,"",'7.Sumillas'!G88)</f>
        <v>The Microcomputers and Media in the ESL Classroom subject is of a theoretical-practical nature and this subject is attributed to the Teaching and Learning Development and Resource Management competence. Efficiently performs the development of teaching and its development in its teaching identity for the good learning of students. It is based on the proposal to use existing multimedia technology and software in relation to teaching and learning. The creditable product of the course is that students will develop learning sessions and also prepare case reports.</v>
      </c>
      <c r="N87" s="431"/>
      <c r="O87" s="431"/>
      <c r="P87" s="432" t="str">
        <f>CONCATENATE(CHAR(10),CONCATENATE('3.Plan de Estudios'!AA107,CHAR(10),'3.Plan de Estudios'!AC107,CHAR(10),'3.Plan de Estudios'!AE107,CHAR(10),'3.Plan de Estudios'!AG107,CHAR(10),'3.Plan de Estudios'!AI107))</f>
        <v xml:space="preserve">
CP3: Desarrollo enseñanza y aprendizaje:N3 Desempeñarse de manera eficiente en el desarrollo la enseñanza y de su desarrollo en su identidad docente para el buen aprendizaje de los estudiantes.
CG4: Gestión de Recursos:N3 Utiliza herramientas de gestión de recursos empresariales de manera adecuada para la toma de decisiones.
</v>
      </c>
      <c r="Q87" s="431"/>
      <c r="R87" s="431"/>
      <c r="S87" s="431"/>
      <c r="T87" s="433" t="str">
        <f t="shared" si="1"/>
        <v>No Aplica</v>
      </c>
    </row>
    <row r="88" spans="2:20" ht="24" customHeight="1">
      <c r="B88" s="425">
        <f>IF('3.Plan de Estudios'!B108="","",'3.Plan de Estudios'!B108)</f>
        <v>9</v>
      </c>
      <c r="C88" s="425" t="str">
        <f>IF('3.Plan de Estudios'!C108="","",'3.Plan de Estudios'!C108)</f>
        <v>EIC61039</v>
      </c>
      <c r="D88" s="435" t="str">
        <f>IF('3.Plan de Estudios'!E108="","",'3.Plan de Estudios'!E108)</f>
        <v>PLANIFICACIÓN DE CLASES Y ACTIVIDADES</v>
      </c>
      <c r="E88" s="426" t="str">
        <f>'3.Plan de Estudios'!I108</f>
        <v>Presencial</v>
      </c>
      <c r="F88" s="426">
        <f>IF('3.Plan de Estudios'!J108=0,"-",'3.Plan de Estudios'!J108)</f>
        <v>64</v>
      </c>
      <c r="G88" s="427" t="str">
        <f>IF('3.Plan de Estudios'!K108=0,"-",'3.Plan de Estudios'!K108)</f>
        <v>-</v>
      </c>
      <c r="H88" s="426" t="str">
        <f>IF('3.Plan de Estudios'!L108=0,"-",'3.Plan de Estudios'!L108)</f>
        <v>-</v>
      </c>
      <c r="I88" s="428" t="str">
        <f>IF('3.Plan de Estudios'!M108=0,"-",'3.Plan de Estudios'!M108)</f>
        <v>-</v>
      </c>
      <c r="J88" s="427" t="str">
        <f>IF('3.Plan de Estudios'!N108=0,"-",'3.Plan de Estudios'!N108)</f>
        <v>-</v>
      </c>
      <c r="K88" s="428" t="str">
        <f>IF('3.Plan de Estudios'!O108=0,"-",'3.Plan de Estudios'!O108)</f>
        <v>-</v>
      </c>
      <c r="L88" s="429">
        <f>IF('3.Plan de Estudios'!P108=0,"-",'3.Plan de Estudios'!P108)</f>
        <v>4</v>
      </c>
      <c r="M88" s="430" t="str">
        <f>IF('7.Sumillas'!G89=0,"",'7.Sumillas'!G89)</f>
        <v>Planificación de Clases y Actividades, es una asignatura de formación especializada y de carácter teórico. Esta asignatura tributa a las competencias de desarrollo de gestión educativa y comunicación integral. Establece relaciones entre las concepciones de administración, economía, marketing y aspectos legales como fundamentos básicos para el desarrollo de una buena gestión educativa. Comprende el desarrollo de los siguientes ejes temáticos: el programa curricular de educación, el diseño y planificación de sesiones de aprendizaje. El producto acreditable es la propuesta de una sesión de aprendizaje, que refleje la planificación y ejecución del proceso enseñanza-aprendizaje.</v>
      </c>
      <c r="N88" s="431"/>
      <c r="O88" s="431"/>
      <c r="P88" s="432" t="str">
        <f>CONCATENATE(CHAR(10),CONCATENATE('3.Plan de Estudios'!AA108,CHAR(10),'3.Plan de Estudios'!AC108,CHAR(10),'3.Plan de Estudios'!AE108,CHAR(10),'3.Plan de Estudios'!AG108,CHAR(10),'3.Plan de Estudios'!AI108))</f>
        <v xml:space="preserve">
CP2: Desarrollo de gestión educativa:N3 Establece relaciones entre las concepciones de administración, economía, marketing y aspectos legales como fundamentos básicos para el desarrollo de una buena gestión educativa.
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
</v>
      </c>
      <c r="Q88" s="431"/>
      <c r="R88" s="431"/>
      <c r="S88" s="431"/>
      <c r="T88" s="433" t="str">
        <f t="shared" si="1"/>
        <v>No Aplica</v>
      </c>
    </row>
    <row r="89" spans="2:20" ht="24" customHeight="1">
      <c r="B89" s="425">
        <f>IF('3.Plan de Estudios'!B109="","",'3.Plan de Estudios'!B109)</f>
        <v>9</v>
      </c>
      <c r="C89" s="425" t="str">
        <f>IF('3.Plan de Estudios'!C109="","",'3.Plan de Estudios'!C109)</f>
        <v>EIC61053</v>
      </c>
      <c r="D89" s="435" t="str">
        <f>IF('3.Plan de Estudios'!E109="","",'3.Plan de Estudios'!E109)</f>
        <v>PRÁCTICA PRE-PROFESIONAL INTERMEDIA</v>
      </c>
      <c r="E89" s="426" t="str">
        <f>'3.Plan de Estudios'!I109</f>
        <v>Presencial</v>
      </c>
      <c r="F89" s="426">
        <f>IF('3.Plan de Estudios'!J109=0,"-",'3.Plan de Estudios'!J109)</f>
        <v>4</v>
      </c>
      <c r="G89" s="427" t="str">
        <f>IF('3.Plan de Estudios'!K109=0,"-",'3.Plan de Estudios'!K109)</f>
        <v>-</v>
      </c>
      <c r="H89" s="426">
        <f>IF('3.Plan de Estudios'!L109=0,"-",'3.Plan de Estudios'!L109)</f>
        <v>120</v>
      </c>
      <c r="I89" s="428" t="str">
        <f>IF('3.Plan de Estudios'!M109=0,"-",'3.Plan de Estudios'!M109)</f>
        <v>-</v>
      </c>
      <c r="J89" s="427" t="str">
        <f>IF('3.Plan de Estudios'!N109=0,"-",'3.Plan de Estudios'!N109)</f>
        <v>-</v>
      </c>
      <c r="K89" s="428" t="str">
        <f>IF('3.Plan de Estudios'!O109=0,"-",'3.Plan de Estudios'!O109)</f>
        <v>-</v>
      </c>
      <c r="L89" s="429">
        <f>IF('3.Plan de Estudios'!P109=0,"-",'3.Plan de Estudios'!P109)</f>
        <v>4</v>
      </c>
      <c r="M89" s="430" t="str">
        <f>IF('7.Sumillas'!G90=0,"",'7.Sumillas'!G90)</f>
        <v>Práctica Preprofesional Intermedia, es una asignatura de formación especializada y de naturaleza teórico-práctico. Tributa a la competencia de Desarrollo Enseñanza y Aprendizaje. ESte curso tiene como propósito lograr un desempeño eficiente en la enseñanza y en el desarrollo de su identidad docente para el buen aprendizaje de los estudiantes. Comprende el desarrollo de los siguientes ejes temáticos: la metodología y estrategias para el aprendizaje de las diferentes áreas curriculares, la exposición de situaciones reales y elaboración de sesiones de clase de acuerdo con el contexto educativo. El producto acreditable es un portafolio con la planificación y observación de sesiones de aprendizajes de sus centros de prácticas.</v>
      </c>
      <c r="N89" s="431"/>
      <c r="O89" s="431"/>
      <c r="P89" s="432" t="str">
        <f>CONCATENATE(CHAR(10),CONCATENATE('3.Plan de Estudios'!AA109,CHAR(10),'3.Plan de Estudios'!AC109,CHAR(10),'3.Plan de Estudios'!AE109,CHAR(10),'3.Plan de Estudios'!AG109,CHAR(10),'3.Plan de Estudios'!AI109))</f>
        <v xml:space="preserve">
CP3: Desarrollo enseñanza y aprendizaje:N3 Desempeñarse de manera eficiente en el desarrollo la enseñanza y de su desarrollo en su identidad docente para el buen aprendizaje de los estudiantes.
</v>
      </c>
      <c r="Q89" s="431"/>
      <c r="R89" s="431"/>
      <c r="S89" s="431"/>
      <c r="T89" s="433" t="str">
        <f t="shared" si="1"/>
        <v>No Aplica</v>
      </c>
    </row>
    <row r="90" spans="2:20" ht="24" customHeight="1">
      <c r="B90" s="425">
        <f>IF('3.Plan de Estudios'!B110="","",'3.Plan de Estudios'!B110)</f>
        <v>9</v>
      </c>
      <c r="C90" s="425" t="str">
        <f>IF('3.Plan de Estudios'!C110="","",'3.Plan de Estudios'!C110)</f>
        <v>EDG51019</v>
      </c>
      <c r="D90" s="435" t="str">
        <f>IF('3.Plan de Estudios'!E110="","",'3.Plan de Estudios'!E110)</f>
        <v xml:space="preserve">PROJECTS IN THE CLASSROOM </v>
      </c>
      <c r="E90" s="426" t="str">
        <f>'3.Plan de Estudios'!I110</f>
        <v>Presencial</v>
      </c>
      <c r="F90" s="426">
        <f>IF('3.Plan de Estudios'!J110=0,"-",'3.Plan de Estudios'!J110)</f>
        <v>2</v>
      </c>
      <c r="G90" s="427" t="str">
        <f>IF('3.Plan de Estudios'!K110=0,"-",'3.Plan de Estudios'!K110)</f>
        <v>-</v>
      </c>
      <c r="H90" s="426">
        <f>IF('3.Plan de Estudios'!L110=0,"-",'3.Plan de Estudios'!L110)</f>
        <v>60</v>
      </c>
      <c r="I90" s="428" t="str">
        <f>IF('3.Plan de Estudios'!M110=0,"-",'3.Plan de Estudios'!M110)</f>
        <v>-</v>
      </c>
      <c r="J90" s="427" t="str">
        <f>IF('3.Plan de Estudios'!N110=0,"-",'3.Plan de Estudios'!N110)</f>
        <v>-</v>
      </c>
      <c r="K90" s="428" t="str">
        <f>IF('3.Plan de Estudios'!O110=0,"-",'3.Plan de Estudios'!O110)</f>
        <v>-</v>
      </c>
      <c r="L90" s="429">
        <f>IF('3.Plan de Estudios'!P110=0,"-",'3.Plan de Estudios'!P110)</f>
        <v>2</v>
      </c>
      <c r="M90" s="430" t="str">
        <f>IF('7.Sumillas'!G91=0,"",'7.Sumillas'!G91)</f>
        <v>The Tasks and Projects subject is of a practical nature and attributes the teaching and learning development competence. With the purpose that, in the English classroom, students are given a clear concept of work in a task and project, designing them and incorporating them in the classroom. In order for students to develop and write their opinions about teaching. The accreditable product is that an activity is carried out through a forum and a conceptual map on the teaching of writing is presented.</v>
      </c>
      <c r="N90" s="431"/>
      <c r="O90" s="431"/>
      <c r="P90" s="432" t="str">
        <f>CONCATENATE(CHAR(10),CONCATENATE('3.Plan de Estudios'!AA110,CHAR(10),'3.Plan de Estudios'!AC110,CHAR(10),'3.Plan de Estudios'!AE110,CHAR(10),'3.Plan de Estudios'!AG110,CHAR(10),'3.Plan de Estudios'!AI110))</f>
        <v xml:space="preserve">
CP3: Desarrollo enseñanza y aprendizaje:N3 Desempeñarse de manera eficiente en el desarrollo la enseñanza y de su desarrollo en su identidad docente para el buen aprendizaje de los estudiantes.
</v>
      </c>
      <c r="Q90" s="431"/>
      <c r="R90" s="431"/>
      <c r="S90" s="431"/>
      <c r="T90" s="433" t="str">
        <f t="shared" si="1"/>
        <v>No Aplica</v>
      </c>
    </row>
    <row r="91" spans="2:20" ht="24" customHeight="1">
      <c r="B91" s="425">
        <f>IF('3.Plan de Estudios'!B111="","",'3.Plan de Estudios'!B111)</f>
        <v>9</v>
      </c>
      <c r="C91" s="425" t="str">
        <f>IF('3.Plan de Estudios'!C111="","",'3.Plan de Estudios'!C111)</f>
        <v>ESE61017</v>
      </c>
      <c r="D91" s="435" t="str">
        <f>IF('3.Plan de Estudios'!E111="","",'3.Plan de Estudios'!E111)</f>
        <v>SISTEMATIZACIÓN DE LA INFORMACIÓN</v>
      </c>
      <c r="E91" s="426" t="str">
        <f>'3.Plan de Estudios'!I111</f>
        <v>Presencial</v>
      </c>
      <c r="F91" s="426">
        <f>IF('3.Plan de Estudios'!J111=0,"-",'3.Plan de Estudios'!J111)</f>
        <v>2</v>
      </c>
      <c r="G91" s="427" t="str">
        <f>IF('3.Plan de Estudios'!K111=0,"-",'3.Plan de Estudios'!K111)</f>
        <v>-</v>
      </c>
      <c r="H91" s="426">
        <f>IF('3.Plan de Estudios'!L111=0,"-",'3.Plan de Estudios'!L111)</f>
        <v>60</v>
      </c>
      <c r="I91" s="428" t="str">
        <f>IF('3.Plan de Estudios'!M111=0,"-",'3.Plan de Estudios'!M111)</f>
        <v>-</v>
      </c>
      <c r="J91" s="427" t="str">
        <f>IF('3.Plan de Estudios'!N111=0,"-",'3.Plan de Estudios'!N111)</f>
        <v>-</v>
      </c>
      <c r="K91" s="428" t="str">
        <f>IF('3.Plan de Estudios'!O111=0,"-",'3.Plan de Estudios'!O111)</f>
        <v>-</v>
      </c>
      <c r="L91" s="429">
        <f>IF('3.Plan de Estudios'!P111=0,"-",'3.Plan de Estudios'!P111)</f>
        <v>2</v>
      </c>
      <c r="M91" s="430" t="str">
        <f>IF('7.Sumillas'!G92=0,"",'7.Sumillas'!G92)</f>
        <v>Sistematización de la Información, es una asignatura de formación especializada y de naturaleza teórico-práctico. Tiene como finalidad que el estudiante desarrolle las competencias de Investigación Educativa y las competencias generales de Investigación y Comunicación Integral. Elabora el proyecto de investigación demostrando consistencia sobre todo en el marco teórico, diseño metodológico y validación de los instrumentos de investigación. Comprende el desarrollo de los siguientes ejes temáticos: Diagnóstico educativo y proyecto de investigación ;e instrumentos de investigación (elaboración, aplicación y sistematización de la información). El producto acreditable es la presentación de un informe de investigación en base a una problemática encontrada en el contexto educacional.</v>
      </c>
      <c r="N91" s="431"/>
      <c r="O91" s="431"/>
      <c r="P91" s="432" t="str">
        <f>CONCATENATE(CHAR(10),CONCATENATE('3.Plan de Estudios'!AA111,CHAR(10),'3.Plan de Estudios'!AC111,CHAR(10),'3.Plan de Estudios'!AE111,CHAR(10),'3.Plan de Estudios'!AG111,CHAR(10),'3.Plan de Estudios'!AI111))</f>
        <v xml:space="preserve">
CP4: Investigación Educativa:N3 Elabora el proyecto de investigación demostrando consistencia sobre todo en el marco teórico, diseño metodológico y validación de los instrumentos de investigación.
CG3: Investigación:N3 Planifica, plantea y elabora un proyecto de investigación, haciendo uso de los pasos del método científico en forma ética para resolver un problema, según las líneas de investigación de la universidad y respondiendo a un problema del país.
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
</v>
      </c>
      <c r="Q91" s="431"/>
      <c r="R91" s="431"/>
      <c r="S91" s="431"/>
      <c r="T91" s="433" t="str">
        <f t="shared" si="1"/>
        <v>No Aplica</v>
      </c>
    </row>
    <row r="92" spans="2:20" ht="24" customHeight="1">
      <c r="B92" s="425">
        <f>IF('3.Plan de Estudios'!B112="","",'3.Plan de Estudios'!B112)</f>
        <v>9</v>
      </c>
      <c r="C92" s="425" t="str">
        <f>IF('3.Plan de Estudios'!C112="","",'3.Plan de Estudios'!C112)</f>
        <v/>
      </c>
      <c r="D92" s="435" t="str">
        <f>IF('3.Plan de Estudios'!E112="","",'3.Plan de Estudios'!E112)</f>
        <v>ELECTIVO 3</v>
      </c>
      <c r="E92" s="426" t="str">
        <f>'3.Plan de Estudios'!I112</f>
        <v>Presencial</v>
      </c>
      <c r="F92" s="426">
        <f>IF('3.Plan de Estudios'!J112=0,"-",'3.Plan de Estudios'!J112)</f>
        <v>64</v>
      </c>
      <c r="G92" s="427" t="str">
        <f>IF('3.Plan de Estudios'!K112=0,"-",'3.Plan de Estudios'!K112)</f>
        <v>-</v>
      </c>
      <c r="H92" s="426" t="str">
        <f>IF('3.Plan de Estudios'!L112=0,"-",'3.Plan de Estudios'!L112)</f>
        <v>-</v>
      </c>
      <c r="I92" s="428" t="str">
        <f>IF('3.Plan de Estudios'!M112=0,"-",'3.Plan de Estudios'!M112)</f>
        <v>-</v>
      </c>
      <c r="J92" s="427" t="str">
        <f>IF('3.Plan de Estudios'!N112=0,"-",'3.Plan de Estudios'!N112)</f>
        <v>-</v>
      </c>
      <c r="K92" s="428" t="str">
        <f>IF('3.Plan de Estudios'!O112=0,"-",'3.Plan de Estudios'!O112)</f>
        <v>-</v>
      </c>
      <c r="L92" s="429">
        <f>IF('3.Plan de Estudios'!P112=0,"-",'3.Plan de Estudios'!P112)</f>
        <v>4</v>
      </c>
      <c r="M92" s="430" t="str">
        <f>IF('7.Sumillas'!G93=0,"",'7.Sumillas'!G93)</f>
        <v/>
      </c>
      <c r="N92" s="431"/>
      <c r="O92" s="431"/>
      <c r="P92" s="432" t="str">
        <f>CONCATENATE(CHAR(10),CONCATENATE('3.Plan de Estudios'!AA112,CHAR(10),'3.Plan de Estudios'!AC112,CHAR(10),'3.Plan de Estudios'!AE112,CHAR(10),'3.Plan de Estudios'!AG112,CHAR(10),'3.Plan de Estudios'!AI112))</f>
        <v xml:space="preserve">
</v>
      </c>
      <c r="Q92" s="431"/>
      <c r="R92" s="431"/>
      <c r="S92" s="431"/>
      <c r="T92" s="433" t="str">
        <f t="shared" si="1"/>
        <v>No Aplica</v>
      </c>
    </row>
    <row r="93" spans="2:20" ht="24" customHeight="1">
      <c r="B93" s="425">
        <f>IF('3.Plan de Estudios'!B113="","",'3.Plan de Estudios'!B113)</f>
        <v>9</v>
      </c>
      <c r="C93" s="425" t="str">
        <f>IF('3.Plan de Estudios'!C113="","",'3.Plan de Estudios'!C113)</f>
        <v/>
      </c>
      <c r="D93" s="435" t="str">
        <f>IF('3.Plan de Estudios'!E113="","",'3.Plan de Estudios'!E113)</f>
        <v/>
      </c>
      <c r="E93" s="426" t="str">
        <f>'3.Plan de Estudios'!I113</f>
        <v/>
      </c>
      <c r="F93" s="426" t="str">
        <f>IF('3.Plan de Estudios'!J113=0,"-",'3.Plan de Estudios'!J113)</f>
        <v>-</v>
      </c>
      <c r="G93" s="427" t="str">
        <f>IF('3.Plan de Estudios'!K113=0,"-",'3.Plan de Estudios'!K113)</f>
        <v>-</v>
      </c>
      <c r="H93" s="426" t="str">
        <f>IF('3.Plan de Estudios'!L113=0,"-",'3.Plan de Estudios'!L113)</f>
        <v>-</v>
      </c>
      <c r="I93" s="428" t="str">
        <f>IF('3.Plan de Estudios'!M113=0,"-",'3.Plan de Estudios'!M113)</f>
        <v>-</v>
      </c>
      <c r="J93" s="427" t="str">
        <f>IF('3.Plan de Estudios'!N113=0,"-",'3.Plan de Estudios'!N113)</f>
        <v>-</v>
      </c>
      <c r="K93" s="428" t="str">
        <f>IF('3.Plan de Estudios'!O113=0,"-",'3.Plan de Estudios'!O113)</f>
        <v>-</v>
      </c>
      <c r="L93" s="429" t="str">
        <f>IF('3.Plan de Estudios'!P113=0,"-",'3.Plan de Estudios'!P113)</f>
        <v>-</v>
      </c>
      <c r="M93" s="430" t="str">
        <f>IF('7.Sumillas'!G94=0,"",'7.Sumillas'!G94)</f>
        <v/>
      </c>
      <c r="N93" s="431"/>
      <c r="O93" s="431"/>
      <c r="P93" s="432" t="str">
        <f>CONCATENATE(CHAR(10),CONCATENATE('3.Plan de Estudios'!AA113,CHAR(10),'3.Plan de Estudios'!AC113,CHAR(10),'3.Plan de Estudios'!AE113,CHAR(10),'3.Plan de Estudios'!AG113,CHAR(10),'3.Plan de Estudios'!AI113))</f>
        <v xml:space="preserve">
</v>
      </c>
      <c r="Q93" s="431"/>
      <c r="R93" s="431"/>
      <c r="S93" s="431"/>
      <c r="T93" s="433" t="str">
        <f t="shared" si="1"/>
        <v>No Aplica</v>
      </c>
    </row>
    <row r="94" spans="2:20" ht="24" customHeight="1">
      <c r="B94" s="425">
        <f>IF('3.Plan de Estudios'!B114="","",'3.Plan de Estudios'!B114)</f>
        <v>9</v>
      </c>
      <c r="C94" s="425" t="str">
        <f>IF('3.Plan de Estudios'!C114="","",'3.Plan de Estudios'!C114)</f>
        <v/>
      </c>
      <c r="D94" s="435" t="str">
        <f>IF('3.Plan de Estudios'!E114="","",'3.Plan de Estudios'!E114)</f>
        <v/>
      </c>
      <c r="E94" s="426" t="str">
        <f>'3.Plan de Estudios'!I114</f>
        <v/>
      </c>
      <c r="F94" s="426" t="str">
        <f>IF('3.Plan de Estudios'!J114=0,"-",'3.Plan de Estudios'!J114)</f>
        <v>-</v>
      </c>
      <c r="G94" s="427" t="str">
        <f>IF('3.Plan de Estudios'!K114=0,"-",'3.Plan de Estudios'!K114)</f>
        <v>-</v>
      </c>
      <c r="H94" s="426" t="str">
        <f>IF('3.Plan de Estudios'!L114=0,"-",'3.Plan de Estudios'!L114)</f>
        <v>-</v>
      </c>
      <c r="I94" s="428" t="str">
        <f>IF('3.Plan de Estudios'!M114=0,"-",'3.Plan de Estudios'!M114)</f>
        <v>-</v>
      </c>
      <c r="J94" s="427" t="str">
        <f>IF('3.Plan de Estudios'!N114=0,"-",'3.Plan de Estudios'!N114)</f>
        <v>-</v>
      </c>
      <c r="K94" s="428" t="str">
        <f>IF('3.Plan de Estudios'!O114=0,"-",'3.Plan de Estudios'!O114)</f>
        <v>-</v>
      </c>
      <c r="L94" s="429" t="str">
        <f>IF('3.Plan de Estudios'!P114=0,"-",'3.Plan de Estudios'!P114)</f>
        <v>-</v>
      </c>
      <c r="M94" s="430" t="str">
        <f>IF('7.Sumillas'!G95=0,"",'7.Sumillas'!G95)</f>
        <v/>
      </c>
      <c r="N94" s="431"/>
      <c r="O94" s="431"/>
      <c r="P94" s="432" t="str">
        <f>CONCATENATE(CHAR(10),CONCATENATE('3.Plan de Estudios'!AA114,CHAR(10),'3.Plan de Estudios'!AC114,CHAR(10),'3.Plan de Estudios'!AE114,CHAR(10),'3.Plan de Estudios'!AG114,CHAR(10),'3.Plan de Estudios'!AI114))</f>
        <v xml:space="preserve">
</v>
      </c>
      <c r="Q94" s="431"/>
      <c r="R94" s="431"/>
      <c r="S94" s="431"/>
      <c r="T94" s="433" t="str">
        <f t="shared" si="1"/>
        <v>No Aplica</v>
      </c>
    </row>
    <row r="95" spans="2:20" ht="24" customHeight="1">
      <c r="B95" s="425">
        <f>IF('3.Plan de Estudios'!B115="","",'3.Plan de Estudios'!B115)</f>
        <v>9</v>
      </c>
      <c r="C95" s="425" t="str">
        <f>IF('3.Plan de Estudios'!C115="","",'3.Plan de Estudios'!C115)</f>
        <v/>
      </c>
      <c r="D95" s="435" t="str">
        <f>IF('3.Plan de Estudios'!E115="","",'3.Plan de Estudios'!E115)</f>
        <v/>
      </c>
      <c r="E95" s="426" t="str">
        <f>'3.Plan de Estudios'!I115</f>
        <v/>
      </c>
      <c r="F95" s="426" t="str">
        <f>IF('3.Plan de Estudios'!J115=0,"-",'3.Plan de Estudios'!J115)</f>
        <v>-</v>
      </c>
      <c r="G95" s="427" t="str">
        <f>IF('3.Plan de Estudios'!K115=0,"-",'3.Plan de Estudios'!K115)</f>
        <v>-</v>
      </c>
      <c r="H95" s="426" t="str">
        <f>IF('3.Plan de Estudios'!L115=0,"-",'3.Plan de Estudios'!L115)</f>
        <v>-</v>
      </c>
      <c r="I95" s="428" t="str">
        <f>IF('3.Plan de Estudios'!M115=0,"-",'3.Plan de Estudios'!M115)</f>
        <v>-</v>
      </c>
      <c r="J95" s="427" t="str">
        <f>IF('3.Plan de Estudios'!N115=0,"-",'3.Plan de Estudios'!N115)</f>
        <v>-</v>
      </c>
      <c r="K95" s="428" t="str">
        <f>IF('3.Plan de Estudios'!O115=0,"-",'3.Plan de Estudios'!O115)</f>
        <v>-</v>
      </c>
      <c r="L95" s="429" t="str">
        <f>IF('3.Plan de Estudios'!P115=0,"-",'3.Plan de Estudios'!P115)</f>
        <v>-</v>
      </c>
      <c r="M95" s="430" t="str">
        <f>IF('7.Sumillas'!G96=0,"",'7.Sumillas'!G96)</f>
        <v/>
      </c>
      <c r="N95" s="431"/>
      <c r="O95" s="431"/>
      <c r="P95" s="432" t="str">
        <f>CONCATENATE(CHAR(10),CONCATENATE('3.Plan de Estudios'!AA115,CHAR(10),'3.Plan de Estudios'!AC115,CHAR(10),'3.Plan de Estudios'!AE115,CHAR(10),'3.Plan de Estudios'!AG115,CHAR(10),'3.Plan de Estudios'!AI115))</f>
        <v xml:space="preserve">
</v>
      </c>
      <c r="Q95" s="431"/>
      <c r="R95" s="431"/>
      <c r="S95" s="431"/>
      <c r="T95" s="433" t="str">
        <f t="shared" si="1"/>
        <v>No Aplica</v>
      </c>
    </row>
    <row r="96" spans="2:20" ht="24" customHeight="1">
      <c r="B96" s="425">
        <f>IF('3.Plan de Estudios'!B116="","",'3.Plan de Estudios'!B116)</f>
        <v>9</v>
      </c>
      <c r="C96" s="425" t="str">
        <f>IF('3.Plan de Estudios'!C116="","",'3.Plan de Estudios'!C116)</f>
        <v/>
      </c>
      <c r="D96" s="435" t="str">
        <f>IF('3.Plan de Estudios'!E116="","",'3.Plan de Estudios'!E116)</f>
        <v/>
      </c>
      <c r="E96" s="426" t="str">
        <f>'3.Plan de Estudios'!I116</f>
        <v/>
      </c>
      <c r="F96" s="426" t="str">
        <f>IF('3.Plan de Estudios'!J116=0,"-",'3.Plan de Estudios'!J116)</f>
        <v>-</v>
      </c>
      <c r="G96" s="427" t="str">
        <f>IF('3.Plan de Estudios'!K116=0,"-",'3.Plan de Estudios'!K116)</f>
        <v>-</v>
      </c>
      <c r="H96" s="426" t="str">
        <f>IF('3.Plan de Estudios'!L116=0,"-",'3.Plan de Estudios'!L116)</f>
        <v>-</v>
      </c>
      <c r="I96" s="428" t="str">
        <f>IF('3.Plan de Estudios'!M116=0,"-",'3.Plan de Estudios'!M116)</f>
        <v>-</v>
      </c>
      <c r="J96" s="427" t="str">
        <f>IF('3.Plan de Estudios'!N116=0,"-",'3.Plan de Estudios'!N116)</f>
        <v>-</v>
      </c>
      <c r="K96" s="428" t="str">
        <f>IF('3.Plan de Estudios'!O116=0,"-",'3.Plan de Estudios'!O116)</f>
        <v>-</v>
      </c>
      <c r="L96" s="429" t="str">
        <f>IF('3.Plan de Estudios'!P116=0,"-",'3.Plan de Estudios'!P116)</f>
        <v>-</v>
      </c>
      <c r="M96" s="430" t="str">
        <f>IF('7.Sumillas'!G97=0,"",'7.Sumillas'!G97)</f>
        <v/>
      </c>
      <c r="N96" s="431"/>
      <c r="O96" s="431"/>
      <c r="P96" s="432" t="str">
        <f>CONCATENATE(CHAR(10),CONCATENATE('3.Plan de Estudios'!AA116,CHAR(10),'3.Plan de Estudios'!AC116,CHAR(10),'3.Plan de Estudios'!AE116,CHAR(10),'3.Plan de Estudios'!AG116,CHAR(10),'3.Plan de Estudios'!AI116))</f>
        <v xml:space="preserve">
</v>
      </c>
      <c r="Q96" s="431"/>
      <c r="R96" s="431"/>
      <c r="S96" s="431"/>
      <c r="T96" s="433" t="str">
        <f t="shared" si="1"/>
        <v>No Aplica</v>
      </c>
    </row>
    <row r="97" spans="2:20" ht="24" customHeight="1">
      <c r="B97" s="425">
        <f>IF('3.Plan de Estudios'!B118="","",'3.Plan de Estudios'!B118)</f>
        <v>10</v>
      </c>
      <c r="C97" s="425" t="str">
        <f>IF('3.Plan de Estudios'!C118="","",'3.Plan de Estudios'!C118)</f>
        <v>DRH63011</v>
      </c>
      <c r="D97" s="435" t="str">
        <f>IF('3.Plan de Estudios'!E118="","",'3.Plan de Estudios'!E118)</f>
        <v>COACHING EDUCATIVO</v>
      </c>
      <c r="E97" s="426" t="str">
        <f>'3.Plan de Estudios'!I118</f>
        <v>Presencial</v>
      </c>
      <c r="F97" s="426">
        <f>IF('3.Plan de Estudios'!J118=0,"-",'3.Plan de Estudios'!J118)</f>
        <v>2</v>
      </c>
      <c r="G97" s="427" t="str">
        <f>IF('3.Plan de Estudios'!K118=0,"-",'3.Plan de Estudios'!K118)</f>
        <v>-</v>
      </c>
      <c r="H97" s="426">
        <f>IF('3.Plan de Estudios'!L118=0,"-",'3.Plan de Estudios'!L118)</f>
        <v>60</v>
      </c>
      <c r="I97" s="428" t="str">
        <f>IF('3.Plan de Estudios'!M118=0,"-",'3.Plan de Estudios'!M118)</f>
        <v>-</v>
      </c>
      <c r="J97" s="427" t="str">
        <f>IF('3.Plan de Estudios'!N118=0,"-",'3.Plan de Estudios'!N118)</f>
        <v>-</v>
      </c>
      <c r="K97" s="428" t="str">
        <f>IF('3.Plan de Estudios'!O118=0,"-",'3.Plan de Estudios'!O118)</f>
        <v>-</v>
      </c>
      <c r="L97" s="429">
        <f>IF('3.Plan de Estudios'!P118=0,"-",'3.Plan de Estudios'!P118)</f>
        <v>2</v>
      </c>
      <c r="M97" s="430" t="str">
        <f>IF('7.Sumillas'!G98=0,"",'7.Sumillas'!G98)</f>
        <v>Coaching Educativo, es una asignatura de formación especializada y de naturaleza teórica-práctica, tiene como finalidad que el estudiante desarrolle las competencias de Orientación educativa y de Desarrollo Humano. Comprende el rigor científico de la teoría, la historia y la psicología aplicadas al ámbito educativo para establecer las orientaciones fundamentales del sentido educativo en los docentes y los alumnos. Demuestra sensibilidad y disposición social en las interacciones de su vida académica, con asertividad y empatía, para afrontar de manera satisfactoria las exigencias sociales y profesionales.  El producto acreditable es el informe estudio de un caso bajo el contexto educacional.</v>
      </c>
      <c r="N97" s="431"/>
      <c r="O97" s="431"/>
      <c r="P97" s="432" t="str">
        <f>CONCATENATE(CHAR(10),CONCATENATE('3.Plan de Estudios'!AA118,CHAR(10),'3.Plan de Estudios'!AC118,CHAR(10),'3.Plan de Estudios'!AE118,CHAR(10),'3.Plan de Estudios'!AG118,CHAR(10),'3.Plan de Estudios'!AI118))</f>
        <v xml:space="preserve">
CP1: Orientación educativa:N3 Comprende el rigor científico de la teoría, la historia y la psicología aplicadas al ámbito educativo para establecer las orientaciones fundamentales del sentido educativo en los docentes y los alumnos.
CG5: Desarrollo Humano:N3 Demuestra sensibilidad y disposición social en las interacciones de su vida académica, con asertividad y empatía, para afrontar de manera satisfactoria las exigencias sociales y profesionales.
</v>
      </c>
      <c r="Q97" s="431"/>
      <c r="R97" s="431"/>
      <c r="S97" s="431"/>
      <c r="T97" s="433" t="str">
        <f t="shared" si="1"/>
        <v>No Aplica</v>
      </c>
    </row>
    <row r="98" spans="2:20" ht="24" customHeight="1">
      <c r="B98" s="425">
        <f>IF('3.Plan de Estudios'!B119="","",'3.Plan de Estudios'!B119)</f>
        <v>10</v>
      </c>
      <c r="C98" s="425" t="str">
        <f>IF('3.Plan de Estudios'!C119="","",'3.Plan de Estudios'!C119)</f>
        <v>INV61054</v>
      </c>
      <c r="D98" s="435" t="str">
        <f>IF('3.Plan de Estudios'!E119="","",'3.Plan de Estudios'!E119)</f>
        <v>INFORME Y SUSTENTACIÓN DEL PROYECTO DE INVESTIGACIÓN</v>
      </c>
      <c r="E98" s="426" t="str">
        <f>'3.Plan de Estudios'!I119</f>
        <v>Presencial</v>
      </c>
      <c r="F98" s="426">
        <f>IF('3.Plan de Estudios'!J119=0,"-",'3.Plan de Estudios'!J119)</f>
        <v>4</v>
      </c>
      <c r="G98" s="427" t="str">
        <f>IF('3.Plan de Estudios'!K119=0,"-",'3.Plan de Estudios'!K119)</f>
        <v>-</v>
      </c>
      <c r="H98" s="426">
        <f>IF('3.Plan de Estudios'!L119=0,"-",'3.Plan de Estudios'!L119)</f>
        <v>120</v>
      </c>
      <c r="I98" s="428" t="str">
        <f>IF('3.Plan de Estudios'!M119=0,"-",'3.Plan de Estudios'!M119)</f>
        <v>-</v>
      </c>
      <c r="J98" s="427" t="str">
        <f>IF('3.Plan de Estudios'!N119=0,"-",'3.Plan de Estudios'!N119)</f>
        <v>-</v>
      </c>
      <c r="K98" s="428" t="str">
        <f>IF('3.Plan de Estudios'!O119=0,"-",'3.Plan de Estudios'!O119)</f>
        <v>-</v>
      </c>
      <c r="L98" s="429">
        <f>IF('3.Plan de Estudios'!P119=0,"-",'3.Plan de Estudios'!P119)</f>
        <v>4</v>
      </c>
      <c r="M98" s="430" t="str">
        <f>IF('7.Sumillas'!G99=0,"",'7.Sumillas'!G99)</f>
        <v xml:space="preserve">Informe y Sustentación del Proyecto de Investigación, es una asignatura de formación especializada y de naturaleza teórico-práctico. Desarrolla las competencias de investigación educativa y la competencia general de investigcación. Comprende el desarrollo de los siguientes ejes temáticos: análisis de la información de campo, el marco teórico y la elaboración del informe final de la investigación. Su producto acreditable es la presentación del informe de trabajo de investigación. </v>
      </c>
      <c r="N98" s="431"/>
      <c r="O98" s="431"/>
      <c r="P98" s="432" t="str">
        <f>CONCATENATE(CHAR(10),CONCATENATE('3.Plan de Estudios'!AA119,CHAR(10),'3.Plan de Estudios'!AC119,CHAR(10),'3.Plan de Estudios'!AE119,CHAR(10),'3.Plan de Estudios'!AG119,CHAR(10),'3.Plan de Estudios'!AI119))</f>
        <v xml:space="preserve">
CP4: Investigación Educativa:N3 Elabora el proyecto de investigación demostrando consistencia sobre todo en el marco teórico, diseño metodológico y validación de los instrumentos de investigación.
CG3: Investigación:N3 Planifica, plantea y elabora un proyecto de investigación, haciendo uso de los pasos del método científico en forma ética para resolver un problema, según las líneas de investigación de la universidad y respondiendo a un problema del país.
</v>
      </c>
      <c r="Q98" s="431"/>
      <c r="R98" s="431"/>
      <c r="S98" s="431"/>
      <c r="T98" s="433" t="str">
        <f t="shared" si="1"/>
        <v>No Aplica</v>
      </c>
    </row>
    <row r="99" spans="2:20" ht="24" customHeight="1">
      <c r="B99" s="425">
        <f>IF('3.Plan de Estudios'!B120="","",'3.Plan de Estudios'!B120)</f>
        <v>10</v>
      </c>
      <c r="C99" s="425" t="str">
        <f>IF('3.Plan de Estudios'!C120="","",'3.Plan de Estudios'!C120)</f>
        <v>DER54032</v>
      </c>
      <c r="D99" s="435" t="str">
        <f>IF('3.Plan de Estudios'!E120="","",'3.Plan de Estudios'!E120)</f>
        <v>LEGISLACIÓN EDUCATIVA</v>
      </c>
      <c r="E99" s="426" t="str">
        <f>'3.Plan de Estudios'!I120</f>
        <v>Presencial</v>
      </c>
      <c r="F99" s="426">
        <f>IF('3.Plan de Estudios'!J120=0,"-",'3.Plan de Estudios'!J120)</f>
        <v>32</v>
      </c>
      <c r="G99" s="427" t="str">
        <f>IF('3.Plan de Estudios'!K120=0,"-",'3.Plan de Estudios'!K120)</f>
        <v>-</v>
      </c>
      <c r="H99" s="426" t="str">
        <f>IF('3.Plan de Estudios'!L120=0,"-",'3.Plan de Estudios'!L120)</f>
        <v>-</v>
      </c>
      <c r="I99" s="428" t="str">
        <f>IF('3.Plan de Estudios'!M120=0,"-",'3.Plan de Estudios'!M120)</f>
        <v>-</v>
      </c>
      <c r="J99" s="427" t="str">
        <f>IF('3.Plan de Estudios'!N120=0,"-",'3.Plan de Estudios'!N120)</f>
        <v>-</v>
      </c>
      <c r="K99" s="428" t="str">
        <f>IF('3.Plan de Estudios'!O120=0,"-",'3.Plan de Estudios'!O120)</f>
        <v>-</v>
      </c>
      <c r="L99" s="429">
        <f>IF('3.Plan de Estudios'!P120=0,"-",'3.Plan de Estudios'!P120)</f>
        <v>2</v>
      </c>
      <c r="M99" s="430" t="str">
        <f>IF('7.Sumillas'!G100=0,"",'7.Sumillas'!G100)</f>
        <v>Legislación Educativa es de área de especialidad, de naturaleza teórica. Tributa a la competencia Orientación Educativa. Comprende el rigor científico de la teoría, la historia y la psicología aplicadas al ámbito educativo para establecer las orientaciones fundamentales del sentido educativo en los docentes y los alumnos. Esta asignatura  tiene como finalidad que el futuro docente obtenga los conocimientos, procedimientos y actitudes necesarias para el dominio del proceso administrativo, en el Sector Educación con miras al logro de la excelencia en la gestión educacional. Los ejes temáticos del curso son: el desarrollo de la legislación educativa peruana y las estrategias de gerencia educativa, mediante análisis y aplicación de las Leyes vigentes, reglamentos, normas generales y otros dispositivos legales. El producto acreditable es una propuesta de apertura enfocado en un centro educativo.</v>
      </c>
      <c r="N99" s="431"/>
      <c r="O99" s="431"/>
      <c r="P99" s="432" t="str">
        <f>CONCATENATE(CHAR(10),CONCATENATE('3.Plan de Estudios'!AA120,CHAR(10),'3.Plan de Estudios'!AC120,CHAR(10),'3.Plan de Estudios'!AE120,CHAR(10),'3.Plan de Estudios'!AG120,CHAR(10),'3.Plan de Estudios'!AI120))</f>
        <v xml:space="preserve">
CP1: Orientación educativa:N3 Comprende el rigor científico de la teoría, la historia y la psicología aplicadas al ámbito educativo para establecer las orientaciones fundamentales del sentido educativo en los docentes y los alumnos.
</v>
      </c>
      <c r="Q99" s="431"/>
      <c r="R99" s="431"/>
      <c r="S99" s="431"/>
      <c r="T99" s="433" t="str">
        <f t="shared" si="1"/>
        <v>No Aplica</v>
      </c>
    </row>
    <row r="100" spans="2:20" ht="24" customHeight="1">
      <c r="B100" s="425">
        <f>IF('3.Plan de Estudios'!B121="","",'3.Plan de Estudios'!B121)</f>
        <v>10</v>
      </c>
      <c r="C100" s="425" t="str">
        <f>IF('3.Plan de Estudios'!C121="","",'3.Plan de Estudios'!C121)</f>
        <v>EIC61041</v>
      </c>
      <c r="D100" s="435" t="str">
        <f>IF('3.Plan de Estudios'!E121="","",'3.Plan de Estudios'!E121)</f>
        <v>PRÁCTICA PRE-PROFESIONAL INTENSIVA</v>
      </c>
      <c r="E100" s="426" t="str">
        <f>'3.Plan de Estudios'!I121</f>
        <v>Presencial</v>
      </c>
      <c r="F100" s="426">
        <f>IF('3.Plan de Estudios'!J121=0,"-",'3.Plan de Estudios'!J121)</f>
        <v>6</v>
      </c>
      <c r="G100" s="427" t="str">
        <f>IF('3.Plan de Estudios'!K121=0,"-",'3.Plan de Estudios'!K121)</f>
        <v>-</v>
      </c>
      <c r="H100" s="426">
        <f>IF('3.Plan de Estudios'!L121=0,"-",'3.Plan de Estudios'!L121)</f>
        <v>180</v>
      </c>
      <c r="I100" s="428" t="str">
        <f>IF('3.Plan de Estudios'!M121=0,"-",'3.Plan de Estudios'!M121)</f>
        <v>-</v>
      </c>
      <c r="J100" s="427" t="str">
        <f>IF('3.Plan de Estudios'!N121=0,"-",'3.Plan de Estudios'!N121)</f>
        <v>-</v>
      </c>
      <c r="K100" s="428" t="str">
        <f>IF('3.Plan de Estudios'!O121=0,"-",'3.Plan de Estudios'!O121)</f>
        <v>-</v>
      </c>
      <c r="L100" s="429">
        <f>IF('3.Plan de Estudios'!P121=0,"-",'3.Plan de Estudios'!P121)</f>
        <v>6</v>
      </c>
      <c r="M100" s="430" t="str">
        <f>IF('7.Sumillas'!G101=0,"",'7.Sumillas'!G101)</f>
        <v>Práctica Preprofesional Intensiva, es una asignatura de formación especializada y de naturaleza teórico-práctico. Tributa a la competencia de Desarrollo de Educativa. Establece relaciones entre las concepciones de administración, economía, marketing y aspectos legales como fundamentos básicos para el desarrollo de una buena gestión educativa. Comprende el desarrollo de los siguientes ejes temáticos: la metodología y estrategias para el aprendizaje de las diferentes áreas curriculares,  la exposición de situaciones reales y elaboración de sesiones de clase, de acuerdo con el contexto educativo. El producto acreditable es un portafolio con la planificación y observación de sesiones de aprendizajes de sus centros de prácticas.</v>
      </c>
      <c r="N100" s="431"/>
      <c r="O100" s="431"/>
      <c r="P100" s="432" t="str">
        <f>CONCATENATE(CHAR(10),CONCATENATE('3.Plan de Estudios'!AA121,CHAR(10),'3.Plan de Estudios'!AC121,CHAR(10),'3.Plan de Estudios'!AE121,CHAR(10),'3.Plan de Estudios'!AG121,CHAR(10),'3.Plan de Estudios'!AI121))</f>
        <v xml:space="preserve">
CP2: Desarrollo de gestión educativa:N3 Establece relaciones entre las concepciones de administración, economía, marketing y aspectos legales como fundamentos básicos para el desarrollo de una buena gestión educativa.
</v>
      </c>
      <c r="Q100" s="431"/>
      <c r="R100" s="431"/>
      <c r="S100" s="431"/>
      <c r="T100" s="433" t="str">
        <f t="shared" si="1"/>
        <v>No Aplica</v>
      </c>
    </row>
    <row r="101" spans="2:20" ht="24" customHeight="1">
      <c r="B101" s="425">
        <f>IF('3.Plan de Estudios'!B122="","",'3.Plan de Estudios'!B122)</f>
        <v>10</v>
      </c>
      <c r="C101" s="425" t="str">
        <f>IF('3.Plan de Estudios'!C122="","",'3.Plan de Estudios'!C122)</f>
        <v/>
      </c>
      <c r="D101" s="435" t="str">
        <f>IF('3.Plan de Estudios'!E122="","",'3.Plan de Estudios'!E122)</f>
        <v>ELECTIVO 4</v>
      </c>
      <c r="E101" s="426" t="str">
        <f>'3.Plan de Estudios'!I122</f>
        <v>Presencial</v>
      </c>
      <c r="F101" s="426">
        <f>IF('3.Plan de Estudios'!J122=0,"-",'3.Plan de Estudios'!J122)</f>
        <v>64</v>
      </c>
      <c r="G101" s="427" t="str">
        <f>IF('3.Plan de Estudios'!K122=0,"-",'3.Plan de Estudios'!K122)</f>
        <v>-</v>
      </c>
      <c r="H101" s="426" t="str">
        <f>IF('3.Plan de Estudios'!L122=0,"-",'3.Plan de Estudios'!L122)</f>
        <v>-</v>
      </c>
      <c r="I101" s="428" t="str">
        <f>IF('3.Plan de Estudios'!M122=0,"-",'3.Plan de Estudios'!M122)</f>
        <v>-</v>
      </c>
      <c r="J101" s="427" t="str">
        <f>IF('3.Plan de Estudios'!N122=0,"-",'3.Plan de Estudios'!N122)</f>
        <v>-</v>
      </c>
      <c r="K101" s="428" t="str">
        <f>IF('3.Plan de Estudios'!O122=0,"-",'3.Plan de Estudios'!O122)</f>
        <v>-</v>
      </c>
      <c r="L101" s="429">
        <f>IF('3.Plan de Estudios'!P122=0,"-",'3.Plan de Estudios'!P122)</f>
        <v>4</v>
      </c>
      <c r="M101" s="430" t="str">
        <f>IF('7.Sumillas'!G102=0,"",'7.Sumillas'!G102)</f>
        <v/>
      </c>
      <c r="N101" s="431"/>
      <c r="O101" s="431"/>
      <c r="P101" s="432" t="str">
        <f>CONCATENATE(CHAR(10),CONCATENATE('3.Plan de Estudios'!AA122,CHAR(10),'3.Plan de Estudios'!AC122,CHAR(10),'3.Plan de Estudios'!AE122,CHAR(10),'3.Plan de Estudios'!AG122,CHAR(10),'3.Plan de Estudios'!AI122))</f>
        <v xml:space="preserve">
</v>
      </c>
      <c r="Q101" s="431"/>
      <c r="R101" s="431"/>
      <c r="S101" s="431"/>
      <c r="T101" s="433" t="str">
        <f t="shared" si="1"/>
        <v>No Aplica</v>
      </c>
    </row>
    <row r="102" spans="2:20" ht="24" customHeight="1">
      <c r="B102" s="425">
        <f>IF('3.Plan de Estudios'!B123="","",'3.Plan de Estudios'!B123)</f>
        <v>10</v>
      </c>
      <c r="C102" s="425" t="str">
        <f>IF('3.Plan de Estudios'!C123="","",'3.Plan de Estudios'!C123)</f>
        <v/>
      </c>
      <c r="D102" s="435" t="str">
        <f>IF('3.Plan de Estudios'!E123="","",'3.Plan de Estudios'!E123)</f>
        <v/>
      </c>
      <c r="E102" s="426" t="str">
        <f>'3.Plan de Estudios'!I123</f>
        <v/>
      </c>
      <c r="F102" s="426" t="str">
        <f>IF('3.Plan de Estudios'!J123=0,"-",'3.Plan de Estudios'!J123)</f>
        <v>-</v>
      </c>
      <c r="G102" s="427" t="str">
        <f>IF('3.Plan de Estudios'!K123=0,"-",'3.Plan de Estudios'!K123)</f>
        <v>-</v>
      </c>
      <c r="H102" s="426" t="str">
        <f>IF('3.Plan de Estudios'!L123=0,"-",'3.Plan de Estudios'!L123)</f>
        <v>-</v>
      </c>
      <c r="I102" s="428" t="str">
        <f>IF('3.Plan de Estudios'!M123=0,"-",'3.Plan de Estudios'!M123)</f>
        <v>-</v>
      </c>
      <c r="J102" s="427" t="str">
        <f>IF('3.Plan de Estudios'!N123=0,"-",'3.Plan de Estudios'!N123)</f>
        <v>-</v>
      </c>
      <c r="K102" s="428" t="str">
        <f>IF('3.Plan de Estudios'!O123=0,"-",'3.Plan de Estudios'!O123)</f>
        <v>-</v>
      </c>
      <c r="L102" s="429" t="str">
        <f>IF('3.Plan de Estudios'!P123=0,"-",'3.Plan de Estudios'!P123)</f>
        <v>-</v>
      </c>
      <c r="M102" s="430" t="str">
        <f>IF('7.Sumillas'!G103=0,"",'7.Sumillas'!G103)</f>
        <v/>
      </c>
      <c r="N102" s="431"/>
      <c r="O102" s="431"/>
      <c r="P102" s="432" t="str">
        <f>CONCATENATE(CHAR(10),CONCATENATE('3.Plan de Estudios'!AA123,CHAR(10),'3.Plan de Estudios'!AC123,CHAR(10),'3.Plan de Estudios'!AE123,CHAR(10),'3.Plan de Estudios'!AG123,CHAR(10),'3.Plan de Estudios'!AI123))</f>
        <v xml:space="preserve">
</v>
      </c>
      <c r="Q102" s="431"/>
      <c r="R102" s="431"/>
      <c r="S102" s="431"/>
      <c r="T102" s="433" t="str">
        <f t="shared" si="1"/>
        <v>No Aplica</v>
      </c>
    </row>
    <row r="103" spans="2:20" ht="24" customHeight="1">
      <c r="B103" s="425">
        <f>IF('3.Plan de Estudios'!B124="","",'3.Plan de Estudios'!B124)</f>
        <v>10</v>
      </c>
      <c r="C103" s="425" t="str">
        <f>IF('3.Plan de Estudios'!C124="","",'3.Plan de Estudios'!C124)</f>
        <v/>
      </c>
      <c r="D103" s="435" t="str">
        <f>IF('3.Plan de Estudios'!E124="","",'3.Plan de Estudios'!E124)</f>
        <v/>
      </c>
      <c r="E103" s="426" t="str">
        <f>'3.Plan de Estudios'!I124</f>
        <v/>
      </c>
      <c r="F103" s="426" t="str">
        <f>IF('3.Plan de Estudios'!J124=0,"-",'3.Plan de Estudios'!J124)</f>
        <v>-</v>
      </c>
      <c r="G103" s="427" t="str">
        <f>IF('3.Plan de Estudios'!K124=0,"-",'3.Plan de Estudios'!K124)</f>
        <v>-</v>
      </c>
      <c r="H103" s="426" t="str">
        <f>IF('3.Plan de Estudios'!L124=0,"-",'3.Plan de Estudios'!L124)</f>
        <v>-</v>
      </c>
      <c r="I103" s="428" t="str">
        <f>IF('3.Plan de Estudios'!M124=0,"-",'3.Plan de Estudios'!M124)</f>
        <v>-</v>
      </c>
      <c r="J103" s="427" t="str">
        <f>IF('3.Plan de Estudios'!N124=0,"-",'3.Plan de Estudios'!N124)</f>
        <v>-</v>
      </c>
      <c r="K103" s="428" t="str">
        <f>IF('3.Plan de Estudios'!O124=0,"-",'3.Plan de Estudios'!O124)</f>
        <v>-</v>
      </c>
      <c r="L103" s="429" t="str">
        <f>IF('3.Plan de Estudios'!P124=0,"-",'3.Plan de Estudios'!P124)</f>
        <v>-</v>
      </c>
      <c r="M103" s="430" t="str">
        <f>IF('7.Sumillas'!G104=0,"",'7.Sumillas'!G104)</f>
        <v/>
      </c>
      <c r="N103" s="431"/>
      <c r="O103" s="431"/>
      <c r="P103" s="432" t="str">
        <f>CONCATENATE(CHAR(10),CONCATENATE('3.Plan de Estudios'!AA124,CHAR(10),'3.Plan de Estudios'!AC124,CHAR(10),'3.Plan de Estudios'!AE124,CHAR(10),'3.Plan de Estudios'!AG124,CHAR(10),'3.Plan de Estudios'!AI124))</f>
        <v xml:space="preserve">
</v>
      </c>
      <c r="Q103" s="431"/>
      <c r="R103" s="431"/>
      <c r="S103" s="431"/>
      <c r="T103" s="433" t="str">
        <f t="shared" si="1"/>
        <v>No Aplica</v>
      </c>
    </row>
    <row r="104" spans="2:20" ht="24" customHeight="1">
      <c r="B104" s="425">
        <f>IF('3.Plan de Estudios'!B125="","",'3.Plan de Estudios'!B125)</f>
        <v>10</v>
      </c>
      <c r="C104" s="425" t="str">
        <f>IF('3.Plan de Estudios'!C125="","",'3.Plan de Estudios'!C125)</f>
        <v/>
      </c>
      <c r="D104" s="435" t="str">
        <f>IF('3.Plan de Estudios'!E125="","",'3.Plan de Estudios'!E125)</f>
        <v/>
      </c>
      <c r="E104" s="426" t="str">
        <f>'3.Plan de Estudios'!I125</f>
        <v/>
      </c>
      <c r="F104" s="426" t="str">
        <f>IF('3.Plan de Estudios'!J125=0,"-",'3.Plan de Estudios'!J125)</f>
        <v>-</v>
      </c>
      <c r="G104" s="427" t="str">
        <f>IF('3.Plan de Estudios'!K125=0,"-",'3.Plan de Estudios'!K125)</f>
        <v>-</v>
      </c>
      <c r="H104" s="426" t="str">
        <f>IF('3.Plan de Estudios'!L125=0,"-",'3.Plan de Estudios'!L125)</f>
        <v>-</v>
      </c>
      <c r="I104" s="428" t="str">
        <f>IF('3.Plan de Estudios'!M125=0,"-",'3.Plan de Estudios'!M125)</f>
        <v>-</v>
      </c>
      <c r="J104" s="427" t="str">
        <f>IF('3.Plan de Estudios'!N125=0,"-",'3.Plan de Estudios'!N125)</f>
        <v>-</v>
      </c>
      <c r="K104" s="428" t="str">
        <f>IF('3.Plan de Estudios'!O125=0,"-",'3.Plan de Estudios'!O125)</f>
        <v>-</v>
      </c>
      <c r="L104" s="429" t="str">
        <f>IF('3.Plan de Estudios'!P125=0,"-",'3.Plan de Estudios'!P125)</f>
        <v>-</v>
      </c>
      <c r="M104" s="430" t="str">
        <f>IF('7.Sumillas'!G105=0,"",'7.Sumillas'!G105)</f>
        <v/>
      </c>
      <c r="N104" s="431"/>
      <c r="O104" s="431"/>
      <c r="P104" s="432" t="str">
        <f>CONCATENATE(CHAR(10),CONCATENATE('3.Plan de Estudios'!AA125,CHAR(10),'3.Plan de Estudios'!AC125,CHAR(10),'3.Plan de Estudios'!AE125,CHAR(10),'3.Plan de Estudios'!AG125,CHAR(10),'3.Plan de Estudios'!AI125))</f>
        <v xml:space="preserve">
</v>
      </c>
      <c r="Q104" s="431"/>
      <c r="R104" s="431"/>
      <c r="S104" s="431"/>
      <c r="T104" s="433" t="str">
        <f t="shared" si="1"/>
        <v>No Aplica</v>
      </c>
    </row>
    <row r="105" spans="2:20" ht="24" customHeight="1">
      <c r="B105" s="425">
        <f>IF('3.Plan de Estudios'!B126="","",'3.Plan de Estudios'!B126)</f>
        <v>10</v>
      </c>
      <c r="C105" s="425" t="str">
        <f>IF('3.Plan de Estudios'!C126="","",'3.Plan de Estudios'!C126)</f>
        <v/>
      </c>
      <c r="D105" s="435" t="str">
        <f>IF('3.Plan de Estudios'!E126="","",'3.Plan de Estudios'!E126)</f>
        <v/>
      </c>
      <c r="E105" s="426" t="str">
        <f>'3.Plan de Estudios'!I126</f>
        <v/>
      </c>
      <c r="F105" s="426" t="str">
        <f>IF('3.Plan de Estudios'!J126=0,"-",'3.Plan de Estudios'!J126)</f>
        <v>-</v>
      </c>
      <c r="G105" s="427" t="str">
        <f>IF('3.Plan de Estudios'!K126=0,"-",'3.Plan de Estudios'!K126)</f>
        <v>-</v>
      </c>
      <c r="H105" s="426" t="str">
        <f>IF('3.Plan de Estudios'!L126=0,"-",'3.Plan de Estudios'!L126)</f>
        <v>-</v>
      </c>
      <c r="I105" s="428" t="str">
        <f>IF('3.Plan de Estudios'!M126=0,"-",'3.Plan de Estudios'!M126)</f>
        <v>-</v>
      </c>
      <c r="J105" s="427" t="str">
        <f>IF('3.Plan de Estudios'!N126=0,"-",'3.Plan de Estudios'!N126)</f>
        <v>-</v>
      </c>
      <c r="K105" s="428" t="str">
        <f>IF('3.Plan de Estudios'!O126=0,"-",'3.Plan de Estudios'!O126)</f>
        <v>-</v>
      </c>
      <c r="L105" s="429" t="str">
        <f>IF('3.Plan de Estudios'!P126=0,"-",'3.Plan de Estudios'!P126)</f>
        <v>-</v>
      </c>
      <c r="M105" s="430" t="str">
        <f>IF('7.Sumillas'!G106=0,"",'7.Sumillas'!G106)</f>
        <v/>
      </c>
      <c r="N105" s="431"/>
      <c r="O105" s="431"/>
      <c r="P105" s="432" t="str">
        <f>CONCATENATE(CHAR(10),CONCATENATE('3.Plan de Estudios'!AA126,CHAR(10),'3.Plan de Estudios'!AC126,CHAR(10),'3.Plan de Estudios'!AE126,CHAR(10),'3.Plan de Estudios'!AG126,CHAR(10),'3.Plan de Estudios'!AI126))</f>
        <v xml:space="preserve">
</v>
      </c>
      <c r="Q105" s="431"/>
      <c r="R105" s="431"/>
      <c r="S105" s="431"/>
      <c r="T105" s="433" t="str">
        <f t="shared" si="1"/>
        <v>No Aplica</v>
      </c>
    </row>
    <row r="106" spans="2:20" ht="24" customHeight="1">
      <c r="B106" s="425">
        <f>IF('3.Plan de Estudios'!B127="","",'3.Plan de Estudios'!B127)</f>
        <v>10</v>
      </c>
      <c r="C106" s="425" t="str">
        <f>IF('3.Plan de Estudios'!C127="","",'3.Plan de Estudios'!C127)</f>
        <v/>
      </c>
      <c r="D106" s="435" t="str">
        <f>IF('3.Plan de Estudios'!E127="","",'3.Plan de Estudios'!E127)</f>
        <v/>
      </c>
      <c r="E106" s="426" t="str">
        <f>'3.Plan de Estudios'!I127</f>
        <v/>
      </c>
      <c r="F106" s="426" t="str">
        <f>IF('3.Plan de Estudios'!J127=0,"-",'3.Plan de Estudios'!J127)</f>
        <v>-</v>
      </c>
      <c r="G106" s="427" t="str">
        <f>IF('3.Plan de Estudios'!K127=0,"-",'3.Plan de Estudios'!K127)</f>
        <v>-</v>
      </c>
      <c r="H106" s="426" t="str">
        <f>IF('3.Plan de Estudios'!L127=0,"-",'3.Plan de Estudios'!L127)</f>
        <v>-</v>
      </c>
      <c r="I106" s="428" t="str">
        <f>IF('3.Plan de Estudios'!M127=0,"-",'3.Plan de Estudios'!M127)</f>
        <v>-</v>
      </c>
      <c r="J106" s="427" t="str">
        <f>IF('3.Plan de Estudios'!N127=0,"-",'3.Plan de Estudios'!N127)</f>
        <v>-</v>
      </c>
      <c r="K106" s="428" t="str">
        <f>IF('3.Plan de Estudios'!O127=0,"-",'3.Plan de Estudios'!O127)</f>
        <v>-</v>
      </c>
      <c r="L106" s="429" t="str">
        <f>IF('3.Plan de Estudios'!P127=0,"-",'3.Plan de Estudios'!P127)</f>
        <v>-</v>
      </c>
      <c r="M106" s="430" t="str">
        <f>IF('7.Sumillas'!G107=0,"",'7.Sumillas'!G107)</f>
        <v/>
      </c>
      <c r="N106" s="431"/>
      <c r="O106" s="431"/>
      <c r="P106" s="432" t="str">
        <f>CONCATENATE(CHAR(10),CONCATENATE('3.Plan de Estudios'!AA127,CHAR(10),'3.Plan de Estudios'!AC127,CHAR(10),'3.Plan de Estudios'!AE127,CHAR(10),'3.Plan de Estudios'!AG127,CHAR(10),'3.Plan de Estudios'!AI127))</f>
        <v xml:space="preserve">
</v>
      </c>
      <c r="Q106" s="431"/>
      <c r="R106" s="431"/>
      <c r="S106" s="431"/>
      <c r="T106" s="433" t="str">
        <f t="shared" si="1"/>
        <v>No Aplica</v>
      </c>
    </row>
    <row r="107" spans="2:20" ht="24" customHeight="1">
      <c r="B107" s="425">
        <f>IF('3.Plan de Estudios'!B129="","",'3.Plan de Estudios'!B129)</f>
        <v>11</v>
      </c>
      <c r="C107" s="425" t="str">
        <f>IF('3.Plan de Estudios'!C129="","",'3.Plan de Estudios'!C129)</f>
        <v/>
      </c>
      <c r="D107" s="435" t="str">
        <f>IF('3.Plan de Estudios'!E129="","",'3.Plan de Estudios'!E129)</f>
        <v/>
      </c>
      <c r="E107" s="426" t="str">
        <f>'3.Plan de Estudios'!I129</f>
        <v/>
      </c>
      <c r="F107" s="426" t="str">
        <f>IF('3.Plan de Estudios'!J129=0,"-",'3.Plan de Estudios'!J129)</f>
        <v>-</v>
      </c>
      <c r="G107" s="427" t="str">
        <f>IF('3.Plan de Estudios'!K129=0,"-",'3.Plan de Estudios'!K129)</f>
        <v>-</v>
      </c>
      <c r="H107" s="426" t="str">
        <f>IF('3.Plan de Estudios'!L129=0,"-",'3.Plan de Estudios'!L129)</f>
        <v>-</v>
      </c>
      <c r="I107" s="428" t="str">
        <f>IF('3.Plan de Estudios'!M129=0,"-",'3.Plan de Estudios'!M129)</f>
        <v>-</v>
      </c>
      <c r="J107" s="427" t="str">
        <f>IF('3.Plan de Estudios'!N129=0,"-",'3.Plan de Estudios'!N129)</f>
        <v>-</v>
      </c>
      <c r="K107" s="428" t="str">
        <f>IF('3.Plan de Estudios'!O129=0,"-",'3.Plan de Estudios'!O129)</f>
        <v>-</v>
      </c>
      <c r="L107" s="429" t="str">
        <f>IF('3.Plan de Estudios'!P129=0,"-",'3.Plan de Estudios'!P129)</f>
        <v>-</v>
      </c>
      <c r="M107" s="430" t="str">
        <f>IF('7.Sumillas'!G108=0,"",'7.Sumillas'!G108)</f>
        <v/>
      </c>
      <c r="N107" s="431"/>
      <c r="O107" s="431"/>
      <c r="P107" s="432" t="str">
        <f>CONCATENATE(CHAR(10),CONCATENATE('3.Plan de Estudios'!AA129,CHAR(10),'3.Plan de Estudios'!AC129,CHAR(10),'3.Plan de Estudios'!AE129,CHAR(10),'3.Plan de Estudios'!AG129,CHAR(10),'3.Plan de Estudios'!AI129))</f>
        <v xml:space="preserve">
</v>
      </c>
      <c r="Q107" s="431"/>
      <c r="R107" s="431"/>
      <c r="S107" s="431"/>
      <c r="T107" s="433" t="str">
        <f t="shared" si="1"/>
        <v>No Aplica</v>
      </c>
    </row>
    <row r="108" spans="2:20" ht="24" customHeight="1">
      <c r="B108" s="425">
        <f>IF('3.Plan de Estudios'!B130="","",'3.Plan de Estudios'!B130)</f>
        <v>11</v>
      </c>
      <c r="C108" s="425" t="str">
        <f>IF('3.Plan de Estudios'!C130="","",'3.Plan de Estudios'!C130)</f>
        <v/>
      </c>
      <c r="D108" s="435" t="str">
        <f>IF('3.Plan de Estudios'!E130="","",'3.Plan de Estudios'!E130)</f>
        <v/>
      </c>
      <c r="E108" s="426" t="str">
        <f>'3.Plan de Estudios'!I130</f>
        <v/>
      </c>
      <c r="F108" s="426" t="str">
        <f>IF('3.Plan de Estudios'!J130=0,"-",'3.Plan de Estudios'!J130)</f>
        <v>-</v>
      </c>
      <c r="G108" s="427" t="str">
        <f>IF('3.Plan de Estudios'!K130=0,"-",'3.Plan de Estudios'!K130)</f>
        <v>-</v>
      </c>
      <c r="H108" s="426" t="str">
        <f>IF('3.Plan de Estudios'!L130=0,"-",'3.Plan de Estudios'!L130)</f>
        <v>-</v>
      </c>
      <c r="I108" s="428" t="str">
        <f>IF('3.Plan de Estudios'!M130=0,"-",'3.Plan de Estudios'!M130)</f>
        <v>-</v>
      </c>
      <c r="J108" s="427" t="str">
        <f>IF('3.Plan de Estudios'!N130=0,"-",'3.Plan de Estudios'!N130)</f>
        <v>-</v>
      </c>
      <c r="K108" s="428" t="str">
        <f>IF('3.Plan de Estudios'!O130=0,"-",'3.Plan de Estudios'!O130)</f>
        <v>-</v>
      </c>
      <c r="L108" s="429" t="str">
        <f>IF('3.Plan de Estudios'!P130=0,"-",'3.Plan de Estudios'!P130)</f>
        <v>-</v>
      </c>
      <c r="M108" s="430" t="str">
        <f>IF('7.Sumillas'!G109=0,"",'7.Sumillas'!G109)</f>
        <v/>
      </c>
      <c r="N108" s="431"/>
      <c r="O108" s="431"/>
      <c r="P108" s="432" t="str">
        <f>CONCATENATE(CHAR(10),CONCATENATE('3.Plan de Estudios'!AA130,CHAR(10),'3.Plan de Estudios'!AC130,CHAR(10),'3.Plan de Estudios'!AE130,CHAR(10),'3.Plan de Estudios'!AG130,CHAR(10),'3.Plan de Estudios'!AI130))</f>
        <v xml:space="preserve">
</v>
      </c>
      <c r="Q108" s="431"/>
      <c r="R108" s="431"/>
      <c r="S108" s="431"/>
      <c r="T108" s="433" t="str">
        <f t="shared" si="1"/>
        <v>No Aplica</v>
      </c>
    </row>
    <row r="109" spans="2:20" ht="24" customHeight="1">
      <c r="B109" s="425">
        <f>IF('3.Plan de Estudios'!B131="","",'3.Plan de Estudios'!B131)</f>
        <v>11</v>
      </c>
      <c r="C109" s="425" t="str">
        <f>IF('3.Plan de Estudios'!C131="","",'3.Plan de Estudios'!C131)</f>
        <v/>
      </c>
      <c r="D109" s="435" t="str">
        <f>IF('3.Plan de Estudios'!E131="","",'3.Plan de Estudios'!E131)</f>
        <v/>
      </c>
      <c r="E109" s="426" t="str">
        <f>'3.Plan de Estudios'!I131</f>
        <v/>
      </c>
      <c r="F109" s="426" t="str">
        <f>IF('3.Plan de Estudios'!J131=0,"-",'3.Plan de Estudios'!J131)</f>
        <v>-</v>
      </c>
      <c r="G109" s="427" t="str">
        <f>IF('3.Plan de Estudios'!K131=0,"-",'3.Plan de Estudios'!K131)</f>
        <v>-</v>
      </c>
      <c r="H109" s="426" t="str">
        <f>IF('3.Plan de Estudios'!L131=0,"-",'3.Plan de Estudios'!L131)</f>
        <v>-</v>
      </c>
      <c r="I109" s="428" t="str">
        <f>IF('3.Plan de Estudios'!M131=0,"-",'3.Plan de Estudios'!M131)</f>
        <v>-</v>
      </c>
      <c r="J109" s="427" t="str">
        <f>IF('3.Plan de Estudios'!N131=0,"-",'3.Plan de Estudios'!N131)</f>
        <v>-</v>
      </c>
      <c r="K109" s="428" t="str">
        <f>IF('3.Plan de Estudios'!O131=0,"-",'3.Plan de Estudios'!O131)</f>
        <v>-</v>
      </c>
      <c r="L109" s="429" t="str">
        <f>IF('3.Plan de Estudios'!P131=0,"-",'3.Plan de Estudios'!P131)</f>
        <v>-</v>
      </c>
      <c r="M109" s="430" t="str">
        <f>IF('7.Sumillas'!G110=0,"",'7.Sumillas'!G110)</f>
        <v/>
      </c>
      <c r="N109" s="431"/>
      <c r="O109" s="431"/>
      <c r="P109" s="432" t="str">
        <f>CONCATENATE(CHAR(10),CONCATENATE('3.Plan de Estudios'!AA131,CHAR(10),'3.Plan de Estudios'!AC131,CHAR(10),'3.Plan de Estudios'!AE131,CHAR(10),'3.Plan de Estudios'!AG131,CHAR(10),'3.Plan de Estudios'!AI131))</f>
        <v xml:space="preserve">
</v>
      </c>
      <c r="Q109" s="431"/>
      <c r="R109" s="431"/>
      <c r="S109" s="431"/>
      <c r="T109" s="433" t="str">
        <f t="shared" si="1"/>
        <v>No Aplica</v>
      </c>
    </row>
    <row r="110" spans="2:20" ht="24" customHeight="1">
      <c r="B110" s="425">
        <f>IF('3.Plan de Estudios'!B132="","",'3.Plan de Estudios'!B132)</f>
        <v>11</v>
      </c>
      <c r="C110" s="425" t="str">
        <f>IF('3.Plan de Estudios'!C132="","",'3.Plan de Estudios'!C132)</f>
        <v/>
      </c>
      <c r="D110" s="435" t="str">
        <f>IF('3.Plan de Estudios'!E132="","",'3.Plan de Estudios'!E132)</f>
        <v/>
      </c>
      <c r="E110" s="426" t="str">
        <f>'3.Plan de Estudios'!I132</f>
        <v/>
      </c>
      <c r="F110" s="426" t="str">
        <f>IF('3.Plan de Estudios'!J132=0,"-",'3.Plan de Estudios'!J132)</f>
        <v>-</v>
      </c>
      <c r="G110" s="427" t="str">
        <f>IF('3.Plan de Estudios'!K132=0,"-",'3.Plan de Estudios'!K132)</f>
        <v>-</v>
      </c>
      <c r="H110" s="426" t="str">
        <f>IF('3.Plan de Estudios'!L132=0,"-",'3.Plan de Estudios'!L132)</f>
        <v>-</v>
      </c>
      <c r="I110" s="428" t="str">
        <f>IF('3.Plan de Estudios'!M132=0,"-",'3.Plan de Estudios'!M132)</f>
        <v>-</v>
      </c>
      <c r="J110" s="427" t="str">
        <f>IF('3.Plan de Estudios'!N132=0,"-",'3.Plan de Estudios'!N132)</f>
        <v>-</v>
      </c>
      <c r="K110" s="428" t="str">
        <f>IF('3.Plan de Estudios'!O132=0,"-",'3.Plan de Estudios'!O132)</f>
        <v>-</v>
      </c>
      <c r="L110" s="429" t="str">
        <f>IF('3.Plan de Estudios'!P132=0,"-",'3.Plan de Estudios'!P132)</f>
        <v>-</v>
      </c>
      <c r="M110" s="430" t="str">
        <f>IF('7.Sumillas'!G111=0,"",'7.Sumillas'!G111)</f>
        <v/>
      </c>
      <c r="N110" s="431"/>
      <c r="O110" s="431"/>
      <c r="P110" s="432" t="str">
        <f>CONCATENATE(CHAR(10),CONCATENATE('3.Plan de Estudios'!AA132,CHAR(10),'3.Plan de Estudios'!AC132,CHAR(10),'3.Plan de Estudios'!AE132,CHAR(10),'3.Plan de Estudios'!AG132,CHAR(10),'3.Plan de Estudios'!AI132))</f>
        <v xml:space="preserve">
</v>
      </c>
      <c r="Q110" s="431"/>
      <c r="R110" s="431"/>
      <c r="S110" s="431"/>
      <c r="T110" s="433" t="str">
        <f t="shared" si="1"/>
        <v>No Aplica</v>
      </c>
    </row>
    <row r="111" spans="2:20" ht="24" customHeight="1">
      <c r="B111" s="425">
        <f>IF('3.Plan de Estudios'!B133="","",'3.Plan de Estudios'!B133)</f>
        <v>11</v>
      </c>
      <c r="C111" s="425" t="str">
        <f>IF('3.Plan de Estudios'!C133="","",'3.Plan de Estudios'!C133)</f>
        <v/>
      </c>
      <c r="D111" s="435" t="str">
        <f>IF('3.Plan de Estudios'!E133="","",'3.Plan de Estudios'!E133)</f>
        <v/>
      </c>
      <c r="E111" s="426" t="str">
        <f>'3.Plan de Estudios'!I133</f>
        <v/>
      </c>
      <c r="F111" s="426" t="str">
        <f>IF('3.Plan de Estudios'!J133=0,"-",'3.Plan de Estudios'!J133)</f>
        <v>-</v>
      </c>
      <c r="G111" s="427" t="str">
        <f>IF('3.Plan de Estudios'!K133=0,"-",'3.Plan de Estudios'!K133)</f>
        <v>-</v>
      </c>
      <c r="H111" s="426" t="str">
        <f>IF('3.Plan de Estudios'!L133=0,"-",'3.Plan de Estudios'!L133)</f>
        <v>-</v>
      </c>
      <c r="I111" s="428" t="str">
        <f>IF('3.Plan de Estudios'!M133=0,"-",'3.Plan de Estudios'!M133)</f>
        <v>-</v>
      </c>
      <c r="J111" s="427" t="str">
        <f>IF('3.Plan de Estudios'!N133=0,"-",'3.Plan de Estudios'!N133)</f>
        <v>-</v>
      </c>
      <c r="K111" s="428" t="str">
        <f>IF('3.Plan de Estudios'!O133=0,"-",'3.Plan de Estudios'!O133)</f>
        <v>-</v>
      </c>
      <c r="L111" s="429" t="str">
        <f>IF('3.Plan de Estudios'!P133=0,"-",'3.Plan de Estudios'!P133)</f>
        <v>-</v>
      </c>
      <c r="M111" s="430" t="str">
        <f>IF('7.Sumillas'!G112=0,"",'7.Sumillas'!G112)</f>
        <v/>
      </c>
      <c r="N111" s="431"/>
      <c r="O111" s="431"/>
      <c r="P111" s="432" t="str">
        <f>CONCATENATE(CHAR(10),CONCATENATE('3.Plan de Estudios'!AA133,CHAR(10),'3.Plan de Estudios'!AC133,CHAR(10),'3.Plan de Estudios'!AE133,CHAR(10),'3.Plan de Estudios'!AG133,CHAR(10),'3.Plan de Estudios'!AI133))</f>
        <v xml:space="preserve">
</v>
      </c>
      <c r="Q111" s="431"/>
      <c r="R111" s="431"/>
      <c r="S111" s="431"/>
      <c r="T111" s="433" t="str">
        <f t="shared" si="1"/>
        <v>No Aplica</v>
      </c>
    </row>
    <row r="112" spans="2:20" ht="24" customHeight="1">
      <c r="B112" s="425">
        <f>IF('3.Plan de Estudios'!B134="","",'3.Plan de Estudios'!B134)</f>
        <v>11</v>
      </c>
      <c r="C112" s="425" t="str">
        <f>IF('3.Plan de Estudios'!C134="","",'3.Plan de Estudios'!C134)</f>
        <v/>
      </c>
      <c r="D112" s="435" t="str">
        <f>IF('3.Plan de Estudios'!E134="","",'3.Plan de Estudios'!E134)</f>
        <v/>
      </c>
      <c r="E112" s="426" t="str">
        <f>'3.Plan de Estudios'!I134</f>
        <v/>
      </c>
      <c r="F112" s="426" t="str">
        <f>IF('3.Plan de Estudios'!J134=0,"-",'3.Plan de Estudios'!J134)</f>
        <v>-</v>
      </c>
      <c r="G112" s="427" t="str">
        <f>IF('3.Plan de Estudios'!K134=0,"-",'3.Plan de Estudios'!K134)</f>
        <v>-</v>
      </c>
      <c r="H112" s="426" t="str">
        <f>IF('3.Plan de Estudios'!L134=0,"-",'3.Plan de Estudios'!L134)</f>
        <v>-</v>
      </c>
      <c r="I112" s="428" t="str">
        <f>IF('3.Plan de Estudios'!M134=0,"-",'3.Plan de Estudios'!M134)</f>
        <v>-</v>
      </c>
      <c r="J112" s="427" t="str">
        <f>IF('3.Plan de Estudios'!N134=0,"-",'3.Plan de Estudios'!N134)</f>
        <v>-</v>
      </c>
      <c r="K112" s="428" t="str">
        <f>IF('3.Plan de Estudios'!O134=0,"-",'3.Plan de Estudios'!O134)</f>
        <v>-</v>
      </c>
      <c r="L112" s="429" t="str">
        <f>IF('3.Plan de Estudios'!P134=0,"-",'3.Plan de Estudios'!P134)</f>
        <v>-</v>
      </c>
      <c r="M112" s="430" t="str">
        <f>IF('7.Sumillas'!G113=0,"",'7.Sumillas'!G113)</f>
        <v/>
      </c>
      <c r="N112" s="431"/>
      <c r="O112" s="431"/>
      <c r="P112" s="432" t="str">
        <f>CONCATENATE(CHAR(10),CONCATENATE('3.Plan de Estudios'!AA134,CHAR(10),'3.Plan de Estudios'!AC134,CHAR(10),'3.Plan de Estudios'!AE134,CHAR(10),'3.Plan de Estudios'!AG134,CHAR(10),'3.Plan de Estudios'!AI134))</f>
        <v xml:space="preserve">
</v>
      </c>
      <c r="Q112" s="431"/>
      <c r="R112" s="431"/>
      <c r="S112" s="431"/>
      <c r="T112" s="433" t="str">
        <f t="shared" si="1"/>
        <v>No Aplica</v>
      </c>
    </row>
    <row r="113" spans="2:20" ht="24" customHeight="1">
      <c r="B113" s="425">
        <f>IF('3.Plan de Estudios'!B135="","",'3.Plan de Estudios'!B135)</f>
        <v>11</v>
      </c>
      <c r="C113" s="425" t="str">
        <f>IF('3.Plan de Estudios'!C135="","",'3.Plan de Estudios'!C135)</f>
        <v/>
      </c>
      <c r="D113" s="435" t="str">
        <f>IF('3.Plan de Estudios'!E135="","",'3.Plan de Estudios'!E135)</f>
        <v/>
      </c>
      <c r="E113" s="426" t="str">
        <f>'3.Plan de Estudios'!I135</f>
        <v/>
      </c>
      <c r="F113" s="426" t="str">
        <f>IF('3.Plan de Estudios'!J135=0,"-",'3.Plan de Estudios'!J135)</f>
        <v>-</v>
      </c>
      <c r="G113" s="427" t="str">
        <f>IF('3.Plan de Estudios'!K135=0,"-",'3.Plan de Estudios'!K135)</f>
        <v>-</v>
      </c>
      <c r="H113" s="426" t="str">
        <f>IF('3.Plan de Estudios'!L135=0,"-",'3.Plan de Estudios'!L135)</f>
        <v>-</v>
      </c>
      <c r="I113" s="428" t="str">
        <f>IF('3.Plan de Estudios'!M135=0,"-",'3.Plan de Estudios'!M135)</f>
        <v>-</v>
      </c>
      <c r="J113" s="427" t="str">
        <f>IF('3.Plan de Estudios'!N135=0,"-",'3.Plan de Estudios'!N135)</f>
        <v>-</v>
      </c>
      <c r="K113" s="428" t="str">
        <f>IF('3.Plan de Estudios'!O135=0,"-",'3.Plan de Estudios'!O135)</f>
        <v>-</v>
      </c>
      <c r="L113" s="429" t="str">
        <f>IF('3.Plan de Estudios'!P135=0,"-",'3.Plan de Estudios'!P135)</f>
        <v>-</v>
      </c>
      <c r="M113" s="430" t="str">
        <f>IF('7.Sumillas'!G114=0,"",'7.Sumillas'!G114)</f>
        <v/>
      </c>
      <c r="N113" s="431"/>
      <c r="O113" s="431"/>
      <c r="P113" s="432" t="str">
        <f>CONCATENATE(CHAR(10),CONCATENATE('3.Plan de Estudios'!AA135,CHAR(10),'3.Plan de Estudios'!AC135,CHAR(10),'3.Plan de Estudios'!AE135,CHAR(10),'3.Plan de Estudios'!AG135,CHAR(10),'3.Plan de Estudios'!AI135))</f>
        <v xml:space="preserve">
</v>
      </c>
      <c r="Q113" s="431"/>
      <c r="R113" s="431"/>
      <c r="S113" s="431"/>
      <c r="T113" s="433" t="str">
        <f t="shared" si="1"/>
        <v>No Aplica</v>
      </c>
    </row>
    <row r="114" spans="2:20" ht="24" customHeight="1">
      <c r="B114" s="425">
        <f>IF('3.Plan de Estudios'!B136="","",'3.Plan de Estudios'!B136)</f>
        <v>11</v>
      </c>
      <c r="C114" s="425" t="str">
        <f>IF('3.Plan de Estudios'!C136="","",'3.Plan de Estudios'!C136)</f>
        <v/>
      </c>
      <c r="D114" s="435" t="str">
        <f>IF('3.Plan de Estudios'!E136="","",'3.Plan de Estudios'!E136)</f>
        <v/>
      </c>
      <c r="E114" s="426" t="str">
        <f>'3.Plan de Estudios'!I136</f>
        <v/>
      </c>
      <c r="F114" s="426" t="str">
        <f>IF('3.Plan de Estudios'!J136=0,"-",'3.Plan de Estudios'!J136)</f>
        <v>-</v>
      </c>
      <c r="G114" s="427" t="str">
        <f>IF('3.Plan de Estudios'!K136=0,"-",'3.Plan de Estudios'!K136)</f>
        <v>-</v>
      </c>
      <c r="H114" s="426" t="str">
        <f>IF('3.Plan de Estudios'!L136=0,"-",'3.Plan de Estudios'!L136)</f>
        <v>-</v>
      </c>
      <c r="I114" s="428" t="str">
        <f>IF('3.Plan de Estudios'!M136=0,"-",'3.Plan de Estudios'!M136)</f>
        <v>-</v>
      </c>
      <c r="J114" s="427" t="str">
        <f>IF('3.Plan de Estudios'!N136=0,"-",'3.Plan de Estudios'!N136)</f>
        <v>-</v>
      </c>
      <c r="K114" s="428" t="str">
        <f>IF('3.Plan de Estudios'!O136=0,"-",'3.Plan de Estudios'!O136)</f>
        <v>-</v>
      </c>
      <c r="L114" s="429" t="str">
        <f>IF('3.Plan de Estudios'!P136=0,"-",'3.Plan de Estudios'!P136)</f>
        <v>-</v>
      </c>
      <c r="M114" s="430" t="str">
        <f>IF('7.Sumillas'!G115=0,"",'7.Sumillas'!G115)</f>
        <v/>
      </c>
      <c r="N114" s="431"/>
      <c r="O114" s="431"/>
      <c r="P114" s="432" t="str">
        <f>CONCATENATE(CHAR(10),CONCATENATE('3.Plan de Estudios'!AA136,CHAR(10),'3.Plan de Estudios'!AC136,CHAR(10),'3.Plan de Estudios'!AE136,CHAR(10),'3.Plan de Estudios'!AG136,CHAR(10),'3.Plan de Estudios'!AI136))</f>
        <v xml:space="preserve">
</v>
      </c>
      <c r="Q114" s="431"/>
      <c r="R114" s="431"/>
      <c r="S114" s="431"/>
      <c r="T114" s="433" t="str">
        <f t="shared" si="1"/>
        <v>No Aplica</v>
      </c>
    </row>
    <row r="115" spans="2:20" ht="24" customHeight="1">
      <c r="B115" s="425">
        <f>IF('3.Plan de Estudios'!B137="","",'3.Plan de Estudios'!B137)</f>
        <v>11</v>
      </c>
      <c r="C115" s="425" t="str">
        <f>IF('3.Plan de Estudios'!C137="","",'3.Plan de Estudios'!C137)</f>
        <v/>
      </c>
      <c r="D115" s="435" t="str">
        <f>IF('3.Plan de Estudios'!E137="","",'3.Plan de Estudios'!E137)</f>
        <v/>
      </c>
      <c r="E115" s="426" t="str">
        <f>'3.Plan de Estudios'!I137</f>
        <v/>
      </c>
      <c r="F115" s="426" t="str">
        <f>IF('3.Plan de Estudios'!J137=0,"-",'3.Plan de Estudios'!J137)</f>
        <v>-</v>
      </c>
      <c r="G115" s="427" t="str">
        <f>IF('3.Plan de Estudios'!K137=0,"-",'3.Plan de Estudios'!K137)</f>
        <v>-</v>
      </c>
      <c r="H115" s="426" t="str">
        <f>IF('3.Plan de Estudios'!L137=0,"-",'3.Plan de Estudios'!L137)</f>
        <v>-</v>
      </c>
      <c r="I115" s="428" t="str">
        <f>IF('3.Plan de Estudios'!M137=0,"-",'3.Plan de Estudios'!M137)</f>
        <v>-</v>
      </c>
      <c r="J115" s="427" t="str">
        <f>IF('3.Plan de Estudios'!N137=0,"-",'3.Plan de Estudios'!N137)</f>
        <v>-</v>
      </c>
      <c r="K115" s="428" t="str">
        <f>IF('3.Plan de Estudios'!O137=0,"-",'3.Plan de Estudios'!O137)</f>
        <v>-</v>
      </c>
      <c r="L115" s="429" t="str">
        <f>IF('3.Plan de Estudios'!P137=0,"-",'3.Plan de Estudios'!P137)</f>
        <v>-</v>
      </c>
      <c r="M115" s="430" t="str">
        <f>IF('7.Sumillas'!G116=0,"",'7.Sumillas'!G116)</f>
        <v/>
      </c>
      <c r="N115" s="431"/>
      <c r="O115" s="431"/>
      <c r="P115" s="432" t="str">
        <f>CONCATENATE(CHAR(10),CONCATENATE('3.Plan de Estudios'!AA137,CHAR(10),'3.Plan de Estudios'!AC137,CHAR(10),'3.Plan de Estudios'!AE137,CHAR(10),'3.Plan de Estudios'!AG137,CHAR(10),'3.Plan de Estudios'!AI137))</f>
        <v xml:space="preserve">
</v>
      </c>
      <c r="Q115" s="431"/>
      <c r="R115" s="431"/>
      <c r="S115" s="431"/>
      <c r="T115" s="433" t="str">
        <f t="shared" si="1"/>
        <v>No Aplica</v>
      </c>
    </row>
    <row r="116" spans="2:20" ht="24" customHeight="1">
      <c r="B116" s="425">
        <f>IF('3.Plan de Estudios'!B138="","",'3.Plan de Estudios'!B138)</f>
        <v>11</v>
      </c>
      <c r="C116" s="425" t="str">
        <f>IF('3.Plan de Estudios'!C138="","",'3.Plan de Estudios'!C138)</f>
        <v/>
      </c>
      <c r="D116" s="435" t="str">
        <f>IF('3.Plan de Estudios'!E138="","",'3.Plan de Estudios'!E138)</f>
        <v/>
      </c>
      <c r="E116" s="426" t="str">
        <f>'3.Plan de Estudios'!I138</f>
        <v/>
      </c>
      <c r="F116" s="426" t="str">
        <f>IF('3.Plan de Estudios'!J138=0,"-",'3.Plan de Estudios'!J138)</f>
        <v>-</v>
      </c>
      <c r="G116" s="427" t="str">
        <f>IF('3.Plan de Estudios'!K138=0,"-",'3.Plan de Estudios'!K138)</f>
        <v>-</v>
      </c>
      <c r="H116" s="426" t="str">
        <f>IF('3.Plan de Estudios'!L138=0,"-",'3.Plan de Estudios'!L138)</f>
        <v>-</v>
      </c>
      <c r="I116" s="428" t="str">
        <f>IF('3.Plan de Estudios'!M138=0,"-",'3.Plan de Estudios'!M138)</f>
        <v>-</v>
      </c>
      <c r="J116" s="427" t="str">
        <f>IF('3.Plan de Estudios'!N138=0,"-",'3.Plan de Estudios'!N138)</f>
        <v>-</v>
      </c>
      <c r="K116" s="428" t="str">
        <f>IF('3.Plan de Estudios'!O138=0,"-",'3.Plan de Estudios'!O138)</f>
        <v>-</v>
      </c>
      <c r="L116" s="429" t="str">
        <f>IF('3.Plan de Estudios'!P138=0,"-",'3.Plan de Estudios'!P138)</f>
        <v>-</v>
      </c>
      <c r="M116" s="430" t="str">
        <f>IF('7.Sumillas'!G117=0,"",'7.Sumillas'!G117)</f>
        <v/>
      </c>
      <c r="N116" s="431"/>
      <c r="O116" s="431"/>
      <c r="P116" s="432" t="str">
        <f>CONCATENATE(CHAR(10),CONCATENATE('3.Plan de Estudios'!AA138,CHAR(10),'3.Plan de Estudios'!AC138,CHAR(10),'3.Plan de Estudios'!AE138,CHAR(10),'3.Plan de Estudios'!AG138,CHAR(10),'3.Plan de Estudios'!AI138))</f>
        <v xml:space="preserve">
</v>
      </c>
      <c r="Q116" s="431"/>
      <c r="R116" s="431"/>
      <c r="S116" s="431"/>
      <c r="T116" s="433" t="str">
        <f t="shared" si="1"/>
        <v>No Aplica</v>
      </c>
    </row>
    <row r="117" spans="2:20" ht="24" customHeight="1">
      <c r="B117" s="425">
        <f>IF('3.Plan de Estudios'!B140="","",'3.Plan de Estudios'!B140)</f>
        <v>12</v>
      </c>
      <c r="C117" s="425" t="str">
        <f>IF('3.Plan de Estudios'!C140="","",'3.Plan de Estudios'!C140)</f>
        <v/>
      </c>
      <c r="D117" s="435" t="str">
        <f>IF('3.Plan de Estudios'!E140="","",'3.Plan de Estudios'!E140)</f>
        <v/>
      </c>
      <c r="E117" s="426" t="str">
        <f>'3.Plan de Estudios'!I140</f>
        <v/>
      </c>
      <c r="F117" s="426" t="str">
        <f>IF('3.Plan de Estudios'!J140=0,"-",'3.Plan de Estudios'!J140)</f>
        <v>-</v>
      </c>
      <c r="G117" s="427" t="str">
        <f>IF('3.Plan de Estudios'!K140=0,"-",'3.Plan de Estudios'!K140)</f>
        <v>-</v>
      </c>
      <c r="H117" s="426" t="str">
        <f>IF('3.Plan de Estudios'!L140=0,"-",'3.Plan de Estudios'!L140)</f>
        <v>-</v>
      </c>
      <c r="I117" s="428" t="str">
        <f>IF('3.Plan de Estudios'!M140=0,"-",'3.Plan de Estudios'!M140)</f>
        <v>-</v>
      </c>
      <c r="J117" s="427" t="str">
        <f>IF('3.Plan de Estudios'!N140=0,"-",'3.Plan de Estudios'!N140)</f>
        <v>-</v>
      </c>
      <c r="K117" s="428" t="str">
        <f>IF('3.Plan de Estudios'!O140=0,"-",'3.Plan de Estudios'!O140)</f>
        <v>-</v>
      </c>
      <c r="L117" s="429" t="str">
        <f>IF('3.Plan de Estudios'!P140=0,"-",'3.Plan de Estudios'!P140)</f>
        <v>-</v>
      </c>
      <c r="M117" s="430" t="str">
        <f>IF('7.Sumillas'!G118=0,"",'7.Sumillas'!G118)</f>
        <v/>
      </c>
      <c r="N117" s="431"/>
      <c r="O117" s="431"/>
      <c r="P117" s="432" t="str">
        <f>CONCATENATE(CHAR(10),CONCATENATE('3.Plan de Estudios'!AA140,CHAR(10),'3.Plan de Estudios'!AC140,CHAR(10),'3.Plan de Estudios'!AE140,CHAR(10),'3.Plan de Estudios'!AG140,CHAR(10),'3.Plan de Estudios'!AI140))</f>
        <v xml:space="preserve">
</v>
      </c>
      <c r="Q117" s="431"/>
      <c r="R117" s="431"/>
      <c r="S117" s="431"/>
      <c r="T117" s="433" t="str">
        <f t="shared" si="1"/>
        <v>No Aplica</v>
      </c>
    </row>
    <row r="118" spans="2:20" ht="24" customHeight="1">
      <c r="B118" s="425">
        <f>IF('3.Plan de Estudios'!B141="","",'3.Plan de Estudios'!B141)</f>
        <v>12</v>
      </c>
      <c r="C118" s="425" t="str">
        <f>IF('3.Plan de Estudios'!C141="","",'3.Plan de Estudios'!C141)</f>
        <v/>
      </c>
      <c r="D118" s="435" t="str">
        <f>IF('3.Plan de Estudios'!E141="","",'3.Plan de Estudios'!E141)</f>
        <v/>
      </c>
      <c r="E118" s="426" t="str">
        <f>'3.Plan de Estudios'!I141</f>
        <v/>
      </c>
      <c r="F118" s="426" t="str">
        <f>IF('3.Plan de Estudios'!J141=0,"-",'3.Plan de Estudios'!J141)</f>
        <v>-</v>
      </c>
      <c r="G118" s="427" t="str">
        <f>IF('3.Plan de Estudios'!K141=0,"-",'3.Plan de Estudios'!K141)</f>
        <v>-</v>
      </c>
      <c r="H118" s="426" t="str">
        <f>IF('3.Plan de Estudios'!L141=0,"-",'3.Plan de Estudios'!L141)</f>
        <v>-</v>
      </c>
      <c r="I118" s="428" t="str">
        <f>IF('3.Plan de Estudios'!M141=0,"-",'3.Plan de Estudios'!M141)</f>
        <v>-</v>
      </c>
      <c r="J118" s="427" t="str">
        <f>IF('3.Plan de Estudios'!N141=0,"-",'3.Plan de Estudios'!N141)</f>
        <v>-</v>
      </c>
      <c r="K118" s="428" t="str">
        <f>IF('3.Plan de Estudios'!O141=0,"-",'3.Plan de Estudios'!O141)</f>
        <v>-</v>
      </c>
      <c r="L118" s="429" t="str">
        <f>IF('3.Plan de Estudios'!P141=0,"-",'3.Plan de Estudios'!P141)</f>
        <v>-</v>
      </c>
      <c r="M118" s="430" t="str">
        <f>IF('7.Sumillas'!G119=0,"",'7.Sumillas'!G119)</f>
        <v/>
      </c>
      <c r="N118" s="431"/>
      <c r="O118" s="431"/>
      <c r="P118" s="432" t="str">
        <f>CONCATENATE(CHAR(10),CONCATENATE('3.Plan de Estudios'!AA141,CHAR(10),'3.Plan de Estudios'!AC141,CHAR(10),'3.Plan de Estudios'!AE141,CHAR(10),'3.Plan de Estudios'!AG141,CHAR(10),'3.Plan de Estudios'!AI141))</f>
        <v xml:space="preserve">
</v>
      </c>
      <c r="Q118" s="431"/>
      <c r="R118" s="431"/>
      <c r="S118" s="431"/>
      <c r="T118" s="433" t="str">
        <f t="shared" si="1"/>
        <v>No Aplica</v>
      </c>
    </row>
    <row r="119" spans="2:20" ht="24" customHeight="1">
      <c r="B119" s="425">
        <f>IF('3.Plan de Estudios'!B142="","",'3.Plan de Estudios'!B142)</f>
        <v>12</v>
      </c>
      <c r="C119" s="425" t="str">
        <f>IF('3.Plan de Estudios'!C142="","",'3.Plan de Estudios'!C142)</f>
        <v/>
      </c>
      <c r="D119" s="435" t="str">
        <f>IF('3.Plan de Estudios'!E142="","",'3.Plan de Estudios'!E142)</f>
        <v/>
      </c>
      <c r="E119" s="426" t="str">
        <f>'3.Plan de Estudios'!I142</f>
        <v/>
      </c>
      <c r="F119" s="426" t="str">
        <f>IF('3.Plan de Estudios'!J142=0,"-",'3.Plan de Estudios'!J142)</f>
        <v>-</v>
      </c>
      <c r="G119" s="427" t="str">
        <f>IF('3.Plan de Estudios'!K142=0,"-",'3.Plan de Estudios'!K142)</f>
        <v>-</v>
      </c>
      <c r="H119" s="426" t="str">
        <f>IF('3.Plan de Estudios'!L142=0,"-",'3.Plan de Estudios'!L142)</f>
        <v>-</v>
      </c>
      <c r="I119" s="428" t="str">
        <f>IF('3.Plan de Estudios'!M142=0,"-",'3.Plan de Estudios'!M142)</f>
        <v>-</v>
      </c>
      <c r="J119" s="427" t="str">
        <f>IF('3.Plan de Estudios'!N142=0,"-",'3.Plan de Estudios'!N142)</f>
        <v>-</v>
      </c>
      <c r="K119" s="428" t="str">
        <f>IF('3.Plan de Estudios'!O142=0,"-",'3.Plan de Estudios'!O142)</f>
        <v>-</v>
      </c>
      <c r="L119" s="429" t="str">
        <f>IF('3.Plan de Estudios'!P142=0,"-",'3.Plan de Estudios'!P142)</f>
        <v>-</v>
      </c>
      <c r="M119" s="430" t="str">
        <f>IF('7.Sumillas'!G120=0,"",'7.Sumillas'!G120)</f>
        <v/>
      </c>
      <c r="N119" s="431"/>
      <c r="O119" s="431"/>
      <c r="P119" s="432" t="str">
        <f>CONCATENATE(CHAR(10),CONCATENATE('3.Plan de Estudios'!AA142,CHAR(10),'3.Plan de Estudios'!AC142,CHAR(10),'3.Plan de Estudios'!AE142,CHAR(10),'3.Plan de Estudios'!AG142,CHAR(10),'3.Plan de Estudios'!AI142))</f>
        <v xml:space="preserve">
</v>
      </c>
      <c r="Q119" s="431"/>
      <c r="R119" s="431"/>
      <c r="S119" s="431"/>
      <c r="T119" s="433" t="str">
        <f t="shared" si="1"/>
        <v>No Aplica</v>
      </c>
    </row>
    <row r="120" spans="2:20" ht="24" customHeight="1">
      <c r="B120" s="425">
        <f>IF('3.Plan de Estudios'!B143="","",'3.Plan de Estudios'!B143)</f>
        <v>12</v>
      </c>
      <c r="C120" s="425" t="str">
        <f>IF('3.Plan de Estudios'!C143="","",'3.Plan de Estudios'!C143)</f>
        <v/>
      </c>
      <c r="D120" s="435" t="str">
        <f>IF('3.Plan de Estudios'!E143="","",'3.Plan de Estudios'!E143)</f>
        <v/>
      </c>
      <c r="E120" s="426" t="str">
        <f>'3.Plan de Estudios'!I143</f>
        <v/>
      </c>
      <c r="F120" s="426" t="str">
        <f>IF('3.Plan de Estudios'!J143=0,"-",'3.Plan de Estudios'!J143)</f>
        <v>-</v>
      </c>
      <c r="G120" s="427" t="str">
        <f>IF('3.Plan de Estudios'!K143=0,"-",'3.Plan de Estudios'!K143)</f>
        <v>-</v>
      </c>
      <c r="H120" s="426" t="str">
        <f>IF('3.Plan de Estudios'!L143=0,"-",'3.Plan de Estudios'!L143)</f>
        <v>-</v>
      </c>
      <c r="I120" s="428" t="str">
        <f>IF('3.Plan de Estudios'!M143=0,"-",'3.Plan de Estudios'!M143)</f>
        <v>-</v>
      </c>
      <c r="J120" s="427" t="str">
        <f>IF('3.Plan de Estudios'!N143=0,"-",'3.Plan de Estudios'!N143)</f>
        <v>-</v>
      </c>
      <c r="K120" s="428" t="str">
        <f>IF('3.Plan de Estudios'!O143=0,"-",'3.Plan de Estudios'!O143)</f>
        <v>-</v>
      </c>
      <c r="L120" s="429" t="str">
        <f>IF('3.Plan de Estudios'!P143=0,"-",'3.Plan de Estudios'!P143)</f>
        <v>-</v>
      </c>
      <c r="M120" s="430" t="str">
        <f>IF('7.Sumillas'!G121=0,"",'7.Sumillas'!G121)</f>
        <v/>
      </c>
      <c r="N120" s="431"/>
      <c r="O120" s="431"/>
      <c r="P120" s="432" t="str">
        <f>CONCATENATE(CHAR(10),CONCATENATE('3.Plan de Estudios'!AA143,CHAR(10),'3.Plan de Estudios'!AC143,CHAR(10),'3.Plan de Estudios'!AE143,CHAR(10),'3.Plan de Estudios'!AG143,CHAR(10),'3.Plan de Estudios'!AI143))</f>
        <v xml:space="preserve">
</v>
      </c>
      <c r="Q120" s="431"/>
      <c r="R120" s="431"/>
      <c r="S120" s="431"/>
      <c r="T120" s="433" t="str">
        <f t="shared" si="1"/>
        <v>No Aplica</v>
      </c>
    </row>
    <row r="121" spans="2:20" ht="24" customHeight="1">
      <c r="B121" s="425">
        <f>IF('3.Plan de Estudios'!B144="","",'3.Plan de Estudios'!B144)</f>
        <v>12</v>
      </c>
      <c r="C121" s="425" t="str">
        <f>IF('3.Plan de Estudios'!C144="","",'3.Plan de Estudios'!C144)</f>
        <v/>
      </c>
      <c r="D121" s="435" t="str">
        <f>IF('3.Plan de Estudios'!E144="","",'3.Plan de Estudios'!E144)</f>
        <v/>
      </c>
      <c r="E121" s="426" t="str">
        <f>'3.Plan de Estudios'!I144</f>
        <v/>
      </c>
      <c r="F121" s="426" t="str">
        <f>IF('3.Plan de Estudios'!J144=0,"-",'3.Plan de Estudios'!J144)</f>
        <v>-</v>
      </c>
      <c r="G121" s="427" t="str">
        <f>IF('3.Plan de Estudios'!K144=0,"-",'3.Plan de Estudios'!K144)</f>
        <v>-</v>
      </c>
      <c r="H121" s="426" t="str">
        <f>IF('3.Plan de Estudios'!L144=0,"-",'3.Plan de Estudios'!L144)</f>
        <v>-</v>
      </c>
      <c r="I121" s="428" t="str">
        <f>IF('3.Plan de Estudios'!M144=0,"-",'3.Plan de Estudios'!M144)</f>
        <v>-</v>
      </c>
      <c r="J121" s="427" t="str">
        <f>IF('3.Plan de Estudios'!N144=0,"-",'3.Plan de Estudios'!N144)</f>
        <v>-</v>
      </c>
      <c r="K121" s="428" t="str">
        <f>IF('3.Plan de Estudios'!O144=0,"-",'3.Plan de Estudios'!O144)</f>
        <v>-</v>
      </c>
      <c r="L121" s="429" t="str">
        <f>IF('3.Plan de Estudios'!P144=0,"-",'3.Plan de Estudios'!P144)</f>
        <v>-</v>
      </c>
      <c r="M121" s="430" t="str">
        <f>IF('7.Sumillas'!G122=0,"",'7.Sumillas'!G122)</f>
        <v/>
      </c>
      <c r="N121" s="431"/>
      <c r="O121" s="431"/>
      <c r="P121" s="432" t="str">
        <f>CONCATENATE(CHAR(10),CONCATENATE('3.Plan de Estudios'!AA144,CHAR(10),'3.Plan de Estudios'!AC144,CHAR(10),'3.Plan de Estudios'!AE144,CHAR(10),'3.Plan de Estudios'!AG144,CHAR(10),'3.Plan de Estudios'!AI144))</f>
        <v xml:space="preserve">
</v>
      </c>
      <c r="Q121" s="431"/>
      <c r="R121" s="431"/>
      <c r="S121" s="431"/>
      <c r="T121" s="433" t="str">
        <f t="shared" si="1"/>
        <v>No Aplica</v>
      </c>
    </row>
    <row r="122" spans="2:20" ht="24" customHeight="1">
      <c r="B122" s="425">
        <f>IF('3.Plan de Estudios'!B145="","",'3.Plan de Estudios'!B145)</f>
        <v>12</v>
      </c>
      <c r="C122" s="425" t="str">
        <f>IF('3.Plan de Estudios'!C145="","",'3.Plan de Estudios'!C145)</f>
        <v/>
      </c>
      <c r="D122" s="435" t="str">
        <f>IF('3.Plan de Estudios'!E145="","",'3.Plan de Estudios'!E145)</f>
        <v/>
      </c>
      <c r="E122" s="426" t="str">
        <f>'3.Plan de Estudios'!I145</f>
        <v/>
      </c>
      <c r="F122" s="426" t="str">
        <f>IF('3.Plan de Estudios'!J145=0,"-",'3.Plan de Estudios'!J145)</f>
        <v>-</v>
      </c>
      <c r="G122" s="427" t="str">
        <f>IF('3.Plan de Estudios'!K145=0,"-",'3.Plan de Estudios'!K145)</f>
        <v>-</v>
      </c>
      <c r="H122" s="426" t="str">
        <f>IF('3.Plan de Estudios'!L145=0,"-",'3.Plan de Estudios'!L145)</f>
        <v>-</v>
      </c>
      <c r="I122" s="428" t="str">
        <f>IF('3.Plan de Estudios'!M145=0,"-",'3.Plan de Estudios'!M145)</f>
        <v>-</v>
      </c>
      <c r="J122" s="427" t="str">
        <f>IF('3.Plan de Estudios'!N145=0,"-",'3.Plan de Estudios'!N145)</f>
        <v>-</v>
      </c>
      <c r="K122" s="428" t="str">
        <f>IF('3.Plan de Estudios'!O145=0,"-",'3.Plan de Estudios'!O145)</f>
        <v>-</v>
      </c>
      <c r="L122" s="429" t="str">
        <f>IF('3.Plan de Estudios'!P145=0,"-",'3.Plan de Estudios'!P145)</f>
        <v>-</v>
      </c>
      <c r="M122" s="430" t="str">
        <f>IF('7.Sumillas'!G123=0,"",'7.Sumillas'!G123)</f>
        <v/>
      </c>
      <c r="N122" s="431"/>
      <c r="O122" s="431"/>
      <c r="P122" s="432" t="str">
        <f>CONCATENATE(CHAR(10),CONCATENATE('3.Plan de Estudios'!AA145,CHAR(10),'3.Plan de Estudios'!AC145,CHAR(10),'3.Plan de Estudios'!AE145,CHAR(10),'3.Plan de Estudios'!AG145,CHAR(10),'3.Plan de Estudios'!AI145))</f>
        <v xml:space="preserve">
</v>
      </c>
      <c r="Q122" s="431"/>
      <c r="R122" s="431"/>
      <c r="S122" s="431"/>
      <c r="T122" s="433" t="str">
        <f t="shared" si="1"/>
        <v>No Aplica</v>
      </c>
    </row>
    <row r="123" spans="2:20" ht="24" customHeight="1">
      <c r="B123" s="425">
        <f>IF('3.Plan de Estudios'!B146="","",'3.Plan de Estudios'!B146)</f>
        <v>12</v>
      </c>
      <c r="C123" s="425" t="str">
        <f>IF('3.Plan de Estudios'!C146="","",'3.Plan de Estudios'!C146)</f>
        <v/>
      </c>
      <c r="D123" s="435" t="str">
        <f>IF('3.Plan de Estudios'!E146="","",'3.Plan de Estudios'!E146)</f>
        <v/>
      </c>
      <c r="E123" s="426" t="str">
        <f>'3.Plan de Estudios'!I146</f>
        <v/>
      </c>
      <c r="F123" s="426" t="str">
        <f>IF('3.Plan de Estudios'!J146=0,"-",'3.Plan de Estudios'!J146)</f>
        <v>-</v>
      </c>
      <c r="G123" s="427" t="str">
        <f>IF('3.Plan de Estudios'!K146=0,"-",'3.Plan de Estudios'!K146)</f>
        <v>-</v>
      </c>
      <c r="H123" s="426" t="str">
        <f>IF('3.Plan de Estudios'!L146=0,"-",'3.Plan de Estudios'!L146)</f>
        <v>-</v>
      </c>
      <c r="I123" s="428" t="str">
        <f>IF('3.Plan de Estudios'!M146=0,"-",'3.Plan de Estudios'!M146)</f>
        <v>-</v>
      </c>
      <c r="J123" s="427" t="str">
        <f>IF('3.Plan de Estudios'!N146=0,"-",'3.Plan de Estudios'!N146)</f>
        <v>-</v>
      </c>
      <c r="K123" s="428" t="str">
        <f>IF('3.Plan de Estudios'!O146=0,"-",'3.Plan de Estudios'!O146)</f>
        <v>-</v>
      </c>
      <c r="L123" s="429" t="str">
        <f>IF('3.Plan de Estudios'!P146=0,"-",'3.Plan de Estudios'!P146)</f>
        <v>-</v>
      </c>
      <c r="M123" s="430" t="str">
        <f>IF('7.Sumillas'!G124=0,"",'7.Sumillas'!G124)</f>
        <v/>
      </c>
      <c r="N123" s="431"/>
      <c r="O123" s="431"/>
      <c r="P123" s="432" t="str">
        <f>CONCATENATE(CHAR(10),CONCATENATE('3.Plan de Estudios'!AA146,CHAR(10),'3.Plan de Estudios'!AC146,CHAR(10),'3.Plan de Estudios'!AE146,CHAR(10),'3.Plan de Estudios'!AG146,CHAR(10),'3.Plan de Estudios'!AI146))</f>
        <v xml:space="preserve">
</v>
      </c>
      <c r="Q123" s="431"/>
      <c r="R123" s="431"/>
      <c r="S123" s="431"/>
      <c r="T123" s="433" t="str">
        <f t="shared" si="1"/>
        <v>No Aplica</v>
      </c>
    </row>
    <row r="124" spans="2:20" ht="24" customHeight="1">
      <c r="B124" s="425">
        <f>IF('3.Plan de Estudios'!B147="","",'3.Plan de Estudios'!B147)</f>
        <v>12</v>
      </c>
      <c r="C124" s="425" t="str">
        <f>IF('3.Plan de Estudios'!C147="","",'3.Plan de Estudios'!C147)</f>
        <v/>
      </c>
      <c r="D124" s="435" t="str">
        <f>IF('3.Plan de Estudios'!E147="","",'3.Plan de Estudios'!E147)</f>
        <v/>
      </c>
      <c r="E124" s="426" t="str">
        <f>'3.Plan de Estudios'!I147</f>
        <v/>
      </c>
      <c r="F124" s="426" t="str">
        <f>IF('3.Plan de Estudios'!J147=0,"-",'3.Plan de Estudios'!J147)</f>
        <v>-</v>
      </c>
      <c r="G124" s="427" t="str">
        <f>IF('3.Plan de Estudios'!K147=0,"-",'3.Plan de Estudios'!K147)</f>
        <v>-</v>
      </c>
      <c r="H124" s="426" t="str">
        <f>IF('3.Plan de Estudios'!L147=0,"-",'3.Plan de Estudios'!L147)</f>
        <v>-</v>
      </c>
      <c r="I124" s="428" t="str">
        <f>IF('3.Plan de Estudios'!M147=0,"-",'3.Plan de Estudios'!M147)</f>
        <v>-</v>
      </c>
      <c r="J124" s="427" t="str">
        <f>IF('3.Plan de Estudios'!N147=0,"-",'3.Plan de Estudios'!N147)</f>
        <v>-</v>
      </c>
      <c r="K124" s="428" t="str">
        <f>IF('3.Plan de Estudios'!O147=0,"-",'3.Plan de Estudios'!O147)</f>
        <v>-</v>
      </c>
      <c r="L124" s="429" t="str">
        <f>IF('3.Plan de Estudios'!P147=0,"-",'3.Plan de Estudios'!P147)</f>
        <v>-</v>
      </c>
      <c r="M124" s="430" t="str">
        <f>IF('7.Sumillas'!G125=0,"",'7.Sumillas'!G125)</f>
        <v/>
      </c>
      <c r="N124" s="431"/>
      <c r="O124" s="431"/>
      <c r="P124" s="432" t="str">
        <f>CONCATENATE(CHAR(10),CONCATENATE('3.Plan de Estudios'!AA147,CHAR(10),'3.Plan de Estudios'!AC147,CHAR(10),'3.Plan de Estudios'!AE147,CHAR(10),'3.Plan de Estudios'!AG147,CHAR(10),'3.Plan de Estudios'!AI147))</f>
        <v xml:space="preserve">
</v>
      </c>
      <c r="Q124" s="431"/>
      <c r="R124" s="431"/>
      <c r="S124" s="431"/>
      <c r="T124" s="433" t="str">
        <f t="shared" si="1"/>
        <v>No Aplica</v>
      </c>
    </row>
    <row r="125" spans="2:20" ht="24" customHeight="1">
      <c r="B125" s="425">
        <f>IF('3.Plan de Estudios'!B148="","",'3.Plan de Estudios'!B148)</f>
        <v>12</v>
      </c>
      <c r="C125" s="425" t="str">
        <f>IF('3.Plan de Estudios'!C148="","",'3.Plan de Estudios'!C148)</f>
        <v/>
      </c>
      <c r="D125" s="435" t="str">
        <f>IF('3.Plan de Estudios'!E148="","",'3.Plan de Estudios'!E148)</f>
        <v/>
      </c>
      <c r="E125" s="426" t="str">
        <f>'3.Plan de Estudios'!I148</f>
        <v/>
      </c>
      <c r="F125" s="426" t="str">
        <f>IF('3.Plan de Estudios'!J148=0,"-",'3.Plan de Estudios'!J148)</f>
        <v>-</v>
      </c>
      <c r="G125" s="427" t="str">
        <f>IF('3.Plan de Estudios'!K148=0,"-",'3.Plan de Estudios'!K148)</f>
        <v>-</v>
      </c>
      <c r="H125" s="426" t="str">
        <f>IF('3.Plan de Estudios'!L148=0,"-",'3.Plan de Estudios'!L148)</f>
        <v>-</v>
      </c>
      <c r="I125" s="428" t="str">
        <f>IF('3.Plan de Estudios'!M148=0,"-",'3.Plan de Estudios'!M148)</f>
        <v>-</v>
      </c>
      <c r="J125" s="427" t="str">
        <f>IF('3.Plan de Estudios'!N148=0,"-",'3.Plan de Estudios'!N148)</f>
        <v>-</v>
      </c>
      <c r="K125" s="428" t="str">
        <f>IF('3.Plan de Estudios'!O148=0,"-",'3.Plan de Estudios'!O148)</f>
        <v>-</v>
      </c>
      <c r="L125" s="429" t="str">
        <f>IF('3.Plan de Estudios'!P148=0,"-",'3.Plan de Estudios'!P148)</f>
        <v>-</v>
      </c>
      <c r="M125" s="430" t="str">
        <f>IF('7.Sumillas'!G126=0,"",'7.Sumillas'!G126)</f>
        <v/>
      </c>
      <c r="N125" s="431"/>
      <c r="O125" s="431"/>
      <c r="P125" s="432" t="str">
        <f>CONCATENATE(CHAR(10),CONCATENATE('3.Plan de Estudios'!AA148,CHAR(10),'3.Plan de Estudios'!AC148,CHAR(10),'3.Plan de Estudios'!AE148,CHAR(10),'3.Plan de Estudios'!AG148,CHAR(10),'3.Plan de Estudios'!AI148))</f>
        <v xml:space="preserve">
</v>
      </c>
      <c r="Q125" s="431"/>
      <c r="R125" s="431"/>
      <c r="S125" s="431"/>
      <c r="T125" s="433" t="str">
        <f t="shared" ref="T125:T146" si="2">IF(OR(I125&lt;&gt;"-",K125&lt;&gt;"-"),"","No Aplica")</f>
        <v>No Aplica</v>
      </c>
    </row>
    <row r="126" spans="2:20" ht="24" customHeight="1">
      <c r="B126" s="425">
        <f>IF('3.Plan de Estudios'!B149="","",'3.Plan de Estudios'!B149)</f>
        <v>12</v>
      </c>
      <c r="C126" s="425" t="str">
        <f>IF('3.Plan de Estudios'!C149="","",'3.Plan de Estudios'!C149)</f>
        <v/>
      </c>
      <c r="D126" s="435" t="str">
        <f>IF('3.Plan de Estudios'!E149="","",'3.Plan de Estudios'!E149)</f>
        <v/>
      </c>
      <c r="E126" s="426" t="str">
        <f>'3.Plan de Estudios'!I149</f>
        <v/>
      </c>
      <c r="F126" s="426" t="str">
        <f>IF('3.Plan de Estudios'!J149=0,"-",'3.Plan de Estudios'!J149)</f>
        <v>-</v>
      </c>
      <c r="G126" s="427" t="str">
        <f>IF('3.Plan de Estudios'!K149=0,"-",'3.Plan de Estudios'!K149)</f>
        <v>-</v>
      </c>
      <c r="H126" s="426" t="str">
        <f>IF('3.Plan de Estudios'!L149=0,"-",'3.Plan de Estudios'!L149)</f>
        <v>-</v>
      </c>
      <c r="I126" s="428" t="str">
        <f>IF('3.Plan de Estudios'!M149=0,"-",'3.Plan de Estudios'!M149)</f>
        <v>-</v>
      </c>
      <c r="J126" s="427" t="str">
        <f>IF('3.Plan de Estudios'!N149=0,"-",'3.Plan de Estudios'!N149)</f>
        <v>-</v>
      </c>
      <c r="K126" s="428" t="str">
        <f>IF('3.Plan de Estudios'!O149=0,"-",'3.Plan de Estudios'!O149)</f>
        <v>-</v>
      </c>
      <c r="L126" s="429" t="str">
        <f>IF('3.Plan de Estudios'!P149=0,"-",'3.Plan de Estudios'!P149)</f>
        <v>-</v>
      </c>
      <c r="M126" s="430" t="str">
        <f>IF('7.Sumillas'!G127=0,"",'7.Sumillas'!G127)</f>
        <v/>
      </c>
      <c r="N126" s="431"/>
      <c r="O126" s="431"/>
      <c r="P126" s="432" t="str">
        <f>CONCATENATE(CHAR(10),CONCATENATE('3.Plan de Estudios'!AA149,CHAR(10),'3.Plan de Estudios'!AC149,CHAR(10),'3.Plan de Estudios'!AE149,CHAR(10),'3.Plan de Estudios'!AG149,CHAR(10),'3.Plan de Estudios'!AI149))</f>
        <v xml:space="preserve">
</v>
      </c>
      <c r="Q126" s="431"/>
      <c r="R126" s="431"/>
      <c r="S126" s="431"/>
      <c r="T126" s="433" t="str">
        <f t="shared" si="2"/>
        <v>No Aplica</v>
      </c>
    </row>
    <row r="127" spans="2:20" ht="24" customHeight="1">
      <c r="B127" s="425">
        <f>IF('3.Plan de Estudios'!B151="","",'3.Plan de Estudios'!B151)</f>
        <v>13</v>
      </c>
      <c r="C127" s="425" t="str">
        <f>IF('3.Plan de Estudios'!C151="","",'3.Plan de Estudios'!C151)</f>
        <v/>
      </c>
      <c r="D127" s="435" t="str">
        <f>IF('3.Plan de Estudios'!E151="","",'3.Plan de Estudios'!E151)</f>
        <v/>
      </c>
      <c r="E127" s="426" t="str">
        <f>'3.Plan de Estudios'!I151</f>
        <v/>
      </c>
      <c r="F127" s="426" t="str">
        <f>IF('3.Plan de Estudios'!J151=0,"-",'3.Plan de Estudios'!J151)</f>
        <v>-</v>
      </c>
      <c r="G127" s="427" t="str">
        <f>IF('3.Plan de Estudios'!K151=0,"-",'3.Plan de Estudios'!K151)</f>
        <v>-</v>
      </c>
      <c r="H127" s="426" t="str">
        <f>IF('3.Plan de Estudios'!L151=0,"-",'3.Plan de Estudios'!L151)</f>
        <v>-</v>
      </c>
      <c r="I127" s="428" t="str">
        <f>IF('3.Plan de Estudios'!M151=0,"-",'3.Plan de Estudios'!M151)</f>
        <v>-</v>
      </c>
      <c r="J127" s="427" t="str">
        <f>IF('3.Plan de Estudios'!N151=0,"-",'3.Plan de Estudios'!N151)</f>
        <v>-</v>
      </c>
      <c r="K127" s="428" t="str">
        <f>IF('3.Plan de Estudios'!O151=0,"-",'3.Plan de Estudios'!O151)</f>
        <v>-</v>
      </c>
      <c r="L127" s="429" t="str">
        <f>IF('3.Plan de Estudios'!P151=0,"-",'3.Plan de Estudios'!P151)</f>
        <v>-</v>
      </c>
      <c r="M127" s="430" t="str">
        <f>IF('7.Sumillas'!G128=0,"",'7.Sumillas'!G128)</f>
        <v/>
      </c>
      <c r="N127" s="431"/>
      <c r="O127" s="431"/>
      <c r="P127" s="432" t="str">
        <f>CONCATENATE(CHAR(10),CONCATENATE('3.Plan de Estudios'!AA151,CHAR(10),'3.Plan de Estudios'!AC151,CHAR(10),'3.Plan de Estudios'!AE151,CHAR(10),'3.Plan de Estudios'!AG151,CHAR(10),'3.Plan de Estudios'!AI151))</f>
        <v xml:space="preserve">
</v>
      </c>
      <c r="Q127" s="431"/>
      <c r="R127" s="431"/>
      <c r="S127" s="431"/>
      <c r="T127" s="433" t="str">
        <f t="shared" si="2"/>
        <v>No Aplica</v>
      </c>
    </row>
    <row r="128" spans="2:20" ht="24" customHeight="1">
      <c r="B128" s="425">
        <f>IF('3.Plan de Estudios'!B152="","",'3.Plan de Estudios'!B152)</f>
        <v>13</v>
      </c>
      <c r="C128" s="425" t="str">
        <f>IF('3.Plan de Estudios'!C152="","",'3.Plan de Estudios'!C152)</f>
        <v/>
      </c>
      <c r="D128" s="435" t="str">
        <f>IF('3.Plan de Estudios'!E152="","",'3.Plan de Estudios'!E152)</f>
        <v/>
      </c>
      <c r="E128" s="426" t="str">
        <f>'3.Plan de Estudios'!I152</f>
        <v/>
      </c>
      <c r="F128" s="426" t="str">
        <f>IF('3.Plan de Estudios'!J152=0,"-",'3.Plan de Estudios'!J152)</f>
        <v>-</v>
      </c>
      <c r="G128" s="427" t="str">
        <f>IF('3.Plan de Estudios'!K152=0,"-",'3.Plan de Estudios'!K152)</f>
        <v>-</v>
      </c>
      <c r="H128" s="426" t="str">
        <f>IF('3.Plan de Estudios'!L152=0,"-",'3.Plan de Estudios'!L152)</f>
        <v>-</v>
      </c>
      <c r="I128" s="428" t="str">
        <f>IF('3.Plan de Estudios'!M152=0,"-",'3.Plan de Estudios'!M152)</f>
        <v>-</v>
      </c>
      <c r="J128" s="427" t="str">
        <f>IF('3.Plan de Estudios'!N152=0,"-",'3.Plan de Estudios'!N152)</f>
        <v>-</v>
      </c>
      <c r="K128" s="428" t="str">
        <f>IF('3.Plan de Estudios'!O152=0,"-",'3.Plan de Estudios'!O152)</f>
        <v>-</v>
      </c>
      <c r="L128" s="429" t="str">
        <f>IF('3.Plan de Estudios'!P152=0,"-",'3.Plan de Estudios'!P152)</f>
        <v>-</v>
      </c>
      <c r="M128" s="430" t="str">
        <f>IF('7.Sumillas'!G129=0,"",'7.Sumillas'!G129)</f>
        <v/>
      </c>
      <c r="N128" s="431"/>
      <c r="O128" s="431"/>
      <c r="P128" s="432" t="str">
        <f>CONCATENATE(CHAR(10),CONCATENATE('3.Plan de Estudios'!AA152,CHAR(10),'3.Plan de Estudios'!AC152,CHAR(10),'3.Plan de Estudios'!AE152,CHAR(10),'3.Plan de Estudios'!AG152,CHAR(10),'3.Plan de Estudios'!AI152))</f>
        <v xml:space="preserve">
</v>
      </c>
      <c r="Q128" s="431"/>
      <c r="R128" s="431"/>
      <c r="S128" s="431"/>
      <c r="T128" s="433" t="str">
        <f t="shared" si="2"/>
        <v>No Aplica</v>
      </c>
    </row>
    <row r="129" spans="2:20" ht="24" customHeight="1">
      <c r="B129" s="425">
        <f>IF('3.Plan de Estudios'!B153="","",'3.Plan de Estudios'!B153)</f>
        <v>13</v>
      </c>
      <c r="C129" s="425" t="str">
        <f>IF('3.Plan de Estudios'!C153="","",'3.Plan de Estudios'!C153)</f>
        <v/>
      </c>
      <c r="D129" s="435" t="str">
        <f>IF('3.Plan de Estudios'!E153="","",'3.Plan de Estudios'!E153)</f>
        <v/>
      </c>
      <c r="E129" s="426" t="str">
        <f>'3.Plan de Estudios'!I153</f>
        <v/>
      </c>
      <c r="F129" s="426" t="str">
        <f>IF('3.Plan de Estudios'!J153=0,"-",'3.Plan de Estudios'!J153)</f>
        <v>-</v>
      </c>
      <c r="G129" s="427" t="str">
        <f>IF('3.Plan de Estudios'!K153=0,"-",'3.Plan de Estudios'!K153)</f>
        <v>-</v>
      </c>
      <c r="H129" s="426" t="str">
        <f>IF('3.Plan de Estudios'!L153=0,"-",'3.Plan de Estudios'!L153)</f>
        <v>-</v>
      </c>
      <c r="I129" s="428" t="str">
        <f>IF('3.Plan de Estudios'!M153=0,"-",'3.Plan de Estudios'!M153)</f>
        <v>-</v>
      </c>
      <c r="J129" s="427" t="str">
        <f>IF('3.Plan de Estudios'!N153=0,"-",'3.Plan de Estudios'!N153)</f>
        <v>-</v>
      </c>
      <c r="K129" s="428" t="str">
        <f>IF('3.Plan de Estudios'!O153=0,"-",'3.Plan de Estudios'!O153)</f>
        <v>-</v>
      </c>
      <c r="L129" s="429" t="str">
        <f>IF('3.Plan de Estudios'!P153=0,"-",'3.Plan de Estudios'!P153)</f>
        <v>-</v>
      </c>
      <c r="M129" s="430" t="str">
        <f>IF('7.Sumillas'!G130=0,"",'7.Sumillas'!G130)</f>
        <v/>
      </c>
      <c r="N129" s="431"/>
      <c r="O129" s="431"/>
      <c r="P129" s="432" t="str">
        <f>CONCATENATE(CHAR(10),CONCATENATE('3.Plan de Estudios'!AA153,CHAR(10),'3.Plan de Estudios'!AC153,CHAR(10),'3.Plan de Estudios'!AE153,CHAR(10),'3.Plan de Estudios'!AG153,CHAR(10),'3.Plan de Estudios'!AI153))</f>
        <v xml:space="preserve">
</v>
      </c>
      <c r="Q129" s="431"/>
      <c r="R129" s="431"/>
      <c r="S129" s="431"/>
      <c r="T129" s="433" t="str">
        <f t="shared" si="2"/>
        <v>No Aplica</v>
      </c>
    </row>
    <row r="130" spans="2:20" ht="24" customHeight="1">
      <c r="B130" s="425">
        <f>IF('3.Plan de Estudios'!B154="","",'3.Plan de Estudios'!B154)</f>
        <v>13</v>
      </c>
      <c r="C130" s="425" t="str">
        <f>IF('3.Plan de Estudios'!C154="","",'3.Plan de Estudios'!C154)</f>
        <v/>
      </c>
      <c r="D130" s="435" t="str">
        <f>IF('3.Plan de Estudios'!E154="","",'3.Plan de Estudios'!E154)</f>
        <v/>
      </c>
      <c r="E130" s="426" t="str">
        <f>'3.Plan de Estudios'!I154</f>
        <v/>
      </c>
      <c r="F130" s="426" t="str">
        <f>IF('3.Plan de Estudios'!J154=0,"-",'3.Plan de Estudios'!J154)</f>
        <v>-</v>
      </c>
      <c r="G130" s="427" t="str">
        <f>IF('3.Plan de Estudios'!K154=0,"-",'3.Plan de Estudios'!K154)</f>
        <v>-</v>
      </c>
      <c r="H130" s="426" t="str">
        <f>IF('3.Plan de Estudios'!L154=0,"-",'3.Plan de Estudios'!L154)</f>
        <v>-</v>
      </c>
      <c r="I130" s="428" t="str">
        <f>IF('3.Plan de Estudios'!M154=0,"-",'3.Plan de Estudios'!M154)</f>
        <v>-</v>
      </c>
      <c r="J130" s="427" t="str">
        <f>IF('3.Plan de Estudios'!N154=0,"-",'3.Plan de Estudios'!N154)</f>
        <v>-</v>
      </c>
      <c r="K130" s="428" t="str">
        <f>IF('3.Plan de Estudios'!O154=0,"-",'3.Plan de Estudios'!O154)</f>
        <v>-</v>
      </c>
      <c r="L130" s="429" t="str">
        <f>IF('3.Plan de Estudios'!P154=0,"-",'3.Plan de Estudios'!P154)</f>
        <v>-</v>
      </c>
      <c r="M130" s="430" t="str">
        <f>IF('7.Sumillas'!G131=0,"",'7.Sumillas'!G131)</f>
        <v/>
      </c>
      <c r="N130" s="431"/>
      <c r="O130" s="431"/>
      <c r="P130" s="432" t="str">
        <f>CONCATENATE(CHAR(10),CONCATENATE('3.Plan de Estudios'!AA154,CHAR(10),'3.Plan de Estudios'!AC154,CHAR(10),'3.Plan de Estudios'!AE154,CHAR(10),'3.Plan de Estudios'!AG154,CHAR(10),'3.Plan de Estudios'!AI154))</f>
        <v xml:space="preserve">
</v>
      </c>
      <c r="Q130" s="431"/>
      <c r="R130" s="431"/>
      <c r="S130" s="431"/>
      <c r="T130" s="433" t="str">
        <f t="shared" si="2"/>
        <v>No Aplica</v>
      </c>
    </row>
    <row r="131" spans="2:20" ht="24" customHeight="1">
      <c r="B131" s="425">
        <f>IF('3.Plan de Estudios'!B155="","",'3.Plan de Estudios'!B155)</f>
        <v>13</v>
      </c>
      <c r="C131" s="425" t="str">
        <f>IF('3.Plan de Estudios'!C155="","",'3.Plan de Estudios'!C155)</f>
        <v/>
      </c>
      <c r="D131" s="435" t="str">
        <f>IF('3.Plan de Estudios'!E155="","",'3.Plan de Estudios'!E155)</f>
        <v/>
      </c>
      <c r="E131" s="426" t="str">
        <f>'3.Plan de Estudios'!I155</f>
        <v/>
      </c>
      <c r="F131" s="426" t="str">
        <f>IF('3.Plan de Estudios'!J155=0,"-",'3.Plan de Estudios'!J155)</f>
        <v>-</v>
      </c>
      <c r="G131" s="427" t="str">
        <f>IF('3.Plan de Estudios'!K155=0,"-",'3.Plan de Estudios'!K155)</f>
        <v>-</v>
      </c>
      <c r="H131" s="426" t="str">
        <f>IF('3.Plan de Estudios'!L155=0,"-",'3.Plan de Estudios'!L155)</f>
        <v>-</v>
      </c>
      <c r="I131" s="428" t="str">
        <f>IF('3.Plan de Estudios'!M155=0,"-",'3.Plan de Estudios'!M155)</f>
        <v>-</v>
      </c>
      <c r="J131" s="427" t="str">
        <f>IF('3.Plan de Estudios'!N155=0,"-",'3.Plan de Estudios'!N155)</f>
        <v>-</v>
      </c>
      <c r="K131" s="428" t="str">
        <f>IF('3.Plan de Estudios'!O155=0,"-",'3.Plan de Estudios'!O155)</f>
        <v>-</v>
      </c>
      <c r="L131" s="429" t="str">
        <f>IF('3.Plan de Estudios'!P155=0,"-",'3.Plan de Estudios'!P155)</f>
        <v>-</v>
      </c>
      <c r="M131" s="430" t="str">
        <f>IF('7.Sumillas'!G132=0,"",'7.Sumillas'!G132)</f>
        <v/>
      </c>
      <c r="N131" s="431"/>
      <c r="O131" s="431"/>
      <c r="P131" s="432" t="str">
        <f>CONCATENATE(CHAR(10),CONCATENATE('3.Plan de Estudios'!AA155,CHAR(10),'3.Plan de Estudios'!AC155,CHAR(10),'3.Plan de Estudios'!AE155,CHAR(10),'3.Plan de Estudios'!AG155,CHAR(10),'3.Plan de Estudios'!AI155))</f>
        <v xml:space="preserve">
</v>
      </c>
      <c r="Q131" s="431"/>
      <c r="R131" s="431"/>
      <c r="S131" s="431"/>
      <c r="T131" s="433" t="str">
        <f t="shared" si="2"/>
        <v>No Aplica</v>
      </c>
    </row>
    <row r="132" spans="2:20" ht="24" customHeight="1">
      <c r="B132" s="425">
        <f>IF('3.Plan de Estudios'!B156="","",'3.Plan de Estudios'!B156)</f>
        <v>13</v>
      </c>
      <c r="C132" s="425" t="str">
        <f>IF('3.Plan de Estudios'!C156="","",'3.Plan de Estudios'!C156)</f>
        <v/>
      </c>
      <c r="D132" s="435" t="str">
        <f>IF('3.Plan de Estudios'!E156="","",'3.Plan de Estudios'!E156)</f>
        <v/>
      </c>
      <c r="E132" s="426" t="str">
        <f>'3.Plan de Estudios'!I156</f>
        <v/>
      </c>
      <c r="F132" s="426" t="str">
        <f>IF('3.Plan de Estudios'!J156=0,"-",'3.Plan de Estudios'!J156)</f>
        <v>-</v>
      </c>
      <c r="G132" s="427" t="str">
        <f>IF('3.Plan de Estudios'!K156=0,"-",'3.Plan de Estudios'!K156)</f>
        <v>-</v>
      </c>
      <c r="H132" s="426" t="str">
        <f>IF('3.Plan de Estudios'!L156=0,"-",'3.Plan de Estudios'!L156)</f>
        <v>-</v>
      </c>
      <c r="I132" s="428" t="str">
        <f>IF('3.Plan de Estudios'!M156=0,"-",'3.Plan de Estudios'!M156)</f>
        <v>-</v>
      </c>
      <c r="J132" s="427" t="str">
        <f>IF('3.Plan de Estudios'!N156=0,"-",'3.Plan de Estudios'!N156)</f>
        <v>-</v>
      </c>
      <c r="K132" s="428" t="str">
        <f>IF('3.Plan de Estudios'!O156=0,"-",'3.Plan de Estudios'!O156)</f>
        <v>-</v>
      </c>
      <c r="L132" s="429" t="str">
        <f>IF('3.Plan de Estudios'!P156=0,"-",'3.Plan de Estudios'!P156)</f>
        <v>-</v>
      </c>
      <c r="M132" s="430" t="str">
        <f>IF('7.Sumillas'!G133=0,"",'7.Sumillas'!G133)</f>
        <v/>
      </c>
      <c r="N132" s="431"/>
      <c r="O132" s="431"/>
      <c r="P132" s="432" t="str">
        <f>CONCATENATE(CHAR(10),CONCATENATE('3.Plan de Estudios'!AA156,CHAR(10),'3.Plan de Estudios'!AC156,CHAR(10),'3.Plan de Estudios'!AE156,CHAR(10),'3.Plan de Estudios'!AG156,CHAR(10),'3.Plan de Estudios'!AI156))</f>
        <v xml:space="preserve">
</v>
      </c>
      <c r="Q132" s="431"/>
      <c r="R132" s="431"/>
      <c r="S132" s="431"/>
      <c r="T132" s="433" t="str">
        <f t="shared" si="2"/>
        <v>No Aplica</v>
      </c>
    </row>
    <row r="133" spans="2:20" ht="24" customHeight="1">
      <c r="B133" s="425">
        <f>IF('3.Plan de Estudios'!B157="","",'3.Plan de Estudios'!B157)</f>
        <v>13</v>
      </c>
      <c r="C133" s="425" t="str">
        <f>IF('3.Plan de Estudios'!C157="","",'3.Plan de Estudios'!C157)</f>
        <v/>
      </c>
      <c r="D133" s="435" t="str">
        <f>IF('3.Plan de Estudios'!E157="","",'3.Plan de Estudios'!E157)</f>
        <v/>
      </c>
      <c r="E133" s="426" t="str">
        <f>'3.Plan de Estudios'!I157</f>
        <v/>
      </c>
      <c r="F133" s="426" t="str">
        <f>IF('3.Plan de Estudios'!J157=0,"-",'3.Plan de Estudios'!J157)</f>
        <v>-</v>
      </c>
      <c r="G133" s="427" t="str">
        <f>IF('3.Plan de Estudios'!K157=0,"-",'3.Plan de Estudios'!K157)</f>
        <v>-</v>
      </c>
      <c r="H133" s="426" t="str">
        <f>IF('3.Plan de Estudios'!L157=0,"-",'3.Plan de Estudios'!L157)</f>
        <v>-</v>
      </c>
      <c r="I133" s="428" t="str">
        <f>IF('3.Plan de Estudios'!M157=0,"-",'3.Plan de Estudios'!M157)</f>
        <v>-</v>
      </c>
      <c r="J133" s="427" t="str">
        <f>IF('3.Plan de Estudios'!N157=0,"-",'3.Plan de Estudios'!N157)</f>
        <v>-</v>
      </c>
      <c r="K133" s="428" t="str">
        <f>IF('3.Plan de Estudios'!O157=0,"-",'3.Plan de Estudios'!O157)</f>
        <v>-</v>
      </c>
      <c r="L133" s="429" t="str">
        <f>IF('3.Plan de Estudios'!P157=0,"-",'3.Plan de Estudios'!P157)</f>
        <v>-</v>
      </c>
      <c r="M133" s="430" t="str">
        <f>IF('7.Sumillas'!G134=0,"",'7.Sumillas'!G134)</f>
        <v/>
      </c>
      <c r="N133" s="431"/>
      <c r="O133" s="431"/>
      <c r="P133" s="432" t="str">
        <f>CONCATENATE(CHAR(10),CONCATENATE('3.Plan de Estudios'!AA157,CHAR(10),'3.Plan de Estudios'!AC157,CHAR(10),'3.Plan de Estudios'!AE157,CHAR(10),'3.Plan de Estudios'!AG157,CHAR(10),'3.Plan de Estudios'!AI157))</f>
        <v xml:space="preserve">
</v>
      </c>
      <c r="Q133" s="431"/>
      <c r="R133" s="431"/>
      <c r="S133" s="431"/>
      <c r="T133" s="433" t="str">
        <f t="shared" si="2"/>
        <v>No Aplica</v>
      </c>
    </row>
    <row r="134" spans="2:20" ht="24" customHeight="1">
      <c r="B134" s="425">
        <f>IF('3.Plan de Estudios'!B158="","",'3.Plan de Estudios'!B158)</f>
        <v>13</v>
      </c>
      <c r="C134" s="425" t="str">
        <f>IF('3.Plan de Estudios'!C158="","",'3.Plan de Estudios'!C158)</f>
        <v/>
      </c>
      <c r="D134" s="435" t="str">
        <f>IF('3.Plan de Estudios'!E158="","",'3.Plan de Estudios'!E158)</f>
        <v/>
      </c>
      <c r="E134" s="426" t="str">
        <f>'3.Plan de Estudios'!I158</f>
        <v/>
      </c>
      <c r="F134" s="426" t="str">
        <f>IF('3.Plan de Estudios'!J158=0,"-",'3.Plan de Estudios'!J158)</f>
        <v>-</v>
      </c>
      <c r="G134" s="427" t="str">
        <f>IF('3.Plan de Estudios'!K158=0,"-",'3.Plan de Estudios'!K158)</f>
        <v>-</v>
      </c>
      <c r="H134" s="426" t="str">
        <f>IF('3.Plan de Estudios'!L158=0,"-",'3.Plan de Estudios'!L158)</f>
        <v>-</v>
      </c>
      <c r="I134" s="428" t="str">
        <f>IF('3.Plan de Estudios'!M158=0,"-",'3.Plan de Estudios'!M158)</f>
        <v>-</v>
      </c>
      <c r="J134" s="427" t="str">
        <f>IF('3.Plan de Estudios'!N158=0,"-",'3.Plan de Estudios'!N158)</f>
        <v>-</v>
      </c>
      <c r="K134" s="428" t="str">
        <f>IF('3.Plan de Estudios'!O158=0,"-",'3.Plan de Estudios'!O158)</f>
        <v>-</v>
      </c>
      <c r="L134" s="429" t="str">
        <f>IF('3.Plan de Estudios'!P158=0,"-",'3.Plan de Estudios'!P158)</f>
        <v>-</v>
      </c>
      <c r="M134" s="430" t="str">
        <f>IF('7.Sumillas'!G135=0,"",'7.Sumillas'!G135)</f>
        <v/>
      </c>
      <c r="N134" s="431"/>
      <c r="O134" s="431"/>
      <c r="P134" s="432" t="str">
        <f>CONCATENATE(CHAR(10),CONCATENATE('3.Plan de Estudios'!AA158,CHAR(10),'3.Plan de Estudios'!AC158,CHAR(10),'3.Plan de Estudios'!AE158,CHAR(10),'3.Plan de Estudios'!AG158,CHAR(10),'3.Plan de Estudios'!AI158))</f>
        <v xml:space="preserve">
</v>
      </c>
      <c r="Q134" s="431"/>
      <c r="R134" s="431"/>
      <c r="S134" s="431"/>
      <c r="T134" s="433" t="str">
        <f t="shared" si="2"/>
        <v>No Aplica</v>
      </c>
    </row>
    <row r="135" spans="2:20" ht="24" customHeight="1">
      <c r="B135" s="425">
        <f>IF('3.Plan de Estudios'!B159="","",'3.Plan de Estudios'!B159)</f>
        <v>13</v>
      </c>
      <c r="C135" s="425" t="str">
        <f>IF('3.Plan de Estudios'!C159="","",'3.Plan de Estudios'!C159)</f>
        <v/>
      </c>
      <c r="D135" s="435" t="str">
        <f>IF('3.Plan de Estudios'!E159="","",'3.Plan de Estudios'!E159)</f>
        <v/>
      </c>
      <c r="E135" s="426" t="str">
        <f>'3.Plan de Estudios'!I159</f>
        <v/>
      </c>
      <c r="F135" s="426" t="str">
        <f>IF('3.Plan de Estudios'!J159=0,"-",'3.Plan de Estudios'!J159)</f>
        <v>-</v>
      </c>
      <c r="G135" s="427" t="str">
        <f>IF('3.Plan de Estudios'!K159=0,"-",'3.Plan de Estudios'!K159)</f>
        <v>-</v>
      </c>
      <c r="H135" s="426" t="str">
        <f>IF('3.Plan de Estudios'!L159=0,"-",'3.Plan de Estudios'!L159)</f>
        <v>-</v>
      </c>
      <c r="I135" s="428" t="str">
        <f>IF('3.Plan de Estudios'!M159=0,"-",'3.Plan de Estudios'!M159)</f>
        <v>-</v>
      </c>
      <c r="J135" s="427" t="str">
        <f>IF('3.Plan de Estudios'!N159=0,"-",'3.Plan de Estudios'!N159)</f>
        <v>-</v>
      </c>
      <c r="K135" s="428" t="str">
        <f>IF('3.Plan de Estudios'!O159=0,"-",'3.Plan de Estudios'!O159)</f>
        <v>-</v>
      </c>
      <c r="L135" s="429" t="str">
        <f>IF('3.Plan de Estudios'!P159=0,"-",'3.Plan de Estudios'!P159)</f>
        <v>-</v>
      </c>
      <c r="M135" s="430" t="str">
        <f>IF('7.Sumillas'!G136=0,"",'7.Sumillas'!G136)</f>
        <v/>
      </c>
      <c r="N135" s="431"/>
      <c r="O135" s="431"/>
      <c r="P135" s="432" t="str">
        <f>CONCATENATE(CHAR(10),CONCATENATE('3.Plan de Estudios'!AA159,CHAR(10),'3.Plan de Estudios'!AC159,CHAR(10),'3.Plan de Estudios'!AE159,CHAR(10),'3.Plan de Estudios'!AG159,CHAR(10),'3.Plan de Estudios'!AI159))</f>
        <v xml:space="preserve">
</v>
      </c>
      <c r="Q135" s="431"/>
      <c r="R135" s="431"/>
      <c r="S135" s="431"/>
      <c r="T135" s="433" t="str">
        <f t="shared" si="2"/>
        <v>No Aplica</v>
      </c>
    </row>
    <row r="136" spans="2:20" ht="24" customHeight="1">
      <c r="B136" s="425">
        <f>IF('3.Plan de Estudios'!B160="","",'3.Plan de Estudios'!B160)</f>
        <v>13</v>
      </c>
      <c r="C136" s="425" t="str">
        <f>IF('3.Plan de Estudios'!C160="","",'3.Plan de Estudios'!C160)</f>
        <v/>
      </c>
      <c r="D136" s="435" t="str">
        <f>IF('3.Plan de Estudios'!E160="","",'3.Plan de Estudios'!E160)</f>
        <v/>
      </c>
      <c r="E136" s="426" t="str">
        <f>'3.Plan de Estudios'!I160</f>
        <v/>
      </c>
      <c r="F136" s="426" t="str">
        <f>IF('3.Plan de Estudios'!J160=0,"-",'3.Plan de Estudios'!J160)</f>
        <v>-</v>
      </c>
      <c r="G136" s="427" t="str">
        <f>IF('3.Plan de Estudios'!K160=0,"-",'3.Plan de Estudios'!K160)</f>
        <v>-</v>
      </c>
      <c r="H136" s="426" t="str">
        <f>IF('3.Plan de Estudios'!L160=0,"-",'3.Plan de Estudios'!L160)</f>
        <v>-</v>
      </c>
      <c r="I136" s="428" t="str">
        <f>IF('3.Plan de Estudios'!M160=0,"-",'3.Plan de Estudios'!M160)</f>
        <v>-</v>
      </c>
      <c r="J136" s="427" t="str">
        <f>IF('3.Plan de Estudios'!N160=0,"-",'3.Plan de Estudios'!N160)</f>
        <v>-</v>
      </c>
      <c r="K136" s="428" t="str">
        <f>IF('3.Plan de Estudios'!O160=0,"-",'3.Plan de Estudios'!O160)</f>
        <v>-</v>
      </c>
      <c r="L136" s="429" t="str">
        <f>IF('3.Plan de Estudios'!P160=0,"-",'3.Plan de Estudios'!P160)</f>
        <v>-</v>
      </c>
      <c r="M136" s="430" t="str">
        <f>IF('7.Sumillas'!G137=0,"",'7.Sumillas'!G137)</f>
        <v/>
      </c>
      <c r="N136" s="431"/>
      <c r="O136" s="431"/>
      <c r="P136" s="432" t="str">
        <f>CONCATENATE(CHAR(10),CONCATENATE('3.Plan de Estudios'!AA160,CHAR(10),'3.Plan de Estudios'!AC160,CHAR(10),'3.Plan de Estudios'!AE160,CHAR(10),'3.Plan de Estudios'!AG160,CHAR(10),'3.Plan de Estudios'!AI160))</f>
        <v xml:space="preserve">
</v>
      </c>
      <c r="Q136" s="431"/>
      <c r="R136" s="431"/>
      <c r="S136" s="431"/>
      <c r="T136" s="433" t="str">
        <f t="shared" si="2"/>
        <v>No Aplica</v>
      </c>
    </row>
    <row r="137" spans="2:20" ht="24" customHeight="1">
      <c r="B137" s="425">
        <f>IF('3.Plan de Estudios'!B162="","",'3.Plan de Estudios'!B162)</f>
        <v>14</v>
      </c>
      <c r="C137" s="425" t="str">
        <f>IF('3.Plan de Estudios'!C162="","",'3.Plan de Estudios'!C162)</f>
        <v/>
      </c>
      <c r="D137" s="435" t="str">
        <f>IF('3.Plan de Estudios'!E162="","",'3.Plan de Estudios'!E162)</f>
        <v/>
      </c>
      <c r="E137" s="426" t="str">
        <f>'3.Plan de Estudios'!I162</f>
        <v/>
      </c>
      <c r="F137" s="426" t="str">
        <f>IF('3.Plan de Estudios'!J162=0,"-",'3.Plan de Estudios'!J162)</f>
        <v>-</v>
      </c>
      <c r="G137" s="427" t="str">
        <f>IF('3.Plan de Estudios'!K162=0,"-",'3.Plan de Estudios'!K162)</f>
        <v>-</v>
      </c>
      <c r="H137" s="426" t="str">
        <f>IF('3.Plan de Estudios'!L162=0,"-",'3.Plan de Estudios'!L162)</f>
        <v>-</v>
      </c>
      <c r="I137" s="428" t="str">
        <f>IF('3.Plan de Estudios'!M162=0,"-",'3.Plan de Estudios'!M162)</f>
        <v>-</v>
      </c>
      <c r="J137" s="427" t="str">
        <f>IF('3.Plan de Estudios'!N162=0,"-",'3.Plan de Estudios'!N162)</f>
        <v>-</v>
      </c>
      <c r="K137" s="428" t="str">
        <f>IF('3.Plan de Estudios'!O162=0,"-",'3.Plan de Estudios'!O162)</f>
        <v>-</v>
      </c>
      <c r="L137" s="429" t="str">
        <f>IF('3.Plan de Estudios'!P162=0,"-",'3.Plan de Estudios'!P162)</f>
        <v>-</v>
      </c>
      <c r="M137" s="430" t="str">
        <f>IF('7.Sumillas'!G138=0,"",'7.Sumillas'!G138)</f>
        <v/>
      </c>
      <c r="N137" s="431"/>
      <c r="O137" s="431"/>
      <c r="P137" s="432" t="str">
        <f>CONCATENATE(CHAR(10),CONCATENATE('3.Plan de Estudios'!AA162,CHAR(10),'3.Plan de Estudios'!AC162,CHAR(10),'3.Plan de Estudios'!AE162,CHAR(10),'3.Plan de Estudios'!AG162,CHAR(10),'3.Plan de Estudios'!AI162))</f>
        <v xml:space="preserve">
</v>
      </c>
      <c r="Q137" s="431"/>
      <c r="R137" s="431"/>
      <c r="S137" s="431"/>
      <c r="T137" s="433" t="str">
        <f t="shared" si="2"/>
        <v>No Aplica</v>
      </c>
    </row>
    <row r="138" spans="2:20" ht="24" customHeight="1">
      <c r="B138" s="425">
        <f>IF('3.Plan de Estudios'!B163="","",'3.Plan de Estudios'!B163)</f>
        <v>14</v>
      </c>
      <c r="C138" s="425" t="str">
        <f>IF('3.Plan de Estudios'!C163="","",'3.Plan de Estudios'!C163)</f>
        <v/>
      </c>
      <c r="D138" s="435" t="str">
        <f>IF('3.Plan de Estudios'!E163="","",'3.Plan de Estudios'!E163)</f>
        <v/>
      </c>
      <c r="E138" s="426" t="str">
        <f>'3.Plan de Estudios'!I163</f>
        <v/>
      </c>
      <c r="F138" s="426" t="str">
        <f>IF('3.Plan de Estudios'!J163=0,"-",'3.Plan de Estudios'!J163)</f>
        <v>-</v>
      </c>
      <c r="G138" s="427" t="str">
        <f>IF('3.Plan de Estudios'!K163=0,"-",'3.Plan de Estudios'!K163)</f>
        <v>-</v>
      </c>
      <c r="H138" s="426" t="str">
        <f>IF('3.Plan de Estudios'!L163=0,"-",'3.Plan de Estudios'!L163)</f>
        <v>-</v>
      </c>
      <c r="I138" s="428" t="str">
        <f>IF('3.Plan de Estudios'!M163=0,"-",'3.Plan de Estudios'!M163)</f>
        <v>-</v>
      </c>
      <c r="J138" s="427" t="str">
        <f>IF('3.Plan de Estudios'!N163=0,"-",'3.Plan de Estudios'!N163)</f>
        <v>-</v>
      </c>
      <c r="K138" s="428" t="str">
        <f>IF('3.Plan de Estudios'!O163=0,"-",'3.Plan de Estudios'!O163)</f>
        <v>-</v>
      </c>
      <c r="L138" s="429" t="str">
        <f>IF('3.Plan de Estudios'!P163=0,"-",'3.Plan de Estudios'!P163)</f>
        <v>-</v>
      </c>
      <c r="M138" s="430" t="str">
        <f>IF('7.Sumillas'!G139=0,"",'7.Sumillas'!G139)</f>
        <v/>
      </c>
      <c r="N138" s="431"/>
      <c r="O138" s="431"/>
      <c r="P138" s="432" t="str">
        <f>CONCATENATE(CHAR(10),CONCATENATE('3.Plan de Estudios'!AA163,CHAR(10),'3.Plan de Estudios'!AC163,CHAR(10),'3.Plan de Estudios'!AE163,CHAR(10),'3.Plan de Estudios'!AG163,CHAR(10),'3.Plan de Estudios'!AI163))</f>
        <v xml:space="preserve">
</v>
      </c>
      <c r="Q138" s="431"/>
      <c r="R138" s="431"/>
      <c r="S138" s="431"/>
      <c r="T138" s="433" t="str">
        <f t="shared" si="2"/>
        <v>No Aplica</v>
      </c>
    </row>
    <row r="139" spans="2:20" ht="24" customHeight="1">
      <c r="B139" s="425">
        <f>IF('3.Plan de Estudios'!B164="","",'3.Plan de Estudios'!B164)</f>
        <v>14</v>
      </c>
      <c r="C139" s="425" t="str">
        <f>IF('3.Plan de Estudios'!C164="","",'3.Plan de Estudios'!C164)</f>
        <v/>
      </c>
      <c r="D139" s="435" t="str">
        <f>IF('3.Plan de Estudios'!E164="","",'3.Plan de Estudios'!E164)</f>
        <v/>
      </c>
      <c r="E139" s="426" t="str">
        <f>'3.Plan de Estudios'!I164</f>
        <v/>
      </c>
      <c r="F139" s="426" t="str">
        <f>IF('3.Plan de Estudios'!J164=0,"-",'3.Plan de Estudios'!J164)</f>
        <v>-</v>
      </c>
      <c r="G139" s="427" t="str">
        <f>IF('3.Plan de Estudios'!K164=0,"-",'3.Plan de Estudios'!K164)</f>
        <v>-</v>
      </c>
      <c r="H139" s="426" t="str">
        <f>IF('3.Plan de Estudios'!L164=0,"-",'3.Plan de Estudios'!L164)</f>
        <v>-</v>
      </c>
      <c r="I139" s="428" t="str">
        <f>IF('3.Plan de Estudios'!M164=0,"-",'3.Plan de Estudios'!M164)</f>
        <v>-</v>
      </c>
      <c r="J139" s="427" t="str">
        <f>IF('3.Plan de Estudios'!N164=0,"-",'3.Plan de Estudios'!N164)</f>
        <v>-</v>
      </c>
      <c r="K139" s="428" t="str">
        <f>IF('3.Plan de Estudios'!O164=0,"-",'3.Plan de Estudios'!O164)</f>
        <v>-</v>
      </c>
      <c r="L139" s="429" t="str">
        <f>IF('3.Plan de Estudios'!P164=0,"-",'3.Plan de Estudios'!P164)</f>
        <v>-</v>
      </c>
      <c r="M139" s="430" t="str">
        <f>IF('7.Sumillas'!G140=0,"",'7.Sumillas'!G140)</f>
        <v/>
      </c>
      <c r="N139" s="431"/>
      <c r="O139" s="431"/>
      <c r="P139" s="432" t="str">
        <f>CONCATENATE(CHAR(10),CONCATENATE('3.Plan de Estudios'!AA164,CHAR(10),'3.Plan de Estudios'!AC164,CHAR(10),'3.Plan de Estudios'!AE164,CHAR(10),'3.Plan de Estudios'!AG164,CHAR(10),'3.Plan de Estudios'!AI164))</f>
        <v xml:space="preserve">
</v>
      </c>
      <c r="Q139" s="431"/>
      <c r="R139" s="431"/>
      <c r="S139" s="431"/>
      <c r="T139" s="433" t="str">
        <f t="shared" si="2"/>
        <v>No Aplica</v>
      </c>
    </row>
    <row r="140" spans="2:20" ht="24" customHeight="1">
      <c r="B140" s="425">
        <f>IF('3.Plan de Estudios'!B165="","",'3.Plan de Estudios'!B165)</f>
        <v>14</v>
      </c>
      <c r="C140" s="425" t="str">
        <f>IF('3.Plan de Estudios'!C165="","",'3.Plan de Estudios'!C165)</f>
        <v/>
      </c>
      <c r="D140" s="435" t="str">
        <f>IF('3.Plan de Estudios'!E165="","",'3.Plan de Estudios'!E165)</f>
        <v/>
      </c>
      <c r="E140" s="426" t="str">
        <f>'3.Plan de Estudios'!I165</f>
        <v/>
      </c>
      <c r="F140" s="426" t="str">
        <f>IF('3.Plan de Estudios'!J165=0,"-",'3.Plan de Estudios'!J165)</f>
        <v>-</v>
      </c>
      <c r="G140" s="427" t="str">
        <f>IF('3.Plan de Estudios'!K165=0,"-",'3.Plan de Estudios'!K165)</f>
        <v>-</v>
      </c>
      <c r="H140" s="426" t="str">
        <f>IF('3.Plan de Estudios'!L165=0,"-",'3.Plan de Estudios'!L165)</f>
        <v>-</v>
      </c>
      <c r="I140" s="428" t="str">
        <f>IF('3.Plan de Estudios'!M165=0,"-",'3.Plan de Estudios'!M165)</f>
        <v>-</v>
      </c>
      <c r="J140" s="427" t="str">
        <f>IF('3.Plan de Estudios'!N165=0,"-",'3.Plan de Estudios'!N165)</f>
        <v>-</v>
      </c>
      <c r="K140" s="428" t="str">
        <f>IF('3.Plan de Estudios'!O165=0,"-",'3.Plan de Estudios'!O165)</f>
        <v>-</v>
      </c>
      <c r="L140" s="429" t="str">
        <f>IF('3.Plan de Estudios'!P165=0,"-",'3.Plan de Estudios'!P165)</f>
        <v>-</v>
      </c>
      <c r="M140" s="430" t="str">
        <f>IF('7.Sumillas'!G141=0,"",'7.Sumillas'!G141)</f>
        <v/>
      </c>
      <c r="N140" s="431"/>
      <c r="O140" s="431"/>
      <c r="P140" s="432" t="str">
        <f>CONCATENATE(CHAR(10),CONCATENATE('3.Plan de Estudios'!AA165,CHAR(10),'3.Plan de Estudios'!AC165,CHAR(10),'3.Plan de Estudios'!AE165,CHAR(10),'3.Plan de Estudios'!AG165,CHAR(10),'3.Plan de Estudios'!AI165))</f>
        <v xml:space="preserve">
</v>
      </c>
      <c r="Q140" s="431"/>
      <c r="R140" s="431"/>
      <c r="S140" s="431"/>
      <c r="T140" s="433" t="str">
        <f t="shared" si="2"/>
        <v>No Aplica</v>
      </c>
    </row>
    <row r="141" spans="2:20" ht="24" customHeight="1">
      <c r="B141" s="425">
        <f>IF('3.Plan de Estudios'!B166="","",'3.Plan de Estudios'!B166)</f>
        <v>14</v>
      </c>
      <c r="C141" s="425" t="str">
        <f>IF('3.Plan de Estudios'!C166="","",'3.Plan de Estudios'!C166)</f>
        <v/>
      </c>
      <c r="D141" s="435" t="str">
        <f>IF('3.Plan de Estudios'!E166="","",'3.Plan de Estudios'!E166)</f>
        <v/>
      </c>
      <c r="E141" s="426" t="str">
        <f>'3.Plan de Estudios'!I166</f>
        <v/>
      </c>
      <c r="F141" s="426" t="str">
        <f>IF('3.Plan de Estudios'!J166=0,"-",'3.Plan de Estudios'!J166)</f>
        <v>-</v>
      </c>
      <c r="G141" s="427" t="str">
        <f>IF('3.Plan de Estudios'!K166=0,"-",'3.Plan de Estudios'!K166)</f>
        <v>-</v>
      </c>
      <c r="H141" s="426" t="str">
        <f>IF('3.Plan de Estudios'!L166=0,"-",'3.Plan de Estudios'!L166)</f>
        <v>-</v>
      </c>
      <c r="I141" s="428" t="str">
        <f>IF('3.Plan de Estudios'!M166=0,"-",'3.Plan de Estudios'!M166)</f>
        <v>-</v>
      </c>
      <c r="J141" s="427" t="str">
        <f>IF('3.Plan de Estudios'!N166=0,"-",'3.Plan de Estudios'!N166)</f>
        <v>-</v>
      </c>
      <c r="K141" s="428" t="str">
        <f>IF('3.Plan de Estudios'!O166=0,"-",'3.Plan de Estudios'!O166)</f>
        <v>-</v>
      </c>
      <c r="L141" s="429" t="str">
        <f>IF('3.Plan de Estudios'!P166=0,"-",'3.Plan de Estudios'!P166)</f>
        <v>-</v>
      </c>
      <c r="M141" s="430" t="str">
        <f>IF('7.Sumillas'!G142=0,"",'7.Sumillas'!G142)</f>
        <v/>
      </c>
      <c r="N141" s="431"/>
      <c r="O141" s="431"/>
      <c r="P141" s="432" t="str">
        <f>CONCATENATE(CHAR(10),CONCATENATE('3.Plan de Estudios'!AA166,CHAR(10),'3.Plan de Estudios'!AC166,CHAR(10),'3.Plan de Estudios'!AE166,CHAR(10),'3.Plan de Estudios'!AG166,CHAR(10),'3.Plan de Estudios'!AI166))</f>
        <v xml:space="preserve">
</v>
      </c>
      <c r="Q141" s="431"/>
      <c r="R141" s="431"/>
      <c r="S141" s="431"/>
      <c r="T141" s="433" t="str">
        <f t="shared" si="2"/>
        <v>No Aplica</v>
      </c>
    </row>
    <row r="142" spans="2:20" ht="24" customHeight="1">
      <c r="B142" s="425">
        <f>IF('3.Plan de Estudios'!B167="","",'3.Plan de Estudios'!B167)</f>
        <v>14</v>
      </c>
      <c r="C142" s="425" t="str">
        <f>IF('3.Plan de Estudios'!C167="","",'3.Plan de Estudios'!C167)</f>
        <v/>
      </c>
      <c r="D142" s="435" t="str">
        <f>IF('3.Plan de Estudios'!E167="","",'3.Plan de Estudios'!E167)</f>
        <v/>
      </c>
      <c r="E142" s="426" t="str">
        <f>'3.Plan de Estudios'!I167</f>
        <v/>
      </c>
      <c r="F142" s="426" t="str">
        <f>IF('3.Plan de Estudios'!J167=0,"-",'3.Plan de Estudios'!J167)</f>
        <v>-</v>
      </c>
      <c r="G142" s="427" t="str">
        <f>IF('3.Plan de Estudios'!K167=0,"-",'3.Plan de Estudios'!K167)</f>
        <v>-</v>
      </c>
      <c r="H142" s="426" t="str">
        <f>IF('3.Plan de Estudios'!L167=0,"-",'3.Plan de Estudios'!L167)</f>
        <v>-</v>
      </c>
      <c r="I142" s="428" t="str">
        <f>IF('3.Plan de Estudios'!M167=0,"-",'3.Plan de Estudios'!M167)</f>
        <v>-</v>
      </c>
      <c r="J142" s="427" t="str">
        <f>IF('3.Plan de Estudios'!N167=0,"-",'3.Plan de Estudios'!N167)</f>
        <v>-</v>
      </c>
      <c r="K142" s="428" t="str">
        <f>IF('3.Plan de Estudios'!O167=0,"-",'3.Plan de Estudios'!O167)</f>
        <v>-</v>
      </c>
      <c r="L142" s="429" t="str">
        <f>IF('3.Plan de Estudios'!P167=0,"-",'3.Plan de Estudios'!P167)</f>
        <v>-</v>
      </c>
      <c r="M142" s="430" t="str">
        <f>IF('7.Sumillas'!G143=0,"",'7.Sumillas'!G143)</f>
        <v/>
      </c>
      <c r="N142" s="431"/>
      <c r="O142" s="431"/>
      <c r="P142" s="432" t="str">
        <f>CONCATENATE(CHAR(10),CONCATENATE('3.Plan de Estudios'!AA167,CHAR(10),'3.Plan de Estudios'!AC167,CHAR(10),'3.Plan de Estudios'!AE167,CHAR(10),'3.Plan de Estudios'!AG167,CHAR(10),'3.Plan de Estudios'!AI167))</f>
        <v xml:space="preserve">
</v>
      </c>
      <c r="Q142" s="431"/>
      <c r="R142" s="431"/>
      <c r="S142" s="431"/>
      <c r="T142" s="433" t="str">
        <f t="shared" si="2"/>
        <v>No Aplica</v>
      </c>
    </row>
    <row r="143" spans="2:20" ht="24" customHeight="1">
      <c r="B143" s="425">
        <f>IF('3.Plan de Estudios'!B168="","",'3.Plan de Estudios'!B168)</f>
        <v>14</v>
      </c>
      <c r="C143" s="425" t="str">
        <f>IF('3.Plan de Estudios'!C168="","",'3.Plan de Estudios'!C168)</f>
        <v/>
      </c>
      <c r="D143" s="435" t="str">
        <f>IF('3.Plan de Estudios'!E168="","",'3.Plan de Estudios'!E168)</f>
        <v/>
      </c>
      <c r="E143" s="426" t="str">
        <f>'3.Plan de Estudios'!I168</f>
        <v/>
      </c>
      <c r="F143" s="426" t="str">
        <f>IF('3.Plan de Estudios'!J168=0,"-",'3.Plan de Estudios'!J168)</f>
        <v>-</v>
      </c>
      <c r="G143" s="427" t="str">
        <f>IF('3.Plan de Estudios'!K168=0,"-",'3.Plan de Estudios'!K168)</f>
        <v>-</v>
      </c>
      <c r="H143" s="426" t="str">
        <f>IF('3.Plan de Estudios'!L168=0,"-",'3.Plan de Estudios'!L168)</f>
        <v>-</v>
      </c>
      <c r="I143" s="428" t="str">
        <f>IF('3.Plan de Estudios'!M168=0,"-",'3.Plan de Estudios'!M168)</f>
        <v>-</v>
      </c>
      <c r="J143" s="427" t="str">
        <f>IF('3.Plan de Estudios'!N168=0,"-",'3.Plan de Estudios'!N168)</f>
        <v>-</v>
      </c>
      <c r="K143" s="428" t="str">
        <f>IF('3.Plan de Estudios'!O168=0,"-",'3.Plan de Estudios'!O168)</f>
        <v>-</v>
      </c>
      <c r="L143" s="429" t="str">
        <f>IF('3.Plan de Estudios'!P168=0,"-",'3.Plan de Estudios'!P168)</f>
        <v>-</v>
      </c>
      <c r="M143" s="430" t="str">
        <f>IF('7.Sumillas'!G144=0,"",'7.Sumillas'!G144)</f>
        <v/>
      </c>
      <c r="N143" s="431"/>
      <c r="O143" s="431"/>
      <c r="P143" s="432" t="str">
        <f>CONCATENATE(CHAR(10),CONCATENATE('3.Plan de Estudios'!AA168,CHAR(10),'3.Plan de Estudios'!AC168,CHAR(10),'3.Plan de Estudios'!AE168,CHAR(10),'3.Plan de Estudios'!AG168,CHAR(10),'3.Plan de Estudios'!AI168))</f>
        <v xml:space="preserve">
</v>
      </c>
      <c r="Q143" s="431"/>
      <c r="R143" s="431"/>
      <c r="S143" s="431"/>
      <c r="T143" s="433" t="str">
        <f t="shared" si="2"/>
        <v>No Aplica</v>
      </c>
    </row>
    <row r="144" spans="2:20" ht="24" customHeight="1">
      <c r="B144" s="425">
        <f>IF('3.Plan de Estudios'!B169="","",'3.Plan de Estudios'!B169)</f>
        <v>14</v>
      </c>
      <c r="C144" s="425" t="str">
        <f>IF('3.Plan de Estudios'!C169="","",'3.Plan de Estudios'!C169)</f>
        <v/>
      </c>
      <c r="D144" s="435" t="str">
        <f>IF('3.Plan de Estudios'!E169="","",'3.Plan de Estudios'!E169)</f>
        <v/>
      </c>
      <c r="E144" s="426" t="str">
        <f>'3.Plan de Estudios'!I169</f>
        <v/>
      </c>
      <c r="F144" s="426" t="str">
        <f>IF('3.Plan de Estudios'!J169=0,"-",'3.Plan de Estudios'!J169)</f>
        <v>-</v>
      </c>
      <c r="G144" s="427" t="str">
        <f>IF('3.Plan de Estudios'!K169=0,"-",'3.Plan de Estudios'!K169)</f>
        <v>-</v>
      </c>
      <c r="H144" s="426" t="str">
        <f>IF('3.Plan de Estudios'!L169=0,"-",'3.Plan de Estudios'!L169)</f>
        <v>-</v>
      </c>
      <c r="I144" s="428" t="str">
        <f>IF('3.Plan de Estudios'!M169=0,"-",'3.Plan de Estudios'!M169)</f>
        <v>-</v>
      </c>
      <c r="J144" s="427" t="str">
        <f>IF('3.Plan de Estudios'!N169=0,"-",'3.Plan de Estudios'!N169)</f>
        <v>-</v>
      </c>
      <c r="K144" s="428" t="str">
        <f>IF('3.Plan de Estudios'!O169=0,"-",'3.Plan de Estudios'!O169)</f>
        <v>-</v>
      </c>
      <c r="L144" s="429" t="str">
        <f>IF('3.Plan de Estudios'!P169=0,"-",'3.Plan de Estudios'!P169)</f>
        <v>-</v>
      </c>
      <c r="M144" s="430" t="str">
        <f>IF('7.Sumillas'!G145=0,"",'7.Sumillas'!G145)</f>
        <v/>
      </c>
      <c r="N144" s="431"/>
      <c r="O144" s="431"/>
      <c r="P144" s="432" t="str">
        <f>CONCATENATE(CHAR(10),CONCATENATE('3.Plan de Estudios'!AA169,CHAR(10),'3.Plan de Estudios'!AC169,CHAR(10),'3.Plan de Estudios'!AE169,CHAR(10),'3.Plan de Estudios'!AG169,CHAR(10),'3.Plan de Estudios'!AI169))</f>
        <v xml:space="preserve">
</v>
      </c>
      <c r="Q144" s="431"/>
      <c r="R144" s="431"/>
      <c r="S144" s="431"/>
      <c r="T144" s="433" t="str">
        <f t="shared" si="2"/>
        <v>No Aplica</v>
      </c>
    </row>
    <row r="145" spans="2:20" ht="24" customHeight="1">
      <c r="B145" s="425">
        <f>IF('3.Plan de Estudios'!B170="","",'3.Plan de Estudios'!B170)</f>
        <v>14</v>
      </c>
      <c r="C145" s="425" t="str">
        <f>IF('3.Plan de Estudios'!C170="","",'3.Plan de Estudios'!C170)</f>
        <v/>
      </c>
      <c r="D145" s="435" t="str">
        <f>IF('3.Plan de Estudios'!E170="","",'3.Plan de Estudios'!E170)</f>
        <v/>
      </c>
      <c r="E145" s="426" t="str">
        <f>'3.Plan de Estudios'!I170</f>
        <v/>
      </c>
      <c r="F145" s="426" t="str">
        <f>IF('3.Plan de Estudios'!J170=0,"-",'3.Plan de Estudios'!J170)</f>
        <v>-</v>
      </c>
      <c r="G145" s="427" t="str">
        <f>IF('3.Plan de Estudios'!K170=0,"-",'3.Plan de Estudios'!K170)</f>
        <v>-</v>
      </c>
      <c r="H145" s="426" t="str">
        <f>IF('3.Plan de Estudios'!L170=0,"-",'3.Plan de Estudios'!L170)</f>
        <v>-</v>
      </c>
      <c r="I145" s="428" t="str">
        <f>IF('3.Plan de Estudios'!M170=0,"-",'3.Plan de Estudios'!M170)</f>
        <v>-</v>
      </c>
      <c r="J145" s="427" t="str">
        <f>IF('3.Plan de Estudios'!N170=0,"-",'3.Plan de Estudios'!N170)</f>
        <v>-</v>
      </c>
      <c r="K145" s="428" t="str">
        <f>IF('3.Plan de Estudios'!O170=0,"-",'3.Plan de Estudios'!O170)</f>
        <v>-</v>
      </c>
      <c r="L145" s="429" t="str">
        <f>IF('3.Plan de Estudios'!P170=0,"-",'3.Plan de Estudios'!P170)</f>
        <v>-</v>
      </c>
      <c r="M145" s="430" t="str">
        <f>IF('7.Sumillas'!G146=0,"",'7.Sumillas'!G146)</f>
        <v/>
      </c>
      <c r="N145" s="431"/>
      <c r="O145" s="431"/>
      <c r="P145" s="432" t="str">
        <f>CONCATENATE(CHAR(10),CONCATENATE('3.Plan de Estudios'!AA170,CHAR(10),'3.Plan de Estudios'!AC170,CHAR(10),'3.Plan de Estudios'!AE170,CHAR(10),'3.Plan de Estudios'!AG170,CHAR(10),'3.Plan de Estudios'!AI170))</f>
        <v xml:space="preserve">
</v>
      </c>
      <c r="Q145" s="431"/>
      <c r="R145" s="431"/>
      <c r="S145" s="431"/>
      <c r="T145" s="433" t="str">
        <f t="shared" si="2"/>
        <v>No Aplica</v>
      </c>
    </row>
    <row r="146" spans="2:20" ht="24" customHeight="1">
      <c r="B146" s="425">
        <f>IF('3.Plan de Estudios'!B171="","",'3.Plan de Estudios'!B171)</f>
        <v>14</v>
      </c>
      <c r="C146" s="425" t="str">
        <f>IF('3.Plan de Estudios'!C171="","",'3.Plan de Estudios'!C171)</f>
        <v/>
      </c>
      <c r="D146" s="435" t="str">
        <f>IF('3.Plan de Estudios'!E171="","",'3.Plan de Estudios'!E171)</f>
        <v/>
      </c>
      <c r="E146" s="426" t="str">
        <f>'3.Plan de Estudios'!I171</f>
        <v/>
      </c>
      <c r="F146" s="426" t="str">
        <f>IF('3.Plan de Estudios'!J171=0,"-",'3.Plan de Estudios'!J171)</f>
        <v>-</v>
      </c>
      <c r="G146" s="427" t="str">
        <f>IF('3.Plan de Estudios'!K171=0,"-",'3.Plan de Estudios'!K171)</f>
        <v>-</v>
      </c>
      <c r="H146" s="426" t="str">
        <f>IF('3.Plan de Estudios'!L171=0,"-",'3.Plan de Estudios'!L171)</f>
        <v>-</v>
      </c>
      <c r="I146" s="428" t="str">
        <f>IF('3.Plan de Estudios'!M171=0,"-",'3.Plan de Estudios'!M171)</f>
        <v>-</v>
      </c>
      <c r="J146" s="427" t="str">
        <f>IF('3.Plan de Estudios'!N171=0,"-",'3.Plan de Estudios'!N171)</f>
        <v>-</v>
      </c>
      <c r="K146" s="428" t="str">
        <f>IF('3.Plan de Estudios'!O171=0,"-",'3.Plan de Estudios'!O171)</f>
        <v>-</v>
      </c>
      <c r="L146" s="429" t="str">
        <f>IF('3.Plan de Estudios'!P171=0,"-",'3.Plan de Estudios'!P171)</f>
        <v>-</v>
      </c>
      <c r="M146" s="430" t="str">
        <f>IF('7.Sumillas'!G147=0,"",'7.Sumillas'!G147)</f>
        <v/>
      </c>
      <c r="N146" s="431"/>
      <c r="O146" s="431"/>
      <c r="P146" s="432" t="str">
        <f>CONCATENATE(CHAR(10),CONCATENATE('3.Plan de Estudios'!AA171,CHAR(10),'3.Plan de Estudios'!AC171,CHAR(10),'3.Plan de Estudios'!AE171,CHAR(10),'3.Plan de Estudios'!AG171,CHAR(10),'3.Plan de Estudios'!AI171))</f>
        <v xml:space="preserve">
</v>
      </c>
      <c r="Q146" s="431"/>
      <c r="R146" s="431"/>
      <c r="S146" s="431"/>
      <c r="T146" s="433" t="str">
        <f t="shared" si="2"/>
        <v>No Aplica</v>
      </c>
    </row>
    <row r="147" spans="2:20" s="8" customFormat="1">
      <c r="N147" s="5"/>
      <c r="O147" s="5"/>
      <c r="Q147" s="5"/>
      <c r="R147" s="5"/>
      <c r="S147" s="5"/>
      <c r="T147" s="318"/>
    </row>
    <row r="148" spans="2:20" s="8" customFormat="1">
      <c r="N148" s="5"/>
      <c r="O148" s="5"/>
      <c r="Q148" s="5"/>
      <c r="R148" s="5"/>
      <c r="S148" s="5"/>
      <c r="T148" s="318"/>
    </row>
    <row r="149" spans="2:20" s="8" customFormat="1">
      <c r="N149" s="5"/>
      <c r="O149" s="5"/>
      <c r="Q149" s="5"/>
      <c r="R149" s="5"/>
      <c r="S149" s="5"/>
      <c r="T149" s="318"/>
    </row>
    <row r="150" spans="2:20" s="8" customFormat="1" ht="15.75">
      <c r="B150" s="389" t="s">
        <v>1118</v>
      </c>
      <c r="N150" s="5"/>
      <c r="O150" s="5"/>
      <c r="Q150" s="5"/>
      <c r="R150" s="5"/>
      <c r="S150" s="5"/>
      <c r="T150" s="318"/>
    </row>
    <row r="151" spans="2:20" s="8" customFormat="1" ht="6" customHeight="1">
      <c r="N151" s="5"/>
      <c r="O151" s="5"/>
      <c r="Q151" s="5"/>
      <c r="R151" s="5"/>
      <c r="S151" s="5"/>
      <c r="T151" s="318"/>
    </row>
    <row r="152" spans="2:20" s="68" customFormat="1" ht="27.75" customHeight="1">
      <c r="B152" s="829" t="s">
        <v>224</v>
      </c>
      <c r="C152" s="434"/>
      <c r="D152" s="830" t="s">
        <v>227</v>
      </c>
      <c r="E152" s="830" t="s">
        <v>1108</v>
      </c>
      <c r="F152" s="831" t="s">
        <v>366</v>
      </c>
      <c r="G152" s="831"/>
      <c r="H152" s="831" t="s">
        <v>367</v>
      </c>
      <c r="I152" s="831"/>
      <c r="J152" s="831" t="s">
        <v>1109</v>
      </c>
      <c r="K152" s="831"/>
      <c r="L152" s="830" t="s">
        <v>233</v>
      </c>
      <c r="M152" s="834" t="s">
        <v>1024</v>
      </c>
      <c r="N152" s="834" t="s">
        <v>1110</v>
      </c>
      <c r="O152" s="836" t="s">
        <v>1111</v>
      </c>
      <c r="P152" s="832" t="s">
        <v>456</v>
      </c>
      <c r="Q152" s="832" t="s">
        <v>1119</v>
      </c>
      <c r="R152" s="832" t="s">
        <v>1113</v>
      </c>
      <c r="S152" s="832" t="s">
        <v>1114</v>
      </c>
      <c r="T152" s="832" t="s">
        <v>1115</v>
      </c>
    </row>
    <row r="153" spans="2:20" s="68" customFormat="1" ht="27.75" customHeight="1">
      <c r="B153" s="829"/>
      <c r="C153" s="434" t="s">
        <v>1107</v>
      </c>
      <c r="D153" s="830"/>
      <c r="E153" s="830"/>
      <c r="F153" s="831"/>
      <c r="G153" s="831"/>
      <c r="H153" s="831"/>
      <c r="I153" s="831"/>
      <c r="J153" s="831"/>
      <c r="K153" s="831"/>
      <c r="L153" s="830"/>
      <c r="M153" s="834"/>
      <c r="N153" s="834"/>
      <c r="O153" s="836"/>
      <c r="P153" s="832"/>
      <c r="Q153" s="832"/>
      <c r="R153" s="832"/>
      <c r="S153" s="832"/>
      <c r="T153" s="832"/>
    </row>
    <row r="154" spans="2:20" s="68" customFormat="1" ht="27.75" customHeight="1">
      <c r="B154" s="829"/>
      <c r="C154" s="434"/>
      <c r="D154" s="830"/>
      <c r="E154" s="830"/>
      <c r="F154" s="422" t="s">
        <v>243</v>
      </c>
      <c r="G154" s="424" t="s">
        <v>365</v>
      </c>
      <c r="H154" s="422" t="s">
        <v>243</v>
      </c>
      <c r="I154" s="423" t="s">
        <v>365</v>
      </c>
      <c r="J154" s="422" t="s">
        <v>243</v>
      </c>
      <c r="K154" s="423" t="s">
        <v>365</v>
      </c>
      <c r="L154" s="830"/>
      <c r="M154" s="834"/>
      <c r="N154" s="834"/>
      <c r="O154" s="836"/>
      <c r="P154" s="832"/>
      <c r="Q154" s="832"/>
      <c r="R154" s="832"/>
      <c r="S154" s="832"/>
      <c r="T154" s="832"/>
    </row>
    <row r="155" spans="2:20" ht="72">
      <c r="B155" s="425">
        <f>'4.Electivos'!B9</f>
        <v>5</v>
      </c>
      <c r="C155" s="425" t="str">
        <f>IF('4.Electivos'!C9="","",'4.Electivos'!C9)</f>
        <v/>
      </c>
      <c r="D155" s="425" t="str">
        <f>IF('4.Electivos'!E9="","",'4.Electivos'!E9)</f>
        <v/>
      </c>
      <c r="E155" s="426" t="str">
        <f>'4.Electivos'!I9</f>
        <v/>
      </c>
      <c r="F155" s="426" t="str">
        <f>IF('4.Electivos'!J9=0,"-",'4.Electivos'!J9)</f>
        <v>-</v>
      </c>
      <c r="G155" s="427" t="str">
        <f>IF('4.Electivos'!K9=0,"-",'4.Electivos'!K9)</f>
        <v>-</v>
      </c>
      <c r="H155" s="427" t="str">
        <f>IF('4.Electivos'!L9=0,"-",'4.Electivos'!L9)</f>
        <v>-</v>
      </c>
      <c r="I155" s="427" t="str">
        <f>IF('4.Electivos'!M9=0,"-",'4.Electivos'!M9)</f>
        <v>-</v>
      </c>
      <c r="J155" s="427" t="str">
        <f>IF('4.Electivos'!N9=0,"-",'4.Electivos'!N9)</f>
        <v>-</v>
      </c>
      <c r="K155" s="428" t="str">
        <f>IF('4.Electivos'!O9=0,"-",'4.Electivos'!O9)</f>
        <v>-</v>
      </c>
      <c r="L155" s="429" t="str">
        <f>IF('4.Electivos'!P9=0,"-",'4.Electivos'!P9)</f>
        <v>-</v>
      </c>
      <c r="M155" s="430" t="str">
        <f>IF('7.Sumillas'!G151=0,"",'7.Sumillas'!G151)</f>
        <v/>
      </c>
      <c r="N155" s="431"/>
      <c r="O155" s="431"/>
      <c r="P155" s="430" t="str">
        <f>CONCATENATE(CHAR(10),CONCATENATE('4.Electivos'!Y9,CHAR(10),'4.Electivos'!Z9,CHAR(10),'4.Electivos'!AA9,CHAR(10),'4.Electivos'!AB9,CHAR(10),'4.Electivos'!AC9))</f>
        <v xml:space="preserve">
</v>
      </c>
      <c r="Q155" s="431"/>
      <c r="R155" s="431"/>
      <c r="S155" s="431"/>
      <c r="T155" s="305" t="str">
        <f t="shared" ref="T155:T218" si="3">IF(OR(I155&lt;&gt;"-",K155&lt;&gt;"-"),"","No Aplica")</f>
        <v>No Aplica</v>
      </c>
    </row>
    <row r="156" spans="2:20" ht="72">
      <c r="B156" s="425">
        <f>'4.Electivos'!B10</f>
        <v>5</v>
      </c>
      <c r="C156" s="425" t="str">
        <f>IF('4.Electivos'!C10="","",'4.Electivos'!C10)</f>
        <v/>
      </c>
      <c r="D156" s="425" t="str">
        <f>IF('4.Electivos'!E10="","",'4.Electivos'!E10)</f>
        <v/>
      </c>
      <c r="E156" s="426" t="str">
        <f>'4.Electivos'!I10</f>
        <v/>
      </c>
      <c r="F156" s="426" t="str">
        <f>IF('4.Electivos'!J10=0,"-",'4.Electivos'!J10)</f>
        <v>-</v>
      </c>
      <c r="G156" s="427" t="str">
        <f>IF('4.Electivos'!K10=0,"-",'4.Electivos'!K10)</f>
        <v>-</v>
      </c>
      <c r="H156" s="427" t="str">
        <f>IF('4.Electivos'!L10=0,"-",'4.Electivos'!L10)</f>
        <v>-</v>
      </c>
      <c r="I156" s="427" t="str">
        <f>IF('4.Electivos'!M10=0,"-",'4.Electivos'!M10)</f>
        <v>-</v>
      </c>
      <c r="J156" s="427" t="str">
        <f>IF('4.Electivos'!N10=0,"-",'4.Electivos'!N10)</f>
        <v>-</v>
      </c>
      <c r="K156" s="428" t="str">
        <f>IF('4.Electivos'!O10=0,"-",'4.Electivos'!O10)</f>
        <v>-</v>
      </c>
      <c r="L156" s="429" t="str">
        <f>IF('4.Electivos'!P10=0,"-",'4.Electivos'!P10)</f>
        <v>-</v>
      </c>
      <c r="M156" s="430" t="str">
        <f>IF('7.Sumillas'!G152=0,"",'7.Sumillas'!G152)</f>
        <v/>
      </c>
      <c r="N156" s="431"/>
      <c r="O156" s="431"/>
      <c r="P156" s="430" t="str">
        <f>CONCATENATE(CHAR(10),CONCATENATE('4.Electivos'!Y10,CHAR(10),'4.Electivos'!Z10,CHAR(10),'4.Electivos'!AA10,CHAR(10),'4.Electivos'!AB10,CHAR(10),'4.Electivos'!AC10))</f>
        <v xml:space="preserve">
</v>
      </c>
      <c r="Q156" s="431"/>
      <c r="R156" s="431"/>
      <c r="S156" s="431"/>
      <c r="T156" s="305" t="str">
        <f t="shared" si="3"/>
        <v>No Aplica</v>
      </c>
    </row>
    <row r="157" spans="2:20" ht="72">
      <c r="B157" s="425">
        <f>'4.Electivos'!B11</f>
        <v>5</v>
      </c>
      <c r="C157" s="425" t="str">
        <f>IF('4.Electivos'!C11="","",'4.Electivos'!C11)</f>
        <v/>
      </c>
      <c r="D157" s="425" t="str">
        <f>IF('4.Electivos'!E11="","",'4.Electivos'!E11)</f>
        <v/>
      </c>
      <c r="E157" s="426" t="str">
        <f>'4.Electivos'!I11</f>
        <v/>
      </c>
      <c r="F157" s="426" t="str">
        <f>IF('4.Electivos'!J11=0,"-",'4.Electivos'!J11)</f>
        <v>-</v>
      </c>
      <c r="G157" s="427" t="str">
        <f>IF('4.Electivos'!K11=0,"-",'4.Electivos'!K11)</f>
        <v>-</v>
      </c>
      <c r="H157" s="427" t="str">
        <f>IF('4.Electivos'!L11=0,"-",'4.Electivos'!L11)</f>
        <v>-</v>
      </c>
      <c r="I157" s="427" t="str">
        <f>IF('4.Electivos'!M11=0,"-",'4.Electivos'!M11)</f>
        <v>-</v>
      </c>
      <c r="J157" s="427" t="str">
        <f>IF('4.Electivos'!N11=0,"-",'4.Electivos'!N11)</f>
        <v>-</v>
      </c>
      <c r="K157" s="428" t="str">
        <f>IF('4.Electivos'!O11=0,"-",'4.Electivos'!O11)</f>
        <v>-</v>
      </c>
      <c r="L157" s="429" t="str">
        <f>IF('4.Electivos'!P11=0,"-",'4.Electivos'!P11)</f>
        <v>-</v>
      </c>
      <c r="M157" s="430" t="str">
        <f>IF('7.Sumillas'!G153=0,"",'7.Sumillas'!G153)</f>
        <v/>
      </c>
      <c r="N157" s="431"/>
      <c r="O157" s="431"/>
      <c r="P157" s="430" t="str">
        <f>CONCATENATE(CHAR(10),CONCATENATE('4.Electivos'!Y11,CHAR(10),'4.Electivos'!Z11,CHAR(10),'4.Electivos'!AA11,CHAR(10),'4.Electivos'!AB11,CHAR(10),'4.Electivos'!AC11))</f>
        <v xml:space="preserve">
</v>
      </c>
      <c r="Q157" s="431"/>
      <c r="R157" s="431"/>
      <c r="S157" s="431"/>
      <c r="T157" s="305" t="str">
        <f t="shared" si="3"/>
        <v>No Aplica</v>
      </c>
    </row>
    <row r="158" spans="2:20" ht="72">
      <c r="B158" s="425">
        <f>'4.Electivos'!B12</f>
        <v>5</v>
      </c>
      <c r="C158" s="425" t="str">
        <f>IF('4.Electivos'!C12="","",'4.Electivos'!C12)</f>
        <v/>
      </c>
      <c r="D158" s="425" t="str">
        <f>IF('4.Electivos'!E12="","",'4.Electivos'!E12)</f>
        <v/>
      </c>
      <c r="E158" s="426" t="str">
        <f>'4.Electivos'!I12</f>
        <v/>
      </c>
      <c r="F158" s="426" t="str">
        <f>IF('4.Electivos'!J12=0,"-",'4.Electivos'!J12)</f>
        <v>-</v>
      </c>
      <c r="G158" s="427" t="str">
        <f>IF('4.Electivos'!K12=0,"-",'4.Electivos'!K12)</f>
        <v>-</v>
      </c>
      <c r="H158" s="427" t="str">
        <f>IF('4.Electivos'!L12=0,"-",'4.Electivos'!L12)</f>
        <v>-</v>
      </c>
      <c r="I158" s="427" t="str">
        <f>IF('4.Electivos'!M12=0,"-",'4.Electivos'!M12)</f>
        <v>-</v>
      </c>
      <c r="J158" s="427" t="str">
        <f>IF('4.Electivos'!N12=0,"-",'4.Electivos'!N12)</f>
        <v>-</v>
      </c>
      <c r="K158" s="428" t="str">
        <f>IF('4.Electivos'!O12=0,"-",'4.Electivos'!O12)</f>
        <v>-</v>
      </c>
      <c r="L158" s="429" t="str">
        <f>IF('4.Electivos'!P12=0,"-",'4.Electivos'!P12)</f>
        <v>-</v>
      </c>
      <c r="M158" s="430" t="str">
        <f>IF('7.Sumillas'!G154=0,"",'7.Sumillas'!G154)</f>
        <v/>
      </c>
      <c r="N158" s="431"/>
      <c r="O158" s="431"/>
      <c r="P158" s="430" t="str">
        <f>CONCATENATE(CHAR(10),CONCATENATE('4.Electivos'!Y12,CHAR(10),'4.Electivos'!Z12,CHAR(10),'4.Electivos'!AA12,CHAR(10),'4.Electivos'!AB12,CHAR(10),'4.Electivos'!AC12))</f>
        <v xml:space="preserve">
</v>
      </c>
      <c r="Q158" s="431"/>
      <c r="R158" s="431"/>
      <c r="S158" s="431"/>
      <c r="T158" s="305" t="str">
        <f t="shared" si="3"/>
        <v>No Aplica</v>
      </c>
    </row>
    <row r="159" spans="2:20" ht="72">
      <c r="B159" s="425">
        <f>'4.Electivos'!B13</f>
        <v>5</v>
      </c>
      <c r="C159" s="425" t="str">
        <f>IF('4.Electivos'!C13="","",'4.Electivos'!C13)</f>
        <v/>
      </c>
      <c r="D159" s="425" t="str">
        <f>IF('4.Electivos'!E13="","",'4.Electivos'!E13)</f>
        <v/>
      </c>
      <c r="E159" s="426" t="str">
        <f>'4.Electivos'!I13</f>
        <v/>
      </c>
      <c r="F159" s="426" t="str">
        <f>IF('4.Electivos'!J13=0,"-",'4.Electivos'!J13)</f>
        <v>-</v>
      </c>
      <c r="G159" s="427" t="str">
        <f>IF('4.Electivos'!K13=0,"-",'4.Electivos'!K13)</f>
        <v>-</v>
      </c>
      <c r="H159" s="427" t="str">
        <f>IF('4.Electivos'!L13=0,"-",'4.Electivos'!L13)</f>
        <v>-</v>
      </c>
      <c r="I159" s="427" t="str">
        <f>IF('4.Electivos'!M13=0,"-",'4.Electivos'!M13)</f>
        <v>-</v>
      </c>
      <c r="J159" s="427" t="str">
        <f>IF('4.Electivos'!N13=0,"-",'4.Electivos'!N13)</f>
        <v>-</v>
      </c>
      <c r="K159" s="428" t="str">
        <f>IF('4.Electivos'!O13=0,"-",'4.Electivos'!O13)</f>
        <v>-</v>
      </c>
      <c r="L159" s="429" t="str">
        <f>IF('4.Electivos'!P13=0,"-",'4.Electivos'!P13)</f>
        <v>-</v>
      </c>
      <c r="M159" s="430" t="str">
        <f>IF('7.Sumillas'!G155=0,"",'7.Sumillas'!G155)</f>
        <v/>
      </c>
      <c r="N159" s="431"/>
      <c r="O159" s="431"/>
      <c r="P159" s="430" t="str">
        <f>CONCATENATE(CHAR(10),CONCATENATE('4.Electivos'!Y13,CHAR(10),'4.Electivos'!Z13,CHAR(10),'4.Electivos'!AA13,CHAR(10),'4.Electivos'!AB13,CHAR(10),'4.Electivos'!AC13))</f>
        <v xml:space="preserve">
</v>
      </c>
      <c r="Q159" s="431"/>
      <c r="R159" s="431"/>
      <c r="S159" s="431"/>
      <c r="T159" s="305" t="str">
        <f t="shared" si="3"/>
        <v>No Aplica</v>
      </c>
    </row>
    <row r="160" spans="2:20" ht="72">
      <c r="B160" s="425">
        <f>'4.Electivos'!B14</f>
        <v>5</v>
      </c>
      <c r="C160" s="425" t="str">
        <f>IF('4.Electivos'!C14="","",'4.Electivos'!C14)</f>
        <v/>
      </c>
      <c r="D160" s="425" t="str">
        <f>IF('4.Electivos'!E14="","",'4.Electivos'!E14)</f>
        <v/>
      </c>
      <c r="E160" s="426" t="str">
        <f>'4.Electivos'!I14</f>
        <v/>
      </c>
      <c r="F160" s="426" t="str">
        <f>IF('4.Electivos'!J14=0,"-",'4.Electivos'!J14)</f>
        <v>-</v>
      </c>
      <c r="G160" s="427" t="str">
        <f>IF('4.Electivos'!K14=0,"-",'4.Electivos'!K14)</f>
        <v>-</v>
      </c>
      <c r="H160" s="427" t="str">
        <f>IF('4.Electivos'!L14=0,"-",'4.Electivos'!L14)</f>
        <v>-</v>
      </c>
      <c r="I160" s="427" t="str">
        <f>IF('4.Electivos'!M14=0,"-",'4.Electivos'!M14)</f>
        <v>-</v>
      </c>
      <c r="J160" s="427" t="str">
        <f>IF('4.Electivos'!N14=0,"-",'4.Electivos'!N14)</f>
        <v>-</v>
      </c>
      <c r="K160" s="428" t="str">
        <f>IF('4.Electivos'!O14=0,"-",'4.Electivos'!O14)</f>
        <v>-</v>
      </c>
      <c r="L160" s="429" t="str">
        <f>IF('4.Electivos'!P14=0,"-",'4.Electivos'!P14)</f>
        <v>-</v>
      </c>
      <c r="M160" s="430" t="str">
        <f>IF('7.Sumillas'!G156=0,"",'7.Sumillas'!G156)</f>
        <v/>
      </c>
      <c r="N160" s="431"/>
      <c r="O160" s="431"/>
      <c r="P160" s="430" t="str">
        <f>CONCATENATE(CHAR(10),CONCATENATE('4.Electivos'!Y14,CHAR(10),'4.Electivos'!Z14,CHAR(10),'4.Electivos'!AA14,CHAR(10),'4.Electivos'!AB14,CHAR(10),'4.Electivos'!AC14))</f>
        <v xml:space="preserve">
</v>
      </c>
      <c r="Q160" s="431"/>
      <c r="R160" s="431"/>
      <c r="S160" s="431"/>
      <c r="T160" s="305" t="str">
        <f t="shared" si="3"/>
        <v>No Aplica</v>
      </c>
    </row>
    <row r="161" spans="2:20" ht="72">
      <c r="B161" s="425">
        <f>'4.Electivos'!B15</f>
        <v>5</v>
      </c>
      <c r="C161" s="425" t="str">
        <f>IF('4.Electivos'!C15="","",'4.Electivos'!C15)</f>
        <v/>
      </c>
      <c r="D161" s="425" t="str">
        <f>IF('4.Electivos'!E15="","",'4.Electivos'!E15)</f>
        <v/>
      </c>
      <c r="E161" s="426" t="str">
        <f>'4.Electivos'!I15</f>
        <v/>
      </c>
      <c r="F161" s="426" t="str">
        <f>IF('4.Electivos'!J15=0,"-",'4.Electivos'!J15)</f>
        <v>-</v>
      </c>
      <c r="G161" s="427" t="str">
        <f>IF('4.Electivos'!K15=0,"-",'4.Electivos'!K15)</f>
        <v>-</v>
      </c>
      <c r="H161" s="427" t="str">
        <f>IF('4.Electivos'!L15=0,"-",'4.Electivos'!L15)</f>
        <v>-</v>
      </c>
      <c r="I161" s="427" t="str">
        <f>IF('4.Electivos'!M15=0,"-",'4.Electivos'!M15)</f>
        <v>-</v>
      </c>
      <c r="J161" s="427" t="str">
        <f>IF('4.Electivos'!N15=0,"-",'4.Electivos'!N15)</f>
        <v>-</v>
      </c>
      <c r="K161" s="428" t="str">
        <f>IF('4.Electivos'!O15=0,"-",'4.Electivos'!O15)</f>
        <v>-</v>
      </c>
      <c r="L161" s="429" t="str">
        <f>IF('4.Electivos'!P15=0,"-",'4.Electivos'!P15)</f>
        <v>-</v>
      </c>
      <c r="M161" s="430" t="str">
        <f>IF('7.Sumillas'!G157=0,"",'7.Sumillas'!G157)</f>
        <v/>
      </c>
      <c r="N161" s="431"/>
      <c r="O161" s="431"/>
      <c r="P161" s="430" t="str">
        <f>CONCATENATE(CHAR(10),CONCATENATE('4.Electivos'!Y15,CHAR(10),'4.Electivos'!Z15,CHAR(10),'4.Electivos'!AA15,CHAR(10),'4.Electivos'!AB15,CHAR(10),'4.Electivos'!AC15))</f>
        <v xml:space="preserve">
</v>
      </c>
      <c r="Q161" s="431"/>
      <c r="R161" s="431"/>
      <c r="S161" s="431"/>
      <c r="T161" s="305" t="str">
        <f t="shared" si="3"/>
        <v>No Aplica</v>
      </c>
    </row>
    <row r="162" spans="2:20" ht="72">
      <c r="B162" s="425">
        <f>'4.Electivos'!B16</f>
        <v>5</v>
      </c>
      <c r="C162" s="425" t="str">
        <f>IF('4.Electivos'!C16="","",'4.Electivos'!C16)</f>
        <v/>
      </c>
      <c r="D162" s="425" t="str">
        <f>IF('4.Electivos'!E16="","",'4.Electivos'!E16)</f>
        <v/>
      </c>
      <c r="E162" s="426" t="str">
        <f>'4.Electivos'!I16</f>
        <v/>
      </c>
      <c r="F162" s="426" t="str">
        <f>IF('4.Electivos'!J16=0,"-",'4.Electivos'!J16)</f>
        <v>-</v>
      </c>
      <c r="G162" s="427" t="str">
        <f>IF('4.Electivos'!K16=0,"-",'4.Electivos'!K16)</f>
        <v>-</v>
      </c>
      <c r="H162" s="427" t="str">
        <f>IF('4.Electivos'!L16=0,"-",'4.Electivos'!L16)</f>
        <v>-</v>
      </c>
      <c r="I162" s="427" t="str">
        <f>IF('4.Electivos'!M16=0,"-",'4.Electivos'!M16)</f>
        <v>-</v>
      </c>
      <c r="J162" s="427" t="str">
        <f>IF('4.Electivos'!N16=0,"-",'4.Electivos'!N16)</f>
        <v>-</v>
      </c>
      <c r="K162" s="428" t="str">
        <f>IF('4.Electivos'!O16=0,"-",'4.Electivos'!O16)</f>
        <v>-</v>
      </c>
      <c r="L162" s="429" t="str">
        <f>IF('4.Electivos'!P16=0,"-",'4.Electivos'!P16)</f>
        <v>-</v>
      </c>
      <c r="M162" s="430" t="str">
        <f>IF('7.Sumillas'!G158=0,"",'7.Sumillas'!G158)</f>
        <v/>
      </c>
      <c r="N162" s="431"/>
      <c r="O162" s="431"/>
      <c r="P162" s="430" t="str">
        <f>CONCATENATE(CHAR(10),CONCATENATE('4.Electivos'!Y16,CHAR(10),'4.Electivos'!Z16,CHAR(10),'4.Electivos'!AA16,CHAR(10),'4.Electivos'!AB16,CHAR(10),'4.Electivos'!AC16))</f>
        <v xml:space="preserve">
</v>
      </c>
      <c r="Q162" s="431"/>
      <c r="R162" s="431"/>
      <c r="S162" s="431"/>
      <c r="T162" s="305" t="str">
        <f t="shared" si="3"/>
        <v>No Aplica</v>
      </c>
    </row>
    <row r="163" spans="2:20" ht="72">
      <c r="B163" s="425">
        <f>'4.Electivos'!B17</f>
        <v>5</v>
      </c>
      <c r="C163" s="425" t="str">
        <f>IF('4.Electivos'!C17="","",'4.Electivos'!C17)</f>
        <v/>
      </c>
      <c r="D163" s="425" t="str">
        <f>IF('4.Electivos'!E17="","",'4.Electivos'!E17)</f>
        <v/>
      </c>
      <c r="E163" s="426" t="str">
        <f>'4.Electivos'!I17</f>
        <v/>
      </c>
      <c r="F163" s="426" t="str">
        <f>IF('4.Electivos'!J17=0,"-",'4.Electivos'!J17)</f>
        <v>-</v>
      </c>
      <c r="G163" s="427" t="str">
        <f>IF('4.Electivos'!K17=0,"-",'4.Electivos'!K17)</f>
        <v>-</v>
      </c>
      <c r="H163" s="427" t="str">
        <f>IF('4.Electivos'!L17=0,"-",'4.Electivos'!L17)</f>
        <v>-</v>
      </c>
      <c r="I163" s="427" t="str">
        <f>IF('4.Electivos'!M17=0,"-",'4.Electivos'!M17)</f>
        <v>-</v>
      </c>
      <c r="J163" s="427" t="str">
        <f>IF('4.Electivos'!N17=0,"-",'4.Electivos'!N17)</f>
        <v>-</v>
      </c>
      <c r="K163" s="428" t="str">
        <f>IF('4.Electivos'!O17=0,"-",'4.Electivos'!O17)</f>
        <v>-</v>
      </c>
      <c r="L163" s="429" t="str">
        <f>IF('4.Electivos'!P17=0,"-",'4.Electivos'!P17)</f>
        <v>-</v>
      </c>
      <c r="M163" s="430" t="str">
        <f>IF('7.Sumillas'!G159=0,"",'7.Sumillas'!G159)</f>
        <v/>
      </c>
      <c r="N163" s="431"/>
      <c r="O163" s="431"/>
      <c r="P163" s="430" t="str">
        <f>CONCATENATE(CHAR(10),CONCATENATE('4.Electivos'!Y17,CHAR(10),'4.Electivos'!Z17,CHAR(10),'4.Electivos'!AA17,CHAR(10),'4.Electivos'!AB17,CHAR(10),'4.Electivos'!AC17))</f>
        <v xml:space="preserve">
</v>
      </c>
      <c r="Q163" s="431"/>
      <c r="R163" s="431"/>
      <c r="S163" s="431"/>
      <c r="T163" s="305" t="str">
        <f t="shared" si="3"/>
        <v>No Aplica</v>
      </c>
    </row>
    <row r="164" spans="2:20" ht="72">
      <c r="B164" s="425">
        <f>'4.Electivos'!B18</f>
        <v>5</v>
      </c>
      <c r="C164" s="425" t="str">
        <f>IF('4.Electivos'!C18="","",'4.Electivos'!C18)</f>
        <v/>
      </c>
      <c r="D164" s="425" t="str">
        <f>IF('4.Electivos'!E18="","",'4.Electivos'!E18)</f>
        <v/>
      </c>
      <c r="E164" s="426" t="str">
        <f>'4.Electivos'!I18</f>
        <v/>
      </c>
      <c r="F164" s="426" t="str">
        <f>IF('4.Electivos'!J18=0,"-",'4.Electivos'!J18)</f>
        <v>-</v>
      </c>
      <c r="G164" s="427" t="str">
        <f>IF('4.Electivos'!K18=0,"-",'4.Electivos'!K18)</f>
        <v>-</v>
      </c>
      <c r="H164" s="427" t="str">
        <f>IF('4.Electivos'!L18=0,"-",'4.Electivos'!L18)</f>
        <v>-</v>
      </c>
      <c r="I164" s="427" t="str">
        <f>IF('4.Electivos'!M18=0,"-",'4.Electivos'!M18)</f>
        <v>-</v>
      </c>
      <c r="J164" s="427" t="str">
        <f>IF('4.Electivos'!N18=0,"-",'4.Electivos'!N18)</f>
        <v>-</v>
      </c>
      <c r="K164" s="428" t="str">
        <f>IF('4.Electivos'!O18=0,"-",'4.Electivos'!O18)</f>
        <v>-</v>
      </c>
      <c r="L164" s="429" t="str">
        <f>IF('4.Electivos'!P18=0,"-",'4.Electivos'!P18)</f>
        <v>-</v>
      </c>
      <c r="M164" s="430" t="str">
        <f>IF('7.Sumillas'!G160=0,"",'7.Sumillas'!G160)</f>
        <v/>
      </c>
      <c r="N164" s="431"/>
      <c r="O164" s="431"/>
      <c r="P164" s="430" t="str">
        <f>CONCATENATE(CHAR(10),CONCATENATE('4.Electivos'!Y18,CHAR(10),'4.Electivos'!Z18,CHAR(10),'4.Electivos'!AA18,CHAR(10),'4.Electivos'!AB18,CHAR(10),'4.Electivos'!AC18))</f>
        <v xml:space="preserve">
</v>
      </c>
      <c r="Q164" s="431"/>
      <c r="R164" s="431"/>
      <c r="S164" s="431"/>
      <c r="T164" s="305" t="str">
        <f t="shared" si="3"/>
        <v>No Aplica</v>
      </c>
    </row>
    <row r="165" spans="2:20" ht="72">
      <c r="B165" s="425">
        <f>'4.Electivos'!B19</f>
        <v>6</v>
      </c>
      <c r="C165" s="425" t="str">
        <f>IF('4.Electivos'!C19="","",'4.Electivos'!C19)</f>
        <v/>
      </c>
      <c r="D165" s="425" t="str">
        <f>IF('4.Electivos'!E19="","",'4.Electivos'!E19)</f>
        <v/>
      </c>
      <c r="E165" s="426" t="str">
        <f>'4.Electivos'!I19</f>
        <v/>
      </c>
      <c r="F165" s="426" t="str">
        <f>IF('4.Electivos'!J19=0,"-",'4.Electivos'!J19)</f>
        <v>-</v>
      </c>
      <c r="G165" s="427" t="str">
        <f>IF('4.Electivos'!K19=0,"-",'4.Electivos'!K19)</f>
        <v>-</v>
      </c>
      <c r="H165" s="427" t="str">
        <f>IF('4.Electivos'!L19=0,"-",'4.Electivos'!L19)</f>
        <v>-</v>
      </c>
      <c r="I165" s="427" t="str">
        <f>IF('4.Electivos'!M19=0,"-",'4.Electivos'!M19)</f>
        <v>-</v>
      </c>
      <c r="J165" s="427" t="str">
        <f>IF('4.Electivos'!N19=0,"-",'4.Electivos'!N19)</f>
        <v>-</v>
      </c>
      <c r="K165" s="428" t="str">
        <f>IF('4.Electivos'!O19=0,"-",'4.Electivos'!O19)</f>
        <v>-</v>
      </c>
      <c r="L165" s="429" t="str">
        <f>IF('4.Electivos'!P19=0,"-",'4.Electivos'!P19)</f>
        <v>-</v>
      </c>
      <c r="M165" s="430" t="str">
        <f>IF('7.Sumillas'!G161=0,"",'7.Sumillas'!G161)</f>
        <v/>
      </c>
      <c r="N165" s="431"/>
      <c r="O165" s="431"/>
      <c r="P165" s="430" t="str">
        <f>CONCATENATE(CHAR(10),CONCATENATE('4.Electivos'!Y19,CHAR(10),'4.Electivos'!Z19,CHAR(10),'4.Electivos'!AA19,CHAR(10),'4.Electivos'!AB19,CHAR(10),'4.Electivos'!AC19))</f>
        <v xml:space="preserve">
</v>
      </c>
      <c r="Q165" s="431"/>
      <c r="R165" s="431"/>
      <c r="S165" s="431"/>
      <c r="T165" s="305" t="str">
        <f t="shared" si="3"/>
        <v>No Aplica</v>
      </c>
    </row>
    <row r="166" spans="2:20" ht="72">
      <c r="B166" s="425">
        <f>'4.Electivos'!B20</f>
        <v>6</v>
      </c>
      <c r="C166" s="425" t="str">
        <f>IF('4.Electivos'!C20="","",'4.Electivos'!C20)</f>
        <v/>
      </c>
      <c r="D166" s="425" t="str">
        <f>IF('4.Electivos'!E20="","",'4.Electivos'!E20)</f>
        <v/>
      </c>
      <c r="E166" s="426" t="str">
        <f>'4.Electivos'!I20</f>
        <v/>
      </c>
      <c r="F166" s="426" t="str">
        <f>IF('4.Electivos'!J20=0,"-",'4.Electivos'!J20)</f>
        <v>-</v>
      </c>
      <c r="G166" s="427" t="str">
        <f>IF('4.Electivos'!K20=0,"-",'4.Electivos'!K20)</f>
        <v>-</v>
      </c>
      <c r="H166" s="427" t="str">
        <f>IF('4.Electivos'!L20=0,"-",'4.Electivos'!L20)</f>
        <v>-</v>
      </c>
      <c r="I166" s="427" t="str">
        <f>IF('4.Electivos'!M20=0,"-",'4.Electivos'!M20)</f>
        <v>-</v>
      </c>
      <c r="J166" s="427" t="str">
        <f>IF('4.Electivos'!N20=0,"-",'4.Electivos'!N20)</f>
        <v>-</v>
      </c>
      <c r="K166" s="428" t="str">
        <f>IF('4.Electivos'!O20=0,"-",'4.Electivos'!O20)</f>
        <v>-</v>
      </c>
      <c r="L166" s="429" t="str">
        <f>IF('4.Electivos'!P20=0,"-",'4.Electivos'!P20)</f>
        <v>-</v>
      </c>
      <c r="M166" s="430" t="str">
        <f>IF('7.Sumillas'!G162=0,"",'7.Sumillas'!G162)</f>
        <v/>
      </c>
      <c r="N166" s="431"/>
      <c r="O166" s="431"/>
      <c r="P166" s="430" t="str">
        <f>CONCATENATE(CHAR(10),CONCATENATE('4.Electivos'!Y20,CHAR(10),'4.Electivos'!Z20,CHAR(10),'4.Electivos'!AA20,CHAR(10),'4.Electivos'!AB20,CHAR(10),'4.Electivos'!AC20))</f>
        <v xml:space="preserve">
</v>
      </c>
      <c r="Q166" s="431"/>
      <c r="R166" s="431"/>
      <c r="S166" s="431"/>
      <c r="T166" s="305" t="str">
        <f t="shared" si="3"/>
        <v>No Aplica</v>
      </c>
    </row>
    <row r="167" spans="2:20" ht="72">
      <c r="B167" s="425">
        <f>'4.Electivos'!B21</f>
        <v>6</v>
      </c>
      <c r="C167" s="425" t="str">
        <f>IF('4.Electivos'!C21="","",'4.Electivos'!C21)</f>
        <v/>
      </c>
      <c r="D167" s="425" t="str">
        <f>IF('4.Electivos'!E21="","",'4.Electivos'!E21)</f>
        <v/>
      </c>
      <c r="E167" s="426" t="str">
        <f>'4.Electivos'!I21</f>
        <v/>
      </c>
      <c r="F167" s="426" t="str">
        <f>IF('4.Electivos'!J21=0,"-",'4.Electivos'!J21)</f>
        <v>-</v>
      </c>
      <c r="G167" s="427" t="str">
        <f>IF('4.Electivos'!K21=0,"-",'4.Electivos'!K21)</f>
        <v>-</v>
      </c>
      <c r="H167" s="427" t="str">
        <f>IF('4.Electivos'!L21=0,"-",'4.Electivos'!L21)</f>
        <v>-</v>
      </c>
      <c r="I167" s="427" t="str">
        <f>IF('4.Electivos'!M21=0,"-",'4.Electivos'!M21)</f>
        <v>-</v>
      </c>
      <c r="J167" s="427" t="str">
        <f>IF('4.Electivos'!N21=0,"-",'4.Electivos'!N21)</f>
        <v>-</v>
      </c>
      <c r="K167" s="428" t="str">
        <f>IF('4.Electivos'!O21=0,"-",'4.Electivos'!O21)</f>
        <v>-</v>
      </c>
      <c r="L167" s="429" t="str">
        <f>IF('4.Electivos'!P21=0,"-",'4.Electivos'!P21)</f>
        <v>-</v>
      </c>
      <c r="M167" s="430" t="str">
        <f>IF('7.Sumillas'!G163=0,"",'7.Sumillas'!G163)</f>
        <v/>
      </c>
      <c r="N167" s="431"/>
      <c r="O167" s="431"/>
      <c r="P167" s="430" t="str">
        <f>CONCATENATE(CHAR(10),CONCATENATE('4.Electivos'!Y21,CHAR(10),'4.Electivos'!Z21,CHAR(10),'4.Electivos'!AA21,CHAR(10),'4.Electivos'!AB21,CHAR(10),'4.Electivos'!AC21))</f>
        <v xml:space="preserve">
</v>
      </c>
      <c r="Q167" s="431"/>
      <c r="R167" s="431"/>
      <c r="S167" s="431"/>
      <c r="T167" s="305" t="str">
        <f t="shared" si="3"/>
        <v>No Aplica</v>
      </c>
    </row>
    <row r="168" spans="2:20" ht="72">
      <c r="B168" s="425">
        <f>'4.Electivos'!B22</f>
        <v>6</v>
      </c>
      <c r="C168" s="425" t="str">
        <f>IF('4.Electivos'!C22="","",'4.Electivos'!C22)</f>
        <v/>
      </c>
      <c r="D168" s="425" t="str">
        <f>IF('4.Electivos'!E22="","",'4.Electivos'!E22)</f>
        <v/>
      </c>
      <c r="E168" s="426" t="str">
        <f>'4.Electivos'!I22</f>
        <v/>
      </c>
      <c r="F168" s="426" t="str">
        <f>IF('4.Electivos'!J22=0,"-",'4.Electivos'!J22)</f>
        <v>-</v>
      </c>
      <c r="G168" s="427" t="str">
        <f>IF('4.Electivos'!K22=0,"-",'4.Electivos'!K22)</f>
        <v>-</v>
      </c>
      <c r="H168" s="427" t="str">
        <f>IF('4.Electivos'!L22=0,"-",'4.Electivos'!L22)</f>
        <v>-</v>
      </c>
      <c r="I168" s="427" t="str">
        <f>IF('4.Electivos'!M22=0,"-",'4.Electivos'!M22)</f>
        <v>-</v>
      </c>
      <c r="J168" s="427" t="str">
        <f>IF('4.Electivos'!N22=0,"-",'4.Electivos'!N22)</f>
        <v>-</v>
      </c>
      <c r="K168" s="428" t="str">
        <f>IF('4.Electivos'!O22=0,"-",'4.Electivos'!O22)</f>
        <v>-</v>
      </c>
      <c r="L168" s="429" t="str">
        <f>IF('4.Electivos'!P22=0,"-",'4.Electivos'!P22)</f>
        <v>-</v>
      </c>
      <c r="M168" s="430" t="str">
        <f>IF('7.Sumillas'!G164=0,"",'7.Sumillas'!G164)</f>
        <v/>
      </c>
      <c r="N168" s="431"/>
      <c r="O168" s="431"/>
      <c r="P168" s="430" t="str">
        <f>CONCATENATE(CHAR(10),CONCATENATE('4.Electivos'!Y22,CHAR(10),'4.Electivos'!Z22,CHAR(10),'4.Electivos'!AA22,CHAR(10),'4.Electivos'!AB22,CHAR(10),'4.Electivos'!AC22))</f>
        <v xml:space="preserve">
</v>
      </c>
      <c r="Q168" s="431"/>
      <c r="R168" s="431"/>
      <c r="S168" s="431"/>
      <c r="T168" s="305" t="str">
        <f t="shared" si="3"/>
        <v>No Aplica</v>
      </c>
    </row>
    <row r="169" spans="2:20" ht="72">
      <c r="B169" s="425">
        <f>'4.Electivos'!B23</f>
        <v>6</v>
      </c>
      <c r="C169" s="425" t="str">
        <f>IF('4.Electivos'!C23="","",'4.Electivos'!C23)</f>
        <v/>
      </c>
      <c r="D169" s="425" t="str">
        <f>IF('4.Electivos'!E23="","",'4.Electivos'!E23)</f>
        <v/>
      </c>
      <c r="E169" s="426" t="str">
        <f>'4.Electivos'!I23</f>
        <v/>
      </c>
      <c r="F169" s="426" t="str">
        <f>IF('4.Electivos'!J23=0,"-",'4.Electivos'!J23)</f>
        <v>-</v>
      </c>
      <c r="G169" s="427" t="str">
        <f>IF('4.Electivos'!K23=0,"-",'4.Electivos'!K23)</f>
        <v>-</v>
      </c>
      <c r="H169" s="427" t="str">
        <f>IF('4.Electivos'!L23=0,"-",'4.Electivos'!L23)</f>
        <v>-</v>
      </c>
      <c r="I169" s="427" t="str">
        <f>IF('4.Electivos'!M23=0,"-",'4.Electivos'!M23)</f>
        <v>-</v>
      </c>
      <c r="J169" s="427" t="str">
        <f>IF('4.Electivos'!N23=0,"-",'4.Electivos'!N23)</f>
        <v>-</v>
      </c>
      <c r="K169" s="428" t="str">
        <f>IF('4.Electivos'!O23=0,"-",'4.Electivos'!O23)</f>
        <v>-</v>
      </c>
      <c r="L169" s="429" t="str">
        <f>IF('4.Electivos'!P23=0,"-",'4.Electivos'!P23)</f>
        <v>-</v>
      </c>
      <c r="M169" s="430" t="str">
        <f>IF('7.Sumillas'!G165=0,"",'7.Sumillas'!G165)</f>
        <v/>
      </c>
      <c r="N169" s="431"/>
      <c r="O169" s="431"/>
      <c r="P169" s="430" t="str">
        <f>CONCATENATE(CHAR(10),CONCATENATE('4.Electivos'!Y23,CHAR(10),'4.Electivos'!Z23,CHAR(10),'4.Electivos'!AA23,CHAR(10),'4.Electivos'!AB23,CHAR(10),'4.Electivos'!AC23))</f>
        <v xml:space="preserve">
</v>
      </c>
      <c r="Q169" s="431"/>
      <c r="R169" s="431"/>
      <c r="S169" s="431"/>
      <c r="T169" s="305" t="str">
        <f t="shared" si="3"/>
        <v>No Aplica</v>
      </c>
    </row>
    <row r="170" spans="2:20" ht="72">
      <c r="B170" s="425">
        <f>'4.Electivos'!B24</f>
        <v>6</v>
      </c>
      <c r="C170" s="425" t="str">
        <f>IF('4.Electivos'!C24="","",'4.Electivos'!C24)</f>
        <v/>
      </c>
      <c r="D170" s="425" t="str">
        <f>IF('4.Electivos'!E24="","",'4.Electivos'!E24)</f>
        <v/>
      </c>
      <c r="E170" s="426" t="str">
        <f>'4.Electivos'!I24</f>
        <v/>
      </c>
      <c r="F170" s="426" t="str">
        <f>IF('4.Electivos'!J24=0,"-",'4.Electivos'!J24)</f>
        <v>-</v>
      </c>
      <c r="G170" s="427" t="str">
        <f>IF('4.Electivos'!K24=0,"-",'4.Electivos'!K24)</f>
        <v>-</v>
      </c>
      <c r="H170" s="427" t="str">
        <f>IF('4.Electivos'!L24=0,"-",'4.Electivos'!L24)</f>
        <v>-</v>
      </c>
      <c r="I170" s="427" t="str">
        <f>IF('4.Electivos'!M24=0,"-",'4.Electivos'!M24)</f>
        <v>-</v>
      </c>
      <c r="J170" s="427" t="str">
        <f>IF('4.Electivos'!N24=0,"-",'4.Electivos'!N24)</f>
        <v>-</v>
      </c>
      <c r="K170" s="428" t="str">
        <f>IF('4.Electivos'!O24=0,"-",'4.Electivos'!O24)</f>
        <v>-</v>
      </c>
      <c r="L170" s="429" t="str">
        <f>IF('4.Electivos'!P24=0,"-",'4.Electivos'!P24)</f>
        <v>-</v>
      </c>
      <c r="M170" s="430" t="str">
        <f>IF('7.Sumillas'!G166=0,"",'7.Sumillas'!G166)</f>
        <v/>
      </c>
      <c r="N170" s="431"/>
      <c r="O170" s="431"/>
      <c r="P170" s="430" t="str">
        <f>CONCATENATE(CHAR(10),CONCATENATE('4.Electivos'!Y24,CHAR(10),'4.Electivos'!Z24,CHAR(10),'4.Electivos'!AA24,CHAR(10),'4.Electivos'!AB24,CHAR(10),'4.Electivos'!AC24))</f>
        <v xml:space="preserve">
</v>
      </c>
      <c r="Q170" s="431"/>
      <c r="R170" s="431"/>
      <c r="S170" s="431"/>
      <c r="T170" s="305" t="str">
        <f t="shared" si="3"/>
        <v>No Aplica</v>
      </c>
    </row>
    <row r="171" spans="2:20" ht="72">
      <c r="B171" s="425">
        <f>'4.Electivos'!B25</f>
        <v>6</v>
      </c>
      <c r="C171" s="425" t="str">
        <f>IF('4.Electivos'!C25="","",'4.Electivos'!C25)</f>
        <v/>
      </c>
      <c r="D171" s="425" t="str">
        <f>IF('4.Electivos'!E25="","",'4.Electivos'!E25)</f>
        <v/>
      </c>
      <c r="E171" s="426" t="str">
        <f>'4.Electivos'!I25</f>
        <v/>
      </c>
      <c r="F171" s="426" t="str">
        <f>IF('4.Electivos'!J25=0,"-",'4.Electivos'!J25)</f>
        <v>-</v>
      </c>
      <c r="G171" s="427" t="str">
        <f>IF('4.Electivos'!K25=0,"-",'4.Electivos'!K25)</f>
        <v>-</v>
      </c>
      <c r="H171" s="427" t="str">
        <f>IF('4.Electivos'!L25=0,"-",'4.Electivos'!L25)</f>
        <v>-</v>
      </c>
      <c r="I171" s="427" t="str">
        <f>IF('4.Electivos'!M25=0,"-",'4.Electivos'!M25)</f>
        <v>-</v>
      </c>
      <c r="J171" s="427" t="str">
        <f>IF('4.Electivos'!N25=0,"-",'4.Electivos'!N25)</f>
        <v>-</v>
      </c>
      <c r="K171" s="428" t="str">
        <f>IF('4.Electivos'!O25=0,"-",'4.Electivos'!O25)</f>
        <v>-</v>
      </c>
      <c r="L171" s="429" t="str">
        <f>IF('4.Electivos'!P25=0,"-",'4.Electivos'!P25)</f>
        <v>-</v>
      </c>
      <c r="M171" s="430" t="str">
        <f>IF('7.Sumillas'!G167=0,"",'7.Sumillas'!G167)</f>
        <v/>
      </c>
      <c r="N171" s="431"/>
      <c r="O171" s="431"/>
      <c r="P171" s="430" t="str">
        <f>CONCATENATE(CHAR(10),CONCATENATE('4.Electivos'!Y25,CHAR(10),'4.Electivos'!Z25,CHAR(10),'4.Electivos'!AA25,CHAR(10),'4.Electivos'!AB25,CHAR(10),'4.Electivos'!AC25))</f>
        <v xml:space="preserve">
</v>
      </c>
      <c r="Q171" s="431"/>
      <c r="R171" s="431"/>
      <c r="S171" s="431"/>
      <c r="T171" s="305" t="str">
        <f t="shared" si="3"/>
        <v>No Aplica</v>
      </c>
    </row>
    <row r="172" spans="2:20" ht="72">
      <c r="B172" s="425">
        <f>'4.Electivos'!B26</f>
        <v>6</v>
      </c>
      <c r="C172" s="425" t="str">
        <f>IF('4.Electivos'!C26="","",'4.Electivos'!C26)</f>
        <v/>
      </c>
      <c r="D172" s="425" t="str">
        <f>IF('4.Electivos'!E26="","",'4.Electivos'!E26)</f>
        <v/>
      </c>
      <c r="E172" s="426" t="str">
        <f>'4.Electivos'!I26</f>
        <v/>
      </c>
      <c r="F172" s="426" t="str">
        <f>IF('4.Electivos'!J26=0,"-",'4.Electivos'!J26)</f>
        <v>-</v>
      </c>
      <c r="G172" s="427" t="str">
        <f>IF('4.Electivos'!K26=0,"-",'4.Electivos'!K26)</f>
        <v>-</v>
      </c>
      <c r="H172" s="427" t="str">
        <f>IF('4.Electivos'!L26=0,"-",'4.Electivos'!L26)</f>
        <v>-</v>
      </c>
      <c r="I172" s="427" t="str">
        <f>IF('4.Electivos'!M26=0,"-",'4.Electivos'!M26)</f>
        <v>-</v>
      </c>
      <c r="J172" s="427" t="str">
        <f>IF('4.Electivos'!N26=0,"-",'4.Electivos'!N26)</f>
        <v>-</v>
      </c>
      <c r="K172" s="428" t="str">
        <f>IF('4.Electivos'!O26=0,"-",'4.Electivos'!O26)</f>
        <v>-</v>
      </c>
      <c r="L172" s="429" t="str">
        <f>IF('4.Electivos'!P26=0,"-",'4.Electivos'!P26)</f>
        <v>-</v>
      </c>
      <c r="M172" s="430" t="str">
        <f>IF('7.Sumillas'!G168=0,"",'7.Sumillas'!G168)</f>
        <v/>
      </c>
      <c r="N172" s="431"/>
      <c r="O172" s="431"/>
      <c r="P172" s="430" t="str">
        <f>CONCATENATE(CHAR(10),CONCATENATE('4.Electivos'!Y26,CHAR(10),'4.Electivos'!Z26,CHAR(10),'4.Electivos'!AA26,CHAR(10),'4.Electivos'!AB26,CHAR(10),'4.Electivos'!AC26))</f>
        <v xml:space="preserve">
</v>
      </c>
      <c r="Q172" s="431"/>
      <c r="R172" s="431"/>
      <c r="S172" s="431"/>
      <c r="T172" s="305" t="str">
        <f t="shared" si="3"/>
        <v>No Aplica</v>
      </c>
    </row>
    <row r="173" spans="2:20" ht="72">
      <c r="B173" s="425">
        <f>'4.Electivos'!B27</f>
        <v>6</v>
      </c>
      <c r="C173" s="425" t="str">
        <f>IF('4.Electivos'!C27="","",'4.Electivos'!C27)</f>
        <v/>
      </c>
      <c r="D173" s="425" t="str">
        <f>IF('4.Electivos'!E27="","",'4.Electivos'!E27)</f>
        <v/>
      </c>
      <c r="E173" s="426" t="str">
        <f>'4.Electivos'!I27</f>
        <v/>
      </c>
      <c r="F173" s="426" t="str">
        <f>IF('4.Electivos'!J27=0,"-",'4.Electivos'!J27)</f>
        <v>-</v>
      </c>
      <c r="G173" s="427" t="str">
        <f>IF('4.Electivos'!K27=0,"-",'4.Electivos'!K27)</f>
        <v>-</v>
      </c>
      <c r="H173" s="427" t="str">
        <f>IF('4.Electivos'!L27=0,"-",'4.Electivos'!L27)</f>
        <v>-</v>
      </c>
      <c r="I173" s="427" t="str">
        <f>IF('4.Electivos'!M27=0,"-",'4.Electivos'!M27)</f>
        <v>-</v>
      </c>
      <c r="J173" s="427" t="str">
        <f>IF('4.Electivos'!N27=0,"-",'4.Electivos'!N27)</f>
        <v>-</v>
      </c>
      <c r="K173" s="428" t="str">
        <f>IF('4.Electivos'!O27=0,"-",'4.Electivos'!O27)</f>
        <v>-</v>
      </c>
      <c r="L173" s="429" t="str">
        <f>IF('4.Electivos'!P27=0,"-",'4.Electivos'!P27)</f>
        <v>-</v>
      </c>
      <c r="M173" s="430" t="str">
        <f>IF('7.Sumillas'!G169=0,"",'7.Sumillas'!G169)</f>
        <v/>
      </c>
      <c r="N173" s="431"/>
      <c r="O173" s="431"/>
      <c r="P173" s="430" t="str">
        <f>CONCATENATE(CHAR(10),CONCATENATE('4.Electivos'!Y27,CHAR(10),'4.Electivos'!Z27,CHAR(10),'4.Electivos'!AA27,CHAR(10),'4.Electivos'!AB27,CHAR(10),'4.Electivos'!AC27))</f>
        <v xml:space="preserve">
</v>
      </c>
      <c r="Q173" s="431"/>
      <c r="R173" s="431"/>
      <c r="S173" s="431"/>
      <c r="T173" s="305" t="str">
        <f t="shared" si="3"/>
        <v>No Aplica</v>
      </c>
    </row>
    <row r="174" spans="2:20" ht="72">
      <c r="B174" s="425">
        <f>'4.Electivos'!B28</f>
        <v>6</v>
      </c>
      <c r="C174" s="425" t="str">
        <f>IF('4.Electivos'!C28="","",'4.Electivos'!C28)</f>
        <v/>
      </c>
      <c r="D174" s="425" t="str">
        <f>IF('4.Electivos'!E28="","",'4.Electivos'!E28)</f>
        <v/>
      </c>
      <c r="E174" s="426" t="str">
        <f>'4.Electivos'!I28</f>
        <v/>
      </c>
      <c r="F174" s="426" t="str">
        <f>IF('4.Electivos'!J28=0,"-",'4.Electivos'!J28)</f>
        <v>-</v>
      </c>
      <c r="G174" s="427" t="str">
        <f>IF('4.Electivos'!K28=0,"-",'4.Electivos'!K28)</f>
        <v>-</v>
      </c>
      <c r="H174" s="427" t="str">
        <f>IF('4.Electivos'!L28=0,"-",'4.Electivos'!L28)</f>
        <v>-</v>
      </c>
      <c r="I174" s="427" t="str">
        <f>IF('4.Electivos'!M28=0,"-",'4.Electivos'!M28)</f>
        <v>-</v>
      </c>
      <c r="J174" s="427" t="str">
        <f>IF('4.Electivos'!N28=0,"-",'4.Electivos'!N28)</f>
        <v>-</v>
      </c>
      <c r="K174" s="428" t="str">
        <f>IF('4.Electivos'!O28=0,"-",'4.Electivos'!O28)</f>
        <v>-</v>
      </c>
      <c r="L174" s="429" t="str">
        <f>IF('4.Electivos'!P28=0,"-",'4.Electivos'!P28)</f>
        <v>-</v>
      </c>
      <c r="M174" s="430" t="str">
        <f>IF('7.Sumillas'!G170=0,"",'7.Sumillas'!G170)</f>
        <v/>
      </c>
      <c r="N174" s="431"/>
      <c r="O174" s="431"/>
      <c r="P174" s="430" t="str">
        <f>CONCATENATE(CHAR(10),CONCATENATE('4.Electivos'!Y28,CHAR(10),'4.Electivos'!Z28,CHAR(10),'4.Electivos'!AA28,CHAR(10),'4.Electivos'!AB28,CHAR(10),'4.Electivos'!AC28))</f>
        <v xml:space="preserve">
</v>
      </c>
      <c r="Q174" s="431"/>
      <c r="R174" s="431"/>
      <c r="S174" s="431"/>
      <c r="T174" s="305" t="str">
        <f t="shared" si="3"/>
        <v>No Aplica</v>
      </c>
    </row>
    <row r="175" spans="2:20" ht="96">
      <c r="B175" s="425">
        <f>'4.Electivos'!B29</f>
        <v>7</v>
      </c>
      <c r="C175" s="425" t="str">
        <f>IF('4.Electivos'!C29="","",'4.Electivos'!C29)</f>
        <v>SDE51002</v>
      </c>
      <c r="D175" s="425" t="str">
        <f>IF('4.Electivos'!E29="","",'4.Electivos'!E29)</f>
        <v>FUNDAMENTOS DE LA TUTORÍA</v>
      </c>
      <c r="E175" s="426" t="str">
        <f>'4.Electivos'!I29</f>
        <v>Presencial</v>
      </c>
      <c r="F175" s="426">
        <f>IF('4.Electivos'!J29=0,"-",'4.Electivos'!J29)</f>
        <v>64</v>
      </c>
      <c r="G175" s="427" t="str">
        <f>IF('4.Electivos'!K29=0,"-",'4.Electivos'!K29)</f>
        <v>-</v>
      </c>
      <c r="H175" s="427" t="str">
        <f>IF('4.Electivos'!L29=0,"-",'4.Electivos'!L29)</f>
        <v>-</v>
      </c>
      <c r="I175" s="427" t="str">
        <f>IF('4.Electivos'!M29=0,"-",'4.Electivos'!M29)</f>
        <v>-</v>
      </c>
      <c r="J175" s="427" t="str">
        <f>IF('4.Electivos'!N29=0,"-",'4.Electivos'!N29)</f>
        <v>-</v>
      </c>
      <c r="K175" s="428" t="str">
        <f>IF('4.Electivos'!O29=0,"-",'4.Electivos'!O29)</f>
        <v>-</v>
      </c>
      <c r="L175" s="429">
        <f>IF('4.Electivos'!P29=0,"-",'4.Electivos'!P29)</f>
        <v>4</v>
      </c>
      <c r="M175" s="430" t="str">
        <f>IF('7.Sumillas'!G171=0,"",'7.Sumillas'!G171)</f>
        <v>El curso Fundamentos de la Tutoría, es de naturaleza teórica y atributa a la competencia de Orientación Educativa. Asimismo. Brinda al estudiante oportunidades para desarrollar sus habilidades cognoscitivas e interpersonales al diseñar, ejecutar y evaluar propuestas alternativas en el trabajo tutorial con la finalidad de ser aplicados en el nivel de educación secundario. Los ejes temáticos son: la bases teóricas de la Educación y la Tutoría. El producto acreditable de la asignatura es que los alumnos desarrollarán y diseñarán un mapa mental, infografía, exposición dialogada y elaborarán un resumen.</v>
      </c>
      <c r="N175" s="431"/>
      <c r="O175" s="431"/>
      <c r="P175" s="430" t="str">
        <f>CONCATENATE(CHAR(10),CONCATENATE('4.Electivos'!Y29,CHAR(10),'4.Electivos'!Z29,CHAR(10),'4.Electivos'!AA29,CHAR(10),'4.Electivos'!AB29,CHAR(10),'4.Electivos'!AC29))</f>
        <v xml:space="preserve">
CP1: Orientación educativa:N2 Concibe la observación educativa a nivel de la teoría, historia y psicología  para establecer las orientaciones básicas que permitan el desarrollo evolutivo.
</v>
      </c>
      <c r="Q175" s="431"/>
      <c r="R175" s="431"/>
      <c r="S175" s="431"/>
      <c r="T175" s="305" t="str">
        <f t="shared" si="3"/>
        <v>No Aplica</v>
      </c>
    </row>
    <row r="176" spans="2:20" ht="108">
      <c r="B176" s="425">
        <f>'4.Electivos'!B30</f>
        <v>7</v>
      </c>
      <c r="C176" s="425" t="str">
        <f>IF('4.Electivos'!C30="","",'4.Electivos'!C30)</f>
        <v>EDG51007</v>
      </c>
      <c r="D176" s="425" t="str">
        <f>IF('4.Electivos'!E30="","",'4.Electivos'!E30)</f>
        <v>LA EVALUACIÓN DE LOS APRENDIZAJES EN EL PERÚ</v>
      </c>
      <c r="E176" s="426" t="str">
        <f>'4.Electivos'!I30</f>
        <v>Presencial</v>
      </c>
      <c r="F176" s="426">
        <f>IF('4.Electivos'!J30=0,"-",'4.Electivos'!J30)</f>
        <v>64</v>
      </c>
      <c r="G176" s="427" t="str">
        <f>IF('4.Electivos'!K30=0,"-",'4.Electivos'!K30)</f>
        <v>-</v>
      </c>
      <c r="H176" s="427" t="str">
        <f>IF('4.Electivos'!L30=0,"-",'4.Electivos'!L30)</f>
        <v>-</v>
      </c>
      <c r="I176" s="427" t="str">
        <f>IF('4.Electivos'!M30=0,"-",'4.Electivos'!M30)</f>
        <v>-</v>
      </c>
      <c r="J176" s="427" t="str">
        <f>IF('4.Electivos'!N30=0,"-",'4.Electivos'!N30)</f>
        <v>-</v>
      </c>
      <c r="K176" s="428" t="str">
        <f>IF('4.Electivos'!O30=0,"-",'4.Electivos'!O30)</f>
        <v>-</v>
      </c>
      <c r="L176" s="429">
        <f>IF('4.Electivos'!P30=0,"-",'4.Electivos'!P30)</f>
        <v>4</v>
      </c>
      <c r="M176" s="430" t="str">
        <f>IF('7.Sumillas'!G172=0,"",'7.Sumillas'!G172)</f>
        <v>Evaluación de los aprendizajes en el Perú, es del área especializada, de naturaleza teórica. Tributa  a la competencia del Desarrollo de gestión educativa. Asimismo, tiene como finalidad desarrollar la comprensión sobre el la evaluación de los aprendizajes en el sistema educativo peruano desde la segunda mitad del siglo XX a la actualidad. Los ejes temáticos en los cuales se centra el curso son: Los procesos evaluativos y metodología del aprendizaje. Pretende establecer un comparativo entre la evaluación por objetivos, capacidades y competencias, así como sus implicancias y beneficios a nivel del aprendizaje y la enseñanza. El producto acreditable es un trabajo sobre la evaluación del sistema educativo peruano.</v>
      </c>
      <c r="N176" s="431"/>
      <c r="O176" s="431"/>
      <c r="P176" s="430" t="str">
        <f>CONCATENATE(CHAR(10),CONCATENATE('4.Electivos'!Y30,CHAR(10),'4.Electivos'!Z30,CHAR(10),'4.Electivos'!AA30,CHAR(10),'4.Electivos'!AB30,CHAR(10),'4.Electivos'!AC30))</f>
        <v xml:space="preserve">
CP2: Desarrollo de gestión educativa:N2 Promueve la conformación de un conjunto de procesos organizados que permitan que las áreas de gestión educativa logren sus objetivos y metas. 
</v>
      </c>
      <c r="Q176" s="431"/>
      <c r="R176" s="431"/>
      <c r="S176" s="431"/>
      <c r="T176" s="305" t="str">
        <f t="shared" si="3"/>
        <v>No Aplica</v>
      </c>
    </row>
    <row r="177" spans="2:20" ht="108">
      <c r="B177" s="425">
        <f>'4.Electivos'!B31</f>
        <v>7</v>
      </c>
      <c r="C177" s="425" t="str">
        <f>IF('4.Electivos'!C31="","",'4.Electivos'!C31)</f>
        <v>RSO61013</v>
      </c>
      <c r="D177" s="425" t="str">
        <f>IF('4.Electivos'!E31="","",'4.Electivos'!E31)</f>
        <v>BASES PARA LA GESTIÓN ESTRATÉGICA DE LA SOSTENIBILIDAD</v>
      </c>
      <c r="E177" s="426" t="str">
        <f>'4.Electivos'!I31</f>
        <v>Presencial</v>
      </c>
      <c r="F177" s="426">
        <f>IF('4.Electivos'!J31=0,"-",'4.Electivos'!J31)</f>
        <v>64</v>
      </c>
      <c r="G177" s="427" t="str">
        <f>IF('4.Electivos'!K31=0,"-",'4.Electivos'!K31)</f>
        <v>-</v>
      </c>
      <c r="H177" s="427" t="str">
        <f>IF('4.Electivos'!L31=0,"-",'4.Electivos'!L31)</f>
        <v>-</v>
      </c>
      <c r="I177" s="427" t="str">
        <f>IF('4.Electivos'!M31=0,"-",'4.Electivos'!M31)</f>
        <v>-</v>
      </c>
      <c r="J177" s="427" t="str">
        <f>IF('4.Electivos'!N31=0,"-",'4.Electivos'!N31)</f>
        <v>-</v>
      </c>
      <c r="K177" s="428" t="str">
        <f>IF('4.Electivos'!O31=0,"-",'4.Electivos'!O31)</f>
        <v>-</v>
      </c>
      <c r="L177" s="429">
        <f>IF('4.Electivos'!P31=0,"-",'4.Electivos'!P31)</f>
        <v>4</v>
      </c>
      <c r="M177" s="430" t="str">
        <f>IF('7.Sumillas'!G173=0,"",'7.Sumillas'!G173)</f>
        <v>Bases para la gestión estratégica de la sostenibilidad, es una asignatura de formación especializada, tiene carácter teórico y contribuye al desarrollo de la competencia de Desarrollo de gestión educativa. Tiene como propósito que el estudiante asuma una visión socialmente responsable y el enfoque de desarrollo sostenible para contribuir al bienestar de la sociedad. Comprende y relaciona temas como la ecología básica, el cambio climático, la gestión ambiental y sus impactos, las nuevas economías, el valor compartido y el marco legal general. El producto acreditable de la asignatura es un trabajo final que abordará los principales conceptos y como se interrelacionan entre ellos.</v>
      </c>
      <c r="N177" s="431"/>
      <c r="O177" s="431"/>
      <c r="P177" s="430" t="str">
        <f>CONCATENATE(CHAR(10),CONCATENATE('4.Electivos'!Y31,CHAR(10),'4.Electivos'!Z31,CHAR(10),'4.Electivos'!AA31,CHAR(10),'4.Electivos'!AB31,CHAR(10),'4.Electivos'!AC31))</f>
        <v xml:space="preserve">
CP2: Desarrollo de gestión educativa:N2 Promueve la conformación de un conjunto de procesos organizados que permitan que las áreas de gestión educativa logren sus objetivos y metas. 
</v>
      </c>
      <c r="Q177" s="431"/>
      <c r="R177" s="431"/>
      <c r="S177" s="431"/>
      <c r="T177" s="305" t="str">
        <f t="shared" si="3"/>
        <v>No Aplica</v>
      </c>
    </row>
    <row r="178" spans="2:20" ht="180">
      <c r="B178" s="425">
        <f>'4.Electivos'!B32</f>
        <v>7</v>
      </c>
      <c r="C178" s="425" t="str">
        <f>IF('4.Electivos'!C32="","",'4.Electivos'!C32)</f>
        <v>GES61009</v>
      </c>
      <c r="D178" s="425" t="str">
        <f>IF('4.Electivos'!E32="","",'4.Electivos'!E32)</f>
        <v>C. M.: OPORTUNIDADES DE NEGOCIOS</v>
      </c>
      <c r="E178" s="426" t="str">
        <f>'4.Electivos'!I32</f>
        <v>Presencial</v>
      </c>
      <c r="F178" s="426">
        <f>IF('4.Electivos'!J32=0,"-",'4.Electivos'!J32)</f>
        <v>64</v>
      </c>
      <c r="G178" s="427" t="str">
        <f>IF('4.Electivos'!K32=0,"-",'4.Electivos'!K32)</f>
        <v>-</v>
      </c>
      <c r="H178" s="427" t="str">
        <f>IF('4.Electivos'!L32=0,"-",'4.Electivos'!L32)</f>
        <v>-</v>
      </c>
      <c r="I178" s="427" t="str">
        <f>IF('4.Electivos'!M32=0,"-",'4.Electivos'!M32)</f>
        <v>-</v>
      </c>
      <c r="J178" s="427" t="str">
        <f>IF('4.Electivos'!N32=0,"-",'4.Electivos'!N32)</f>
        <v>-</v>
      </c>
      <c r="K178" s="428" t="str">
        <f>IF('4.Electivos'!O32=0,"-",'4.Electivos'!O32)</f>
        <v>-</v>
      </c>
      <c r="L178" s="429">
        <f>IF('4.Electivos'!P32=0,"-",'4.Electivos'!P32)</f>
        <v>4</v>
      </c>
      <c r="M178" s="430" t="str">
        <f>IF('7.Sumillas'!G174=0,"",'7.Sumillas'!G174)</f>
        <v>Oportunidades de Negocio, es un asignatura de especialidad, tiene carácter teórico, contribuye al desarrollo de la competencia profesional Desarrollo de gestión educativa, mediante la elaboración de un modelo de negocio. Los ejes temáticos son: marco conceptual de emprendimiento y design thinking, herramientas blandas de emprendimiento para obtener el Producto Mínimo Viable, validación del área de Mercado del modelo de negocio Canvas y validación del área de Producción del modelo de negocio Canvas. Aplica conocimientos en el desarrollo de soluciones a situaciones problemáticas ampliando la visión de los participantes con el fin de detectar y desarrollar capacidades emprendedoras que les permitan ser competentes en identificar y validar oportunidades de negocio innovadoras en su entorno mediante la utilización de metodologías ágiles, buscando que el estudiante fortalezca sus habilidades blandas de Dirección, Sociales y Personales para mejorar su perfil y condiciones actitudinales hacia el emprendimiento empresarial. El producto acreditable es la presentación de un modelo de negocio Canvas aplicando el método Lean Startup.</v>
      </c>
      <c r="N178" s="431"/>
      <c r="O178" s="431"/>
      <c r="P178" s="430" t="str">
        <f>CONCATENATE(CHAR(10),CONCATENATE('4.Electivos'!Y32,CHAR(10),'4.Electivos'!Z32,CHAR(10),'4.Electivos'!AA32,CHAR(10),'4.Electivos'!AB32,CHAR(10),'4.Electivos'!AC32))</f>
        <v xml:space="preserve">
CP2: Desarrollo de gestión educativa:N2 Promueve la conformación de un conjunto de procesos organizados que permitan que las áreas de gestión educativa logren sus objetivos y metas. 
</v>
      </c>
      <c r="Q178" s="431"/>
      <c r="R178" s="431"/>
      <c r="S178" s="431"/>
      <c r="T178" s="305" t="str">
        <f t="shared" si="3"/>
        <v>No Aplica</v>
      </c>
    </row>
    <row r="179" spans="2:20" ht="132">
      <c r="B179" s="425">
        <f>'4.Electivos'!B33</f>
        <v>7</v>
      </c>
      <c r="C179" s="425" t="str">
        <f>IF('4.Electivos'!C33="","",'4.Electivos'!C33)</f>
        <v>DRH65005</v>
      </c>
      <c r="D179" s="425" t="str">
        <f>IF('4.Electivos'!E33="","",'4.Electivos'!E33)</f>
        <v>CULTURAL TRANSFORMATION FOR DIGITAL TRANSFORMATION</v>
      </c>
      <c r="E179" s="426" t="str">
        <f>'4.Electivos'!I33</f>
        <v>Presencial</v>
      </c>
      <c r="F179" s="426">
        <f>IF('4.Electivos'!J33=0,"-",'4.Electivos'!J33)</f>
        <v>64</v>
      </c>
      <c r="G179" s="427" t="str">
        <f>IF('4.Electivos'!K33=0,"-",'4.Electivos'!K33)</f>
        <v>-</v>
      </c>
      <c r="H179" s="427" t="str">
        <f>IF('4.Electivos'!L33=0,"-",'4.Electivos'!L33)</f>
        <v>-</v>
      </c>
      <c r="I179" s="427" t="str">
        <f>IF('4.Electivos'!M33=0,"-",'4.Electivos'!M33)</f>
        <v>-</v>
      </c>
      <c r="J179" s="427" t="str">
        <f>IF('4.Electivos'!N33=0,"-",'4.Electivos'!N33)</f>
        <v>-</v>
      </c>
      <c r="K179" s="428" t="str">
        <f>IF('4.Electivos'!O33=0,"-",'4.Electivos'!O33)</f>
        <v>-</v>
      </c>
      <c r="L179" s="429">
        <f>IF('4.Electivos'!P33=0,"-",'4.Electivos'!P33)</f>
        <v>4</v>
      </c>
      <c r="M179" s="430" t="str">
        <f>IF('7.Sumillas'!G175=0,"",'7.Sumillas'!G175)</f>
        <v>Cultural Transformation for Digital Transformation es una asignatura que corresponde al área de estudios de especialidad. Es de naturaleza teórica. Tributa a la competencia profesional de Desarrollo de gestión educativa cuyo propósito es analizar y proponer procesos dentro de una organización o área funcional para iniciar una transformación cultural que logre transformar digitalmente a una empresa y le brinde al alumno herramientas de gestión que le permita implementar sus iniciativas empresariales en el futuro. El contenido del curso incluye cuatro ejes temáticos: Liderazgo y gestión del cambio, cultura organizacional y valores corporativos, capacitación y desarrollo de habilidades digitales y cambio de mentalidad y cultura de innovación. El producto acreditable de la asignatura es un "Plan de acción para la transformación digital de una empresa"</v>
      </c>
      <c r="N179" s="431"/>
      <c r="O179" s="431"/>
      <c r="P179" s="430" t="str">
        <f>CONCATENATE(CHAR(10),CONCATENATE('4.Electivos'!Y33,CHAR(10),'4.Electivos'!Z33,CHAR(10),'4.Electivos'!AA33,CHAR(10),'4.Electivos'!AB33,CHAR(10),'4.Electivos'!AC33))</f>
        <v xml:space="preserve">
CP2: Desarrollo de gestión educativa:N2 Promueve la conformación de un conjunto de procesos organizados que permitan que las áreas de gestión educativa logren sus objetivos y metas. 
</v>
      </c>
      <c r="Q179" s="431"/>
      <c r="R179" s="431"/>
      <c r="S179" s="431"/>
      <c r="T179" s="305" t="str">
        <f t="shared" si="3"/>
        <v>No Aplica</v>
      </c>
    </row>
    <row r="180" spans="2:20" ht="108">
      <c r="B180" s="425">
        <f>'4.Electivos'!B34</f>
        <v>7</v>
      </c>
      <c r="C180" s="425" t="str">
        <f>IF('4.Electivos'!C34="","",'4.Electivos'!C34)</f>
        <v>UOR61002</v>
      </c>
      <c r="D180" s="425" t="str">
        <f>IF('4.Electivos'!E34="","",'4.Electivos'!E34)</f>
        <v>TECNOLOGÍAS EMERGENTES</v>
      </c>
      <c r="E180" s="426" t="str">
        <f>'4.Electivos'!I34</f>
        <v>Presencial</v>
      </c>
      <c r="F180" s="426">
        <f>IF('4.Electivos'!J34=0,"-",'4.Electivos'!J34)</f>
        <v>32</v>
      </c>
      <c r="G180" s="427" t="str">
        <f>IF('4.Electivos'!K34=0,"-",'4.Electivos'!K34)</f>
        <v>-</v>
      </c>
      <c r="H180" s="427">
        <f>IF('4.Electivos'!L34=0,"-",'4.Electivos'!L34)</f>
        <v>32</v>
      </c>
      <c r="I180" s="427" t="str">
        <f>IF('4.Electivos'!M34=0,"-",'4.Electivos'!M34)</f>
        <v>-</v>
      </c>
      <c r="J180" s="427">
        <f>IF('4.Electivos'!N34=0,"-",'4.Electivos'!N34)</f>
        <v>32</v>
      </c>
      <c r="K180" s="428" t="str">
        <f>IF('4.Electivos'!O34=0,"-",'4.Electivos'!O34)</f>
        <v>-</v>
      </c>
      <c r="L180" s="429">
        <f>IF('4.Electivos'!P34=0,"-",'4.Electivos'!P34)</f>
        <v>4</v>
      </c>
      <c r="M180" s="430" t="str">
        <f>IF('7.Sumillas'!G176=0,"",'7.Sumillas'!G176)</f>
        <v>Tecnologías emergentes, es una asignatura de formación especializada, tiene carácter teórico práctico y contribuye al desarrollo de la competencia Investigación Educativa, para ser capaz de desenvolverse en esta nueva cultura de innovación continua en una sociedad digital, considerando su impacto en el contexto de una industria específica, escenario empresarial o de toda la sociedad. El curso comprende el desarrollo de los siguientes ejes temáticos: madurez tecnológica empresarial, vigilancia tecnológica, ciclo de vida de las tecnologías emergentes, megatendencias en negocios digitales. El producto acreditable es un Infome donde los estudiantes describan  la aplicación de las tendencias de tecnologías emergentes.</v>
      </c>
      <c r="N180" s="431"/>
      <c r="O180" s="431"/>
      <c r="P180" s="430" t="str">
        <f>CONCATENATE(CHAR(10),CONCATENATE('4.Electivos'!Y34,CHAR(10),'4.Electivos'!Z34,CHAR(10),'4.Electivos'!AA34,CHAR(10),'4.Electivos'!AB34,CHAR(10),'4.Electivos'!AC34))</f>
        <v xml:space="preserve">
CP4: Investigación Educativa:N2 Realiza proyectos de investigación reflejando sustento sobre el campo metodológico y teórico para sustentar los productos acreditables.
</v>
      </c>
      <c r="Q180" s="431"/>
      <c r="R180" s="431"/>
      <c r="S180" s="431"/>
      <c r="T180" s="305" t="str">
        <f t="shared" si="3"/>
        <v>No Aplica</v>
      </c>
    </row>
    <row r="181" spans="2:20" ht="72">
      <c r="B181" s="425">
        <f>'4.Electivos'!B35</f>
        <v>7</v>
      </c>
      <c r="C181" s="425" t="str">
        <f>IF('4.Electivos'!C35="","",'4.Electivos'!C35)</f>
        <v/>
      </c>
      <c r="D181" s="425" t="str">
        <f>IF('4.Electivos'!E35="","",'4.Electivos'!E35)</f>
        <v/>
      </c>
      <c r="E181" s="426" t="str">
        <f>'4.Electivos'!I35</f>
        <v/>
      </c>
      <c r="F181" s="426" t="str">
        <f>IF('4.Electivos'!J35=0,"-",'4.Electivos'!J35)</f>
        <v>-</v>
      </c>
      <c r="G181" s="427" t="str">
        <f>IF('4.Electivos'!K35=0,"-",'4.Electivos'!K35)</f>
        <v>-</v>
      </c>
      <c r="H181" s="427" t="str">
        <f>IF('4.Electivos'!L35=0,"-",'4.Electivos'!L35)</f>
        <v>-</v>
      </c>
      <c r="I181" s="427" t="str">
        <f>IF('4.Electivos'!M35=0,"-",'4.Electivos'!M35)</f>
        <v>-</v>
      </c>
      <c r="J181" s="427" t="str">
        <f>IF('4.Electivos'!N35=0,"-",'4.Electivos'!N35)</f>
        <v>-</v>
      </c>
      <c r="K181" s="428" t="str">
        <f>IF('4.Electivos'!O35=0,"-",'4.Electivos'!O35)</f>
        <v>-</v>
      </c>
      <c r="L181" s="429" t="str">
        <f>IF('4.Electivos'!P35=0,"-",'4.Electivos'!P35)</f>
        <v>-</v>
      </c>
      <c r="M181" s="430" t="str">
        <f>IF('7.Sumillas'!G177=0,"",'7.Sumillas'!G177)</f>
        <v/>
      </c>
      <c r="N181" s="431"/>
      <c r="O181" s="431"/>
      <c r="P181" s="430" t="str">
        <f>CONCATENATE(CHAR(10),CONCATENATE('4.Electivos'!Y35,CHAR(10),'4.Electivos'!Z35,CHAR(10),'4.Electivos'!AA35,CHAR(10),'4.Electivos'!AB35,CHAR(10),'4.Electivos'!AC35))</f>
        <v xml:space="preserve">
</v>
      </c>
      <c r="Q181" s="431"/>
      <c r="R181" s="431"/>
      <c r="S181" s="431"/>
      <c r="T181" s="305" t="str">
        <f t="shared" si="3"/>
        <v>No Aplica</v>
      </c>
    </row>
    <row r="182" spans="2:20" ht="72">
      <c r="B182" s="425">
        <f>'4.Electivos'!B36</f>
        <v>7</v>
      </c>
      <c r="C182" s="425" t="str">
        <f>IF('4.Electivos'!C36="","",'4.Electivos'!C36)</f>
        <v/>
      </c>
      <c r="D182" s="425" t="str">
        <f>IF('4.Electivos'!E36="","",'4.Electivos'!E36)</f>
        <v/>
      </c>
      <c r="E182" s="426" t="str">
        <f>'4.Electivos'!I36</f>
        <v/>
      </c>
      <c r="F182" s="426" t="str">
        <f>IF('4.Electivos'!J36=0,"-",'4.Electivos'!J36)</f>
        <v>-</v>
      </c>
      <c r="G182" s="427" t="str">
        <f>IF('4.Electivos'!K36=0,"-",'4.Electivos'!K36)</f>
        <v>-</v>
      </c>
      <c r="H182" s="427" t="str">
        <f>IF('4.Electivos'!L36=0,"-",'4.Electivos'!L36)</f>
        <v>-</v>
      </c>
      <c r="I182" s="427" t="str">
        <f>IF('4.Electivos'!M36=0,"-",'4.Electivos'!M36)</f>
        <v>-</v>
      </c>
      <c r="J182" s="427" t="str">
        <f>IF('4.Electivos'!N36=0,"-",'4.Electivos'!N36)</f>
        <v>-</v>
      </c>
      <c r="K182" s="428" t="str">
        <f>IF('4.Electivos'!O36=0,"-",'4.Electivos'!O36)</f>
        <v>-</v>
      </c>
      <c r="L182" s="429" t="str">
        <f>IF('4.Electivos'!P36=0,"-",'4.Electivos'!P36)</f>
        <v>-</v>
      </c>
      <c r="M182" s="430" t="str">
        <f>IF('7.Sumillas'!G178=0,"",'7.Sumillas'!G178)</f>
        <v/>
      </c>
      <c r="N182" s="431"/>
      <c r="O182" s="431"/>
      <c r="P182" s="430" t="str">
        <f>CONCATENATE(CHAR(10),CONCATENATE('4.Electivos'!Y36,CHAR(10),'4.Electivos'!Z36,CHAR(10),'4.Electivos'!AA36,CHAR(10),'4.Electivos'!AB36,CHAR(10),'4.Electivos'!AC36))</f>
        <v xml:space="preserve">
</v>
      </c>
      <c r="Q182" s="431"/>
      <c r="R182" s="431"/>
      <c r="S182" s="431"/>
      <c r="T182" s="305" t="str">
        <f t="shared" si="3"/>
        <v>No Aplica</v>
      </c>
    </row>
    <row r="183" spans="2:20" ht="72">
      <c r="B183" s="425">
        <f>'4.Electivos'!B37</f>
        <v>7</v>
      </c>
      <c r="C183" s="425" t="str">
        <f>IF('4.Electivos'!C37="","",'4.Electivos'!C37)</f>
        <v/>
      </c>
      <c r="D183" s="425" t="str">
        <f>IF('4.Electivos'!E37="","",'4.Electivos'!E37)</f>
        <v/>
      </c>
      <c r="E183" s="426" t="str">
        <f>'4.Electivos'!I37</f>
        <v/>
      </c>
      <c r="F183" s="426" t="str">
        <f>IF('4.Electivos'!J37=0,"-",'4.Electivos'!J37)</f>
        <v>-</v>
      </c>
      <c r="G183" s="427" t="str">
        <f>IF('4.Electivos'!K37=0,"-",'4.Electivos'!K37)</f>
        <v>-</v>
      </c>
      <c r="H183" s="427" t="str">
        <f>IF('4.Electivos'!L37=0,"-",'4.Electivos'!L37)</f>
        <v>-</v>
      </c>
      <c r="I183" s="427" t="str">
        <f>IF('4.Electivos'!M37=0,"-",'4.Electivos'!M37)</f>
        <v>-</v>
      </c>
      <c r="J183" s="427" t="str">
        <f>IF('4.Electivos'!N37=0,"-",'4.Electivos'!N37)</f>
        <v>-</v>
      </c>
      <c r="K183" s="428" t="str">
        <f>IF('4.Electivos'!O37=0,"-",'4.Electivos'!O37)</f>
        <v>-</v>
      </c>
      <c r="L183" s="429" t="str">
        <f>IF('4.Electivos'!P37=0,"-",'4.Electivos'!P37)</f>
        <v>-</v>
      </c>
      <c r="M183" s="430" t="str">
        <f>IF('7.Sumillas'!G179=0,"",'7.Sumillas'!G179)</f>
        <v/>
      </c>
      <c r="N183" s="431"/>
      <c r="O183" s="431"/>
      <c r="P183" s="430" t="str">
        <f>CONCATENATE(CHAR(10),CONCATENATE('4.Electivos'!Y37,CHAR(10),'4.Electivos'!Z37,CHAR(10),'4.Electivos'!AA37,CHAR(10),'4.Electivos'!AB37,CHAR(10),'4.Electivos'!AC37))</f>
        <v xml:space="preserve">
</v>
      </c>
      <c r="Q183" s="431"/>
      <c r="R183" s="431"/>
      <c r="S183" s="431"/>
      <c r="T183" s="305" t="str">
        <f t="shared" si="3"/>
        <v>No Aplica</v>
      </c>
    </row>
    <row r="184" spans="2:20" ht="72">
      <c r="B184" s="425">
        <f>'4.Electivos'!B38</f>
        <v>7</v>
      </c>
      <c r="C184" s="425" t="str">
        <f>IF('4.Electivos'!C38="","",'4.Electivos'!C38)</f>
        <v/>
      </c>
      <c r="D184" s="425" t="str">
        <f>IF('4.Electivos'!E38="","",'4.Electivos'!E38)</f>
        <v/>
      </c>
      <c r="E184" s="426" t="str">
        <f>'4.Electivos'!I38</f>
        <v/>
      </c>
      <c r="F184" s="426" t="str">
        <f>IF('4.Electivos'!J38=0,"-",'4.Electivos'!J38)</f>
        <v>-</v>
      </c>
      <c r="G184" s="427" t="str">
        <f>IF('4.Electivos'!K38=0,"-",'4.Electivos'!K38)</f>
        <v>-</v>
      </c>
      <c r="H184" s="427" t="str">
        <f>IF('4.Electivos'!L38=0,"-",'4.Electivos'!L38)</f>
        <v>-</v>
      </c>
      <c r="I184" s="427" t="str">
        <f>IF('4.Electivos'!M38=0,"-",'4.Electivos'!M38)</f>
        <v>-</v>
      </c>
      <c r="J184" s="427" t="str">
        <f>IF('4.Electivos'!N38=0,"-",'4.Electivos'!N38)</f>
        <v>-</v>
      </c>
      <c r="K184" s="428" t="str">
        <f>IF('4.Electivos'!O38=0,"-",'4.Electivos'!O38)</f>
        <v>-</v>
      </c>
      <c r="L184" s="429" t="str">
        <f>IF('4.Electivos'!P38=0,"-",'4.Electivos'!P38)</f>
        <v>-</v>
      </c>
      <c r="M184" s="430" t="str">
        <f>IF('7.Sumillas'!G180=0,"",'7.Sumillas'!G180)</f>
        <v/>
      </c>
      <c r="N184" s="431"/>
      <c r="O184" s="431"/>
      <c r="P184" s="430" t="str">
        <f>CONCATENATE(CHAR(10),CONCATENATE('4.Electivos'!Y38,CHAR(10),'4.Electivos'!Z38,CHAR(10),'4.Electivos'!AA38,CHAR(10),'4.Electivos'!AB38,CHAR(10),'4.Electivos'!AC38))</f>
        <v xml:space="preserve">
</v>
      </c>
      <c r="Q184" s="431"/>
      <c r="R184" s="431"/>
      <c r="S184" s="431"/>
      <c r="T184" s="305" t="str">
        <f t="shared" si="3"/>
        <v>No Aplica</v>
      </c>
    </row>
    <row r="185" spans="2:20" ht="132">
      <c r="B185" s="425">
        <f>'4.Electivos'!B39</f>
        <v>8</v>
      </c>
      <c r="C185" s="425" t="str">
        <f>IF('4.Electivos'!C39="","",'4.Electivos'!C39)</f>
        <v>EIC51007</v>
      </c>
      <c r="D185" s="425" t="str">
        <f>IF('4.Electivos'!E39="","",'4.Electivos'!E39)</f>
        <v>DESARROLLO Y DINÁMICA DE LOS GRUPOS HUMANOS</v>
      </c>
      <c r="E185" s="426" t="str">
        <f>'4.Electivos'!I39</f>
        <v>Presencial</v>
      </c>
      <c r="F185" s="426">
        <f>IF('4.Electivos'!J39=0,"-",'4.Electivos'!J39)</f>
        <v>65</v>
      </c>
      <c r="G185" s="427" t="str">
        <f>IF('4.Electivos'!K39=0,"-",'4.Electivos'!K39)</f>
        <v>-</v>
      </c>
      <c r="H185" s="427" t="str">
        <f>IF('4.Electivos'!L39=0,"-",'4.Electivos'!L39)</f>
        <v>-</v>
      </c>
      <c r="I185" s="427" t="str">
        <f>IF('4.Electivos'!M39=0,"-",'4.Electivos'!M39)</f>
        <v>-</v>
      </c>
      <c r="J185" s="427" t="str">
        <f>IF('4.Electivos'!N39=0,"-",'4.Electivos'!N39)</f>
        <v>-</v>
      </c>
      <c r="K185" s="428" t="str">
        <f>IF('4.Electivos'!O39=0,"-",'4.Electivos'!O39)</f>
        <v>-</v>
      </c>
      <c r="L185" s="429">
        <f>IF('4.Electivos'!P39=0,"-",'4.Electivos'!P39)</f>
        <v>4.0625</v>
      </c>
      <c r="M185" s="430" t="str">
        <f>IF('7.Sumillas'!G181=0,"",'7.Sumillas'!G181)</f>
        <v>Desarrollo y Dinámicas de los grupos humanos es un curso del área de especialidad,  de naturaleza teórico- práctica. Tributa a la competencia de Orientación Educativa con el fin de demostrar sensibilidad y disposición social en las interacciones de su vida académica, con asertividad y empatía, para afrontar de manera satisfactoria las exigencias sociales y profesionales.  Los ejes temáticos del curso son: Desarrollo de la Persona humana y gestión de los recursos humanos. Asimismo, cuenta con la finalidad de brindar al estudiante oportunidades para conocer las teorías, investigaciones y los conceptos básicos sobre el comportamiento de los individuos dentro de la dinámica de grupos a la luz de la psicología social. El producto acreditable, será la presentación de un trabajo que evidencia las estrategias de intervención en las dinámicas de un grupo humano.</v>
      </c>
      <c r="N185" s="431"/>
      <c r="O185" s="431"/>
      <c r="P185" s="430" t="str">
        <f>CONCATENATE(CHAR(10),CONCATENATE('4.Electivos'!Y39,CHAR(10),'4.Electivos'!Z39,CHAR(10),'4.Electivos'!AA39,CHAR(10),'4.Electivos'!AB39,CHAR(10),'4.Electivos'!AC39))</f>
        <v xml:space="preserve">
CP1: Orientación educativa:N3 Comprende el rigor científico de la teoría, la historia y la psicología aplicadas al ámbito educativo para establecer las orientaciones fundamentales del sentido educativo en los docentes y los alumnos.
</v>
      </c>
      <c r="Q185" s="431"/>
      <c r="R185" s="431"/>
      <c r="S185" s="431"/>
      <c r="T185" s="305" t="str">
        <f t="shared" si="3"/>
        <v>No Aplica</v>
      </c>
    </row>
    <row r="186" spans="2:20" ht="96">
      <c r="B186" s="425">
        <f>'4.Electivos'!B40</f>
        <v>8</v>
      </c>
      <c r="C186" s="425" t="str">
        <f>IF('4.Electivos'!C40="","",'4.Electivos'!C40)</f>
        <v>EIC51008</v>
      </c>
      <c r="D186" s="425" t="str">
        <f>IF('4.Electivos'!E40="","",'4.Electivos'!E40)</f>
        <v>ESTRATEGIAS DE EVALUACIÓN DE LOS APRENDIZAJES</v>
      </c>
      <c r="E186" s="426" t="str">
        <f>'4.Electivos'!I40</f>
        <v>Presencial</v>
      </c>
      <c r="F186" s="426">
        <f>IF('4.Electivos'!J40=0,"-",'4.Electivos'!J40)</f>
        <v>64</v>
      </c>
      <c r="G186" s="427" t="str">
        <f>IF('4.Electivos'!K40=0,"-",'4.Electivos'!K40)</f>
        <v>-</v>
      </c>
      <c r="H186" s="427" t="str">
        <f>IF('4.Electivos'!L40=0,"-",'4.Electivos'!L40)</f>
        <v>-</v>
      </c>
      <c r="I186" s="427" t="str">
        <f>IF('4.Electivos'!M40=0,"-",'4.Electivos'!M40)</f>
        <v>-</v>
      </c>
      <c r="J186" s="427" t="str">
        <f>IF('4.Electivos'!N40=0,"-",'4.Electivos'!N40)</f>
        <v>-</v>
      </c>
      <c r="K186" s="428" t="str">
        <f>IF('4.Electivos'!O40=0,"-",'4.Electivos'!O40)</f>
        <v>-</v>
      </c>
      <c r="L186" s="429">
        <f>IF('4.Electivos'!P40=0,"-",'4.Electivos'!P40)</f>
        <v>4</v>
      </c>
      <c r="M186" s="430" t="str">
        <f>IF('7.Sumillas'!G182=0,"",'7.Sumillas'!G182)</f>
        <v>El curso Estrategias de Evaluación de los Aprendizajes, es de formación especializada y de naturaleza teórico – práctico. Esta asignatura atributa a la competencia de Desarrollo Enseñanza y Aprendizaje. Comprende el desarrollo de los siguientes ejes temáticos: la evaluación como procesos de aprendizaje, las estrategias de evaluación dentro del currículo por competencias, la comunicación del proceso de evaluación y la evaluación del proceso implementado. El producto acreditable es una propuesta disruptiva que cumpla con lo que requerido en el currículo nacional.</v>
      </c>
      <c r="N186" s="431"/>
      <c r="O186" s="431"/>
      <c r="P186" s="430" t="str">
        <f>CONCATENATE(CHAR(10),CONCATENATE('4.Electivos'!Y40,CHAR(10),'4.Electivos'!Z40,CHAR(10),'4.Electivos'!AA40,CHAR(10),'4.Electivos'!AB40,CHAR(10),'4.Electivos'!AC40))</f>
        <v xml:space="preserve">
CP3: Desarrollo enseñanza y aprendizaje:N3 Desempeñarse de manera eficiente en el desarrollo la enseñanza y de su desarrollo en su identidad docente para el buen aprendizaje de los estudiantes.
</v>
      </c>
      <c r="Q186" s="431"/>
      <c r="R186" s="431"/>
      <c r="S186" s="431"/>
      <c r="T186" s="305" t="str">
        <f t="shared" si="3"/>
        <v>No Aplica</v>
      </c>
    </row>
    <row r="187" spans="2:20" ht="144">
      <c r="B187" s="425">
        <f>'4.Electivos'!B41</f>
        <v>8</v>
      </c>
      <c r="C187" s="425" t="str">
        <f>IF('4.Electivos'!C41="","",'4.Electivos'!C41)</f>
        <v>RSO61015</v>
      </c>
      <c r="D187" s="425" t="str">
        <f>IF('4.Electivos'!E41="","",'4.Electivos'!E41)</f>
        <v>GESTIÓN EMPRESARIAL SOSTENIBLE</v>
      </c>
      <c r="E187" s="426" t="str">
        <f>'4.Electivos'!I41</f>
        <v>Presencial</v>
      </c>
      <c r="F187" s="426">
        <f>IF('4.Electivos'!J41=0,"-",'4.Electivos'!J41)</f>
        <v>64</v>
      </c>
      <c r="G187" s="427" t="str">
        <f>IF('4.Electivos'!K41=0,"-",'4.Electivos'!K41)</f>
        <v>-</v>
      </c>
      <c r="H187" s="427" t="str">
        <f>IF('4.Electivos'!L41=0,"-",'4.Electivos'!L41)</f>
        <v>-</v>
      </c>
      <c r="I187" s="427" t="str">
        <f>IF('4.Electivos'!M41=0,"-",'4.Electivos'!M41)</f>
        <v>-</v>
      </c>
      <c r="J187" s="427" t="str">
        <f>IF('4.Electivos'!N41=0,"-",'4.Electivos'!N41)</f>
        <v>-</v>
      </c>
      <c r="K187" s="428" t="str">
        <f>IF('4.Electivos'!O41=0,"-",'4.Electivos'!O41)</f>
        <v>-</v>
      </c>
      <c r="L187" s="429">
        <f>IF('4.Electivos'!P41=0,"-",'4.Electivos'!P41)</f>
        <v>4</v>
      </c>
      <c r="M187" s="430" t="str">
        <f>IF('7.Sumillas'!G183=0,"",'7.Sumillas'!G183)</f>
        <v>Gestión empresarial sostenible, es una asignatura de formación especializada, tiene carácter teórico y contribuye al desarrollo de la competencia profesional de Desarrollo de Gestión Educativa. Tiene como propósito que el estudiante asuma una visión socialmente responsable y el enfoque de desarrollo sostenible para contribuir al bienestar de la sociedad. Comprende el desarrollo de los siguientes ejes temáticos: procesos y herramientas básicas que ayudan a las empresas privadas a alcanzar una sostenibilidad en el marco de los criterios ambientales, sociales y de gobernanza, con énfasis en el uso de herramientas de finanzas verdes como bonos de carbono y compensación de emisiones, así como también, instrumentos de reporte como el estándar GRI, ISO 26000 y certificaciones como Empresa B.  El producto acreditable de la asignatura es un trabajo final donde se aplicará los conceptos y herramientas presentadas.</v>
      </c>
      <c r="N187" s="431"/>
      <c r="O187" s="431"/>
      <c r="P187" s="430" t="str">
        <f>CONCATENATE(CHAR(10),CONCATENATE('4.Electivos'!Y41,CHAR(10),'4.Electivos'!Z41,CHAR(10),'4.Electivos'!AA41,CHAR(10),'4.Electivos'!AB41,CHAR(10),'4.Electivos'!AC41))</f>
        <v xml:space="preserve">
CP2: Desarrollo de gestión educativa:N3 Establece relaciones entre las concepciones de administración, economía, marketing y aspectos legales como fundamentos básicos para el desarrollo de una buena gestión educativa.
</v>
      </c>
      <c r="Q187" s="431"/>
      <c r="R187" s="431"/>
      <c r="S187" s="431"/>
      <c r="T187" s="305" t="str">
        <f t="shared" si="3"/>
        <v>No Aplica</v>
      </c>
    </row>
    <row r="188" spans="2:20" ht="108">
      <c r="B188" s="425">
        <f>'4.Electivos'!B42</f>
        <v>8</v>
      </c>
      <c r="C188" s="425" t="str">
        <f>IF('4.Electivos'!C42="","",'4.Electivos'!C42)</f>
        <v>GES61010</v>
      </c>
      <c r="D188" s="425" t="str">
        <f>IF('4.Electivos'!E42="","",'4.Electivos'!E42)</f>
        <v>C. M.: PLAN DE NEGOCIOS</v>
      </c>
      <c r="E188" s="426" t="str">
        <f>'4.Electivos'!I42</f>
        <v>Presencial</v>
      </c>
      <c r="F188" s="426">
        <f>IF('4.Electivos'!J42=0,"-",'4.Electivos'!J42)</f>
        <v>64</v>
      </c>
      <c r="G188" s="427" t="str">
        <f>IF('4.Electivos'!K42=0,"-",'4.Electivos'!K42)</f>
        <v>-</v>
      </c>
      <c r="H188" s="427" t="str">
        <f>IF('4.Electivos'!L42=0,"-",'4.Electivos'!L42)</f>
        <v>-</v>
      </c>
      <c r="I188" s="427" t="str">
        <f>IF('4.Electivos'!M42=0,"-",'4.Electivos'!M42)</f>
        <v>-</v>
      </c>
      <c r="J188" s="427" t="str">
        <f>IF('4.Electivos'!N42=0,"-",'4.Electivos'!N42)</f>
        <v>-</v>
      </c>
      <c r="K188" s="428" t="str">
        <f>IF('4.Electivos'!O42=0,"-",'4.Electivos'!O42)</f>
        <v>-</v>
      </c>
      <c r="L188" s="429">
        <f>IF('4.Electivos'!P42=0,"-",'4.Electivos'!P42)</f>
        <v>4</v>
      </c>
      <c r="M188" s="430" t="str">
        <f>IF('7.Sumillas'!G184=0,"",'7.Sumillas'!G184)</f>
        <v>C.M.: Plan de Negocios es un asignatura de especialidad, de naturaleza teórico, contribuye a la competencia profesional de Desarrollo de Gestión Educativa, mediante la formulación de un Plan de Negocio como base para tomar la decisión de realizarlo, el cual se realizará a nivel de Estudio de Perfil. El contenido a desarrollar son los conceptos y aplicaciones, a nivel de perfil: estudio de mercado, estudio técnico, estudio legal, estudio organizacional, estudio ambiental, estudio de inversiones, costos e ingresos, estudio económico, y evaluación. El producto acreditable es la elaboración y sustentación de un plan de negocio a nivel de estudio de perfil.</v>
      </c>
      <c r="N188" s="431"/>
      <c r="O188" s="431"/>
      <c r="P188" s="430" t="str">
        <f>CONCATENATE(CHAR(10),CONCATENATE('4.Electivos'!Y42,CHAR(10),'4.Electivos'!Z42,CHAR(10),'4.Electivos'!AA42,CHAR(10),'4.Electivos'!AB42,CHAR(10),'4.Electivos'!AC42))</f>
        <v xml:space="preserve">
CP2: Desarrollo de gestión educativa:N3 Establece relaciones entre las concepciones de administración, economía, marketing y aspectos legales como fundamentos básicos para el desarrollo de una buena gestión educativa.
</v>
      </c>
      <c r="Q188" s="431"/>
      <c r="R188" s="431"/>
      <c r="S188" s="431"/>
      <c r="T188" s="305" t="str">
        <f t="shared" si="3"/>
        <v>No Aplica</v>
      </c>
    </row>
    <row r="189" spans="2:20" ht="120">
      <c r="B189" s="425">
        <f>'4.Electivos'!B43</f>
        <v>8</v>
      </c>
      <c r="C189" s="425" t="str">
        <f>IF('4.Electivos'!C43="","",'4.Electivos'!C43)</f>
        <v>GES52024</v>
      </c>
      <c r="D189" s="425" t="str">
        <f>IF('4.Electivos'!E43="","",'4.Electivos'!E43)</f>
        <v>CLOUD BUSINESS</v>
      </c>
      <c r="E189" s="426" t="str">
        <f>'4.Electivos'!I43</f>
        <v>Presencial</v>
      </c>
      <c r="F189" s="426">
        <f>IF('4.Electivos'!J43=0,"-",'4.Electivos'!J43)</f>
        <v>64</v>
      </c>
      <c r="G189" s="427" t="str">
        <f>IF('4.Electivos'!K43=0,"-",'4.Electivos'!K43)</f>
        <v>-</v>
      </c>
      <c r="H189" s="427" t="str">
        <f>IF('4.Electivos'!L43=0,"-",'4.Electivos'!L43)</f>
        <v>-</v>
      </c>
      <c r="I189" s="427" t="str">
        <f>IF('4.Electivos'!M43=0,"-",'4.Electivos'!M43)</f>
        <v>-</v>
      </c>
      <c r="J189" s="427" t="str">
        <f>IF('4.Electivos'!N43=0,"-",'4.Electivos'!N43)</f>
        <v>-</v>
      </c>
      <c r="K189" s="428" t="str">
        <f>IF('4.Electivos'!O43=0,"-",'4.Electivos'!O43)</f>
        <v>-</v>
      </c>
      <c r="L189" s="429">
        <f>IF('4.Electivos'!P43=0,"-",'4.Electivos'!P43)</f>
        <v>4</v>
      </c>
      <c r="M189" s="430" t="str">
        <f>IF('7.Sumillas'!G185=0,"",'7.Sumillas'!G185)</f>
        <v>Cloud Business, es una asignatura que corresponde al área de estudios de especialidad, es de naturaleza teórica. Tributa a la competencia Desarrollo de Gestión Educativa cuyo propósito es utilizar eficientemente los recursos necesarios para el logro de las metas u objetivos fomentando los negocios en la nube y sus diferentes implicancias, brindando al estudiante conocimiento básico necesario para la implementación de iniciativas empresariales en el futuro.  El contenido del curso incluye cuatro ejes temáticos: Infraestructura de la nube (almacenamiento y red), gestión y optimización de recursos en la nube, seguridad y cumplimiento en la nube y gestión de servicios en la nube.  El producto acreditable de la asignatura es "Plan de migración a la nube de una organización".</v>
      </c>
      <c r="N189" s="431"/>
      <c r="O189" s="431"/>
      <c r="P189" s="430" t="str">
        <f>CONCATENATE(CHAR(10),CONCATENATE('4.Electivos'!Y43,CHAR(10),'4.Electivos'!Z43,CHAR(10),'4.Electivos'!AA43,CHAR(10),'4.Electivos'!AB43,CHAR(10),'4.Electivos'!AC43))</f>
        <v xml:space="preserve">
CP2: Desarrollo de gestión educativa:N3 Establece relaciones entre las concepciones de administración, economía, marketing y aspectos legales como fundamentos básicos para el desarrollo de una buena gestión educativa.
</v>
      </c>
      <c r="Q189" s="431"/>
      <c r="R189" s="431"/>
      <c r="S189" s="431"/>
      <c r="T189" s="305" t="str">
        <f t="shared" si="3"/>
        <v>No Aplica</v>
      </c>
    </row>
    <row r="190" spans="2:20" ht="144">
      <c r="B190" s="425">
        <f>'4.Electivos'!B44</f>
        <v>8</v>
      </c>
      <c r="C190" s="425" t="str">
        <f>IF('4.Electivos'!C44="","",'4.Electivos'!C44)</f>
        <v>UOR61004</v>
      </c>
      <c r="D190" s="425" t="str">
        <f>IF('4.Electivos'!E44="","",'4.Electivos'!E44)</f>
        <v>INTELIGENCIA ARTIFICIAL GENERATIVA</v>
      </c>
      <c r="E190" s="426" t="str">
        <f>'4.Electivos'!I44</f>
        <v>Presencial</v>
      </c>
      <c r="F190" s="426">
        <f>IF('4.Electivos'!J44=0,"-",'4.Electivos'!J44)</f>
        <v>32</v>
      </c>
      <c r="G190" s="427" t="str">
        <f>IF('4.Electivos'!K44=0,"-",'4.Electivos'!K44)</f>
        <v>-</v>
      </c>
      <c r="H190" s="427">
        <f>IF('4.Electivos'!L44=0,"-",'4.Electivos'!L44)</f>
        <v>32</v>
      </c>
      <c r="I190" s="427" t="str">
        <f>IF('4.Electivos'!M44=0,"-",'4.Electivos'!M44)</f>
        <v>-</v>
      </c>
      <c r="J190" s="427">
        <f>IF('4.Electivos'!N44=0,"-",'4.Electivos'!N44)</f>
        <v>32</v>
      </c>
      <c r="K190" s="428" t="str">
        <f>IF('4.Electivos'!O44=0,"-",'4.Electivos'!O44)</f>
        <v>-</v>
      </c>
      <c r="L190" s="429">
        <f>IF('4.Electivos'!P44=0,"-",'4.Electivos'!P44)</f>
        <v>4</v>
      </c>
      <c r="M190" s="430" t="str">
        <f>IF('7.Sumillas'!G186=0,"",'7.Sumillas'!G186)</f>
        <v>Inteligencia Artificial Generativa, es una asignatura de formación especializada, tiene carácter teórico práctico, contribuye al desarrollo de la competencia Investigación Educativa permitiendo el desarrollo de habilidades en el uso de la IA generativa para resolver problemas prácticos, automatizar tareas rutinarias, analizar datos, crear contenido creativo de alta calidad, etc. comprendiendo que la IA generativa es una tecnología revolucionaria que está transformando el ámbito empresarial y su innovación. El curso comprende el desarrollo de los siguientes ejes temáticos: Introducción y fundamentos a la inteligencia artificial generativa, aspectos éticos en la sociedad, aplicaciones prácticas con herramientas para la creación de texto generativo, imágenes, música generativa, videos. El producto acreditable es la propuesta de solución a un problema de su entorno, aplicando las herramientas de IA generativa.</v>
      </c>
      <c r="N190" s="431"/>
      <c r="O190" s="431"/>
      <c r="P190" s="430" t="str">
        <f>CONCATENATE(CHAR(10),CONCATENATE('4.Electivos'!Y44,CHAR(10),'4.Electivos'!Z44,CHAR(10),'4.Electivos'!AA44,CHAR(10),'4.Electivos'!AB44,CHAR(10),'4.Electivos'!AC44))</f>
        <v xml:space="preserve">
CP4: Investigación Educativa:N3 Elabora el proyecto de investigación demostrando consistencia sobre todo en el marco teórico, diseño metodológico y validación de los instrumentos de investigación.
</v>
      </c>
      <c r="Q190" s="431"/>
      <c r="R190" s="431"/>
      <c r="S190" s="431"/>
      <c r="T190" s="305" t="str">
        <f t="shared" si="3"/>
        <v>No Aplica</v>
      </c>
    </row>
    <row r="191" spans="2:20" ht="72">
      <c r="B191" s="425">
        <f>'4.Electivos'!B45</f>
        <v>8</v>
      </c>
      <c r="C191" s="425" t="str">
        <f>IF('4.Electivos'!C45="","",'4.Electivos'!C45)</f>
        <v/>
      </c>
      <c r="D191" s="425" t="str">
        <f>IF('4.Electivos'!E45="","",'4.Electivos'!E45)</f>
        <v/>
      </c>
      <c r="E191" s="426" t="str">
        <f>'4.Electivos'!I45</f>
        <v/>
      </c>
      <c r="F191" s="426" t="str">
        <f>IF('4.Electivos'!J45=0,"-",'4.Electivos'!J45)</f>
        <v>-</v>
      </c>
      <c r="G191" s="427" t="str">
        <f>IF('4.Electivos'!K45=0,"-",'4.Electivos'!K45)</f>
        <v>-</v>
      </c>
      <c r="H191" s="427" t="str">
        <f>IF('4.Electivos'!L45=0,"-",'4.Electivos'!L45)</f>
        <v>-</v>
      </c>
      <c r="I191" s="427" t="str">
        <f>IF('4.Electivos'!M45=0,"-",'4.Electivos'!M45)</f>
        <v>-</v>
      </c>
      <c r="J191" s="427" t="str">
        <f>IF('4.Electivos'!N45=0,"-",'4.Electivos'!N45)</f>
        <v>-</v>
      </c>
      <c r="K191" s="428" t="str">
        <f>IF('4.Electivos'!O45=0,"-",'4.Electivos'!O45)</f>
        <v>-</v>
      </c>
      <c r="L191" s="429" t="str">
        <f>IF('4.Electivos'!P45=0,"-",'4.Electivos'!P45)</f>
        <v>-</v>
      </c>
      <c r="M191" s="430" t="str">
        <f>IF('7.Sumillas'!G187=0,"",'7.Sumillas'!G187)</f>
        <v/>
      </c>
      <c r="N191" s="431"/>
      <c r="O191" s="431"/>
      <c r="P191" s="430" t="str">
        <f>CONCATENATE(CHAR(10),CONCATENATE('4.Electivos'!Y45,CHAR(10),'4.Electivos'!Z45,CHAR(10),'4.Electivos'!AA45,CHAR(10),'4.Electivos'!AB45,CHAR(10),'4.Electivos'!AC45))</f>
        <v xml:space="preserve">
</v>
      </c>
      <c r="Q191" s="431"/>
      <c r="R191" s="431"/>
      <c r="S191" s="431"/>
      <c r="T191" s="305" t="str">
        <f t="shared" si="3"/>
        <v>No Aplica</v>
      </c>
    </row>
    <row r="192" spans="2:20" ht="72">
      <c r="B192" s="425">
        <f>'4.Electivos'!B46</f>
        <v>8</v>
      </c>
      <c r="C192" s="425" t="str">
        <f>IF('4.Electivos'!C46="","",'4.Electivos'!C46)</f>
        <v/>
      </c>
      <c r="D192" s="425" t="str">
        <f>IF('4.Electivos'!E46="","",'4.Electivos'!E46)</f>
        <v/>
      </c>
      <c r="E192" s="426" t="str">
        <f>'4.Electivos'!I46</f>
        <v/>
      </c>
      <c r="F192" s="426" t="str">
        <f>IF('4.Electivos'!J46=0,"-",'4.Electivos'!J46)</f>
        <v>-</v>
      </c>
      <c r="G192" s="427" t="str">
        <f>IF('4.Electivos'!K46=0,"-",'4.Electivos'!K46)</f>
        <v>-</v>
      </c>
      <c r="H192" s="427" t="str">
        <f>IF('4.Electivos'!L46=0,"-",'4.Electivos'!L46)</f>
        <v>-</v>
      </c>
      <c r="I192" s="427" t="str">
        <f>IF('4.Electivos'!M46=0,"-",'4.Electivos'!M46)</f>
        <v>-</v>
      </c>
      <c r="J192" s="427" t="str">
        <f>IF('4.Electivos'!N46=0,"-",'4.Electivos'!N46)</f>
        <v>-</v>
      </c>
      <c r="K192" s="428" t="str">
        <f>IF('4.Electivos'!O46=0,"-",'4.Electivos'!O46)</f>
        <v>-</v>
      </c>
      <c r="L192" s="429" t="str">
        <f>IF('4.Electivos'!P46=0,"-",'4.Electivos'!P46)</f>
        <v>-</v>
      </c>
      <c r="M192" s="430" t="str">
        <f>IF('7.Sumillas'!G188=0,"",'7.Sumillas'!G188)</f>
        <v/>
      </c>
      <c r="N192" s="431"/>
      <c r="O192" s="431"/>
      <c r="P192" s="430" t="str">
        <f>CONCATENATE(CHAR(10),CONCATENATE('4.Electivos'!Y46,CHAR(10),'4.Electivos'!Z46,CHAR(10),'4.Electivos'!AA46,CHAR(10),'4.Electivos'!AB46,CHAR(10),'4.Electivos'!AC46))</f>
        <v xml:space="preserve">
</v>
      </c>
      <c r="Q192" s="431"/>
      <c r="R192" s="431"/>
      <c r="S192" s="431"/>
      <c r="T192" s="305" t="str">
        <f t="shared" si="3"/>
        <v>No Aplica</v>
      </c>
    </row>
    <row r="193" spans="2:20" ht="72">
      <c r="B193" s="425">
        <f>'4.Electivos'!B47</f>
        <v>8</v>
      </c>
      <c r="C193" s="425" t="str">
        <f>IF('4.Electivos'!C47="","",'4.Electivos'!C47)</f>
        <v/>
      </c>
      <c r="D193" s="425" t="str">
        <f>IF('4.Electivos'!E47="","",'4.Electivos'!E47)</f>
        <v/>
      </c>
      <c r="E193" s="426" t="str">
        <f>'4.Electivos'!I47</f>
        <v/>
      </c>
      <c r="F193" s="426" t="str">
        <f>IF('4.Electivos'!J47=0,"-",'4.Electivos'!J47)</f>
        <v>-</v>
      </c>
      <c r="G193" s="427" t="str">
        <f>IF('4.Electivos'!K47=0,"-",'4.Electivos'!K47)</f>
        <v>-</v>
      </c>
      <c r="H193" s="427" t="str">
        <f>IF('4.Electivos'!L47=0,"-",'4.Electivos'!L47)</f>
        <v>-</v>
      </c>
      <c r="I193" s="427" t="str">
        <f>IF('4.Electivos'!M47=0,"-",'4.Electivos'!M47)</f>
        <v>-</v>
      </c>
      <c r="J193" s="427" t="str">
        <f>IF('4.Electivos'!N47=0,"-",'4.Electivos'!N47)</f>
        <v>-</v>
      </c>
      <c r="K193" s="428" t="str">
        <f>IF('4.Electivos'!O47=0,"-",'4.Electivos'!O47)</f>
        <v>-</v>
      </c>
      <c r="L193" s="429" t="str">
        <f>IF('4.Electivos'!P47=0,"-",'4.Electivos'!P47)</f>
        <v>-</v>
      </c>
      <c r="M193" s="430" t="str">
        <f>IF('7.Sumillas'!G189=0,"",'7.Sumillas'!G189)</f>
        <v/>
      </c>
      <c r="N193" s="431"/>
      <c r="O193" s="431"/>
      <c r="P193" s="430" t="str">
        <f>CONCATENATE(CHAR(10),CONCATENATE('4.Electivos'!Y47,CHAR(10),'4.Electivos'!Z47,CHAR(10),'4.Electivos'!AA47,CHAR(10),'4.Electivos'!AB47,CHAR(10),'4.Electivos'!AC47))</f>
        <v xml:space="preserve">
</v>
      </c>
      <c r="Q193" s="431"/>
      <c r="R193" s="431"/>
      <c r="S193" s="431"/>
      <c r="T193" s="305" t="str">
        <f t="shared" si="3"/>
        <v>No Aplica</v>
      </c>
    </row>
    <row r="194" spans="2:20" ht="72">
      <c r="B194" s="425">
        <f>'4.Electivos'!B48</f>
        <v>8</v>
      </c>
      <c r="C194" s="425" t="str">
        <f>IF('4.Electivos'!C48="","",'4.Electivos'!C48)</f>
        <v/>
      </c>
      <c r="D194" s="425" t="str">
        <f>IF('4.Electivos'!E48="","",'4.Electivos'!E48)</f>
        <v/>
      </c>
      <c r="E194" s="426" t="str">
        <f>'4.Electivos'!I48</f>
        <v/>
      </c>
      <c r="F194" s="426" t="str">
        <f>IF('4.Electivos'!J48=0,"-",'4.Electivos'!J48)</f>
        <v>-</v>
      </c>
      <c r="G194" s="427" t="str">
        <f>IF('4.Electivos'!K48=0,"-",'4.Electivos'!K48)</f>
        <v>-</v>
      </c>
      <c r="H194" s="427" t="str">
        <f>IF('4.Electivos'!L48=0,"-",'4.Electivos'!L48)</f>
        <v>-</v>
      </c>
      <c r="I194" s="427" t="str">
        <f>IF('4.Electivos'!M48=0,"-",'4.Electivos'!M48)</f>
        <v>-</v>
      </c>
      <c r="J194" s="427" t="str">
        <f>IF('4.Electivos'!N48=0,"-",'4.Electivos'!N48)</f>
        <v>-</v>
      </c>
      <c r="K194" s="428" t="str">
        <f>IF('4.Electivos'!O48=0,"-",'4.Electivos'!O48)</f>
        <v>-</v>
      </c>
      <c r="L194" s="429" t="str">
        <f>IF('4.Electivos'!P48=0,"-",'4.Electivos'!P48)</f>
        <v>-</v>
      </c>
      <c r="M194" s="430" t="str">
        <f>IF('7.Sumillas'!G190=0,"",'7.Sumillas'!G190)</f>
        <v/>
      </c>
      <c r="N194" s="431"/>
      <c r="O194" s="431"/>
      <c r="P194" s="430" t="str">
        <f>CONCATENATE(CHAR(10),CONCATENATE('4.Electivos'!Y48,CHAR(10),'4.Electivos'!Z48,CHAR(10),'4.Electivos'!AA48,CHAR(10),'4.Electivos'!AB48,CHAR(10),'4.Electivos'!AC48))</f>
        <v xml:space="preserve">
</v>
      </c>
      <c r="Q194" s="431"/>
      <c r="R194" s="431"/>
      <c r="S194" s="431"/>
      <c r="T194" s="305" t="str">
        <f t="shared" si="3"/>
        <v>No Aplica</v>
      </c>
    </row>
    <row r="195" spans="2:20" ht="132">
      <c r="B195" s="425">
        <f>'4.Electivos'!B49</f>
        <v>9</v>
      </c>
      <c r="C195" s="425" t="str">
        <f>IF('4.Electivos'!C49="","",'4.Electivos'!C49)</f>
        <v>SDE51003</v>
      </c>
      <c r="D195" s="425" t="str">
        <f>IF('4.Electivos'!E49="","",'4.Electivos'!E49)</f>
        <v>DESARROLLO DE LAS ÁREAS DE TUTORÍA</v>
      </c>
      <c r="E195" s="426" t="str">
        <f>'4.Electivos'!I49</f>
        <v>Presencial</v>
      </c>
      <c r="F195" s="426">
        <f>IF('4.Electivos'!J49=0,"-",'4.Electivos'!J49)</f>
        <v>64</v>
      </c>
      <c r="G195" s="427" t="str">
        <f>IF('4.Electivos'!K49=0,"-",'4.Electivos'!K49)</f>
        <v>-</v>
      </c>
      <c r="H195" s="427" t="str">
        <f>IF('4.Electivos'!L49=0,"-",'4.Electivos'!L49)</f>
        <v>-</v>
      </c>
      <c r="I195" s="427" t="str">
        <f>IF('4.Electivos'!M49=0,"-",'4.Electivos'!M49)</f>
        <v>-</v>
      </c>
      <c r="J195" s="427" t="str">
        <f>IF('4.Electivos'!N49=0,"-",'4.Electivos'!N49)</f>
        <v>-</v>
      </c>
      <c r="K195" s="428" t="str">
        <f>IF('4.Electivos'!O49=0,"-",'4.Electivos'!O49)</f>
        <v>-</v>
      </c>
      <c r="L195" s="429">
        <f>IF('4.Electivos'!P49=0,"-",'4.Electivos'!P49)</f>
        <v>4</v>
      </c>
      <c r="M195" s="430" t="str">
        <f>IF('7.Sumillas'!G191=0,"",'7.Sumillas'!G191)</f>
        <v>Desarrollo de las áreas de tutoría, es de formación especializada de naturaleza teórica. Tributa a la competencia de  Orientación Educativa. Relaciona sus características personales, valores y capacidades a través del análisis de casos para interactuar de forma propositiva con su entorno social y comprende el rigor científico de la teoría, la historia y la psicología aplicadas al ámbito educativo con la finalidad de establecer las orientaciones fundamentales del sentido educativo. Los ejes temáticos de este curso son: Conocimiento del marco legal de la orientación y tutoría y las características del desarrollo integral del educando frente a la problemática de inclusión y de actividades de comportamiento. El producto acreditable de la asignatura es la elaboración de un mapa mental del desarrollo de la tutoría en base al contexto educativo.</v>
      </c>
      <c r="N195" s="431"/>
      <c r="O195" s="431"/>
      <c r="P195" s="430" t="str">
        <f>CONCATENATE(CHAR(10),CONCATENATE('4.Electivos'!Y49,CHAR(10),'4.Electivos'!Z49,CHAR(10),'4.Electivos'!AA49,CHAR(10),'4.Electivos'!AB49,CHAR(10),'4.Electivos'!AC49))</f>
        <v xml:space="preserve">
CP1: Orientación educativa:N3 Comprende el rigor científico de la teoría, la historia y la psicología aplicadas al ámbito educativo para establecer las orientaciones fundamentales del sentido educativo en los docentes y los alumnos.
</v>
      </c>
      <c r="Q195" s="431"/>
      <c r="R195" s="431"/>
      <c r="S195" s="431"/>
      <c r="T195" s="305" t="str">
        <f t="shared" si="3"/>
        <v>No Aplica</v>
      </c>
    </row>
    <row r="196" spans="2:20" ht="144">
      <c r="B196" s="425">
        <f>'4.Electivos'!B50</f>
        <v>9</v>
      </c>
      <c r="C196" s="425" t="str">
        <f>IF('4.Electivos'!C50="","",'4.Electivos'!C50)</f>
        <v>EIC61003</v>
      </c>
      <c r="D196" s="425" t="str">
        <f>IF('4.Electivos'!E50="","",'4.Electivos'!E50)</f>
        <v>DISEÑO DE INSTRUMENTOS DE EVALUACIÓN</v>
      </c>
      <c r="E196" s="426" t="str">
        <f>'4.Electivos'!I50</f>
        <v>Presencial</v>
      </c>
      <c r="F196" s="426">
        <f>IF('4.Electivos'!J50=0,"-",'4.Electivos'!J50)</f>
        <v>64</v>
      </c>
      <c r="G196" s="427" t="str">
        <f>IF('4.Electivos'!K50=0,"-",'4.Electivos'!K50)</f>
        <v>-</v>
      </c>
      <c r="H196" s="427" t="str">
        <f>IF('4.Electivos'!L50=0,"-",'4.Electivos'!L50)</f>
        <v>-</v>
      </c>
      <c r="I196" s="427" t="str">
        <f>IF('4.Electivos'!M50=0,"-",'4.Electivos'!M50)</f>
        <v>-</v>
      </c>
      <c r="J196" s="427" t="str">
        <f>IF('4.Electivos'!N50=0,"-",'4.Electivos'!N50)</f>
        <v>-</v>
      </c>
      <c r="K196" s="428" t="str">
        <f>IF('4.Electivos'!O50=0,"-",'4.Electivos'!O50)</f>
        <v>-</v>
      </c>
      <c r="L196" s="429">
        <f>IF('4.Electivos'!P50=0,"-",'4.Electivos'!P50)</f>
        <v>4</v>
      </c>
      <c r="M196" s="430" t="str">
        <f>IF('7.Sumillas'!G192=0,"",'7.Sumillas'!G192)</f>
        <v>El curso de Diseño de Instrumentos de Evaluación es una asignatura de formación especializada, de naturaleza teórico. Contribuye al desarrollo de la competencia de Desarrollo de la Gestión Educativa. Su propósito es desarrollar la comprensión sobre la evaluación de los aprendizajes en el sistema educativo peruano desde la segunda mitad del siglo XX a la actualidad con la finalidad de establecer un comparativo entre la evaluación por objetivos, capacidades y competencias, así como sus implicancias y beneficios a nivel del aprendizaje y la enseñanza. El curso se desarrolla en 2 unidades: Caracterización de modelos evaluativos en el sistema educativo peruano, Análisis de modelo evaluativo vigente en  Educación Secundaria: reflexión y propuestas. El producto acreditable es un informe sobre la elaboración y presentación  de  instrumentos de evaluación pertinentes a una sesión y/o actividades de aprendizaje.</v>
      </c>
      <c r="N196" s="431"/>
      <c r="O196" s="431"/>
      <c r="P196" s="430" t="str">
        <f>CONCATENATE(CHAR(10),CONCATENATE('4.Electivos'!Y50,CHAR(10),'4.Electivos'!Z50,CHAR(10),'4.Electivos'!AA50,CHAR(10),'4.Electivos'!AB50,CHAR(10),'4.Electivos'!AC50))</f>
        <v xml:space="preserve">
CP2: Desarrollo de gestión educativa:N3 Establece relaciones entre las concepciones de administración, economía, marketing y aspectos legales como fundamentos básicos para el desarrollo de una buena gestión educativa.
</v>
      </c>
      <c r="Q196" s="431"/>
      <c r="R196" s="431"/>
      <c r="S196" s="431"/>
      <c r="T196" s="305" t="str">
        <f t="shared" si="3"/>
        <v>No Aplica</v>
      </c>
    </row>
    <row r="197" spans="2:20" ht="120">
      <c r="B197" s="425">
        <f>'4.Electivos'!B51</f>
        <v>9</v>
      </c>
      <c r="C197" s="425" t="str">
        <f>IF('4.Electivos'!C51="","",'4.Electivos'!C51)</f>
        <v>RSO61014</v>
      </c>
      <c r="D197" s="425" t="str">
        <f>IF('4.Electivos'!E51="","",'4.Electivos'!E51)</f>
        <v>GESTIÓN DE EMPRENDIMIENTOS SOCIOAMBIENTALES</v>
      </c>
      <c r="E197" s="426" t="str">
        <f>'4.Electivos'!I51</f>
        <v>Presencial</v>
      </c>
      <c r="F197" s="426">
        <f>IF('4.Electivos'!J51=0,"-",'4.Electivos'!J51)</f>
        <v>64</v>
      </c>
      <c r="G197" s="427" t="str">
        <f>IF('4.Electivos'!K51=0,"-",'4.Electivos'!K51)</f>
        <v>-</v>
      </c>
      <c r="H197" s="427" t="str">
        <f>IF('4.Electivos'!L51=0,"-",'4.Electivos'!L51)</f>
        <v>-</v>
      </c>
      <c r="I197" s="427" t="str">
        <f>IF('4.Electivos'!M51=0,"-",'4.Electivos'!M51)</f>
        <v>-</v>
      </c>
      <c r="J197" s="427" t="str">
        <f>IF('4.Electivos'!N51=0,"-",'4.Electivos'!N51)</f>
        <v>-</v>
      </c>
      <c r="K197" s="428" t="str">
        <f>IF('4.Electivos'!O51=0,"-",'4.Electivos'!O51)</f>
        <v>-</v>
      </c>
      <c r="L197" s="429">
        <f>IF('4.Electivos'!P51=0,"-",'4.Electivos'!P51)</f>
        <v>4</v>
      </c>
      <c r="M197" s="430" t="str">
        <f>IF('7.Sumillas'!G193=0,"",'7.Sumillas'!G193)</f>
        <v>Gestión de emprendimientos socio ambientales, es una asignatura de formación especializada, tiene carácter teórico y contribuye al desarrollo de la competencia profesional de Desarrollo de gestión educativa. Tiene como propósito que el estudiante asuma una visión socialmente responsable y el enfoque de desarrollo sostenible para contribuir al bienestar de la sociedad.  Comprende los siguientes ejes temáticos: marco legal peruano de las sociedades BIC (beneficio e interés colectivo) y el alcance de las empresas socio ambientales y el ecosistema de emprendimientos; uso de herramientas como design thinking, business model canvas y el balance scorecard. El producto acreditable de la asignatura es un trabajo final que abordará los principales conceptos y herramientas revisadas.</v>
      </c>
      <c r="N197" s="431"/>
      <c r="O197" s="431"/>
      <c r="P197" s="430" t="str">
        <f>CONCATENATE(CHAR(10),CONCATENATE('4.Electivos'!Y51,CHAR(10),'4.Electivos'!Z51,CHAR(10),'4.Electivos'!AA51,CHAR(10),'4.Electivos'!AB51,CHAR(10),'4.Electivos'!AC51))</f>
        <v xml:space="preserve">
CP2: Desarrollo de gestión educativa:N3 Establece relaciones entre las concepciones de administración, economía, marketing y aspectos legales como fundamentos básicos para el desarrollo de una buena gestión educativa.
</v>
      </c>
      <c r="Q197" s="431"/>
      <c r="R197" s="431"/>
      <c r="S197" s="431"/>
      <c r="T197" s="305" t="str">
        <f t="shared" si="3"/>
        <v>No Aplica</v>
      </c>
    </row>
    <row r="198" spans="2:20" ht="96">
      <c r="B198" s="425">
        <f>'4.Electivos'!B52</f>
        <v>9</v>
      </c>
      <c r="C198" s="425" t="str">
        <f>IF('4.Electivos'!C52="","",'4.Electivos'!C52)</f>
        <v>GES61007</v>
      </c>
      <c r="D198" s="425" t="str">
        <f>IF('4.Electivos'!E52="","",'4.Electivos'!E52)</f>
        <v>C. M.: INCUBACIÓN I</v>
      </c>
      <c r="E198" s="426" t="str">
        <f>'4.Electivos'!I52</f>
        <v>Presencial</v>
      </c>
      <c r="F198" s="426">
        <f>IF('4.Electivos'!J52=0,"-",'4.Electivos'!J52)</f>
        <v>64</v>
      </c>
      <c r="G198" s="427" t="str">
        <f>IF('4.Electivos'!K52=0,"-",'4.Electivos'!K52)</f>
        <v>-</v>
      </c>
      <c r="H198" s="427" t="str">
        <f>IF('4.Electivos'!L52=0,"-",'4.Electivos'!L52)</f>
        <v>-</v>
      </c>
      <c r="I198" s="427" t="str">
        <f>IF('4.Electivos'!M52=0,"-",'4.Electivos'!M52)</f>
        <v>-</v>
      </c>
      <c r="J198" s="427" t="str">
        <f>IF('4.Electivos'!N52=0,"-",'4.Electivos'!N52)</f>
        <v>-</v>
      </c>
      <c r="K198" s="428" t="str">
        <f>IF('4.Electivos'!O52=0,"-",'4.Electivos'!O52)</f>
        <v>-</v>
      </c>
      <c r="L198" s="429">
        <f>IF('4.Electivos'!P52=0,"-",'4.Electivos'!P52)</f>
        <v>4</v>
      </c>
      <c r="M198" s="430" t="str">
        <f>IF('7.Sumillas'!G194=0,"",'7.Sumillas'!G194)</f>
        <v>C. M.: Incubación I es una asignatura de especialidad, es de naturaleza teórica, contribuye al desarrollo de la competencia de Desarrollo de gestión educativa, mediante la elaboración de un informe final del flujo de caja financiero del proyecto. Comprende el desarrollo de los siguientes ejes temáticos: Financiamiento No Tradicional y Constitución de Empresas; Financiamiento bancario a corto, mediano y largo plazo; y Evaluación Económica. El producto acreditable de la asignatura es el informe final del flujo de caja financiero del proyecto.</v>
      </c>
      <c r="N198" s="431"/>
      <c r="O198" s="431"/>
      <c r="P198" s="430" t="str">
        <f>CONCATENATE(CHAR(10),CONCATENATE('4.Electivos'!Y52,CHAR(10),'4.Electivos'!Z52,CHAR(10),'4.Electivos'!AA52,CHAR(10),'4.Electivos'!AB52,CHAR(10),'4.Electivos'!AC52))</f>
        <v xml:space="preserve">
CP2: Desarrollo de gestión educativa:N3 Establece relaciones entre las concepciones de administración, economía, marketing y aspectos legales como fundamentos básicos para el desarrollo de una buena gestión educativa.
</v>
      </c>
      <c r="Q198" s="431"/>
      <c r="R198" s="431"/>
      <c r="S198" s="431"/>
      <c r="T198" s="305" t="str">
        <f t="shared" si="3"/>
        <v>No Aplica</v>
      </c>
    </row>
    <row r="199" spans="2:20" ht="120">
      <c r="B199" s="425">
        <f>'4.Electivos'!B53</f>
        <v>9</v>
      </c>
      <c r="C199" s="425" t="str">
        <f>IF('4.Electivos'!C53="","",'4.Electivos'!C53)</f>
        <v>GSI61015</v>
      </c>
      <c r="D199" s="425" t="str">
        <f>IF('4.Electivos'!E53="","",'4.Electivos'!E53)</f>
        <v>BUSINESS AND INTERNET OF THINGS</v>
      </c>
      <c r="E199" s="426" t="str">
        <f>'4.Electivos'!I53</f>
        <v>Presencial</v>
      </c>
      <c r="F199" s="426">
        <f>IF('4.Electivos'!J53=0,"-",'4.Electivos'!J53)</f>
        <v>64</v>
      </c>
      <c r="G199" s="427" t="str">
        <f>IF('4.Electivos'!K53=0,"-",'4.Electivos'!K53)</f>
        <v>-</v>
      </c>
      <c r="H199" s="427" t="str">
        <f>IF('4.Electivos'!L53=0,"-",'4.Electivos'!L53)</f>
        <v>-</v>
      </c>
      <c r="I199" s="427" t="str">
        <f>IF('4.Electivos'!M53=0,"-",'4.Electivos'!M53)</f>
        <v>-</v>
      </c>
      <c r="J199" s="427" t="str">
        <f>IF('4.Electivos'!N53=0,"-",'4.Electivos'!N53)</f>
        <v>-</v>
      </c>
      <c r="K199" s="428" t="str">
        <f>IF('4.Electivos'!O53=0,"-",'4.Electivos'!O53)</f>
        <v>-</v>
      </c>
      <c r="L199" s="429">
        <f>IF('4.Electivos'!P53=0,"-",'4.Electivos'!P53)</f>
        <v>4</v>
      </c>
      <c r="M199" s="430" t="str">
        <f>IF('7.Sumillas'!G195=0,"",'7.Sumillas'!G195)</f>
        <v>Business and Internet of Things, es una asignatura que corresponde al área de estudios de especialidad. Es de naturaleza teórica. Tributa a la competencia Desarrollo de gestión educativa, cuyo propósito es liderar acciones que mejoren la cultura organizacional y decanten en una mejor toma de decisiones en la empresa brindando el conocimiento básico necesario para gestionar empresas “data-driven”.  El contenido del curso incluye cuatro ejes temáticos: Introducción a la Internet de las cosas (IoT) en el mundo empresarial, protocolos de comunicación y estándares de la IoT aplicados en los negocios, Análisis de datos y toma de decisiones en las empresas y la inteligencia en los negocios.  El producto acreditable de la asignatura es "Proyecto de implementación de IoT en un escenario empresarial".</v>
      </c>
      <c r="N199" s="431"/>
      <c r="O199" s="431"/>
      <c r="P199" s="430" t="str">
        <f>CONCATENATE(CHAR(10),CONCATENATE('4.Electivos'!Y53,CHAR(10),'4.Electivos'!Z53,CHAR(10),'4.Electivos'!AA53,CHAR(10),'4.Electivos'!AB53,CHAR(10),'4.Electivos'!AC53))</f>
        <v xml:space="preserve">
CP2: Desarrollo de gestión educativa:N3 Establece relaciones entre las concepciones de administración, economía, marketing y aspectos legales como fundamentos básicos para el desarrollo de una buena gestión educativa.
</v>
      </c>
      <c r="Q199" s="431"/>
      <c r="R199" s="431"/>
      <c r="S199" s="431"/>
      <c r="T199" s="305" t="str">
        <f t="shared" si="3"/>
        <v>No Aplica</v>
      </c>
    </row>
    <row r="200" spans="2:20" ht="144">
      <c r="B200" s="425">
        <f>'4.Electivos'!B54</f>
        <v>9</v>
      </c>
      <c r="C200" s="425" t="str">
        <f>IF('4.Electivos'!C54="","",'4.Electivos'!C54)</f>
        <v>MSI64005</v>
      </c>
      <c r="D200" s="425" t="str">
        <f>IF('4.Electivos'!E54="","",'4.Electivos'!E54)</f>
        <v>PENSAMIENTO COMPUTACIONAL Y ANALÍTICA DE DATOS</v>
      </c>
      <c r="E200" s="426" t="str">
        <f>'4.Electivos'!I54</f>
        <v>Presencial</v>
      </c>
      <c r="F200" s="426">
        <f>IF('4.Electivos'!J54=0,"-",'4.Electivos'!J54)</f>
        <v>32</v>
      </c>
      <c r="G200" s="427" t="str">
        <f>IF('4.Electivos'!K54=0,"-",'4.Electivos'!K54)</f>
        <v>-</v>
      </c>
      <c r="H200" s="427">
        <f>IF('4.Electivos'!L54=0,"-",'4.Electivos'!L54)</f>
        <v>32</v>
      </c>
      <c r="I200" s="427" t="str">
        <f>IF('4.Electivos'!M54=0,"-",'4.Electivos'!M54)</f>
        <v>-</v>
      </c>
      <c r="J200" s="427">
        <f>IF('4.Electivos'!N54=0,"-",'4.Electivos'!N54)</f>
        <v>32</v>
      </c>
      <c r="K200" s="428" t="str">
        <f>IF('4.Electivos'!O54=0,"-",'4.Electivos'!O54)</f>
        <v>-</v>
      </c>
      <c r="L200" s="429">
        <f>IF('4.Electivos'!P54=0,"-",'4.Electivos'!P54)</f>
        <v>4</v>
      </c>
      <c r="M200" s="430" t="str">
        <f>IF('7.Sumillas'!G196=0,"",'7.Sumillas'!G196)</f>
        <v>Pensamiento computacional y Analítica de Datos, es una asignatura de formación especializada, tiene carácter teórico práctico, contribuye al desarrollo de la competencia de Investigación Educativa. El curso tiene por finalidad introducir al estudiante en al ámbito del pensamiento computacional y el estudio de modelos matemáticos que permitan la extracción y uso del conocimiento disponibles en repositorios de datos, se exponen los conceptos, las técnicas y las herramientas para el análisis de datos y el descubrimiento de conocimiento. El curso comprende el desarrollo de los siguientes ejes temáticos:  Fundamentos del pensamiento computacional, aplicaciones prácticas del pensamiento computacional, así mismo se verán los fundamentos de la analítica de datos y los modelos descriptivos. El producto acreditable es un informe que describa y fundamente la solución a un problema de analítica de datos a partir de una necesidad de su comunidad.</v>
      </c>
      <c r="N200" s="431"/>
      <c r="O200" s="431"/>
      <c r="P200" s="430" t="str">
        <f>CONCATENATE(CHAR(10),CONCATENATE('4.Electivos'!Y54,CHAR(10),'4.Electivos'!Z54,CHAR(10),'4.Electivos'!AA54,CHAR(10),'4.Electivos'!AB54,CHAR(10),'4.Electivos'!AC54))</f>
        <v xml:space="preserve">
CP4: Investigación Educativa:N3 Elabora el proyecto de investigación demostrando consistencia sobre todo en el marco teórico, diseño metodológico y validación de los instrumentos de investigación.
</v>
      </c>
      <c r="Q200" s="431"/>
      <c r="R200" s="431"/>
      <c r="S200" s="431"/>
      <c r="T200" s="305" t="str">
        <f t="shared" si="3"/>
        <v>No Aplica</v>
      </c>
    </row>
    <row r="201" spans="2:20" ht="72">
      <c r="B201" s="425">
        <f>'4.Electivos'!B55</f>
        <v>9</v>
      </c>
      <c r="C201" s="425" t="str">
        <f>IF('4.Electivos'!C55="","",'4.Electivos'!C55)</f>
        <v/>
      </c>
      <c r="D201" s="425" t="str">
        <f>IF('4.Electivos'!E55="","",'4.Electivos'!E55)</f>
        <v/>
      </c>
      <c r="E201" s="426" t="str">
        <f>'4.Electivos'!I55</f>
        <v/>
      </c>
      <c r="F201" s="426" t="str">
        <f>IF('4.Electivos'!J55=0,"-",'4.Electivos'!J55)</f>
        <v>-</v>
      </c>
      <c r="G201" s="427" t="str">
        <f>IF('4.Electivos'!K55=0,"-",'4.Electivos'!K55)</f>
        <v>-</v>
      </c>
      <c r="H201" s="427" t="str">
        <f>IF('4.Electivos'!L55=0,"-",'4.Electivos'!L55)</f>
        <v>-</v>
      </c>
      <c r="I201" s="427" t="str">
        <f>IF('4.Electivos'!M55=0,"-",'4.Electivos'!M55)</f>
        <v>-</v>
      </c>
      <c r="J201" s="427" t="str">
        <f>IF('4.Electivos'!N55=0,"-",'4.Electivos'!N55)</f>
        <v>-</v>
      </c>
      <c r="K201" s="428" t="str">
        <f>IF('4.Electivos'!O55=0,"-",'4.Electivos'!O55)</f>
        <v>-</v>
      </c>
      <c r="L201" s="429" t="str">
        <f>IF('4.Electivos'!P55=0,"-",'4.Electivos'!P55)</f>
        <v>-</v>
      </c>
      <c r="M201" s="430" t="str">
        <f>IF('7.Sumillas'!G197=0,"",'7.Sumillas'!G197)</f>
        <v/>
      </c>
      <c r="N201" s="431"/>
      <c r="O201" s="431"/>
      <c r="P201" s="430" t="str">
        <f>CONCATENATE(CHAR(10),CONCATENATE('4.Electivos'!Y55,CHAR(10),'4.Electivos'!Z55,CHAR(10),'4.Electivos'!AA55,CHAR(10),'4.Electivos'!AB55,CHAR(10),'4.Electivos'!AC55))</f>
        <v xml:space="preserve">
</v>
      </c>
      <c r="Q201" s="431"/>
      <c r="R201" s="431"/>
      <c r="S201" s="431"/>
      <c r="T201" s="305" t="str">
        <f t="shared" si="3"/>
        <v>No Aplica</v>
      </c>
    </row>
    <row r="202" spans="2:20" ht="72">
      <c r="B202" s="425">
        <f>'4.Electivos'!B56</f>
        <v>9</v>
      </c>
      <c r="C202" s="425" t="str">
        <f>IF('4.Electivos'!C56="","",'4.Electivos'!C56)</f>
        <v/>
      </c>
      <c r="D202" s="425" t="str">
        <f>IF('4.Electivos'!E56="","",'4.Electivos'!E56)</f>
        <v/>
      </c>
      <c r="E202" s="426" t="str">
        <f>'4.Electivos'!I56</f>
        <v/>
      </c>
      <c r="F202" s="426" t="str">
        <f>IF('4.Electivos'!J56=0,"-",'4.Electivos'!J56)</f>
        <v>-</v>
      </c>
      <c r="G202" s="427" t="str">
        <f>IF('4.Electivos'!K56=0,"-",'4.Electivos'!K56)</f>
        <v>-</v>
      </c>
      <c r="H202" s="427" t="str">
        <f>IF('4.Electivos'!L56=0,"-",'4.Electivos'!L56)</f>
        <v>-</v>
      </c>
      <c r="I202" s="427" t="str">
        <f>IF('4.Electivos'!M56=0,"-",'4.Electivos'!M56)</f>
        <v>-</v>
      </c>
      <c r="J202" s="427" t="str">
        <f>IF('4.Electivos'!N56=0,"-",'4.Electivos'!N56)</f>
        <v>-</v>
      </c>
      <c r="K202" s="428" t="str">
        <f>IF('4.Electivos'!O56=0,"-",'4.Electivos'!O56)</f>
        <v>-</v>
      </c>
      <c r="L202" s="429" t="str">
        <f>IF('4.Electivos'!P56=0,"-",'4.Electivos'!P56)</f>
        <v>-</v>
      </c>
      <c r="M202" s="430" t="str">
        <f>IF('7.Sumillas'!G198=0,"",'7.Sumillas'!G198)</f>
        <v/>
      </c>
      <c r="N202" s="431"/>
      <c r="O202" s="431"/>
      <c r="P202" s="430" t="str">
        <f>CONCATENATE(CHAR(10),CONCATENATE('4.Electivos'!Y56,CHAR(10),'4.Electivos'!Z56,CHAR(10),'4.Electivos'!AA56,CHAR(10),'4.Electivos'!AB56,CHAR(10),'4.Electivos'!AC56))</f>
        <v xml:space="preserve">
</v>
      </c>
      <c r="Q202" s="431"/>
      <c r="R202" s="431"/>
      <c r="S202" s="431"/>
      <c r="T202" s="305" t="str">
        <f t="shared" si="3"/>
        <v>No Aplica</v>
      </c>
    </row>
    <row r="203" spans="2:20" ht="72">
      <c r="B203" s="425">
        <f>'4.Electivos'!B57</f>
        <v>9</v>
      </c>
      <c r="C203" s="425" t="str">
        <f>IF('4.Electivos'!C57="","",'4.Electivos'!C57)</f>
        <v/>
      </c>
      <c r="D203" s="425" t="str">
        <f>IF('4.Electivos'!E57="","",'4.Electivos'!E57)</f>
        <v/>
      </c>
      <c r="E203" s="426" t="str">
        <f>'4.Electivos'!I57</f>
        <v/>
      </c>
      <c r="F203" s="426" t="str">
        <f>IF('4.Electivos'!J57=0,"-",'4.Electivos'!J57)</f>
        <v>-</v>
      </c>
      <c r="G203" s="427" t="str">
        <f>IF('4.Electivos'!K57=0,"-",'4.Electivos'!K57)</f>
        <v>-</v>
      </c>
      <c r="H203" s="427" t="str">
        <f>IF('4.Electivos'!L57=0,"-",'4.Electivos'!L57)</f>
        <v>-</v>
      </c>
      <c r="I203" s="427" t="str">
        <f>IF('4.Electivos'!M57=0,"-",'4.Electivos'!M57)</f>
        <v>-</v>
      </c>
      <c r="J203" s="427" t="str">
        <f>IF('4.Electivos'!N57=0,"-",'4.Electivos'!N57)</f>
        <v>-</v>
      </c>
      <c r="K203" s="428" t="str">
        <f>IF('4.Electivos'!O57=0,"-",'4.Electivos'!O57)</f>
        <v>-</v>
      </c>
      <c r="L203" s="429" t="str">
        <f>IF('4.Electivos'!P57=0,"-",'4.Electivos'!P57)</f>
        <v>-</v>
      </c>
      <c r="M203" s="430" t="str">
        <f>IF('7.Sumillas'!G199=0,"",'7.Sumillas'!G199)</f>
        <v/>
      </c>
      <c r="N203" s="431"/>
      <c r="O203" s="431"/>
      <c r="P203" s="430" t="str">
        <f>CONCATENATE(CHAR(10),CONCATENATE('4.Electivos'!Y57,CHAR(10),'4.Electivos'!Z57,CHAR(10),'4.Electivos'!AA57,CHAR(10),'4.Electivos'!AB57,CHAR(10),'4.Electivos'!AC57))</f>
        <v xml:space="preserve">
</v>
      </c>
      <c r="Q203" s="431"/>
      <c r="R203" s="431"/>
      <c r="S203" s="431"/>
      <c r="T203" s="305" t="str">
        <f t="shared" si="3"/>
        <v>No Aplica</v>
      </c>
    </row>
    <row r="204" spans="2:20" ht="72">
      <c r="B204" s="425">
        <f>'4.Electivos'!B58</f>
        <v>9</v>
      </c>
      <c r="C204" s="425" t="str">
        <f>IF('4.Electivos'!C58="","",'4.Electivos'!C58)</f>
        <v/>
      </c>
      <c r="D204" s="425" t="str">
        <f>IF('4.Electivos'!E58="","",'4.Electivos'!E58)</f>
        <v/>
      </c>
      <c r="E204" s="426" t="str">
        <f>'4.Electivos'!I58</f>
        <v/>
      </c>
      <c r="F204" s="426" t="str">
        <f>IF('4.Electivos'!J58=0,"-",'4.Electivos'!J58)</f>
        <v>-</v>
      </c>
      <c r="G204" s="427" t="str">
        <f>IF('4.Electivos'!K58=0,"-",'4.Electivos'!K58)</f>
        <v>-</v>
      </c>
      <c r="H204" s="427" t="str">
        <f>IF('4.Electivos'!L58=0,"-",'4.Electivos'!L58)</f>
        <v>-</v>
      </c>
      <c r="I204" s="427" t="str">
        <f>IF('4.Electivos'!M58=0,"-",'4.Electivos'!M58)</f>
        <v>-</v>
      </c>
      <c r="J204" s="427" t="str">
        <f>IF('4.Electivos'!N58=0,"-",'4.Electivos'!N58)</f>
        <v>-</v>
      </c>
      <c r="K204" s="428" t="str">
        <f>IF('4.Electivos'!O58=0,"-",'4.Electivos'!O58)</f>
        <v>-</v>
      </c>
      <c r="L204" s="429" t="str">
        <f>IF('4.Electivos'!P58=0,"-",'4.Electivos'!P58)</f>
        <v>-</v>
      </c>
      <c r="M204" s="430" t="str">
        <f>IF('7.Sumillas'!G200=0,"",'7.Sumillas'!G200)</f>
        <v/>
      </c>
      <c r="N204" s="431"/>
      <c r="O204" s="431"/>
      <c r="P204" s="430" t="str">
        <f>CONCATENATE(CHAR(10),CONCATENATE('4.Electivos'!Y58,CHAR(10),'4.Electivos'!Z58,CHAR(10),'4.Electivos'!AA58,CHAR(10),'4.Electivos'!AB58,CHAR(10),'4.Electivos'!AC58))</f>
        <v xml:space="preserve">
</v>
      </c>
      <c r="Q204" s="431"/>
      <c r="R204" s="431"/>
      <c r="S204" s="431"/>
      <c r="T204" s="305" t="str">
        <f t="shared" si="3"/>
        <v>No Aplica</v>
      </c>
    </row>
    <row r="205" spans="2:20" ht="108">
      <c r="B205" s="425">
        <f>'4.Electivos'!B59</f>
        <v>10</v>
      </c>
      <c r="C205" s="425" t="str">
        <f>IF('4.Electivos'!C59="","",'4.Electivos'!C59)</f>
        <v>EIC61004</v>
      </c>
      <c r="D205" s="425" t="str">
        <f>IF('4.Electivos'!E59="","",'4.Electivos'!E59)</f>
        <v>ACTIVIDADES DE EVALUACIÓN DE LOS APRENDIZAJES</v>
      </c>
      <c r="E205" s="426" t="str">
        <f>'4.Electivos'!I59</f>
        <v>Presencial</v>
      </c>
      <c r="F205" s="426">
        <f>IF('4.Electivos'!J59=0,"-",'4.Electivos'!J59)</f>
        <v>64</v>
      </c>
      <c r="G205" s="427" t="str">
        <f>IF('4.Electivos'!K59=0,"-",'4.Electivos'!K59)</f>
        <v>-</v>
      </c>
      <c r="H205" s="427" t="str">
        <f>IF('4.Electivos'!L59=0,"-",'4.Electivos'!L59)</f>
        <v>-</v>
      </c>
      <c r="I205" s="427" t="str">
        <f>IF('4.Electivos'!M59=0,"-",'4.Electivos'!M59)</f>
        <v>-</v>
      </c>
      <c r="J205" s="427" t="str">
        <f>IF('4.Electivos'!N59=0,"-",'4.Electivos'!N59)</f>
        <v>-</v>
      </c>
      <c r="K205" s="428" t="str">
        <f>IF('4.Electivos'!O59=0,"-",'4.Electivos'!O59)</f>
        <v>-</v>
      </c>
      <c r="L205" s="429">
        <f>IF('4.Electivos'!P59=0,"-",'4.Electivos'!P59)</f>
        <v>4</v>
      </c>
      <c r="M205" s="430" t="str">
        <f>IF('7.Sumillas'!G201=0,"",'7.Sumillas'!G201)</f>
        <v>Actividades de evaluación de los aprendizajes, es una asignatura de formación especializada, de naturaleza teórico. Contribuye al desarrollo de la competencia de Desarrollo de enseñanza y aprendizaje. Tiene como finalidad formar a los estudiantes en la elaboración de criterios e indicadores de evaluación para que elaboren con pertinencia los instrumentos de evaluación de una sesión y/o actividades de aprendizaje. Comprende el desarrollo de los siguientes ejes temáticos: Criterios e indicadores de evaluación, técnicas e instrumentos de evaluación. El producto acreditable es un informe sobre la elaboración de instrumentos de evaluación articulados a sesiones y/o actividades de aprendizaje.</v>
      </c>
      <c r="N205" s="431"/>
      <c r="O205" s="431"/>
      <c r="P205" s="430" t="str">
        <f>CONCATENATE(CHAR(10),CONCATENATE('4.Electivos'!Y59,CHAR(10),'4.Electivos'!Z59,CHAR(10),'4.Electivos'!AA59,CHAR(10),'4.Electivos'!AB59,CHAR(10),'4.Electivos'!AC59))</f>
        <v xml:space="preserve">
CP3: Desarrollo enseñanza y aprendizaje:N3 Desempeñarse de manera eficiente en el desarrollo la enseñanza y de su desarrollo en su identidad docente para el buen aprendizaje de los estudiantes.
</v>
      </c>
      <c r="Q205" s="431"/>
      <c r="R205" s="431"/>
      <c r="S205" s="431"/>
      <c r="T205" s="305" t="str">
        <f t="shared" si="3"/>
        <v>No Aplica</v>
      </c>
    </row>
    <row r="206" spans="2:20" ht="96">
      <c r="B206" s="425">
        <f>'4.Electivos'!B60</f>
        <v>10</v>
      </c>
      <c r="C206" s="425" t="str">
        <f>IF('4.Electivos'!C60="","",'4.Electivos'!C60)</f>
        <v>SDE51004</v>
      </c>
      <c r="D206" s="425" t="str">
        <f>IF('4.Electivos'!E60="","",'4.Electivos'!E60)</f>
        <v>PLAN DE TUTORÍA Y CONVIVENCIA ESCOLAR</v>
      </c>
      <c r="E206" s="426" t="str">
        <f>'4.Electivos'!I60</f>
        <v>Presencial</v>
      </c>
      <c r="F206" s="426">
        <f>IF('4.Electivos'!J60=0,"-",'4.Electivos'!J60)</f>
        <v>64</v>
      </c>
      <c r="G206" s="427" t="str">
        <f>IF('4.Electivos'!K60=0,"-",'4.Electivos'!K60)</f>
        <v>-</v>
      </c>
      <c r="H206" s="427" t="str">
        <f>IF('4.Electivos'!L60=0,"-",'4.Electivos'!L60)</f>
        <v>-</v>
      </c>
      <c r="I206" s="427" t="str">
        <f>IF('4.Electivos'!M60=0,"-",'4.Electivos'!M60)</f>
        <v>-</v>
      </c>
      <c r="J206" s="427" t="str">
        <f>IF('4.Electivos'!N60=0,"-",'4.Electivos'!N60)</f>
        <v>-</v>
      </c>
      <c r="K206" s="428" t="str">
        <f>IF('4.Electivos'!O60=0,"-",'4.Electivos'!O60)</f>
        <v>-</v>
      </c>
      <c r="L206" s="429">
        <f>IF('4.Electivos'!P60=0,"-",'4.Electivos'!P60)</f>
        <v>4</v>
      </c>
      <c r="M206" s="430" t="str">
        <f>IF('7.Sumillas'!G202=0,"",'7.Sumillas'!G202)</f>
        <v>Plan de Tutoría y Convivencia escolar, es una asignatura de formación especializada, de naturaleza teórico. Contribuye al desarrollo de la competencia de Orientación Educativa, que busca fortalecer la formación del docente en las estrategias que promuevan y fortalezcan la convivencia escolar. Comprende el desarrollo de los siguientes ejes temáticos: Convivencia escolar y salud emocional, aproximación a la diversidad, estrategias para el desarrollo de una buena convivencia escolar. El producto acreditable es una propuesta de un programa tutoría que integre la convivencia escolar.</v>
      </c>
      <c r="N206" s="431"/>
      <c r="O206" s="431"/>
      <c r="P206" s="430" t="str">
        <f>CONCATENATE(CHAR(10),CONCATENATE('4.Electivos'!Y60,CHAR(10),'4.Electivos'!Z60,CHAR(10),'4.Electivos'!AA60,CHAR(10),'4.Electivos'!AB60,CHAR(10),'4.Electivos'!AC60))</f>
        <v xml:space="preserve">
CP1: Orientación educativa:N3 Comprende el rigor científico de la teoría, la historia y la psicología aplicadas al ámbito educativo para establecer las orientaciones fundamentales del sentido educativo en los docentes y los alumnos.
</v>
      </c>
      <c r="Q206" s="431"/>
      <c r="R206" s="431"/>
      <c r="S206" s="431"/>
      <c r="T206" s="305" t="str">
        <f t="shared" si="3"/>
        <v>No Aplica</v>
      </c>
    </row>
    <row r="207" spans="2:20" ht="144">
      <c r="B207" s="425">
        <f>'4.Electivos'!B61</f>
        <v>10</v>
      </c>
      <c r="C207" s="425" t="str">
        <f>IF('4.Electivos'!C61="","",'4.Electivos'!C61)</f>
        <v>RSO61016</v>
      </c>
      <c r="D207" s="425" t="str">
        <f>IF('4.Electivos'!E61="","",'4.Electivos'!E61)</f>
        <v>GESTIÓN DEL SECTOR PÚBLICO Y SOCIEDAD CIVIL PARA EL DESARROLLO SOSTENIBLE</v>
      </c>
      <c r="E207" s="426" t="str">
        <f>'4.Electivos'!I61</f>
        <v>Presencial</v>
      </c>
      <c r="F207" s="426">
        <f>IF('4.Electivos'!J61=0,"-",'4.Electivos'!J61)</f>
        <v>64</v>
      </c>
      <c r="G207" s="427" t="str">
        <f>IF('4.Electivos'!K61=0,"-",'4.Electivos'!K61)</f>
        <v>-</v>
      </c>
      <c r="H207" s="427" t="str">
        <f>IF('4.Electivos'!L61=0,"-",'4.Electivos'!L61)</f>
        <v>-</v>
      </c>
      <c r="I207" s="427" t="str">
        <f>IF('4.Electivos'!M61=0,"-",'4.Electivos'!M61)</f>
        <v>-</v>
      </c>
      <c r="J207" s="427" t="str">
        <f>IF('4.Electivos'!N61=0,"-",'4.Electivos'!N61)</f>
        <v>-</v>
      </c>
      <c r="K207" s="428" t="str">
        <f>IF('4.Electivos'!O61=0,"-",'4.Electivos'!O61)</f>
        <v>-</v>
      </c>
      <c r="L207" s="429">
        <f>IF('4.Electivos'!P61=0,"-",'4.Electivos'!P61)</f>
        <v>4</v>
      </c>
      <c r="M207" s="430" t="str">
        <f>IF('7.Sumillas'!G203=0,"",'7.Sumillas'!G203)</f>
        <v>Gestión del sector público y sociedad civil para el desarrollo sostenible, es una asignatura de formación especializada, tiene carácter teórico y contribuye al desarrollo de la competencia profesional de Desarrollo enseñanza y aprendizaje. Tiene como propósito que el estudiante asuma una visión socialmente responsable y el enfoque de desarrollo sostenible para contribuir al bienestar de la sociedad. Comprende el desarrollo de los siguientes ejes temáticos: marco de las políticas públicas de los diferentes sectores en el Estado; el sistema de cooperación internacional; las inversiones públicas, la recaudación de fondos y la movilización de recursos, uso de herramientas como el presupuesto participativo y obras por impuestos; y metodologías como el árbol de problemas y marco lógico. El producto acreditable de la asignatura es un trabajo final que abordará los principales conceptos y como se interrelacionan entre ellos.</v>
      </c>
      <c r="N207" s="431"/>
      <c r="O207" s="431"/>
      <c r="P207" s="430" t="str">
        <f>CONCATENATE(CHAR(10),CONCATENATE('4.Electivos'!Y61,CHAR(10),'4.Electivos'!Z61,CHAR(10),'4.Electivos'!AA61,CHAR(10),'4.Electivos'!AB61,CHAR(10),'4.Electivos'!AC61))</f>
        <v xml:space="preserve">
CP3: Desarrollo enseñanza y aprendizaje:N3 Desempeñarse de manera eficiente en el desarrollo la enseñanza y de su desarrollo en su identidad docente para el buen aprendizaje de los estudiantes.
</v>
      </c>
      <c r="Q207" s="431"/>
      <c r="R207" s="431"/>
      <c r="S207" s="431"/>
      <c r="T207" s="305" t="str">
        <f t="shared" si="3"/>
        <v>No Aplica</v>
      </c>
    </row>
    <row r="208" spans="2:20" ht="96">
      <c r="B208" s="425">
        <f>'4.Electivos'!B62</f>
        <v>10</v>
      </c>
      <c r="C208" s="425" t="str">
        <f>IF('4.Electivos'!C62="","",'4.Electivos'!C62)</f>
        <v>GES61008</v>
      </c>
      <c r="D208" s="425" t="str">
        <f>IF('4.Electivos'!E62="","",'4.Electivos'!E62)</f>
        <v>C. M.: INCUBACIÓN II</v>
      </c>
      <c r="E208" s="426" t="str">
        <f>'4.Electivos'!I62</f>
        <v>Presencial</v>
      </c>
      <c r="F208" s="426">
        <f>IF('4.Electivos'!J62=0,"-",'4.Electivos'!J62)</f>
        <v>64</v>
      </c>
      <c r="G208" s="427" t="str">
        <f>IF('4.Electivos'!K62=0,"-",'4.Electivos'!K62)</f>
        <v>-</v>
      </c>
      <c r="H208" s="427" t="str">
        <f>IF('4.Electivos'!L62=0,"-",'4.Electivos'!L62)</f>
        <v>-</v>
      </c>
      <c r="I208" s="427" t="str">
        <f>IF('4.Electivos'!M62=0,"-",'4.Electivos'!M62)</f>
        <v>-</v>
      </c>
      <c r="J208" s="427" t="str">
        <f>IF('4.Electivos'!N62=0,"-",'4.Electivos'!N62)</f>
        <v>-</v>
      </c>
      <c r="K208" s="428" t="str">
        <f>IF('4.Electivos'!O62=0,"-",'4.Electivos'!O62)</f>
        <v>-</v>
      </c>
      <c r="L208" s="429">
        <f>IF('4.Electivos'!P62=0,"-",'4.Electivos'!P62)</f>
        <v>4</v>
      </c>
      <c r="M208" s="430" t="str">
        <f>IF('7.Sumillas'!G204=0,"",'7.Sumillas'!G204)</f>
        <v>C. M.: Incubación II es una asignatura de especialidad, es de naturaleza teórica, contribuye al desarrollo de la competencia de Desarrollo de Gestión Educativa, mediante la elaboración de un informe final del flujo de caja y diagrama de Gantt. Comprende el desarrollo de los siguientes ejes temáticos: Desarrollo de marca, Publicidad y promoción, Evaluación económica y diagrama de Gantt. El producto acreditable de la asignatura es el informe final del flujo de caja y diagrama de Gantt de las actividades de inicio del proyecto.</v>
      </c>
      <c r="N208" s="431"/>
      <c r="O208" s="431"/>
      <c r="P208" s="430" t="str">
        <f>CONCATENATE(CHAR(10),CONCATENATE('4.Electivos'!Y62,CHAR(10),'4.Electivos'!Z62,CHAR(10),'4.Electivos'!AA62,CHAR(10),'4.Electivos'!AB62,CHAR(10),'4.Electivos'!AC62))</f>
        <v xml:space="preserve">
CP2: Desarrollo de gestión educativa:N3 Establece relaciones entre las concepciones de administración, economía, marketing y aspectos legales como fundamentos básicos para el desarrollo de una buena gestión educativa.
</v>
      </c>
      <c r="Q208" s="431"/>
      <c r="R208" s="431"/>
      <c r="S208" s="431"/>
      <c r="T208" s="305" t="str">
        <f t="shared" si="3"/>
        <v>No Aplica</v>
      </c>
    </row>
    <row r="209" spans="2:20" ht="132">
      <c r="B209" s="425">
        <f>'4.Electivos'!B63</f>
        <v>10</v>
      </c>
      <c r="C209" s="425" t="str">
        <f>IF('4.Electivos'!C63="","",'4.Electivos'!C63)</f>
        <v>GSI61017</v>
      </c>
      <c r="D209" s="425" t="str">
        <f>IF('4.Electivos'!E63="","",'4.Electivos'!E63)</f>
        <v>ARTIFICIAL INTELLIGENCE FOR BUSINESS</v>
      </c>
      <c r="E209" s="426" t="str">
        <f>'4.Electivos'!I63</f>
        <v>Presencial</v>
      </c>
      <c r="F209" s="426">
        <f>IF('4.Electivos'!J63=0,"-",'4.Electivos'!J63)</f>
        <v>64</v>
      </c>
      <c r="G209" s="427" t="str">
        <f>IF('4.Electivos'!K63=0,"-",'4.Electivos'!K63)</f>
        <v>-</v>
      </c>
      <c r="H209" s="427" t="str">
        <f>IF('4.Electivos'!L63=0,"-",'4.Electivos'!L63)</f>
        <v>-</v>
      </c>
      <c r="I209" s="427" t="str">
        <f>IF('4.Electivos'!M63=0,"-",'4.Electivos'!M63)</f>
        <v>-</v>
      </c>
      <c r="J209" s="427" t="str">
        <f>IF('4.Electivos'!N63=0,"-",'4.Electivos'!N63)</f>
        <v>-</v>
      </c>
      <c r="K209" s="428" t="str">
        <f>IF('4.Electivos'!O63=0,"-",'4.Electivos'!O63)</f>
        <v>-</v>
      </c>
      <c r="L209" s="429">
        <f>IF('4.Electivos'!P63=0,"-",'4.Electivos'!P63)</f>
        <v>4</v>
      </c>
      <c r="M209" s="430" t="str">
        <f>IF('7.Sumillas'!G205=0,"",'7.Sumillas'!G205)</f>
        <v>Artificial Intelligence for Business, es una asignatura que corresponde al área de estudios de especialidad. Es de naturaleza teórica. Tributa a la competencia Desarrollo de Gestión Educativa, cuyo propósito es comparar el desempeño real con el desempeño esperado de las organizaciones, en base al plan definido, brindando el conocimiento básico necesario para gestionar empresas aprovechando el avance rápido de la Inteligencia Artificial.  El contenido del curso incluye cuatro ejes temáticos: Introducción a la inteligencia Artifical (IA) en el ámbito empresarial,  tecnologías y herramientas de IA para negocios, ética y gobernanza de la IA empresarial e Implementación y gestión de proyectos de IA en empresas.  El producto acreditable de la asignatura es "Elaboración de un Plan Estratégico de Implementación de Inteligencia Artificial para una empresa ficticia o real"</v>
      </c>
      <c r="N209" s="431"/>
      <c r="O209" s="431"/>
      <c r="P209" s="430" t="str">
        <f>CONCATENATE(CHAR(10),CONCATENATE('4.Electivos'!Y63,CHAR(10),'4.Electivos'!Z63,CHAR(10),'4.Electivos'!AA63,CHAR(10),'4.Electivos'!AB63,CHAR(10),'4.Electivos'!AC63))</f>
        <v xml:space="preserve">
CP2: Desarrollo de gestión educativa:N3 Establece relaciones entre las concepciones de administración, economía, marketing y aspectos legales como fundamentos básicos para el desarrollo de una buena gestión educativa.
</v>
      </c>
      <c r="Q209" s="431"/>
      <c r="R209" s="431"/>
      <c r="S209" s="431"/>
      <c r="T209" s="305" t="str">
        <f t="shared" si="3"/>
        <v>No Aplica</v>
      </c>
    </row>
    <row r="210" spans="2:20" ht="120">
      <c r="B210" s="425">
        <f>'4.Electivos'!B64</f>
        <v>10</v>
      </c>
      <c r="C210" s="425" t="str">
        <f>IF('4.Electivos'!C64="","",'4.Electivos'!C64)</f>
        <v>MSI64007</v>
      </c>
      <c r="D210" s="425" t="str">
        <f>IF('4.Electivos'!E64="","",'4.Electivos'!E64)</f>
        <v>ANÁLISIS Y VISUALIZACIÓN DE DATOS</v>
      </c>
      <c r="E210" s="426" t="str">
        <f>'4.Electivos'!I64</f>
        <v>Presencial</v>
      </c>
      <c r="F210" s="426">
        <f>IF('4.Electivos'!J64=0,"-",'4.Electivos'!J64)</f>
        <v>32</v>
      </c>
      <c r="G210" s="427" t="str">
        <f>IF('4.Electivos'!K64=0,"-",'4.Electivos'!K64)</f>
        <v>-</v>
      </c>
      <c r="H210" s="427">
        <f>IF('4.Electivos'!L64=0,"-",'4.Electivos'!L64)</f>
        <v>32</v>
      </c>
      <c r="I210" s="427" t="str">
        <f>IF('4.Electivos'!M64=0,"-",'4.Electivos'!M64)</f>
        <v>-</v>
      </c>
      <c r="J210" s="427">
        <f>IF('4.Electivos'!N64=0,"-",'4.Electivos'!N64)</f>
        <v>32</v>
      </c>
      <c r="K210" s="428" t="str">
        <f>IF('4.Electivos'!O64=0,"-",'4.Electivos'!O64)</f>
        <v>-</v>
      </c>
      <c r="L210" s="429">
        <f>IF('4.Electivos'!P64=0,"-",'4.Electivos'!P64)</f>
        <v>4</v>
      </c>
      <c r="M210" s="430" t="str">
        <f>IF('7.Sumillas'!G206=0,"",'7.Sumillas'!G206)</f>
        <v>Análisis y visualización de datos, es una asignatura de formación especializada, tiene carácter teórico práctico, contribuye al desarrollo de la competencia Investigación Educativa. El curso tiene por finalidad permitir al estudiante identificar patrones, tendencias y relaciones en conjuntos de datos, así como comunicar de manera efectiva los hallazgos a través de visualizaciones claras y significativas. El curso comprende el desarrollo de los siguientes ejes temáticos:  modelamiento predictivo, fundamentos de la visualización de datos, herramientas de visualización de datos, aplicaciones prácticas de análisis y visualización de datos. El producto acreditable es un informe de la solución a un problema de analítica y visualización de datos de un problema de su comunidad.</v>
      </c>
      <c r="N210" s="431"/>
      <c r="O210" s="431"/>
      <c r="P210" s="430" t="str">
        <f>CONCATENATE(CHAR(10),CONCATENATE('4.Electivos'!Y64,CHAR(10),'4.Electivos'!Z64,CHAR(10),'4.Electivos'!AA64,CHAR(10),'4.Electivos'!AB64,CHAR(10),'4.Electivos'!AC64))</f>
        <v xml:space="preserve">
CP4: Investigación Educativa:N3 Elabora el proyecto de investigación demostrando consistencia sobre todo en el marco teórico, diseño metodológico y validación de los instrumentos de investigación.
</v>
      </c>
      <c r="Q210" s="431"/>
      <c r="R210" s="431"/>
      <c r="S210" s="431"/>
      <c r="T210" s="305" t="str">
        <f t="shared" si="3"/>
        <v>No Aplica</v>
      </c>
    </row>
    <row r="211" spans="2:20" ht="72">
      <c r="B211" s="425">
        <f>'4.Electivos'!B65</f>
        <v>10</v>
      </c>
      <c r="C211" s="425" t="str">
        <f>IF('4.Electivos'!C65="","",'4.Electivos'!C65)</f>
        <v/>
      </c>
      <c r="D211" s="425" t="str">
        <f>IF('4.Electivos'!E65="","",'4.Electivos'!E65)</f>
        <v/>
      </c>
      <c r="E211" s="426" t="str">
        <f>'4.Electivos'!I65</f>
        <v/>
      </c>
      <c r="F211" s="426" t="str">
        <f>IF('4.Electivos'!J65=0,"-",'4.Electivos'!J65)</f>
        <v>-</v>
      </c>
      <c r="G211" s="427" t="str">
        <f>IF('4.Electivos'!K65=0,"-",'4.Electivos'!K65)</f>
        <v>-</v>
      </c>
      <c r="H211" s="427" t="str">
        <f>IF('4.Electivos'!L65=0,"-",'4.Electivos'!L65)</f>
        <v>-</v>
      </c>
      <c r="I211" s="427" t="str">
        <f>IF('4.Electivos'!M65=0,"-",'4.Electivos'!M65)</f>
        <v>-</v>
      </c>
      <c r="J211" s="427" t="str">
        <f>IF('4.Electivos'!N65=0,"-",'4.Electivos'!N65)</f>
        <v>-</v>
      </c>
      <c r="K211" s="428" t="str">
        <f>IF('4.Electivos'!O65=0,"-",'4.Electivos'!O65)</f>
        <v>-</v>
      </c>
      <c r="L211" s="429" t="str">
        <f>IF('4.Electivos'!P65=0,"-",'4.Electivos'!P65)</f>
        <v>-</v>
      </c>
      <c r="M211" s="430" t="str">
        <f>IF('7.Sumillas'!G207=0,"",'7.Sumillas'!G207)</f>
        <v/>
      </c>
      <c r="N211" s="431"/>
      <c r="O211" s="431"/>
      <c r="P211" s="430" t="str">
        <f>CONCATENATE(CHAR(10),CONCATENATE('4.Electivos'!Y65,CHAR(10),'4.Electivos'!Z65,CHAR(10),'4.Electivos'!AA65,CHAR(10),'4.Electivos'!AB65,CHAR(10),'4.Electivos'!AC65))</f>
        <v xml:space="preserve">
</v>
      </c>
      <c r="Q211" s="431"/>
      <c r="R211" s="431"/>
      <c r="S211" s="431"/>
      <c r="T211" s="305" t="str">
        <f t="shared" si="3"/>
        <v>No Aplica</v>
      </c>
    </row>
    <row r="212" spans="2:20" ht="72">
      <c r="B212" s="425">
        <f>'4.Electivos'!B66</f>
        <v>10</v>
      </c>
      <c r="C212" s="425" t="str">
        <f>IF('4.Electivos'!C66="","",'4.Electivos'!C66)</f>
        <v/>
      </c>
      <c r="D212" s="425" t="str">
        <f>IF('4.Electivos'!E66="","",'4.Electivos'!E66)</f>
        <v/>
      </c>
      <c r="E212" s="426" t="str">
        <f>'4.Electivos'!I66</f>
        <v/>
      </c>
      <c r="F212" s="426" t="str">
        <f>IF('4.Electivos'!J66=0,"-",'4.Electivos'!J66)</f>
        <v>-</v>
      </c>
      <c r="G212" s="427" t="str">
        <f>IF('4.Electivos'!K66=0,"-",'4.Electivos'!K66)</f>
        <v>-</v>
      </c>
      <c r="H212" s="427" t="str">
        <f>IF('4.Electivos'!L66=0,"-",'4.Electivos'!L66)</f>
        <v>-</v>
      </c>
      <c r="I212" s="427" t="str">
        <f>IF('4.Electivos'!M66=0,"-",'4.Electivos'!M66)</f>
        <v>-</v>
      </c>
      <c r="J212" s="427" t="str">
        <f>IF('4.Electivos'!N66=0,"-",'4.Electivos'!N66)</f>
        <v>-</v>
      </c>
      <c r="K212" s="428" t="str">
        <f>IF('4.Electivos'!O66=0,"-",'4.Electivos'!O66)</f>
        <v>-</v>
      </c>
      <c r="L212" s="429" t="str">
        <f>IF('4.Electivos'!P66=0,"-",'4.Electivos'!P66)</f>
        <v>-</v>
      </c>
      <c r="M212" s="430" t="str">
        <f>IF('7.Sumillas'!G208=0,"",'7.Sumillas'!G208)</f>
        <v/>
      </c>
      <c r="N212" s="431"/>
      <c r="O212" s="431"/>
      <c r="P212" s="430" t="str">
        <f>CONCATENATE(CHAR(10),CONCATENATE('4.Electivos'!Y66,CHAR(10),'4.Electivos'!Z66,CHAR(10),'4.Electivos'!AA66,CHAR(10),'4.Electivos'!AB66,CHAR(10),'4.Electivos'!AC66))</f>
        <v xml:space="preserve">
</v>
      </c>
      <c r="Q212" s="431"/>
      <c r="R212" s="431"/>
      <c r="S212" s="431"/>
      <c r="T212" s="305" t="str">
        <f t="shared" si="3"/>
        <v>No Aplica</v>
      </c>
    </row>
    <row r="213" spans="2:20" ht="72">
      <c r="B213" s="425">
        <f>'4.Electivos'!B67</f>
        <v>10</v>
      </c>
      <c r="C213" s="425" t="str">
        <f>IF('4.Electivos'!C67="","",'4.Electivos'!C67)</f>
        <v/>
      </c>
      <c r="D213" s="425" t="str">
        <f>IF('4.Electivos'!E67="","",'4.Electivos'!E67)</f>
        <v/>
      </c>
      <c r="E213" s="426" t="str">
        <f>'4.Electivos'!I67</f>
        <v/>
      </c>
      <c r="F213" s="426" t="str">
        <f>IF('4.Electivos'!J67=0,"-",'4.Electivos'!J67)</f>
        <v>-</v>
      </c>
      <c r="G213" s="427" t="str">
        <f>IF('4.Electivos'!K67=0,"-",'4.Electivos'!K67)</f>
        <v>-</v>
      </c>
      <c r="H213" s="427" t="str">
        <f>IF('4.Electivos'!L67=0,"-",'4.Electivos'!L67)</f>
        <v>-</v>
      </c>
      <c r="I213" s="427" t="str">
        <f>IF('4.Electivos'!M67=0,"-",'4.Electivos'!M67)</f>
        <v>-</v>
      </c>
      <c r="J213" s="427" t="str">
        <f>IF('4.Electivos'!N67=0,"-",'4.Electivos'!N67)</f>
        <v>-</v>
      </c>
      <c r="K213" s="428" t="str">
        <f>IF('4.Electivos'!O67=0,"-",'4.Electivos'!O67)</f>
        <v>-</v>
      </c>
      <c r="L213" s="429" t="str">
        <f>IF('4.Electivos'!P67=0,"-",'4.Electivos'!P67)</f>
        <v>-</v>
      </c>
      <c r="M213" s="430" t="str">
        <f>IF('7.Sumillas'!G209=0,"",'7.Sumillas'!G209)</f>
        <v/>
      </c>
      <c r="N213" s="431"/>
      <c r="O213" s="431"/>
      <c r="P213" s="430" t="str">
        <f>CONCATENATE(CHAR(10),CONCATENATE('4.Electivos'!Y67,CHAR(10),'4.Electivos'!Z67,CHAR(10),'4.Electivos'!AA67,CHAR(10),'4.Electivos'!AB67,CHAR(10),'4.Electivos'!AC67))</f>
        <v xml:space="preserve">
</v>
      </c>
      <c r="Q213" s="431"/>
      <c r="R213" s="431"/>
      <c r="S213" s="431"/>
      <c r="T213" s="305" t="str">
        <f t="shared" si="3"/>
        <v>No Aplica</v>
      </c>
    </row>
    <row r="214" spans="2:20" ht="72">
      <c r="B214" s="425">
        <f>'4.Electivos'!B68</f>
        <v>10</v>
      </c>
      <c r="C214" s="425" t="str">
        <f>IF('4.Electivos'!C68="","",'4.Electivos'!C68)</f>
        <v/>
      </c>
      <c r="D214" s="425" t="str">
        <f>IF('4.Electivos'!E68="","",'4.Electivos'!E68)</f>
        <v/>
      </c>
      <c r="E214" s="426" t="str">
        <f>'4.Electivos'!I68</f>
        <v/>
      </c>
      <c r="F214" s="426" t="str">
        <f>IF('4.Electivos'!J68=0,"-",'4.Electivos'!J68)</f>
        <v>-</v>
      </c>
      <c r="G214" s="427" t="str">
        <f>IF('4.Electivos'!K68=0,"-",'4.Electivos'!K68)</f>
        <v>-</v>
      </c>
      <c r="H214" s="427" t="str">
        <f>IF('4.Electivos'!L68=0,"-",'4.Electivos'!L68)</f>
        <v>-</v>
      </c>
      <c r="I214" s="427" t="str">
        <f>IF('4.Electivos'!M68=0,"-",'4.Electivos'!M68)</f>
        <v>-</v>
      </c>
      <c r="J214" s="427" t="str">
        <f>IF('4.Electivos'!N68=0,"-",'4.Electivos'!N68)</f>
        <v>-</v>
      </c>
      <c r="K214" s="428" t="str">
        <f>IF('4.Electivos'!O68=0,"-",'4.Electivos'!O68)</f>
        <v>-</v>
      </c>
      <c r="L214" s="429" t="str">
        <f>IF('4.Electivos'!P68=0,"-",'4.Electivos'!P68)</f>
        <v>-</v>
      </c>
      <c r="M214" s="430" t="str">
        <f>IF('7.Sumillas'!G210=0,"",'7.Sumillas'!G210)</f>
        <v/>
      </c>
      <c r="N214" s="431"/>
      <c r="O214" s="431"/>
      <c r="P214" s="430" t="str">
        <f>CONCATENATE(CHAR(10),CONCATENATE('4.Electivos'!Y68,CHAR(10),'4.Electivos'!Z68,CHAR(10),'4.Electivos'!AA68,CHAR(10),'4.Electivos'!AB68,CHAR(10),'4.Electivos'!AC68))</f>
        <v xml:space="preserve">
</v>
      </c>
      <c r="Q214" s="431"/>
      <c r="R214" s="431"/>
      <c r="S214" s="431"/>
      <c r="T214" s="305" t="str">
        <f t="shared" si="3"/>
        <v>No Aplica</v>
      </c>
    </row>
    <row r="215" spans="2:20" ht="72">
      <c r="B215" s="425">
        <f>'4.Electivos'!B69</f>
        <v>11</v>
      </c>
      <c r="C215" s="425" t="str">
        <f>IF('4.Electivos'!C69="","",'4.Electivos'!C69)</f>
        <v/>
      </c>
      <c r="D215" s="425" t="str">
        <f>IF('4.Electivos'!E69="","",'4.Electivos'!E69)</f>
        <v/>
      </c>
      <c r="E215" s="426" t="str">
        <f>'4.Electivos'!I69</f>
        <v/>
      </c>
      <c r="F215" s="426" t="str">
        <f>IF('4.Electivos'!J69=0,"-",'4.Electivos'!J69)</f>
        <v>-</v>
      </c>
      <c r="G215" s="427" t="str">
        <f>IF('4.Electivos'!K69=0,"-",'4.Electivos'!K69)</f>
        <v>-</v>
      </c>
      <c r="H215" s="427" t="str">
        <f>IF('4.Electivos'!L69=0,"-",'4.Electivos'!L69)</f>
        <v>-</v>
      </c>
      <c r="I215" s="427" t="str">
        <f>IF('4.Electivos'!M69=0,"-",'4.Electivos'!M69)</f>
        <v>-</v>
      </c>
      <c r="J215" s="427" t="str">
        <f>IF('4.Electivos'!N69=0,"-",'4.Electivos'!N69)</f>
        <v>-</v>
      </c>
      <c r="K215" s="428" t="str">
        <f>IF('4.Electivos'!O69=0,"-",'4.Electivos'!O69)</f>
        <v>-</v>
      </c>
      <c r="L215" s="429" t="str">
        <f>IF('4.Electivos'!P69=0,"-",'4.Electivos'!P69)</f>
        <v>-</v>
      </c>
      <c r="M215" s="430" t="str">
        <f>IF('7.Sumillas'!G211=0,"",'7.Sumillas'!G211)</f>
        <v/>
      </c>
      <c r="N215" s="431"/>
      <c r="O215" s="431"/>
      <c r="P215" s="430" t="str">
        <f>CONCATENATE(CHAR(10),CONCATENATE('4.Electivos'!Y69,CHAR(10),'4.Electivos'!Z69,CHAR(10),'4.Electivos'!AA69,CHAR(10),'4.Electivos'!AB69,CHAR(10),'4.Electivos'!AC69))</f>
        <v xml:space="preserve">
</v>
      </c>
      <c r="Q215" s="431"/>
      <c r="R215" s="431"/>
      <c r="S215" s="431"/>
      <c r="T215" s="305" t="str">
        <f t="shared" si="3"/>
        <v>No Aplica</v>
      </c>
    </row>
    <row r="216" spans="2:20" ht="72">
      <c r="B216" s="425">
        <f>'4.Electivos'!B70</f>
        <v>11</v>
      </c>
      <c r="C216" s="425" t="str">
        <f>IF('4.Electivos'!C70="","",'4.Electivos'!C70)</f>
        <v/>
      </c>
      <c r="D216" s="425" t="str">
        <f>IF('4.Electivos'!E70="","",'4.Electivos'!E70)</f>
        <v/>
      </c>
      <c r="E216" s="426" t="str">
        <f>'4.Electivos'!I70</f>
        <v/>
      </c>
      <c r="F216" s="426" t="str">
        <f>IF('4.Electivos'!J70=0,"-",'4.Electivos'!J70)</f>
        <v>-</v>
      </c>
      <c r="G216" s="427" t="str">
        <f>IF('4.Electivos'!K70=0,"-",'4.Electivos'!K70)</f>
        <v>-</v>
      </c>
      <c r="H216" s="427" t="str">
        <f>IF('4.Electivos'!L70=0,"-",'4.Electivos'!L70)</f>
        <v>-</v>
      </c>
      <c r="I216" s="427" t="str">
        <f>IF('4.Electivos'!M70=0,"-",'4.Electivos'!M70)</f>
        <v>-</v>
      </c>
      <c r="J216" s="427" t="str">
        <f>IF('4.Electivos'!N70=0,"-",'4.Electivos'!N70)</f>
        <v>-</v>
      </c>
      <c r="K216" s="428" t="str">
        <f>IF('4.Electivos'!O70=0,"-",'4.Electivos'!O70)</f>
        <v>-</v>
      </c>
      <c r="L216" s="429" t="str">
        <f>IF('4.Electivos'!P70=0,"-",'4.Electivos'!P70)</f>
        <v>-</v>
      </c>
      <c r="M216" s="430" t="str">
        <f>IF('7.Sumillas'!G212=0,"",'7.Sumillas'!G212)</f>
        <v/>
      </c>
      <c r="N216" s="431"/>
      <c r="O216" s="431"/>
      <c r="P216" s="430" t="str">
        <f>CONCATENATE(CHAR(10),CONCATENATE('4.Electivos'!Y70,CHAR(10),'4.Electivos'!Z70,CHAR(10),'4.Electivos'!AA70,CHAR(10),'4.Electivos'!AB70,CHAR(10),'4.Electivos'!AC70))</f>
        <v xml:space="preserve">
</v>
      </c>
      <c r="Q216" s="431"/>
      <c r="R216" s="431"/>
      <c r="S216" s="431"/>
      <c r="T216" s="305" t="str">
        <f t="shared" si="3"/>
        <v>No Aplica</v>
      </c>
    </row>
    <row r="217" spans="2:20" ht="72">
      <c r="B217" s="425">
        <f>'4.Electivos'!B71</f>
        <v>11</v>
      </c>
      <c r="C217" s="425" t="str">
        <f>IF('4.Electivos'!C71="","",'4.Electivos'!C71)</f>
        <v/>
      </c>
      <c r="D217" s="425" t="str">
        <f>IF('4.Electivos'!E71="","",'4.Electivos'!E71)</f>
        <v/>
      </c>
      <c r="E217" s="426" t="str">
        <f>'4.Electivos'!I71</f>
        <v/>
      </c>
      <c r="F217" s="426" t="str">
        <f>IF('4.Electivos'!J71=0,"-",'4.Electivos'!J71)</f>
        <v>-</v>
      </c>
      <c r="G217" s="427" t="str">
        <f>IF('4.Electivos'!K71=0,"-",'4.Electivos'!K71)</f>
        <v>-</v>
      </c>
      <c r="H217" s="427" t="str">
        <f>IF('4.Electivos'!L71=0,"-",'4.Electivos'!L71)</f>
        <v>-</v>
      </c>
      <c r="I217" s="427" t="str">
        <f>IF('4.Electivos'!M71=0,"-",'4.Electivos'!M71)</f>
        <v>-</v>
      </c>
      <c r="J217" s="427" t="str">
        <f>IF('4.Electivos'!N71=0,"-",'4.Electivos'!N71)</f>
        <v>-</v>
      </c>
      <c r="K217" s="428" t="str">
        <f>IF('4.Electivos'!O71=0,"-",'4.Electivos'!O71)</f>
        <v>-</v>
      </c>
      <c r="L217" s="429" t="str">
        <f>IF('4.Electivos'!P71=0,"-",'4.Electivos'!P71)</f>
        <v>-</v>
      </c>
      <c r="M217" s="430" t="str">
        <f>IF('7.Sumillas'!G213=0,"",'7.Sumillas'!G213)</f>
        <v/>
      </c>
      <c r="N217" s="431"/>
      <c r="O217" s="431"/>
      <c r="P217" s="430" t="str">
        <f>CONCATENATE(CHAR(10),CONCATENATE('4.Electivos'!Y71,CHAR(10),'4.Electivos'!Z71,CHAR(10),'4.Electivos'!AA71,CHAR(10),'4.Electivos'!AB71,CHAR(10),'4.Electivos'!AC71))</f>
        <v xml:space="preserve">
</v>
      </c>
      <c r="Q217" s="431"/>
      <c r="R217" s="431"/>
      <c r="S217" s="431"/>
      <c r="T217" s="305" t="str">
        <f t="shared" si="3"/>
        <v>No Aplica</v>
      </c>
    </row>
    <row r="218" spans="2:20" ht="72">
      <c r="B218" s="425">
        <f>'4.Electivos'!B72</f>
        <v>11</v>
      </c>
      <c r="C218" s="425" t="str">
        <f>IF('4.Electivos'!C72="","",'4.Electivos'!C72)</f>
        <v/>
      </c>
      <c r="D218" s="425" t="str">
        <f>IF('4.Electivos'!E72="","",'4.Electivos'!E72)</f>
        <v/>
      </c>
      <c r="E218" s="426" t="str">
        <f>'4.Electivos'!I72</f>
        <v/>
      </c>
      <c r="F218" s="426" t="str">
        <f>IF('4.Electivos'!J72=0,"-",'4.Electivos'!J72)</f>
        <v>-</v>
      </c>
      <c r="G218" s="427" t="str">
        <f>IF('4.Electivos'!K72=0,"-",'4.Electivos'!K72)</f>
        <v>-</v>
      </c>
      <c r="H218" s="427" t="str">
        <f>IF('4.Electivos'!L72=0,"-",'4.Electivos'!L72)</f>
        <v>-</v>
      </c>
      <c r="I218" s="427" t="str">
        <f>IF('4.Electivos'!M72=0,"-",'4.Electivos'!M72)</f>
        <v>-</v>
      </c>
      <c r="J218" s="427" t="str">
        <f>IF('4.Electivos'!N72=0,"-",'4.Electivos'!N72)</f>
        <v>-</v>
      </c>
      <c r="K218" s="428" t="str">
        <f>IF('4.Electivos'!O72=0,"-",'4.Electivos'!O72)</f>
        <v>-</v>
      </c>
      <c r="L218" s="429" t="str">
        <f>IF('4.Electivos'!P72=0,"-",'4.Electivos'!P72)</f>
        <v>-</v>
      </c>
      <c r="M218" s="430" t="str">
        <f>IF('7.Sumillas'!G214=0,"",'7.Sumillas'!G214)</f>
        <v/>
      </c>
      <c r="N218" s="431"/>
      <c r="O218" s="431"/>
      <c r="P218" s="430" t="str">
        <f>CONCATENATE(CHAR(10),CONCATENATE('4.Electivos'!Y72,CHAR(10),'4.Electivos'!Z72,CHAR(10),'4.Electivos'!AA72,CHAR(10),'4.Electivos'!AB72,CHAR(10),'4.Electivos'!AC72))</f>
        <v xml:space="preserve">
</v>
      </c>
      <c r="Q218" s="431"/>
      <c r="R218" s="431"/>
      <c r="S218" s="431"/>
      <c r="T218" s="305" t="str">
        <f t="shared" si="3"/>
        <v>No Aplica</v>
      </c>
    </row>
    <row r="219" spans="2:20" ht="72">
      <c r="B219" s="425">
        <f>'4.Electivos'!B73</f>
        <v>11</v>
      </c>
      <c r="C219" s="425" t="str">
        <f>IF('4.Electivos'!C73="","",'4.Electivos'!C73)</f>
        <v/>
      </c>
      <c r="D219" s="425" t="str">
        <f>IF('4.Electivos'!E73="","",'4.Electivos'!E73)</f>
        <v/>
      </c>
      <c r="E219" s="426" t="str">
        <f>'4.Electivos'!I73</f>
        <v/>
      </c>
      <c r="F219" s="426" t="str">
        <f>IF('4.Electivos'!J73=0,"-",'4.Electivos'!J73)</f>
        <v>-</v>
      </c>
      <c r="G219" s="427" t="str">
        <f>IF('4.Electivos'!K73=0,"-",'4.Electivos'!K73)</f>
        <v>-</v>
      </c>
      <c r="H219" s="427" t="str">
        <f>IF('4.Electivos'!L73=0,"-",'4.Electivos'!L73)</f>
        <v>-</v>
      </c>
      <c r="I219" s="427" t="str">
        <f>IF('4.Electivos'!M73=0,"-",'4.Electivos'!M73)</f>
        <v>-</v>
      </c>
      <c r="J219" s="427" t="str">
        <f>IF('4.Electivos'!N73=0,"-",'4.Electivos'!N73)</f>
        <v>-</v>
      </c>
      <c r="K219" s="428" t="str">
        <f>IF('4.Electivos'!O73=0,"-",'4.Electivos'!O73)</f>
        <v>-</v>
      </c>
      <c r="L219" s="429" t="str">
        <f>IF('4.Electivos'!P73=0,"-",'4.Electivos'!P73)</f>
        <v>-</v>
      </c>
      <c r="M219" s="430" t="str">
        <f>IF('7.Sumillas'!G215=0,"",'7.Sumillas'!G215)</f>
        <v/>
      </c>
      <c r="N219" s="431"/>
      <c r="O219" s="431"/>
      <c r="P219" s="430" t="str">
        <f>CONCATENATE(CHAR(10),CONCATENATE('4.Electivos'!Y73,CHAR(10),'4.Electivos'!Z73,CHAR(10),'4.Electivos'!AA73,CHAR(10),'4.Electivos'!AB73,CHAR(10),'4.Electivos'!AC73))</f>
        <v xml:space="preserve">
</v>
      </c>
      <c r="Q219" s="431"/>
      <c r="R219" s="431"/>
      <c r="S219" s="431"/>
      <c r="T219" s="305" t="str">
        <f t="shared" ref="T219:T254" si="4">IF(OR(I219&lt;&gt;"-",K219&lt;&gt;"-"),"","No Aplica")</f>
        <v>No Aplica</v>
      </c>
    </row>
    <row r="220" spans="2:20" ht="72">
      <c r="B220" s="425">
        <f>'4.Electivos'!B74</f>
        <v>11</v>
      </c>
      <c r="C220" s="425" t="str">
        <f>IF('4.Electivos'!C74="","",'4.Electivos'!C74)</f>
        <v/>
      </c>
      <c r="D220" s="425" t="str">
        <f>IF('4.Electivos'!E74="","",'4.Electivos'!E74)</f>
        <v/>
      </c>
      <c r="E220" s="426" t="str">
        <f>'4.Electivos'!I74</f>
        <v/>
      </c>
      <c r="F220" s="426" t="str">
        <f>IF('4.Electivos'!J74=0,"-",'4.Electivos'!J74)</f>
        <v>-</v>
      </c>
      <c r="G220" s="427" t="str">
        <f>IF('4.Electivos'!K74=0,"-",'4.Electivos'!K74)</f>
        <v>-</v>
      </c>
      <c r="H220" s="427" t="str">
        <f>IF('4.Electivos'!L74=0,"-",'4.Electivos'!L74)</f>
        <v>-</v>
      </c>
      <c r="I220" s="427" t="str">
        <f>IF('4.Electivos'!M74=0,"-",'4.Electivos'!M74)</f>
        <v>-</v>
      </c>
      <c r="J220" s="427" t="str">
        <f>IF('4.Electivos'!N74=0,"-",'4.Electivos'!N74)</f>
        <v>-</v>
      </c>
      <c r="K220" s="428" t="str">
        <f>IF('4.Electivos'!O74=0,"-",'4.Electivos'!O74)</f>
        <v>-</v>
      </c>
      <c r="L220" s="429" t="str">
        <f>IF('4.Electivos'!P74=0,"-",'4.Electivos'!P74)</f>
        <v>-</v>
      </c>
      <c r="M220" s="430" t="str">
        <f>IF('7.Sumillas'!G216=0,"",'7.Sumillas'!G216)</f>
        <v/>
      </c>
      <c r="N220" s="431"/>
      <c r="O220" s="431"/>
      <c r="P220" s="430" t="str">
        <f>CONCATENATE(CHAR(10),CONCATENATE('4.Electivos'!Y74,CHAR(10),'4.Electivos'!Z74,CHAR(10),'4.Electivos'!AA74,CHAR(10),'4.Electivos'!AB74,CHAR(10),'4.Electivos'!AC74))</f>
        <v xml:space="preserve">
</v>
      </c>
      <c r="Q220" s="431"/>
      <c r="R220" s="431"/>
      <c r="S220" s="431"/>
      <c r="T220" s="305" t="str">
        <f t="shared" si="4"/>
        <v>No Aplica</v>
      </c>
    </row>
    <row r="221" spans="2:20" ht="72">
      <c r="B221" s="425">
        <f>'4.Electivos'!B75</f>
        <v>11</v>
      </c>
      <c r="C221" s="425" t="str">
        <f>IF('4.Electivos'!C75="","",'4.Electivos'!C75)</f>
        <v/>
      </c>
      <c r="D221" s="425" t="str">
        <f>IF('4.Electivos'!E75="","",'4.Electivos'!E75)</f>
        <v/>
      </c>
      <c r="E221" s="426" t="str">
        <f>'4.Electivos'!I75</f>
        <v/>
      </c>
      <c r="F221" s="426" t="str">
        <f>IF('4.Electivos'!J75=0,"-",'4.Electivos'!J75)</f>
        <v>-</v>
      </c>
      <c r="G221" s="427" t="str">
        <f>IF('4.Electivos'!K75=0,"-",'4.Electivos'!K75)</f>
        <v>-</v>
      </c>
      <c r="H221" s="427" t="str">
        <f>IF('4.Electivos'!L75=0,"-",'4.Electivos'!L75)</f>
        <v>-</v>
      </c>
      <c r="I221" s="427" t="str">
        <f>IF('4.Electivos'!M75=0,"-",'4.Electivos'!M75)</f>
        <v>-</v>
      </c>
      <c r="J221" s="427" t="str">
        <f>IF('4.Electivos'!N75=0,"-",'4.Electivos'!N75)</f>
        <v>-</v>
      </c>
      <c r="K221" s="428" t="str">
        <f>IF('4.Electivos'!O75=0,"-",'4.Electivos'!O75)</f>
        <v>-</v>
      </c>
      <c r="L221" s="429" t="str">
        <f>IF('4.Electivos'!P75=0,"-",'4.Electivos'!P75)</f>
        <v>-</v>
      </c>
      <c r="M221" s="430" t="str">
        <f>IF('7.Sumillas'!G217=0,"",'7.Sumillas'!G217)</f>
        <v/>
      </c>
      <c r="N221" s="431"/>
      <c r="O221" s="431"/>
      <c r="P221" s="430" t="str">
        <f>CONCATENATE(CHAR(10),CONCATENATE('4.Electivos'!Y75,CHAR(10),'4.Electivos'!Z75,CHAR(10),'4.Electivos'!AA75,CHAR(10),'4.Electivos'!AB75,CHAR(10),'4.Electivos'!AC75))</f>
        <v xml:space="preserve">
</v>
      </c>
      <c r="Q221" s="431"/>
      <c r="R221" s="431"/>
      <c r="S221" s="431"/>
      <c r="T221" s="305" t="str">
        <f t="shared" si="4"/>
        <v>No Aplica</v>
      </c>
    </row>
    <row r="222" spans="2:20" ht="72">
      <c r="B222" s="425">
        <f>'4.Electivos'!B76</f>
        <v>11</v>
      </c>
      <c r="C222" s="425" t="str">
        <f>IF('4.Electivos'!C76="","",'4.Electivos'!C76)</f>
        <v/>
      </c>
      <c r="D222" s="425" t="str">
        <f>IF('4.Electivos'!E76="","",'4.Electivos'!E76)</f>
        <v/>
      </c>
      <c r="E222" s="426" t="str">
        <f>'4.Electivos'!I76</f>
        <v/>
      </c>
      <c r="F222" s="426" t="str">
        <f>IF('4.Electivos'!J76=0,"-",'4.Electivos'!J76)</f>
        <v>-</v>
      </c>
      <c r="G222" s="427" t="str">
        <f>IF('4.Electivos'!K76=0,"-",'4.Electivos'!K76)</f>
        <v>-</v>
      </c>
      <c r="H222" s="427" t="str">
        <f>IF('4.Electivos'!L76=0,"-",'4.Electivos'!L76)</f>
        <v>-</v>
      </c>
      <c r="I222" s="427" t="str">
        <f>IF('4.Electivos'!M76=0,"-",'4.Electivos'!M76)</f>
        <v>-</v>
      </c>
      <c r="J222" s="427" t="str">
        <f>IF('4.Electivos'!N76=0,"-",'4.Electivos'!N76)</f>
        <v>-</v>
      </c>
      <c r="K222" s="428" t="str">
        <f>IF('4.Electivos'!O76=0,"-",'4.Electivos'!O76)</f>
        <v>-</v>
      </c>
      <c r="L222" s="429" t="str">
        <f>IF('4.Electivos'!P76=0,"-",'4.Electivos'!P76)</f>
        <v>-</v>
      </c>
      <c r="M222" s="430" t="str">
        <f>IF('7.Sumillas'!G218=0,"",'7.Sumillas'!G218)</f>
        <v/>
      </c>
      <c r="N222" s="431"/>
      <c r="O222" s="431"/>
      <c r="P222" s="430" t="str">
        <f>CONCATENATE(CHAR(10),CONCATENATE('4.Electivos'!Y76,CHAR(10),'4.Electivos'!Z76,CHAR(10),'4.Electivos'!AA76,CHAR(10),'4.Electivos'!AB76,CHAR(10),'4.Electivos'!AC76))</f>
        <v xml:space="preserve">
</v>
      </c>
      <c r="Q222" s="431"/>
      <c r="R222" s="431"/>
      <c r="S222" s="431"/>
      <c r="T222" s="305" t="str">
        <f t="shared" si="4"/>
        <v>No Aplica</v>
      </c>
    </row>
    <row r="223" spans="2:20" ht="72">
      <c r="B223" s="425">
        <f>'4.Electivos'!B77</f>
        <v>11</v>
      </c>
      <c r="C223" s="425" t="str">
        <f>IF('4.Electivos'!C77="","",'4.Electivos'!C77)</f>
        <v/>
      </c>
      <c r="D223" s="425" t="str">
        <f>IF('4.Electivos'!E77="","",'4.Electivos'!E77)</f>
        <v/>
      </c>
      <c r="E223" s="426" t="str">
        <f>'4.Electivos'!I77</f>
        <v/>
      </c>
      <c r="F223" s="426" t="str">
        <f>IF('4.Electivos'!J77=0,"-",'4.Electivos'!J77)</f>
        <v>-</v>
      </c>
      <c r="G223" s="427" t="str">
        <f>IF('4.Electivos'!K77=0,"-",'4.Electivos'!K77)</f>
        <v>-</v>
      </c>
      <c r="H223" s="427" t="str">
        <f>IF('4.Electivos'!L77=0,"-",'4.Electivos'!L77)</f>
        <v>-</v>
      </c>
      <c r="I223" s="427" t="str">
        <f>IF('4.Electivos'!M77=0,"-",'4.Electivos'!M77)</f>
        <v>-</v>
      </c>
      <c r="J223" s="427" t="str">
        <f>IF('4.Electivos'!N77=0,"-",'4.Electivos'!N77)</f>
        <v>-</v>
      </c>
      <c r="K223" s="428" t="str">
        <f>IF('4.Electivos'!O77=0,"-",'4.Electivos'!O77)</f>
        <v>-</v>
      </c>
      <c r="L223" s="429" t="str">
        <f>IF('4.Electivos'!P77=0,"-",'4.Electivos'!P77)</f>
        <v>-</v>
      </c>
      <c r="M223" s="430" t="str">
        <f>IF('7.Sumillas'!G219=0,"",'7.Sumillas'!G219)</f>
        <v/>
      </c>
      <c r="N223" s="431"/>
      <c r="O223" s="431"/>
      <c r="P223" s="430" t="str">
        <f>CONCATENATE(CHAR(10),CONCATENATE('4.Electivos'!Y77,CHAR(10),'4.Electivos'!Z77,CHAR(10),'4.Electivos'!AA77,CHAR(10),'4.Electivos'!AB77,CHAR(10),'4.Electivos'!AC77))</f>
        <v xml:space="preserve">
</v>
      </c>
      <c r="Q223" s="431"/>
      <c r="R223" s="431"/>
      <c r="S223" s="431"/>
      <c r="T223" s="305" t="str">
        <f t="shared" si="4"/>
        <v>No Aplica</v>
      </c>
    </row>
    <row r="224" spans="2:20" ht="72">
      <c r="B224" s="425">
        <f>'4.Electivos'!B78</f>
        <v>11</v>
      </c>
      <c r="C224" s="425" t="str">
        <f>IF('4.Electivos'!C78="","",'4.Electivos'!C78)</f>
        <v/>
      </c>
      <c r="D224" s="425" t="str">
        <f>IF('4.Electivos'!E78="","",'4.Electivos'!E78)</f>
        <v/>
      </c>
      <c r="E224" s="426" t="str">
        <f>'4.Electivos'!I78</f>
        <v/>
      </c>
      <c r="F224" s="426" t="str">
        <f>IF('4.Electivos'!J78=0,"-",'4.Electivos'!J78)</f>
        <v>-</v>
      </c>
      <c r="G224" s="427" t="str">
        <f>IF('4.Electivos'!K78=0,"-",'4.Electivos'!K78)</f>
        <v>-</v>
      </c>
      <c r="H224" s="427" t="str">
        <f>IF('4.Electivos'!L78=0,"-",'4.Electivos'!L78)</f>
        <v>-</v>
      </c>
      <c r="I224" s="427" t="str">
        <f>IF('4.Electivos'!M78=0,"-",'4.Electivos'!M78)</f>
        <v>-</v>
      </c>
      <c r="J224" s="427" t="str">
        <f>IF('4.Electivos'!N78=0,"-",'4.Electivos'!N78)</f>
        <v>-</v>
      </c>
      <c r="K224" s="428" t="str">
        <f>IF('4.Electivos'!O78=0,"-",'4.Electivos'!O78)</f>
        <v>-</v>
      </c>
      <c r="L224" s="429" t="str">
        <f>IF('4.Electivos'!P78=0,"-",'4.Electivos'!P78)</f>
        <v>-</v>
      </c>
      <c r="M224" s="430" t="str">
        <f>IF('7.Sumillas'!G220=0,"",'7.Sumillas'!G220)</f>
        <v/>
      </c>
      <c r="N224" s="431"/>
      <c r="O224" s="431"/>
      <c r="P224" s="430" t="str">
        <f>CONCATENATE(CHAR(10),CONCATENATE('4.Electivos'!Y78,CHAR(10),'4.Electivos'!Z78,CHAR(10),'4.Electivos'!AA78,CHAR(10),'4.Electivos'!AB78,CHAR(10),'4.Electivos'!AC78))</f>
        <v xml:space="preserve">
</v>
      </c>
      <c r="Q224" s="431"/>
      <c r="R224" s="431"/>
      <c r="S224" s="431"/>
      <c r="T224" s="305" t="str">
        <f t="shared" si="4"/>
        <v>No Aplica</v>
      </c>
    </row>
    <row r="225" spans="2:20" ht="72">
      <c r="B225" s="425">
        <f>'4.Electivos'!B79</f>
        <v>12</v>
      </c>
      <c r="C225" s="425" t="str">
        <f>IF('4.Electivos'!C79="","",'4.Electivos'!C79)</f>
        <v/>
      </c>
      <c r="D225" s="425" t="str">
        <f>IF('4.Electivos'!E79="","",'4.Electivos'!E79)</f>
        <v/>
      </c>
      <c r="E225" s="426" t="str">
        <f>'4.Electivos'!I79</f>
        <v/>
      </c>
      <c r="F225" s="426" t="str">
        <f>IF('4.Electivos'!J79=0,"-",'4.Electivos'!J79)</f>
        <v>-</v>
      </c>
      <c r="G225" s="427" t="str">
        <f>IF('4.Electivos'!K79=0,"-",'4.Electivos'!K79)</f>
        <v>-</v>
      </c>
      <c r="H225" s="427" t="str">
        <f>IF('4.Electivos'!L79=0,"-",'4.Electivos'!L79)</f>
        <v>-</v>
      </c>
      <c r="I225" s="427" t="str">
        <f>IF('4.Electivos'!M79=0,"-",'4.Electivos'!M79)</f>
        <v>-</v>
      </c>
      <c r="J225" s="427" t="str">
        <f>IF('4.Electivos'!N79=0,"-",'4.Electivos'!N79)</f>
        <v>-</v>
      </c>
      <c r="K225" s="428" t="str">
        <f>IF('4.Electivos'!O79=0,"-",'4.Electivos'!O79)</f>
        <v>-</v>
      </c>
      <c r="L225" s="429" t="str">
        <f>IF('4.Electivos'!P79=0,"-",'4.Electivos'!P79)</f>
        <v>-</v>
      </c>
      <c r="M225" s="430" t="str">
        <f>IF('7.Sumillas'!G221=0,"",'7.Sumillas'!G221)</f>
        <v/>
      </c>
      <c r="N225" s="431"/>
      <c r="O225" s="431"/>
      <c r="P225" s="430" t="str">
        <f>CONCATENATE(CHAR(10),CONCATENATE('4.Electivos'!Y79,CHAR(10),'4.Electivos'!Z79,CHAR(10),'4.Electivos'!AA79,CHAR(10),'4.Electivos'!AB79,CHAR(10),'4.Electivos'!AC79))</f>
        <v xml:space="preserve">
</v>
      </c>
      <c r="Q225" s="431"/>
      <c r="R225" s="431"/>
      <c r="S225" s="431"/>
      <c r="T225" s="305" t="str">
        <f t="shared" si="4"/>
        <v>No Aplica</v>
      </c>
    </row>
    <row r="226" spans="2:20" ht="72">
      <c r="B226" s="425">
        <f>'4.Electivos'!B80</f>
        <v>12</v>
      </c>
      <c r="C226" s="425" t="str">
        <f>IF('4.Electivos'!C80="","",'4.Electivos'!C80)</f>
        <v/>
      </c>
      <c r="D226" s="425" t="str">
        <f>IF('4.Electivos'!E80="","",'4.Electivos'!E80)</f>
        <v/>
      </c>
      <c r="E226" s="426" t="str">
        <f>'4.Electivos'!I80</f>
        <v/>
      </c>
      <c r="F226" s="426" t="str">
        <f>IF('4.Electivos'!J80=0,"-",'4.Electivos'!J80)</f>
        <v>-</v>
      </c>
      <c r="G226" s="427" t="str">
        <f>IF('4.Electivos'!K80=0,"-",'4.Electivos'!K80)</f>
        <v>-</v>
      </c>
      <c r="H226" s="427" t="str">
        <f>IF('4.Electivos'!L80=0,"-",'4.Electivos'!L80)</f>
        <v>-</v>
      </c>
      <c r="I226" s="427" t="str">
        <f>IF('4.Electivos'!M80=0,"-",'4.Electivos'!M80)</f>
        <v>-</v>
      </c>
      <c r="J226" s="427" t="str">
        <f>IF('4.Electivos'!N80=0,"-",'4.Electivos'!N80)</f>
        <v>-</v>
      </c>
      <c r="K226" s="428" t="str">
        <f>IF('4.Electivos'!O80=0,"-",'4.Electivos'!O80)</f>
        <v>-</v>
      </c>
      <c r="L226" s="429" t="str">
        <f>IF('4.Electivos'!P80=0,"-",'4.Electivos'!P80)</f>
        <v>-</v>
      </c>
      <c r="M226" s="430" t="str">
        <f>IF('7.Sumillas'!G222=0,"",'7.Sumillas'!G222)</f>
        <v/>
      </c>
      <c r="N226" s="431"/>
      <c r="O226" s="431"/>
      <c r="P226" s="430" t="str">
        <f>CONCATENATE(CHAR(10),CONCATENATE('4.Electivos'!Y80,CHAR(10),'4.Electivos'!Z80,CHAR(10),'4.Electivos'!AA80,CHAR(10),'4.Electivos'!AB80,CHAR(10),'4.Electivos'!AC80))</f>
        <v xml:space="preserve">
</v>
      </c>
      <c r="Q226" s="431"/>
      <c r="R226" s="431"/>
      <c r="S226" s="431"/>
      <c r="T226" s="305" t="str">
        <f t="shared" si="4"/>
        <v>No Aplica</v>
      </c>
    </row>
    <row r="227" spans="2:20" ht="72">
      <c r="B227" s="425">
        <f>'4.Electivos'!B81</f>
        <v>12</v>
      </c>
      <c r="C227" s="425" t="str">
        <f>IF('4.Electivos'!C81="","",'4.Electivos'!C81)</f>
        <v/>
      </c>
      <c r="D227" s="425" t="str">
        <f>IF('4.Electivos'!E81="","",'4.Electivos'!E81)</f>
        <v/>
      </c>
      <c r="E227" s="426" t="str">
        <f>'4.Electivos'!I81</f>
        <v/>
      </c>
      <c r="F227" s="426" t="str">
        <f>IF('4.Electivos'!J81=0,"-",'4.Electivos'!J81)</f>
        <v>-</v>
      </c>
      <c r="G227" s="427" t="str">
        <f>IF('4.Electivos'!K81=0,"-",'4.Electivos'!K81)</f>
        <v>-</v>
      </c>
      <c r="H227" s="427" t="str">
        <f>IF('4.Electivos'!L81=0,"-",'4.Electivos'!L81)</f>
        <v>-</v>
      </c>
      <c r="I227" s="427" t="str">
        <f>IF('4.Electivos'!M81=0,"-",'4.Electivos'!M81)</f>
        <v>-</v>
      </c>
      <c r="J227" s="427" t="str">
        <f>IF('4.Electivos'!N81=0,"-",'4.Electivos'!N81)</f>
        <v>-</v>
      </c>
      <c r="K227" s="428" t="str">
        <f>IF('4.Electivos'!O81=0,"-",'4.Electivos'!O81)</f>
        <v>-</v>
      </c>
      <c r="L227" s="429" t="str">
        <f>IF('4.Electivos'!P81=0,"-",'4.Electivos'!P81)</f>
        <v>-</v>
      </c>
      <c r="M227" s="430" t="str">
        <f>IF('7.Sumillas'!G223=0,"",'7.Sumillas'!G223)</f>
        <v/>
      </c>
      <c r="N227" s="431"/>
      <c r="O227" s="431"/>
      <c r="P227" s="430" t="str">
        <f>CONCATENATE(CHAR(10),CONCATENATE('4.Electivos'!Y81,CHAR(10),'4.Electivos'!Z81,CHAR(10),'4.Electivos'!AA81,CHAR(10),'4.Electivos'!AB81,CHAR(10),'4.Electivos'!AC81))</f>
        <v xml:space="preserve">
</v>
      </c>
      <c r="Q227" s="431"/>
      <c r="R227" s="431"/>
      <c r="S227" s="431"/>
      <c r="T227" s="305" t="str">
        <f t="shared" si="4"/>
        <v>No Aplica</v>
      </c>
    </row>
    <row r="228" spans="2:20" ht="72">
      <c r="B228" s="425">
        <f>'4.Electivos'!B82</f>
        <v>12</v>
      </c>
      <c r="C228" s="425" t="str">
        <f>IF('4.Electivos'!C82="","",'4.Electivos'!C82)</f>
        <v/>
      </c>
      <c r="D228" s="425" t="str">
        <f>IF('4.Electivos'!E82="","",'4.Electivos'!E82)</f>
        <v/>
      </c>
      <c r="E228" s="426" t="str">
        <f>'4.Electivos'!I82</f>
        <v/>
      </c>
      <c r="F228" s="426" t="str">
        <f>IF('4.Electivos'!J82=0,"-",'4.Electivos'!J82)</f>
        <v>-</v>
      </c>
      <c r="G228" s="427" t="str">
        <f>IF('4.Electivos'!K82=0,"-",'4.Electivos'!K82)</f>
        <v>-</v>
      </c>
      <c r="H228" s="427" t="str">
        <f>IF('4.Electivos'!L82=0,"-",'4.Electivos'!L82)</f>
        <v>-</v>
      </c>
      <c r="I228" s="427" t="str">
        <f>IF('4.Electivos'!M82=0,"-",'4.Electivos'!M82)</f>
        <v>-</v>
      </c>
      <c r="J228" s="427" t="str">
        <f>IF('4.Electivos'!N82=0,"-",'4.Electivos'!N82)</f>
        <v>-</v>
      </c>
      <c r="K228" s="428" t="str">
        <f>IF('4.Electivos'!O82=0,"-",'4.Electivos'!O82)</f>
        <v>-</v>
      </c>
      <c r="L228" s="429" t="str">
        <f>IF('4.Electivos'!P82=0,"-",'4.Electivos'!P82)</f>
        <v>-</v>
      </c>
      <c r="M228" s="430" t="str">
        <f>IF('7.Sumillas'!G224=0,"",'7.Sumillas'!G224)</f>
        <v/>
      </c>
      <c r="N228" s="431"/>
      <c r="O228" s="431"/>
      <c r="P228" s="430" t="str">
        <f>CONCATENATE(CHAR(10),CONCATENATE('4.Electivos'!Y82,CHAR(10),'4.Electivos'!Z82,CHAR(10),'4.Electivos'!AA82,CHAR(10),'4.Electivos'!AB82,CHAR(10),'4.Electivos'!AC82))</f>
        <v xml:space="preserve">
</v>
      </c>
      <c r="Q228" s="431"/>
      <c r="R228" s="431"/>
      <c r="S228" s="431"/>
      <c r="T228" s="305" t="str">
        <f t="shared" si="4"/>
        <v>No Aplica</v>
      </c>
    </row>
    <row r="229" spans="2:20" ht="72">
      <c r="B229" s="425">
        <f>'4.Electivos'!B83</f>
        <v>12</v>
      </c>
      <c r="C229" s="425" t="str">
        <f>IF('4.Electivos'!C83="","",'4.Electivos'!C83)</f>
        <v/>
      </c>
      <c r="D229" s="425" t="str">
        <f>IF('4.Electivos'!E83="","",'4.Electivos'!E83)</f>
        <v/>
      </c>
      <c r="E229" s="426" t="str">
        <f>'4.Electivos'!I83</f>
        <v/>
      </c>
      <c r="F229" s="426" t="str">
        <f>IF('4.Electivos'!J83=0,"-",'4.Electivos'!J83)</f>
        <v>-</v>
      </c>
      <c r="G229" s="427" t="str">
        <f>IF('4.Electivos'!K83=0,"-",'4.Electivos'!K83)</f>
        <v>-</v>
      </c>
      <c r="H229" s="427" t="str">
        <f>IF('4.Electivos'!L83=0,"-",'4.Electivos'!L83)</f>
        <v>-</v>
      </c>
      <c r="I229" s="427" t="str">
        <f>IF('4.Electivos'!M83=0,"-",'4.Electivos'!M83)</f>
        <v>-</v>
      </c>
      <c r="J229" s="427" t="str">
        <f>IF('4.Electivos'!N83=0,"-",'4.Electivos'!N83)</f>
        <v>-</v>
      </c>
      <c r="K229" s="428" t="str">
        <f>IF('4.Electivos'!O83=0,"-",'4.Electivos'!O83)</f>
        <v>-</v>
      </c>
      <c r="L229" s="429" t="str">
        <f>IF('4.Electivos'!P83=0,"-",'4.Electivos'!P83)</f>
        <v>-</v>
      </c>
      <c r="M229" s="430" t="str">
        <f>IF('7.Sumillas'!G225=0,"",'7.Sumillas'!G225)</f>
        <v/>
      </c>
      <c r="N229" s="431"/>
      <c r="O229" s="431"/>
      <c r="P229" s="430" t="str">
        <f>CONCATENATE(CHAR(10),CONCATENATE('4.Electivos'!Y83,CHAR(10),'4.Electivos'!Z83,CHAR(10),'4.Electivos'!AA83,CHAR(10),'4.Electivos'!AB83,CHAR(10),'4.Electivos'!AC83))</f>
        <v xml:space="preserve">
</v>
      </c>
      <c r="Q229" s="431"/>
      <c r="R229" s="431"/>
      <c r="S229" s="431"/>
      <c r="T229" s="305" t="str">
        <f t="shared" si="4"/>
        <v>No Aplica</v>
      </c>
    </row>
    <row r="230" spans="2:20" ht="72">
      <c r="B230" s="425">
        <f>'4.Electivos'!B84</f>
        <v>12</v>
      </c>
      <c r="C230" s="425" t="str">
        <f>IF('4.Electivos'!C84="","",'4.Electivos'!C84)</f>
        <v/>
      </c>
      <c r="D230" s="425" t="str">
        <f>IF('4.Electivos'!E84="","",'4.Electivos'!E84)</f>
        <v/>
      </c>
      <c r="E230" s="426" t="str">
        <f>'4.Electivos'!I84</f>
        <v/>
      </c>
      <c r="F230" s="426" t="str">
        <f>IF('4.Electivos'!J84=0,"-",'4.Electivos'!J84)</f>
        <v>-</v>
      </c>
      <c r="G230" s="427" t="str">
        <f>IF('4.Electivos'!K84=0,"-",'4.Electivos'!K84)</f>
        <v>-</v>
      </c>
      <c r="H230" s="427" t="str">
        <f>IF('4.Electivos'!L84=0,"-",'4.Electivos'!L84)</f>
        <v>-</v>
      </c>
      <c r="I230" s="427" t="str">
        <f>IF('4.Electivos'!M84=0,"-",'4.Electivos'!M84)</f>
        <v>-</v>
      </c>
      <c r="J230" s="427" t="str">
        <f>IF('4.Electivos'!N84=0,"-",'4.Electivos'!N84)</f>
        <v>-</v>
      </c>
      <c r="K230" s="428" t="str">
        <f>IF('4.Electivos'!O84=0,"-",'4.Electivos'!O84)</f>
        <v>-</v>
      </c>
      <c r="L230" s="429" t="str">
        <f>IF('4.Electivos'!P84=0,"-",'4.Electivos'!P84)</f>
        <v>-</v>
      </c>
      <c r="M230" s="430" t="str">
        <f>IF('7.Sumillas'!G226=0,"",'7.Sumillas'!G226)</f>
        <v/>
      </c>
      <c r="N230" s="431"/>
      <c r="O230" s="431"/>
      <c r="P230" s="430" t="str">
        <f>CONCATENATE(CHAR(10),CONCATENATE('4.Electivos'!Y84,CHAR(10),'4.Electivos'!Z84,CHAR(10),'4.Electivos'!AA84,CHAR(10),'4.Electivos'!AB84,CHAR(10),'4.Electivos'!AC84))</f>
        <v xml:space="preserve">
</v>
      </c>
      <c r="Q230" s="431"/>
      <c r="R230" s="431"/>
      <c r="S230" s="431"/>
      <c r="T230" s="305" t="str">
        <f t="shared" si="4"/>
        <v>No Aplica</v>
      </c>
    </row>
    <row r="231" spans="2:20" ht="72">
      <c r="B231" s="425">
        <f>'4.Electivos'!B85</f>
        <v>12</v>
      </c>
      <c r="C231" s="425" t="str">
        <f>IF('4.Electivos'!C85="","",'4.Electivos'!C85)</f>
        <v/>
      </c>
      <c r="D231" s="425" t="str">
        <f>IF('4.Electivos'!E85="","",'4.Electivos'!E85)</f>
        <v/>
      </c>
      <c r="E231" s="426" t="str">
        <f>'4.Electivos'!I85</f>
        <v/>
      </c>
      <c r="F231" s="426" t="str">
        <f>IF('4.Electivos'!J85=0,"-",'4.Electivos'!J85)</f>
        <v>-</v>
      </c>
      <c r="G231" s="427" t="str">
        <f>IF('4.Electivos'!K85=0,"-",'4.Electivos'!K85)</f>
        <v>-</v>
      </c>
      <c r="H231" s="427" t="str">
        <f>IF('4.Electivos'!L85=0,"-",'4.Electivos'!L85)</f>
        <v>-</v>
      </c>
      <c r="I231" s="427" t="str">
        <f>IF('4.Electivos'!M85=0,"-",'4.Electivos'!M85)</f>
        <v>-</v>
      </c>
      <c r="J231" s="427" t="str">
        <f>IF('4.Electivos'!N85=0,"-",'4.Electivos'!N85)</f>
        <v>-</v>
      </c>
      <c r="K231" s="428" t="str">
        <f>IF('4.Electivos'!O85=0,"-",'4.Electivos'!O85)</f>
        <v>-</v>
      </c>
      <c r="L231" s="429" t="str">
        <f>IF('4.Electivos'!P85=0,"-",'4.Electivos'!P85)</f>
        <v>-</v>
      </c>
      <c r="M231" s="430" t="str">
        <f>IF('7.Sumillas'!G227=0,"",'7.Sumillas'!G227)</f>
        <v/>
      </c>
      <c r="N231" s="431"/>
      <c r="O231" s="431"/>
      <c r="P231" s="430" t="str">
        <f>CONCATENATE(CHAR(10),CONCATENATE('4.Electivos'!Y85,CHAR(10),'4.Electivos'!Z85,CHAR(10),'4.Electivos'!AA85,CHAR(10),'4.Electivos'!AB85,CHAR(10),'4.Electivos'!AC85))</f>
        <v xml:space="preserve">
</v>
      </c>
      <c r="Q231" s="431"/>
      <c r="R231" s="431"/>
      <c r="S231" s="431"/>
      <c r="T231" s="305" t="str">
        <f t="shared" si="4"/>
        <v>No Aplica</v>
      </c>
    </row>
    <row r="232" spans="2:20" ht="72">
      <c r="B232" s="425">
        <f>'4.Electivos'!B86</f>
        <v>12</v>
      </c>
      <c r="C232" s="425" t="str">
        <f>IF('4.Electivos'!C86="","",'4.Electivos'!C86)</f>
        <v/>
      </c>
      <c r="D232" s="425" t="str">
        <f>IF('4.Electivos'!E86="","",'4.Electivos'!E86)</f>
        <v/>
      </c>
      <c r="E232" s="426" t="str">
        <f>'4.Electivos'!I86</f>
        <v/>
      </c>
      <c r="F232" s="426" t="str">
        <f>IF('4.Electivos'!J86=0,"-",'4.Electivos'!J86)</f>
        <v>-</v>
      </c>
      <c r="G232" s="427" t="str">
        <f>IF('4.Electivos'!K86=0,"-",'4.Electivos'!K86)</f>
        <v>-</v>
      </c>
      <c r="H232" s="427" t="str">
        <f>IF('4.Electivos'!L86=0,"-",'4.Electivos'!L86)</f>
        <v>-</v>
      </c>
      <c r="I232" s="427" t="str">
        <f>IF('4.Electivos'!M86=0,"-",'4.Electivos'!M86)</f>
        <v>-</v>
      </c>
      <c r="J232" s="427" t="str">
        <f>IF('4.Electivos'!N86=0,"-",'4.Electivos'!N86)</f>
        <v>-</v>
      </c>
      <c r="K232" s="428" t="str">
        <f>IF('4.Electivos'!O86=0,"-",'4.Electivos'!O86)</f>
        <v>-</v>
      </c>
      <c r="L232" s="429" t="str">
        <f>IF('4.Electivos'!P86=0,"-",'4.Electivos'!P86)</f>
        <v>-</v>
      </c>
      <c r="M232" s="430" t="str">
        <f>IF('7.Sumillas'!G228=0,"",'7.Sumillas'!G228)</f>
        <v/>
      </c>
      <c r="N232" s="431"/>
      <c r="O232" s="431"/>
      <c r="P232" s="430" t="str">
        <f>CONCATENATE(CHAR(10),CONCATENATE('4.Electivos'!Y86,CHAR(10),'4.Electivos'!Z86,CHAR(10),'4.Electivos'!AA86,CHAR(10),'4.Electivos'!AB86,CHAR(10),'4.Electivos'!AC86))</f>
        <v xml:space="preserve">
</v>
      </c>
      <c r="Q232" s="431"/>
      <c r="R232" s="431"/>
      <c r="S232" s="431"/>
      <c r="T232" s="305" t="str">
        <f t="shared" si="4"/>
        <v>No Aplica</v>
      </c>
    </row>
    <row r="233" spans="2:20" ht="72">
      <c r="B233" s="425">
        <f>'4.Electivos'!B87</f>
        <v>12</v>
      </c>
      <c r="C233" s="425" t="str">
        <f>IF('4.Electivos'!C87="","",'4.Electivos'!C87)</f>
        <v/>
      </c>
      <c r="D233" s="425" t="str">
        <f>IF('4.Electivos'!E87="","",'4.Electivos'!E87)</f>
        <v/>
      </c>
      <c r="E233" s="426" t="str">
        <f>'4.Electivos'!I87</f>
        <v/>
      </c>
      <c r="F233" s="426" t="str">
        <f>IF('4.Electivos'!J87=0,"-",'4.Electivos'!J87)</f>
        <v>-</v>
      </c>
      <c r="G233" s="427" t="str">
        <f>IF('4.Electivos'!K87=0,"-",'4.Electivos'!K87)</f>
        <v>-</v>
      </c>
      <c r="H233" s="427" t="str">
        <f>IF('4.Electivos'!L87=0,"-",'4.Electivos'!L87)</f>
        <v>-</v>
      </c>
      <c r="I233" s="427" t="str">
        <f>IF('4.Electivos'!M87=0,"-",'4.Electivos'!M87)</f>
        <v>-</v>
      </c>
      <c r="J233" s="427" t="str">
        <f>IF('4.Electivos'!N87=0,"-",'4.Electivos'!N87)</f>
        <v>-</v>
      </c>
      <c r="K233" s="428" t="str">
        <f>IF('4.Electivos'!O87=0,"-",'4.Electivos'!O87)</f>
        <v>-</v>
      </c>
      <c r="L233" s="429" t="str">
        <f>IF('4.Electivos'!P87=0,"-",'4.Electivos'!P87)</f>
        <v>-</v>
      </c>
      <c r="M233" s="430" t="str">
        <f>IF('7.Sumillas'!G229=0,"",'7.Sumillas'!G229)</f>
        <v/>
      </c>
      <c r="N233" s="431"/>
      <c r="O233" s="431"/>
      <c r="P233" s="430" t="str">
        <f>CONCATENATE(CHAR(10),CONCATENATE('4.Electivos'!Y87,CHAR(10),'4.Electivos'!Z87,CHAR(10),'4.Electivos'!AA87,CHAR(10),'4.Electivos'!AB87,CHAR(10),'4.Electivos'!AC87))</f>
        <v xml:space="preserve">
</v>
      </c>
      <c r="Q233" s="431"/>
      <c r="R233" s="431"/>
      <c r="S233" s="431"/>
      <c r="T233" s="305" t="str">
        <f t="shared" si="4"/>
        <v>No Aplica</v>
      </c>
    </row>
    <row r="234" spans="2:20" ht="72">
      <c r="B234" s="425">
        <f>'4.Electivos'!B88</f>
        <v>12</v>
      </c>
      <c r="C234" s="425" t="str">
        <f>IF('4.Electivos'!C88="","",'4.Electivos'!C88)</f>
        <v/>
      </c>
      <c r="D234" s="425" t="str">
        <f>IF('4.Electivos'!E88="","",'4.Electivos'!E88)</f>
        <v/>
      </c>
      <c r="E234" s="426" t="str">
        <f>'4.Electivos'!I88</f>
        <v/>
      </c>
      <c r="F234" s="426" t="str">
        <f>IF('4.Electivos'!J88=0,"-",'4.Electivos'!J88)</f>
        <v>-</v>
      </c>
      <c r="G234" s="427" t="str">
        <f>IF('4.Electivos'!K88=0,"-",'4.Electivos'!K88)</f>
        <v>-</v>
      </c>
      <c r="H234" s="427" t="str">
        <f>IF('4.Electivos'!L88=0,"-",'4.Electivos'!L88)</f>
        <v>-</v>
      </c>
      <c r="I234" s="427" t="str">
        <f>IF('4.Electivos'!M88=0,"-",'4.Electivos'!M88)</f>
        <v>-</v>
      </c>
      <c r="J234" s="427" t="str">
        <f>IF('4.Electivos'!N88=0,"-",'4.Electivos'!N88)</f>
        <v>-</v>
      </c>
      <c r="K234" s="428" t="str">
        <f>IF('4.Electivos'!O88=0,"-",'4.Electivos'!O88)</f>
        <v>-</v>
      </c>
      <c r="L234" s="429" t="str">
        <f>IF('4.Electivos'!P88=0,"-",'4.Electivos'!P88)</f>
        <v>-</v>
      </c>
      <c r="M234" s="430" t="str">
        <f>IF('7.Sumillas'!G230=0,"",'7.Sumillas'!G230)</f>
        <v/>
      </c>
      <c r="N234" s="431"/>
      <c r="O234" s="431"/>
      <c r="P234" s="430" t="str">
        <f>CONCATENATE(CHAR(10),CONCATENATE('4.Electivos'!Y88,CHAR(10),'4.Electivos'!Z88,CHAR(10),'4.Electivos'!AA88,CHAR(10),'4.Electivos'!AB88,CHAR(10),'4.Electivos'!AC88))</f>
        <v xml:space="preserve">
</v>
      </c>
      <c r="Q234" s="431"/>
      <c r="R234" s="431"/>
      <c r="S234" s="431"/>
      <c r="T234" s="305" t="str">
        <f t="shared" si="4"/>
        <v>No Aplica</v>
      </c>
    </row>
    <row r="235" spans="2:20" ht="72">
      <c r="B235" s="425">
        <f>'4.Electivos'!B89</f>
        <v>13</v>
      </c>
      <c r="C235" s="425" t="str">
        <f>IF('4.Electivos'!C89="","",'4.Electivos'!C89)</f>
        <v/>
      </c>
      <c r="D235" s="425" t="str">
        <f>IF('4.Electivos'!E89="","",'4.Electivos'!E89)</f>
        <v/>
      </c>
      <c r="E235" s="426" t="str">
        <f>'4.Electivos'!I89</f>
        <v/>
      </c>
      <c r="F235" s="426" t="str">
        <f>IF('4.Electivos'!J89=0,"-",'4.Electivos'!J89)</f>
        <v>-</v>
      </c>
      <c r="G235" s="427" t="str">
        <f>IF('4.Electivos'!K89=0,"-",'4.Electivos'!K89)</f>
        <v>-</v>
      </c>
      <c r="H235" s="427" t="str">
        <f>IF('4.Electivos'!L89=0,"-",'4.Electivos'!L89)</f>
        <v>-</v>
      </c>
      <c r="I235" s="427" t="str">
        <f>IF('4.Electivos'!M89=0,"-",'4.Electivos'!M89)</f>
        <v>-</v>
      </c>
      <c r="J235" s="427" t="str">
        <f>IF('4.Electivos'!N89=0,"-",'4.Electivos'!N89)</f>
        <v>-</v>
      </c>
      <c r="K235" s="428" t="str">
        <f>IF('4.Electivos'!O89=0,"-",'4.Electivos'!O89)</f>
        <v>-</v>
      </c>
      <c r="L235" s="429" t="str">
        <f>IF('4.Electivos'!P89=0,"-",'4.Electivos'!P89)</f>
        <v>-</v>
      </c>
      <c r="M235" s="430" t="str">
        <f>IF('7.Sumillas'!G231=0,"",'7.Sumillas'!G231)</f>
        <v/>
      </c>
      <c r="N235" s="431"/>
      <c r="O235" s="431"/>
      <c r="P235" s="430" t="str">
        <f>CONCATENATE(CHAR(10),CONCATENATE('4.Electivos'!Y89,CHAR(10),'4.Electivos'!Z89,CHAR(10),'4.Electivos'!AA89,CHAR(10),'4.Electivos'!AB89,CHAR(10),'4.Electivos'!AC89))</f>
        <v xml:space="preserve">
</v>
      </c>
      <c r="Q235" s="431"/>
      <c r="R235" s="431"/>
      <c r="S235" s="431"/>
      <c r="T235" s="305" t="str">
        <f t="shared" si="4"/>
        <v>No Aplica</v>
      </c>
    </row>
    <row r="236" spans="2:20" ht="72">
      <c r="B236" s="425">
        <f>'4.Electivos'!B90</f>
        <v>13</v>
      </c>
      <c r="C236" s="425" t="str">
        <f>IF('4.Electivos'!C90="","",'4.Electivos'!C90)</f>
        <v/>
      </c>
      <c r="D236" s="425" t="str">
        <f>IF('4.Electivos'!E90="","",'4.Electivos'!E90)</f>
        <v/>
      </c>
      <c r="E236" s="426" t="str">
        <f>'4.Electivos'!I90</f>
        <v/>
      </c>
      <c r="F236" s="426" t="str">
        <f>IF('4.Electivos'!J90=0,"-",'4.Electivos'!J90)</f>
        <v>-</v>
      </c>
      <c r="G236" s="427" t="str">
        <f>IF('4.Electivos'!K90=0,"-",'4.Electivos'!K90)</f>
        <v>-</v>
      </c>
      <c r="H236" s="427" t="str">
        <f>IF('4.Electivos'!L90=0,"-",'4.Electivos'!L90)</f>
        <v>-</v>
      </c>
      <c r="I236" s="427" t="str">
        <f>IF('4.Electivos'!M90=0,"-",'4.Electivos'!M90)</f>
        <v>-</v>
      </c>
      <c r="J236" s="427" t="str">
        <f>IF('4.Electivos'!N90=0,"-",'4.Electivos'!N90)</f>
        <v>-</v>
      </c>
      <c r="K236" s="428" t="str">
        <f>IF('4.Electivos'!O90=0,"-",'4.Electivos'!O90)</f>
        <v>-</v>
      </c>
      <c r="L236" s="429" t="str">
        <f>IF('4.Electivos'!P90=0,"-",'4.Electivos'!P90)</f>
        <v>-</v>
      </c>
      <c r="M236" s="430" t="str">
        <f>IF('7.Sumillas'!G232=0,"",'7.Sumillas'!G232)</f>
        <v/>
      </c>
      <c r="N236" s="431"/>
      <c r="O236" s="431"/>
      <c r="P236" s="430" t="str">
        <f>CONCATENATE(CHAR(10),CONCATENATE('4.Electivos'!Y90,CHAR(10),'4.Electivos'!Z90,CHAR(10),'4.Electivos'!AA90,CHAR(10),'4.Electivos'!AB90,CHAR(10),'4.Electivos'!AC90))</f>
        <v xml:space="preserve">
</v>
      </c>
      <c r="Q236" s="431"/>
      <c r="R236" s="431"/>
      <c r="S236" s="431"/>
      <c r="T236" s="305" t="str">
        <f t="shared" si="4"/>
        <v>No Aplica</v>
      </c>
    </row>
    <row r="237" spans="2:20" ht="72">
      <c r="B237" s="425">
        <f>'4.Electivos'!B91</f>
        <v>13</v>
      </c>
      <c r="C237" s="425" t="str">
        <f>IF('4.Electivos'!C91="","",'4.Electivos'!C91)</f>
        <v/>
      </c>
      <c r="D237" s="425" t="str">
        <f>IF('4.Electivos'!E91="","",'4.Electivos'!E91)</f>
        <v/>
      </c>
      <c r="E237" s="426" t="str">
        <f>'4.Electivos'!I91</f>
        <v/>
      </c>
      <c r="F237" s="426" t="str">
        <f>IF('4.Electivos'!J91=0,"-",'4.Electivos'!J91)</f>
        <v>-</v>
      </c>
      <c r="G237" s="427" t="str">
        <f>IF('4.Electivos'!K91=0,"-",'4.Electivos'!K91)</f>
        <v>-</v>
      </c>
      <c r="H237" s="427" t="str">
        <f>IF('4.Electivos'!L91=0,"-",'4.Electivos'!L91)</f>
        <v>-</v>
      </c>
      <c r="I237" s="427" t="str">
        <f>IF('4.Electivos'!M91=0,"-",'4.Electivos'!M91)</f>
        <v>-</v>
      </c>
      <c r="J237" s="427" t="str">
        <f>IF('4.Electivos'!N91=0,"-",'4.Electivos'!N91)</f>
        <v>-</v>
      </c>
      <c r="K237" s="428" t="str">
        <f>IF('4.Electivos'!O91=0,"-",'4.Electivos'!O91)</f>
        <v>-</v>
      </c>
      <c r="L237" s="429" t="str">
        <f>IF('4.Electivos'!P91=0,"-",'4.Electivos'!P91)</f>
        <v>-</v>
      </c>
      <c r="M237" s="430" t="str">
        <f>IF('7.Sumillas'!G233=0,"",'7.Sumillas'!G233)</f>
        <v/>
      </c>
      <c r="N237" s="431"/>
      <c r="O237" s="431"/>
      <c r="P237" s="430" t="str">
        <f>CONCATENATE(CHAR(10),CONCATENATE('4.Electivos'!Y91,CHAR(10),'4.Electivos'!Z91,CHAR(10),'4.Electivos'!AA91,CHAR(10),'4.Electivos'!AB91,CHAR(10),'4.Electivos'!AC91))</f>
        <v xml:space="preserve">
</v>
      </c>
      <c r="Q237" s="431"/>
      <c r="R237" s="431"/>
      <c r="S237" s="431"/>
      <c r="T237" s="305" t="str">
        <f t="shared" si="4"/>
        <v>No Aplica</v>
      </c>
    </row>
    <row r="238" spans="2:20" ht="72">
      <c r="B238" s="425">
        <f>'4.Electivos'!B92</f>
        <v>13</v>
      </c>
      <c r="C238" s="425" t="str">
        <f>IF('4.Electivos'!C92="","",'4.Electivos'!C92)</f>
        <v/>
      </c>
      <c r="D238" s="425" t="str">
        <f>IF('4.Electivos'!E92="","",'4.Electivos'!E92)</f>
        <v/>
      </c>
      <c r="E238" s="426" t="str">
        <f>'4.Electivos'!I92</f>
        <v/>
      </c>
      <c r="F238" s="426" t="str">
        <f>IF('4.Electivos'!J92=0,"-",'4.Electivos'!J92)</f>
        <v>-</v>
      </c>
      <c r="G238" s="427" t="str">
        <f>IF('4.Electivos'!K92=0,"-",'4.Electivos'!K92)</f>
        <v>-</v>
      </c>
      <c r="H238" s="427" t="str">
        <f>IF('4.Electivos'!L92=0,"-",'4.Electivos'!L92)</f>
        <v>-</v>
      </c>
      <c r="I238" s="427" t="str">
        <f>IF('4.Electivos'!M92=0,"-",'4.Electivos'!M92)</f>
        <v>-</v>
      </c>
      <c r="J238" s="427" t="str">
        <f>IF('4.Electivos'!N92=0,"-",'4.Electivos'!N92)</f>
        <v>-</v>
      </c>
      <c r="K238" s="428" t="str">
        <f>IF('4.Electivos'!O92=0,"-",'4.Electivos'!O92)</f>
        <v>-</v>
      </c>
      <c r="L238" s="429" t="str">
        <f>IF('4.Electivos'!P92=0,"-",'4.Electivos'!P92)</f>
        <v>-</v>
      </c>
      <c r="M238" s="430" t="str">
        <f>IF('7.Sumillas'!G234=0,"",'7.Sumillas'!G234)</f>
        <v/>
      </c>
      <c r="N238" s="431"/>
      <c r="O238" s="431"/>
      <c r="P238" s="430" t="str">
        <f>CONCATENATE(CHAR(10),CONCATENATE('4.Electivos'!Y92,CHAR(10),'4.Electivos'!Z92,CHAR(10),'4.Electivos'!AA92,CHAR(10),'4.Electivos'!AB92,CHAR(10),'4.Electivos'!AC92))</f>
        <v xml:space="preserve">
</v>
      </c>
      <c r="Q238" s="431"/>
      <c r="R238" s="431"/>
      <c r="S238" s="431"/>
      <c r="T238" s="305" t="str">
        <f t="shared" si="4"/>
        <v>No Aplica</v>
      </c>
    </row>
    <row r="239" spans="2:20" ht="72">
      <c r="B239" s="425">
        <f>'4.Electivos'!B93</f>
        <v>13</v>
      </c>
      <c r="C239" s="425" t="str">
        <f>IF('4.Electivos'!C93="","",'4.Electivos'!C93)</f>
        <v/>
      </c>
      <c r="D239" s="425" t="str">
        <f>IF('4.Electivos'!E93="","",'4.Electivos'!E93)</f>
        <v/>
      </c>
      <c r="E239" s="426" t="str">
        <f>'4.Electivos'!I93</f>
        <v/>
      </c>
      <c r="F239" s="426" t="str">
        <f>IF('4.Electivos'!J93=0,"-",'4.Electivos'!J93)</f>
        <v>-</v>
      </c>
      <c r="G239" s="427" t="str">
        <f>IF('4.Electivos'!K93=0,"-",'4.Electivos'!K93)</f>
        <v>-</v>
      </c>
      <c r="H239" s="427" t="str">
        <f>IF('4.Electivos'!L93=0,"-",'4.Electivos'!L93)</f>
        <v>-</v>
      </c>
      <c r="I239" s="427" t="str">
        <f>IF('4.Electivos'!M93=0,"-",'4.Electivos'!M93)</f>
        <v>-</v>
      </c>
      <c r="J239" s="427" t="str">
        <f>IF('4.Electivos'!N93=0,"-",'4.Electivos'!N93)</f>
        <v>-</v>
      </c>
      <c r="K239" s="428" t="str">
        <f>IF('4.Electivos'!O93=0,"-",'4.Electivos'!O93)</f>
        <v>-</v>
      </c>
      <c r="L239" s="429" t="str">
        <f>IF('4.Electivos'!P93=0,"-",'4.Electivos'!P93)</f>
        <v>-</v>
      </c>
      <c r="M239" s="430" t="str">
        <f>IF('7.Sumillas'!G235=0,"",'7.Sumillas'!G235)</f>
        <v/>
      </c>
      <c r="N239" s="431"/>
      <c r="O239" s="431"/>
      <c r="P239" s="430" t="str">
        <f>CONCATENATE(CHAR(10),CONCATENATE('4.Electivos'!Y93,CHAR(10),'4.Electivos'!Z93,CHAR(10),'4.Electivos'!AA93,CHAR(10),'4.Electivos'!AB93,CHAR(10),'4.Electivos'!AC93))</f>
        <v xml:space="preserve">
</v>
      </c>
      <c r="Q239" s="431"/>
      <c r="R239" s="431"/>
      <c r="S239" s="431"/>
      <c r="T239" s="305" t="str">
        <f t="shared" si="4"/>
        <v>No Aplica</v>
      </c>
    </row>
    <row r="240" spans="2:20" ht="72">
      <c r="B240" s="425">
        <f>'4.Electivos'!B94</f>
        <v>13</v>
      </c>
      <c r="C240" s="425" t="str">
        <f>IF('4.Electivos'!C94="","",'4.Electivos'!C94)</f>
        <v/>
      </c>
      <c r="D240" s="425" t="str">
        <f>IF('4.Electivos'!E94="","",'4.Electivos'!E94)</f>
        <v/>
      </c>
      <c r="E240" s="426" t="str">
        <f>'4.Electivos'!I94</f>
        <v/>
      </c>
      <c r="F240" s="426" t="str">
        <f>IF('4.Electivos'!J94=0,"-",'4.Electivos'!J94)</f>
        <v>-</v>
      </c>
      <c r="G240" s="427" t="str">
        <f>IF('4.Electivos'!K94=0,"-",'4.Electivos'!K94)</f>
        <v>-</v>
      </c>
      <c r="H240" s="427" t="str">
        <f>IF('4.Electivos'!L94=0,"-",'4.Electivos'!L94)</f>
        <v>-</v>
      </c>
      <c r="I240" s="427" t="str">
        <f>IF('4.Electivos'!M94=0,"-",'4.Electivos'!M94)</f>
        <v>-</v>
      </c>
      <c r="J240" s="427" t="str">
        <f>IF('4.Electivos'!N94=0,"-",'4.Electivos'!N94)</f>
        <v>-</v>
      </c>
      <c r="K240" s="428" t="str">
        <f>IF('4.Electivos'!O94=0,"-",'4.Electivos'!O94)</f>
        <v>-</v>
      </c>
      <c r="L240" s="429" t="str">
        <f>IF('4.Electivos'!P94=0,"-",'4.Electivos'!P94)</f>
        <v>-</v>
      </c>
      <c r="M240" s="430" t="str">
        <f>IF('7.Sumillas'!G236=0,"",'7.Sumillas'!G236)</f>
        <v/>
      </c>
      <c r="N240" s="431"/>
      <c r="O240" s="431"/>
      <c r="P240" s="430" t="str">
        <f>CONCATENATE(CHAR(10),CONCATENATE('4.Electivos'!Y94,CHAR(10),'4.Electivos'!Z94,CHAR(10),'4.Electivos'!AA94,CHAR(10),'4.Electivos'!AB94,CHAR(10),'4.Electivos'!AC94))</f>
        <v xml:space="preserve">
</v>
      </c>
      <c r="Q240" s="431"/>
      <c r="R240" s="431"/>
      <c r="S240" s="431"/>
      <c r="T240" s="305" t="str">
        <f t="shared" si="4"/>
        <v>No Aplica</v>
      </c>
    </row>
    <row r="241" spans="2:20" ht="72">
      <c r="B241" s="425">
        <f>'4.Electivos'!B95</f>
        <v>13</v>
      </c>
      <c r="C241" s="425" t="str">
        <f>IF('4.Electivos'!C95="","",'4.Electivos'!C95)</f>
        <v/>
      </c>
      <c r="D241" s="425" t="str">
        <f>IF('4.Electivos'!E95="","",'4.Electivos'!E95)</f>
        <v/>
      </c>
      <c r="E241" s="426" t="str">
        <f>'4.Electivos'!I95</f>
        <v/>
      </c>
      <c r="F241" s="426" t="str">
        <f>IF('4.Electivos'!J95=0,"-",'4.Electivos'!J95)</f>
        <v>-</v>
      </c>
      <c r="G241" s="427" t="str">
        <f>IF('4.Electivos'!K95=0,"-",'4.Electivos'!K95)</f>
        <v>-</v>
      </c>
      <c r="H241" s="427" t="str">
        <f>IF('4.Electivos'!L95=0,"-",'4.Electivos'!L95)</f>
        <v>-</v>
      </c>
      <c r="I241" s="427" t="str">
        <f>IF('4.Electivos'!M95=0,"-",'4.Electivos'!M95)</f>
        <v>-</v>
      </c>
      <c r="J241" s="427" t="str">
        <f>IF('4.Electivos'!N95=0,"-",'4.Electivos'!N95)</f>
        <v>-</v>
      </c>
      <c r="K241" s="428" t="str">
        <f>IF('4.Electivos'!O95=0,"-",'4.Electivos'!O95)</f>
        <v>-</v>
      </c>
      <c r="L241" s="429" t="str">
        <f>IF('4.Electivos'!P95=0,"-",'4.Electivos'!P95)</f>
        <v>-</v>
      </c>
      <c r="M241" s="430" t="str">
        <f>IF('7.Sumillas'!G237=0,"",'7.Sumillas'!G237)</f>
        <v/>
      </c>
      <c r="N241" s="431"/>
      <c r="O241" s="431"/>
      <c r="P241" s="430" t="str">
        <f>CONCATENATE(CHAR(10),CONCATENATE('4.Electivos'!Y95,CHAR(10),'4.Electivos'!Z95,CHAR(10),'4.Electivos'!AA95,CHAR(10),'4.Electivos'!AB95,CHAR(10),'4.Electivos'!AC95))</f>
        <v xml:space="preserve">
</v>
      </c>
      <c r="Q241" s="431"/>
      <c r="R241" s="431"/>
      <c r="S241" s="431"/>
      <c r="T241" s="305" t="str">
        <f t="shared" si="4"/>
        <v>No Aplica</v>
      </c>
    </row>
    <row r="242" spans="2:20" ht="72">
      <c r="B242" s="425">
        <f>'4.Electivos'!B96</f>
        <v>13</v>
      </c>
      <c r="C242" s="425" t="str">
        <f>IF('4.Electivos'!C96="","",'4.Electivos'!C96)</f>
        <v/>
      </c>
      <c r="D242" s="425" t="str">
        <f>IF('4.Electivos'!E96="","",'4.Electivos'!E96)</f>
        <v/>
      </c>
      <c r="E242" s="426" t="str">
        <f>'4.Electivos'!I96</f>
        <v/>
      </c>
      <c r="F242" s="426" t="str">
        <f>IF('4.Electivos'!J96=0,"-",'4.Electivos'!J96)</f>
        <v>-</v>
      </c>
      <c r="G242" s="427" t="str">
        <f>IF('4.Electivos'!K96=0,"-",'4.Electivos'!K96)</f>
        <v>-</v>
      </c>
      <c r="H242" s="427" t="str">
        <f>IF('4.Electivos'!L96=0,"-",'4.Electivos'!L96)</f>
        <v>-</v>
      </c>
      <c r="I242" s="427" t="str">
        <f>IF('4.Electivos'!M96=0,"-",'4.Electivos'!M96)</f>
        <v>-</v>
      </c>
      <c r="J242" s="427" t="str">
        <f>IF('4.Electivos'!N96=0,"-",'4.Electivos'!N96)</f>
        <v>-</v>
      </c>
      <c r="K242" s="428" t="str">
        <f>IF('4.Electivos'!O96=0,"-",'4.Electivos'!O96)</f>
        <v>-</v>
      </c>
      <c r="L242" s="429" t="str">
        <f>IF('4.Electivos'!P96=0,"-",'4.Electivos'!P96)</f>
        <v>-</v>
      </c>
      <c r="M242" s="430" t="str">
        <f>IF('7.Sumillas'!G238=0,"",'7.Sumillas'!G238)</f>
        <v/>
      </c>
      <c r="N242" s="431"/>
      <c r="O242" s="431"/>
      <c r="P242" s="430" t="str">
        <f>CONCATENATE(CHAR(10),CONCATENATE('4.Electivos'!Y96,CHAR(10),'4.Electivos'!Z96,CHAR(10),'4.Electivos'!AA96,CHAR(10),'4.Electivos'!AB96,CHAR(10),'4.Electivos'!AC96))</f>
        <v xml:space="preserve">
</v>
      </c>
      <c r="Q242" s="431"/>
      <c r="R242" s="431"/>
      <c r="S242" s="431"/>
      <c r="T242" s="305" t="str">
        <f t="shared" si="4"/>
        <v>No Aplica</v>
      </c>
    </row>
    <row r="243" spans="2:20" ht="72">
      <c r="B243" s="425">
        <f>'4.Electivos'!B97</f>
        <v>13</v>
      </c>
      <c r="C243" s="425" t="str">
        <f>IF('4.Electivos'!C97="","",'4.Electivos'!C97)</f>
        <v/>
      </c>
      <c r="D243" s="425" t="str">
        <f>IF('4.Electivos'!E97="","",'4.Electivos'!E97)</f>
        <v/>
      </c>
      <c r="E243" s="426" t="str">
        <f>'4.Electivos'!I97</f>
        <v/>
      </c>
      <c r="F243" s="426" t="str">
        <f>IF('4.Electivos'!J97=0,"-",'4.Electivos'!J97)</f>
        <v>-</v>
      </c>
      <c r="G243" s="427" t="str">
        <f>IF('4.Electivos'!K97=0,"-",'4.Electivos'!K97)</f>
        <v>-</v>
      </c>
      <c r="H243" s="427" t="str">
        <f>IF('4.Electivos'!L97=0,"-",'4.Electivos'!L97)</f>
        <v>-</v>
      </c>
      <c r="I243" s="427" t="str">
        <f>IF('4.Electivos'!M97=0,"-",'4.Electivos'!M97)</f>
        <v>-</v>
      </c>
      <c r="J243" s="427" t="str">
        <f>IF('4.Electivos'!N97=0,"-",'4.Electivos'!N97)</f>
        <v>-</v>
      </c>
      <c r="K243" s="428" t="str">
        <f>IF('4.Electivos'!O97=0,"-",'4.Electivos'!O97)</f>
        <v>-</v>
      </c>
      <c r="L243" s="429" t="str">
        <f>IF('4.Electivos'!P97=0,"-",'4.Electivos'!P97)</f>
        <v>-</v>
      </c>
      <c r="M243" s="430" t="str">
        <f>IF('7.Sumillas'!G239=0,"",'7.Sumillas'!G239)</f>
        <v/>
      </c>
      <c r="N243" s="431"/>
      <c r="O243" s="431"/>
      <c r="P243" s="430" t="str">
        <f>CONCATENATE(CHAR(10),CONCATENATE('4.Electivos'!Y97,CHAR(10),'4.Electivos'!Z97,CHAR(10),'4.Electivos'!AA97,CHAR(10),'4.Electivos'!AB97,CHAR(10),'4.Electivos'!AC97))</f>
        <v xml:space="preserve">
</v>
      </c>
      <c r="Q243" s="431"/>
      <c r="R243" s="431"/>
      <c r="S243" s="431"/>
      <c r="T243" s="305" t="str">
        <f t="shared" si="4"/>
        <v>No Aplica</v>
      </c>
    </row>
    <row r="244" spans="2:20" ht="72">
      <c r="B244" s="425">
        <f>'4.Electivos'!B98</f>
        <v>13</v>
      </c>
      <c r="C244" s="425" t="str">
        <f>IF('4.Electivos'!C98="","",'4.Electivos'!C98)</f>
        <v/>
      </c>
      <c r="D244" s="425" t="str">
        <f>IF('4.Electivos'!E98="","",'4.Electivos'!E98)</f>
        <v/>
      </c>
      <c r="E244" s="426" t="str">
        <f>'4.Electivos'!I98</f>
        <v/>
      </c>
      <c r="F244" s="426" t="str">
        <f>IF('4.Electivos'!J98=0,"-",'4.Electivos'!J98)</f>
        <v>-</v>
      </c>
      <c r="G244" s="427" t="str">
        <f>IF('4.Electivos'!K98=0,"-",'4.Electivos'!K98)</f>
        <v>-</v>
      </c>
      <c r="H244" s="427" t="str">
        <f>IF('4.Electivos'!L98=0,"-",'4.Electivos'!L98)</f>
        <v>-</v>
      </c>
      <c r="I244" s="427" t="str">
        <f>IF('4.Electivos'!M98=0,"-",'4.Electivos'!M98)</f>
        <v>-</v>
      </c>
      <c r="J244" s="427" t="str">
        <f>IF('4.Electivos'!N98=0,"-",'4.Electivos'!N98)</f>
        <v>-</v>
      </c>
      <c r="K244" s="428" t="str">
        <f>IF('4.Electivos'!O98=0,"-",'4.Electivos'!O98)</f>
        <v>-</v>
      </c>
      <c r="L244" s="429" t="str">
        <f>IF('4.Electivos'!P98=0,"-",'4.Electivos'!P98)</f>
        <v>-</v>
      </c>
      <c r="M244" s="430" t="str">
        <f>IF('7.Sumillas'!G240=0,"",'7.Sumillas'!G240)</f>
        <v/>
      </c>
      <c r="N244" s="431"/>
      <c r="O244" s="431"/>
      <c r="P244" s="430" t="str">
        <f>CONCATENATE(CHAR(10),CONCATENATE('4.Electivos'!Y98,CHAR(10),'4.Electivos'!Z98,CHAR(10),'4.Electivos'!AA98,CHAR(10),'4.Electivos'!AB98,CHAR(10),'4.Electivos'!AC98))</f>
        <v xml:space="preserve">
</v>
      </c>
      <c r="Q244" s="431"/>
      <c r="R244" s="431"/>
      <c r="S244" s="431"/>
      <c r="T244" s="305" t="str">
        <f t="shared" si="4"/>
        <v>No Aplica</v>
      </c>
    </row>
    <row r="245" spans="2:20" ht="72">
      <c r="B245" s="425">
        <f>'4.Electivos'!B99</f>
        <v>14</v>
      </c>
      <c r="C245" s="425" t="str">
        <f>IF('4.Electivos'!C99="","",'4.Electivos'!C99)</f>
        <v/>
      </c>
      <c r="D245" s="425" t="str">
        <f>IF('4.Electivos'!E99="","",'4.Electivos'!E99)</f>
        <v/>
      </c>
      <c r="E245" s="426" t="str">
        <f>'4.Electivos'!I99</f>
        <v/>
      </c>
      <c r="F245" s="426" t="str">
        <f>IF('4.Electivos'!J99=0,"-",'4.Electivos'!J99)</f>
        <v>-</v>
      </c>
      <c r="G245" s="427" t="str">
        <f>IF('4.Electivos'!K99=0,"-",'4.Electivos'!K99)</f>
        <v>-</v>
      </c>
      <c r="H245" s="427" t="str">
        <f>IF('4.Electivos'!L99=0,"-",'4.Electivos'!L99)</f>
        <v>-</v>
      </c>
      <c r="I245" s="427" t="str">
        <f>IF('4.Electivos'!M99=0,"-",'4.Electivos'!M99)</f>
        <v>-</v>
      </c>
      <c r="J245" s="427" t="str">
        <f>IF('4.Electivos'!N99=0,"-",'4.Electivos'!N99)</f>
        <v>-</v>
      </c>
      <c r="K245" s="428" t="str">
        <f>IF('4.Electivos'!O99=0,"-",'4.Electivos'!O99)</f>
        <v>-</v>
      </c>
      <c r="L245" s="429" t="str">
        <f>IF('4.Electivos'!P99=0,"-",'4.Electivos'!P99)</f>
        <v>-</v>
      </c>
      <c r="M245" s="430" t="str">
        <f>IF('7.Sumillas'!G241=0,"",'7.Sumillas'!G241)</f>
        <v/>
      </c>
      <c r="N245" s="431"/>
      <c r="O245" s="431"/>
      <c r="P245" s="430" t="str">
        <f>CONCATENATE(CHAR(10),CONCATENATE('4.Electivos'!Y99,CHAR(10),'4.Electivos'!Z99,CHAR(10),'4.Electivos'!AA99,CHAR(10),'4.Electivos'!AB99,CHAR(10),'4.Electivos'!AC99))</f>
        <v xml:space="preserve">
</v>
      </c>
      <c r="Q245" s="431"/>
      <c r="R245" s="431"/>
      <c r="S245" s="431"/>
      <c r="T245" s="305" t="str">
        <f t="shared" si="4"/>
        <v>No Aplica</v>
      </c>
    </row>
    <row r="246" spans="2:20" ht="72">
      <c r="B246" s="425">
        <f>'4.Electivos'!B100</f>
        <v>14</v>
      </c>
      <c r="C246" s="425" t="str">
        <f>IF('4.Electivos'!C100="","",'4.Electivos'!C100)</f>
        <v/>
      </c>
      <c r="D246" s="425" t="str">
        <f>IF('4.Electivos'!E100="","",'4.Electivos'!E100)</f>
        <v/>
      </c>
      <c r="E246" s="426" t="str">
        <f>'4.Electivos'!I100</f>
        <v/>
      </c>
      <c r="F246" s="426" t="str">
        <f>IF('4.Electivos'!J100=0,"-",'4.Electivos'!J100)</f>
        <v>-</v>
      </c>
      <c r="G246" s="427" t="str">
        <f>IF('4.Electivos'!K100=0,"-",'4.Electivos'!K100)</f>
        <v>-</v>
      </c>
      <c r="H246" s="427" t="str">
        <f>IF('4.Electivos'!L100=0,"-",'4.Electivos'!L100)</f>
        <v>-</v>
      </c>
      <c r="I246" s="427" t="str">
        <f>IF('4.Electivos'!M100=0,"-",'4.Electivos'!M100)</f>
        <v>-</v>
      </c>
      <c r="J246" s="427" t="str">
        <f>IF('4.Electivos'!N100=0,"-",'4.Electivos'!N100)</f>
        <v>-</v>
      </c>
      <c r="K246" s="428" t="str">
        <f>IF('4.Electivos'!O100=0,"-",'4.Electivos'!O100)</f>
        <v>-</v>
      </c>
      <c r="L246" s="429" t="str">
        <f>IF('4.Electivos'!P100=0,"-",'4.Electivos'!P100)</f>
        <v>-</v>
      </c>
      <c r="M246" s="430" t="str">
        <f>IF('7.Sumillas'!G242=0,"",'7.Sumillas'!G242)</f>
        <v/>
      </c>
      <c r="N246" s="431"/>
      <c r="O246" s="431"/>
      <c r="P246" s="430" t="str">
        <f>CONCATENATE(CHAR(10),CONCATENATE('4.Electivos'!Y100,CHAR(10),'4.Electivos'!Z100,CHAR(10),'4.Electivos'!AA100,CHAR(10),'4.Electivos'!AB100,CHAR(10),'4.Electivos'!AC100))</f>
        <v xml:space="preserve">
</v>
      </c>
      <c r="Q246" s="431"/>
      <c r="R246" s="431"/>
      <c r="S246" s="431"/>
      <c r="T246" s="305" t="str">
        <f t="shared" si="4"/>
        <v>No Aplica</v>
      </c>
    </row>
    <row r="247" spans="2:20" ht="72">
      <c r="B247" s="425">
        <f>'4.Electivos'!B101</f>
        <v>14</v>
      </c>
      <c r="C247" s="425" t="str">
        <f>IF('4.Electivos'!C101="","",'4.Electivos'!C101)</f>
        <v/>
      </c>
      <c r="D247" s="425" t="str">
        <f>IF('4.Electivos'!E101="","",'4.Electivos'!E101)</f>
        <v/>
      </c>
      <c r="E247" s="426" t="str">
        <f>'4.Electivos'!I101</f>
        <v/>
      </c>
      <c r="F247" s="426" t="str">
        <f>IF('4.Electivos'!J101=0,"-",'4.Electivos'!J101)</f>
        <v>-</v>
      </c>
      <c r="G247" s="427" t="str">
        <f>IF('4.Electivos'!K101=0,"-",'4.Electivos'!K101)</f>
        <v>-</v>
      </c>
      <c r="H247" s="427" t="str">
        <f>IF('4.Electivos'!L101=0,"-",'4.Electivos'!L101)</f>
        <v>-</v>
      </c>
      <c r="I247" s="427" t="str">
        <f>IF('4.Electivos'!M101=0,"-",'4.Electivos'!M101)</f>
        <v>-</v>
      </c>
      <c r="J247" s="427" t="str">
        <f>IF('4.Electivos'!N101=0,"-",'4.Electivos'!N101)</f>
        <v>-</v>
      </c>
      <c r="K247" s="428" t="str">
        <f>IF('4.Electivos'!O101=0,"-",'4.Electivos'!O101)</f>
        <v>-</v>
      </c>
      <c r="L247" s="429" t="str">
        <f>IF('4.Electivos'!P101=0,"-",'4.Electivos'!P101)</f>
        <v>-</v>
      </c>
      <c r="M247" s="430" t="str">
        <f>IF('7.Sumillas'!G243=0,"",'7.Sumillas'!G243)</f>
        <v/>
      </c>
      <c r="N247" s="431"/>
      <c r="O247" s="431"/>
      <c r="P247" s="430" t="str">
        <f>CONCATENATE(CHAR(10),CONCATENATE('4.Electivos'!Y101,CHAR(10),'4.Electivos'!Z101,CHAR(10),'4.Electivos'!AA101,CHAR(10),'4.Electivos'!AB101,CHAR(10),'4.Electivos'!AC101))</f>
        <v xml:space="preserve">
</v>
      </c>
      <c r="Q247" s="431"/>
      <c r="R247" s="431"/>
      <c r="S247" s="431"/>
      <c r="T247" s="305" t="str">
        <f t="shared" si="4"/>
        <v>No Aplica</v>
      </c>
    </row>
    <row r="248" spans="2:20" ht="72">
      <c r="B248" s="425">
        <f>'4.Electivos'!B102</f>
        <v>14</v>
      </c>
      <c r="C248" s="425" t="str">
        <f>IF('4.Electivos'!C102="","",'4.Electivos'!C102)</f>
        <v/>
      </c>
      <c r="D248" s="425" t="str">
        <f>IF('4.Electivos'!E102="","",'4.Electivos'!E102)</f>
        <v/>
      </c>
      <c r="E248" s="426" t="str">
        <f>'4.Electivos'!I102</f>
        <v/>
      </c>
      <c r="F248" s="426" t="str">
        <f>IF('4.Electivos'!J102=0,"-",'4.Electivos'!J102)</f>
        <v>-</v>
      </c>
      <c r="G248" s="427" t="str">
        <f>IF('4.Electivos'!K102=0,"-",'4.Electivos'!K102)</f>
        <v>-</v>
      </c>
      <c r="H248" s="427" t="str">
        <f>IF('4.Electivos'!L102=0,"-",'4.Electivos'!L102)</f>
        <v>-</v>
      </c>
      <c r="I248" s="427" t="str">
        <f>IF('4.Electivos'!M102=0,"-",'4.Electivos'!M102)</f>
        <v>-</v>
      </c>
      <c r="J248" s="427" t="str">
        <f>IF('4.Electivos'!N102=0,"-",'4.Electivos'!N102)</f>
        <v>-</v>
      </c>
      <c r="K248" s="428" t="str">
        <f>IF('4.Electivos'!O102=0,"-",'4.Electivos'!O102)</f>
        <v>-</v>
      </c>
      <c r="L248" s="429" t="str">
        <f>IF('4.Electivos'!P102=0,"-",'4.Electivos'!P102)</f>
        <v>-</v>
      </c>
      <c r="M248" s="430" t="str">
        <f>IF('7.Sumillas'!G244=0,"",'7.Sumillas'!G244)</f>
        <v/>
      </c>
      <c r="N248" s="431"/>
      <c r="O248" s="431"/>
      <c r="P248" s="430" t="str">
        <f>CONCATENATE(CHAR(10),CONCATENATE('4.Electivos'!Y102,CHAR(10),'4.Electivos'!Z102,CHAR(10),'4.Electivos'!AA102,CHAR(10),'4.Electivos'!AB102,CHAR(10),'4.Electivos'!AC102))</f>
        <v xml:space="preserve">
</v>
      </c>
      <c r="Q248" s="431"/>
      <c r="R248" s="431"/>
      <c r="S248" s="431"/>
      <c r="T248" s="305" t="str">
        <f t="shared" si="4"/>
        <v>No Aplica</v>
      </c>
    </row>
    <row r="249" spans="2:20" ht="72">
      <c r="B249" s="425">
        <f>'4.Electivos'!B103</f>
        <v>14</v>
      </c>
      <c r="C249" s="425" t="str">
        <f>IF('4.Electivos'!C103="","",'4.Electivos'!C103)</f>
        <v/>
      </c>
      <c r="D249" s="425" t="str">
        <f>IF('4.Electivos'!E103="","",'4.Electivos'!E103)</f>
        <v/>
      </c>
      <c r="E249" s="426" t="str">
        <f>'4.Electivos'!I103</f>
        <v/>
      </c>
      <c r="F249" s="426" t="str">
        <f>IF('4.Electivos'!J103=0,"-",'4.Electivos'!J103)</f>
        <v>-</v>
      </c>
      <c r="G249" s="427" t="str">
        <f>IF('4.Electivos'!K103=0,"-",'4.Electivos'!K103)</f>
        <v>-</v>
      </c>
      <c r="H249" s="427" t="str">
        <f>IF('4.Electivos'!L103=0,"-",'4.Electivos'!L103)</f>
        <v>-</v>
      </c>
      <c r="I249" s="427" t="str">
        <f>IF('4.Electivos'!M103=0,"-",'4.Electivos'!M103)</f>
        <v>-</v>
      </c>
      <c r="J249" s="427" t="str">
        <f>IF('4.Electivos'!N103=0,"-",'4.Electivos'!N103)</f>
        <v>-</v>
      </c>
      <c r="K249" s="428" t="str">
        <f>IF('4.Electivos'!O103=0,"-",'4.Electivos'!O103)</f>
        <v>-</v>
      </c>
      <c r="L249" s="429" t="str">
        <f>IF('4.Electivos'!P103=0,"-",'4.Electivos'!P103)</f>
        <v>-</v>
      </c>
      <c r="M249" s="430" t="str">
        <f>IF('7.Sumillas'!G245=0,"",'7.Sumillas'!G245)</f>
        <v/>
      </c>
      <c r="N249" s="431"/>
      <c r="O249" s="431"/>
      <c r="P249" s="430" t="str">
        <f>CONCATENATE(CHAR(10),CONCATENATE('4.Electivos'!Y103,CHAR(10),'4.Electivos'!Z103,CHAR(10),'4.Electivos'!AA103,CHAR(10),'4.Electivos'!AB103,CHAR(10),'4.Electivos'!AC103))</f>
        <v xml:space="preserve">
</v>
      </c>
      <c r="Q249" s="431"/>
      <c r="R249" s="431"/>
      <c r="S249" s="431"/>
      <c r="T249" s="305" t="str">
        <f t="shared" si="4"/>
        <v>No Aplica</v>
      </c>
    </row>
    <row r="250" spans="2:20" ht="72">
      <c r="B250" s="425">
        <f>'4.Electivos'!B104</f>
        <v>14</v>
      </c>
      <c r="C250" s="425" t="str">
        <f>IF('4.Electivos'!C104="","",'4.Electivos'!C104)</f>
        <v/>
      </c>
      <c r="D250" s="425" t="str">
        <f>IF('4.Electivos'!E104="","",'4.Electivos'!E104)</f>
        <v/>
      </c>
      <c r="E250" s="426" t="str">
        <f>'4.Electivos'!I104</f>
        <v/>
      </c>
      <c r="F250" s="426" t="str">
        <f>IF('4.Electivos'!J104=0,"-",'4.Electivos'!J104)</f>
        <v>-</v>
      </c>
      <c r="G250" s="427" t="str">
        <f>IF('4.Electivos'!K104=0,"-",'4.Electivos'!K104)</f>
        <v>-</v>
      </c>
      <c r="H250" s="427" t="str">
        <f>IF('4.Electivos'!L104=0,"-",'4.Electivos'!L104)</f>
        <v>-</v>
      </c>
      <c r="I250" s="427" t="str">
        <f>IF('4.Electivos'!M104=0,"-",'4.Electivos'!M104)</f>
        <v>-</v>
      </c>
      <c r="J250" s="427" t="str">
        <f>IF('4.Electivos'!N104=0,"-",'4.Electivos'!N104)</f>
        <v>-</v>
      </c>
      <c r="K250" s="428" t="str">
        <f>IF('4.Electivos'!O104=0,"-",'4.Electivos'!O104)</f>
        <v>-</v>
      </c>
      <c r="L250" s="429" t="str">
        <f>IF('4.Electivos'!P104=0,"-",'4.Electivos'!P104)</f>
        <v>-</v>
      </c>
      <c r="M250" s="430" t="str">
        <f>IF('7.Sumillas'!G246=0,"",'7.Sumillas'!G246)</f>
        <v/>
      </c>
      <c r="N250" s="431"/>
      <c r="O250" s="431"/>
      <c r="P250" s="430" t="str">
        <f>CONCATENATE(CHAR(10),CONCATENATE('4.Electivos'!Y104,CHAR(10),'4.Electivos'!Z104,CHAR(10),'4.Electivos'!AA104,CHAR(10),'4.Electivos'!AB104,CHAR(10),'4.Electivos'!AC104))</f>
        <v xml:space="preserve">
</v>
      </c>
      <c r="Q250" s="431"/>
      <c r="R250" s="431"/>
      <c r="S250" s="431"/>
      <c r="T250" s="305" t="str">
        <f t="shared" si="4"/>
        <v>No Aplica</v>
      </c>
    </row>
    <row r="251" spans="2:20" ht="72">
      <c r="B251" s="425">
        <f>'4.Electivos'!B105</f>
        <v>14</v>
      </c>
      <c r="C251" s="425" t="str">
        <f>IF('4.Electivos'!C105="","",'4.Electivos'!C105)</f>
        <v/>
      </c>
      <c r="D251" s="425" t="str">
        <f>IF('4.Electivos'!E105="","",'4.Electivos'!E105)</f>
        <v/>
      </c>
      <c r="E251" s="426" t="str">
        <f>'4.Electivos'!I105</f>
        <v/>
      </c>
      <c r="F251" s="426" t="str">
        <f>IF('4.Electivos'!J105=0,"-",'4.Electivos'!J105)</f>
        <v>-</v>
      </c>
      <c r="G251" s="427" t="str">
        <f>IF('4.Electivos'!K105=0,"-",'4.Electivos'!K105)</f>
        <v>-</v>
      </c>
      <c r="H251" s="427" t="str">
        <f>IF('4.Electivos'!L105=0,"-",'4.Electivos'!L105)</f>
        <v>-</v>
      </c>
      <c r="I251" s="427" t="str">
        <f>IF('4.Electivos'!M105=0,"-",'4.Electivos'!M105)</f>
        <v>-</v>
      </c>
      <c r="J251" s="427" t="str">
        <f>IF('4.Electivos'!N105=0,"-",'4.Electivos'!N105)</f>
        <v>-</v>
      </c>
      <c r="K251" s="428" t="str">
        <f>IF('4.Electivos'!O105=0,"-",'4.Electivos'!O105)</f>
        <v>-</v>
      </c>
      <c r="L251" s="429" t="str">
        <f>IF('4.Electivos'!P105=0,"-",'4.Electivos'!P105)</f>
        <v>-</v>
      </c>
      <c r="M251" s="430" t="str">
        <f>IF('7.Sumillas'!G247=0,"",'7.Sumillas'!G247)</f>
        <v/>
      </c>
      <c r="N251" s="431"/>
      <c r="O251" s="431"/>
      <c r="P251" s="430" t="str">
        <f>CONCATENATE(CHAR(10),CONCATENATE('4.Electivos'!Y105,CHAR(10),'4.Electivos'!Z105,CHAR(10),'4.Electivos'!AA105,CHAR(10),'4.Electivos'!AB105,CHAR(10),'4.Electivos'!AC105))</f>
        <v xml:space="preserve">
</v>
      </c>
      <c r="Q251" s="431"/>
      <c r="R251" s="431"/>
      <c r="S251" s="431"/>
      <c r="T251" s="305" t="str">
        <f t="shared" si="4"/>
        <v>No Aplica</v>
      </c>
    </row>
    <row r="252" spans="2:20" ht="72">
      <c r="B252" s="425">
        <f>'4.Electivos'!B106</f>
        <v>14</v>
      </c>
      <c r="C252" s="425" t="str">
        <f>IF('4.Electivos'!C106="","",'4.Electivos'!C106)</f>
        <v/>
      </c>
      <c r="D252" s="425" t="str">
        <f>IF('4.Electivos'!E106="","",'4.Electivos'!E106)</f>
        <v/>
      </c>
      <c r="E252" s="426" t="str">
        <f>'4.Electivos'!I106</f>
        <v/>
      </c>
      <c r="F252" s="426" t="str">
        <f>IF('4.Electivos'!J106=0,"-",'4.Electivos'!J106)</f>
        <v>-</v>
      </c>
      <c r="G252" s="427" t="str">
        <f>IF('4.Electivos'!K106=0,"-",'4.Electivos'!K106)</f>
        <v>-</v>
      </c>
      <c r="H252" s="427" t="str">
        <f>IF('4.Electivos'!L106=0,"-",'4.Electivos'!L106)</f>
        <v>-</v>
      </c>
      <c r="I252" s="427" t="str">
        <f>IF('4.Electivos'!M106=0,"-",'4.Electivos'!M106)</f>
        <v>-</v>
      </c>
      <c r="J252" s="427" t="str">
        <f>IF('4.Electivos'!N106=0,"-",'4.Electivos'!N106)</f>
        <v>-</v>
      </c>
      <c r="K252" s="428" t="str">
        <f>IF('4.Electivos'!O106=0,"-",'4.Electivos'!O106)</f>
        <v>-</v>
      </c>
      <c r="L252" s="429" t="str">
        <f>IF('4.Electivos'!P106=0,"-",'4.Electivos'!P106)</f>
        <v>-</v>
      </c>
      <c r="M252" s="430" t="str">
        <f>IF('7.Sumillas'!G248=0,"",'7.Sumillas'!G248)</f>
        <v/>
      </c>
      <c r="N252" s="431"/>
      <c r="O252" s="431"/>
      <c r="P252" s="430" t="str">
        <f>CONCATENATE(CHAR(10),CONCATENATE('4.Electivos'!Y106,CHAR(10),'4.Electivos'!Z106,CHAR(10),'4.Electivos'!AA106,CHAR(10),'4.Electivos'!AB106,CHAR(10),'4.Electivos'!AC106))</f>
        <v xml:space="preserve">
</v>
      </c>
      <c r="Q252" s="431"/>
      <c r="R252" s="431"/>
      <c r="S252" s="431"/>
      <c r="T252" s="305" t="str">
        <f t="shared" si="4"/>
        <v>No Aplica</v>
      </c>
    </row>
    <row r="253" spans="2:20" ht="72">
      <c r="B253" s="425">
        <f>'4.Electivos'!B107</f>
        <v>14</v>
      </c>
      <c r="C253" s="425" t="str">
        <f>IF('4.Electivos'!C107="","",'4.Electivos'!C107)</f>
        <v/>
      </c>
      <c r="D253" s="425" t="str">
        <f>IF('4.Electivos'!E107="","",'4.Electivos'!E107)</f>
        <v/>
      </c>
      <c r="E253" s="426" t="str">
        <f>'4.Electivos'!I107</f>
        <v/>
      </c>
      <c r="F253" s="426" t="str">
        <f>IF('4.Electivos'!J107=0,"-",'4.Electivos'!J107)</f>
        <v>-</v>
      </c>
      <c r="G253" s="427" t="str">
        <f>IF('4.Electivos'!K107=0,"-",'4.Electivos'!K107)</f>
        <v>-</v>
      </c>
      <c r="H253" s="427" t="str">
        <f>IF('4.Electivos'!L107=0,"-",'4.Electivos'!L107)</f>
        <v>-</v>
      </c>
      <c r="I253" s="427" t="str">
        <f>IF('4.Electivos'!M107=0,"-",'4.Electivos'!M107)</f>
        <v>-</v>
      </c>
      <c r="J253" s="427" t="str">
        <f>IF('4.Electivos'!N107=0,"-",'4.Electivos'!N107)</f>
        <v>-</v>
      </c>
      <c r="K253" s="428" t="str">
        <f>IF('4.Electivos'!O107=0,"-",'4.Electivos'!O107)</f>
        <v>-</v>
      </c>
      <c r="L253" s="429" t="str">
        <f>IF('4.Electivos'!P107=0,"-",'4.Electivos'!P107)</f>
        <v>-</v>
      </c>
      <c r="M253" s="430" t="str">
        <f>IF('7.Sumillas'!G249=0,"",'7.Sumillas'!G249)</f>
        <v/>
      </c>
      <c r="N253" s="431"/>
      <c r="O253" s="431"/>
      <c r="P253" s="430" t="str">
        <f>CONCATENATE(CHAR(10),CONCATENATE('4.Electivos'!Y107,CHAR(10),'4.Electivos'!Z107,CHAR(10),'4.Electivos'!AA107,CHAR(10),'4.Electivos'!AB107,CHAR(10),'4.Electivos'!AC107))</f>
        <v xml:space="preserve">
</v>
      </c>
      <c r="Q253" s="431"/>
      <c r="R253" s="431"/>
      <c r="S253" s="431"/>
      <c r="T253" s="305" t="str">
        <f t="shared" si="4"/>
        <v>No Aplica</v>
      </c>
    </row>
    <row r="254" spans="2:20" ht="72">
      <c r="B254" s="425">
        <f>'4.Electivos'!B108</f>
        <v>14</v>
      </c>
      <c r="C254" s="425" t="str">
        <f>IF('4.Electivos'!C108="","",'4.Electivos'!C108)</f>
        <v/>
      </c>
      <c r="D254" s="425" t="str">
        <f>IF('4.Electivos'!E108="","",'4.Electivos'!E108)</f>
        <v/>
      </c>
      <c r="E254" s="426" t="str">
        <f>'4.Electivos'!I108</f>
        <v/>
      </c>
      <c r="F254" s="426" t="str">
        <f>IF('4.Electivos'!J108=0,"-",'4.Electivos'!J108)</f>
        <v>-</v>
      </c>
      <c r="G254" s="427" t="str">
        <f>IF('4.Electivos'!K108=0,"-",'4.Electivos'!K108)</f>
        <v>-</v>
      </c>
      <c r="H254" s="427" t="str">
        <f>IF('4.Electivos'!L108=0,"-",'4.Electivos'!L108)</f>
        <v>-</v>
      </c>
      <c r="I254" s="427" t="str">
        <f>IF('4.Electivos'!M108=0,"-",'4.Electivos'!M108)</f>
        <v>-</v>
      </c>
      <c r="J254" s="427" t="str">
        <f>IF('4.Electivos'!N108=0,"-",'4.Electivos'!N108)</f>
        <v>-</v>
      </c>
      <c r="K254" s="428" t="str">
        <f>IF('4.Electivos'!O108=0,"-",'4.Electivos'!O108)</f>
        <v>-</v>
      </c>
      <c r="L254" s="429" t="str">
        <f>IF('4.Electivos'!P108=0,"-",'4.Electivos'!P108)</f>
        <v>-</v>
      </c>
      <c r="M254" s="430" t="str">
        <f>IF('7.Sumillas'!G250=0,"",'7.Sumillas'!G250)</f>
        <v/>
      </c>
      <c r="N254" s="431"/>
      <c r="O254" s="431"/>
      <c r="P254" s="430" t="str">
        <f>CONCATENATE(CHAR(10),CONCATENATE('4.Electivos'!Y108,CHAR(10),'4.Electivos'!Z108,CHAR(10),'4.Electivos'!AA108,CHAR(10),'4.Electivos'!AB108,CHAR(10),'4.Electivos'!AC108))</f>
        <v xml:space="preserve">
</v>
      </c>
      <c r="Q254" s="431"/>
      <c r="R254" s="431"/>
      <c r="S254" s="431"/>
      <c r="T254" s="305" t="str">
        <f t="shared" si="4"/>
        <v>No Aplica</v>
      </c>
    </row>
    <row r="255" spans="2:20" s="8" customFormat="1">
      <c r="N255" s="5"/>
      <c r="O255" s="5"/>
      <c r="Q255" s="5"/>
      <c r="R255" s="5"/>
      <c r="S255" s="5"/>
      <c r="T255" s="318"/>
    </row>
    <row r="256" spans="2:20" s="8" customFormat="1">
      <c r="N256" s="5"/>
      <c r="O256" s="5"/>
      <c r="Q256" s="5"/>
      <c r="R256" s="5"/>
      <c r="S256" s="5"/>
      <c r="T256" s="318"/>
    </row>
    <row r="257" spans="14:20" s="8" customFormat="1">
      <c r="N257" s="5"/>
      <c r="O257" s="5"/>
      <c r="Q257" s="5"/>
      <c r="R257" s="5"/>
      <c r="S257" s="5"/>
      <c r="T257" s="318"/>
    </row>
    <row r="258" spans="14:20" s="8" customFormat="1">
      <c r="N258" s="5"/>
      <c r="O258" s="5"/>
      <c r="Q258" s="5"/>
      <c r="R258" s="5"/>
      <c r="S258" s="5"/>
      <c r="T258" s="318"/>
    </row>
    <row r="259" spans="14:20" s="8" customFormat="1">
      <c r="N259" s="5"/>
      <c r="O259" s="5"/>
      <c r="Q259" s="5"/>
      <c r="R259" s="5"/>
      <c r="S259" s="5"/>
      <c r="T259" s="318"/>
    </row>
    <row r="260" spans="14:20" s="8" customFormat="1">
      <c r="N260" s="5"/>
      <c r="O260" s="5"/>
      <c r="Q260" s="5"/>
      <c r="R260" s="5"/>
      <c r="S260" s="5"/>
      <c r="T260" s="318"/>
    </row>
    <row r="261" spans="14:20" s="8" customFormat="1">
      <c r="N261" s="5"/>
      <c r="O261" s="5"/>
      <c r="Q261" s="5"/>
      <c r="R261" s="5"/>
      <c r="S261" s="5"/>
      <c r="T261" s="318"/>
    </row>
    <row r="262" spans="14:20" s="8" customFormat="1">
      <c r="N262" s="5"/>
      <c r="O262" s="5"/>
      <c r="Q262" s="5"/>
      <c r="R262" s="5"/>
      <c r="S262" s="5"/>
      <c r="T262" s="318"/>
    </row>
    <row r="263" spans="14:20" s="8" customFormat="1">
      <c r="N263" s="5"/>
      <c r="O263" s="5"/>
      <c r="Q263" s="5"/>
      <c r="R263" s="5"/>
      <c r="S263" s="5"/>
      <c r="T263" s="318"/>
    </row>
    <row r="264" spans="14:20" s="8" customFormat="1">
      <c r="N264" s="5"/>
      <c r="O264" s="5"/>
      <c r="Q264" s="5"/>
      <c r="R264" s="5"/>
      <c r="S264" s="5"/>
      <c r="T264" s="318"/>
    </row>
    <row r="265" spans="14:20" s="8" customFormat="1">
      <c r="N265" s="5"/>
      <c r="O265" s="5"/>
      <c r="Q265" s="5"/>
      <c r="R265" s="5"/>
      <c r="S265" s="5"/>
      <c r="T265" s="318"/>
    </row>
    <row r="266" spans="14:20" s="8" customFormat="1">
      <c r="N266" s="5"/>
      <c r="O266" s="5"/>
      <c r="Q266" s="5"/>
      <c r="R266" s="5"/>
      <c r="S266" s="5"/>
      <c r="T266" s="318"/>
    </row>
    <row r="267" spans="14:20" s="8" customFormat="1">
      <c r="N267" s="5"/>
      <c r="O267" s="5"/>
      <c r="Q267" s="5"/>
      <c r="R267" s="5"/>
      <c r="S267" s="5"/>
      <c r="T267" s="318"/>
    </row>
    <row r="268" spans="14:20" s="8" customFormat="1">
      <c r="N268" s="5"/>
      <c r="O268" s="5"/>
      <c r="Q268" s="5"/>
      <c r="R268" s="5"/>
      <c r="S268" s="5"/>
      <c r="T268" s="318"/>
    </row>
    <row r="269" spans="14:20" s="8" customFormat="1">
      <c r="N269" s="5"/>
      <c r="O269" s="5"/>
      <c r="Q269" s="5"/>
      <c r="R269" s="5"/>
      <c r="S269" s="5"/>
      <c r="T269" s="318"/>
    </row>
    <row r="270" spans="14:20" s="8" customFormat="1">
      <c r="N270" s="5"/>
      <c r="O270" s="5"/>
      <c r="Q270" s="5"/>
      <c r="R270" s="5"/>
      <c r="S270" s="5"/>
      <c r="T270" s="318"/>
    </row>
    <row r="271" spans="14:20" s="8" customFormat="1">
      <c r="N271" s="5"/>
      <c r="O271" s="5"/>
      <c r="Q271" s="5"/>
      <c r="R271" s="5"/>
      <c r="S271" s="5"/>
      <c r="T271" s="318"/>
    </row>
    <row r="272" spans="14:20" s="8" customFormat="1">
      <c r="N272" s="5"/>
      <c r="O272" s="5"/>
      <c r="Q272" s="5"/>
      <c r="R272" s="5"/>
      <c r="S272" s="5"/>
      <c r="T272" s="318"/>
    </row>
    <row r="273" spans="14:20" s="8" customFormat="1">
      <c r="N273" s="5"/>
      <c r="O273" s="5"/>
      <c r="Q273" s="5"/>
      <c r="R273" s="5"/>
      <c r="S273" s="5"/>
      <c r="T273" s="318"/>
    </row>
    <row r="274" spans="14:20" s="8" customFormat="1">
      <c r="N274" s="5"/>
      <c r="O274" s="5"/>
      <c r="Q274" s="5"/>
      <c r="R274" s="5"/>
      <c r="S274" s="5"/>
      <c r="T274" s="318"/>
    </row>
    <row r="275" spans="14:20" s="8" customFormat="1">
      <c r="N275" s="5"/>
      <c r="O275" s="5"/>
      <c r="Q275" s="5"/>
      <c r="R275" s="5"/>
      <c r="S275" s="5"/>
      <c r="T275" s="318"/>
    </row>
    <row r="276" spans="14:20" s="8" customFormat="1">
      <c r="N276" s="5"/>
      <c r="O276" s="5"/>
      <c r="Q276" s="5"/>
      <c r="R276" s="5"/>
      <c r="S276" s="5"/>
      <c r="T276" s="318"/>
    </row>
    <row r="277" spans="14:20" s="8" customFormat="1">
      <c r="N277" s="5"/>
      <c r="O277" s="5"/>
      <c r="Q277" s="5"/>
      <c r="R277" s="5"/>
      <c r="S277" s="5"/>
      <c r="T277" s="318"/>
    </row>
    <row r="278" spans="14:20" s="8" customFormat="1">
      <c r="N278" s="5"/>
      <c r="O278" s="5"/>
      <c r="Q278" s="5"/>
      <c r="R278" s="5"/>
      <c r="S278" s="5"/>
      <c r="T278" s="318"/>
    </row>
    <row r="279" spans="14:20" s="8" customFormat="1">
      <c r="N279" s="5"/>
      <c r="O279" s="5"/>
      <c r="Q279" s="5"/>
      <c r="R279" s="5"/>
      <c r="S279" s="5"/>
      <c r="T279" s="318"/>
    </row>
    <row r="280" spans="14:20" s="8" customFormat="1">
      <c r="N280" s="5"/>
      <c r="O280" s="5"/>
      <c r="Q280" s="5"/>
      <c r="R280" s="5"/>
      <c r="S280" s="5"/>
      <c r="T280" s="318"/>
    </row>
    <row r="281" spans="14:20" s="8" customFormat="1">
      <c r="N281" s="5"/>
      <c r="O281" s="5"/>
      <c r="Q281" s="5"/>
      <c r="R281" s="5"/>
      <c r="S281" s="5"/>
      <c r="T281" s="318"/>
    </row>
    <row r="282" spans="14:20" s="8" customFormat="1">
      <c r="N282" s="5"/>
      <c r="O282" s="5"/>
      <c r="Q282" s="5"/>
      <c r="R282" s="5"/>
      <c r="S282" s="5"/>
      <c r="T282" s="318"/>
    </row>
    <row r="283" spans="14:20" s="8" customFormat="1">
      <c r="N283" s="5"/>
      <c r="O283" s="5"/>
      <c r="Q283" s="5"/>
      <c r="R283" s="5"/>
      <c r="S283" s="5"/>
      <c r="T283" s="318"/>
    </row>
    <row r="284" spans="14:20" s="8" customFormat="1">
      <c r="N284" s="5"/>
      <c r="O284" s="5"/>
      <c r="Q284" s="5"/>
      <c r="R284" s="5"/>
      <c r="S284" s="5"/>
      <c r="T284" s="318"/>
    </row>
    <row r="285" spans="14:20" s="8" customFormat="1">
      <c r="N285" s="5"/>
      <c r="O285" s="5"/>
      <c r="Q285" s="5"/>
      <c r="R285" s="5"/>
      <c r="S285" s="5"/>
      <c r="T285" s="318"/>
    </row>
    <row r="286" spans="14:20" s="8" customFormat="1">
      <c r="N286" s="5"/>
      <c r="O286" s="5"/>
      <c r="Q286" s="5"/>
      <c r="R286" s="5"/>
      <c r="S286" s="5"/>
      <c r="T286" s="318"/>
    </row>
    <row r="287" spans="14:20" s="8" customFormat="1">
      <c r="N287" s="5"/>
      <c r="O287" s="5"/>
      <c r="Q287" s="5"/>
      <c r="R287" s="5"/>
      <c r="S287" s="5"/>
      <c r="T287" s="318"/>
    </row>
    <row r="288" spans="14:20" s="8" customFormat="1">
      <c r="N288" s="5"/>
      <c r="O288" s="5"/>
      <c r="Q288" s="5"/>
      <c r="R288" s="5"/>
      <c r="S288" s="5"/>
      <c r="T288" s="318"/>
    </row>
    <row r="289" spans="14:20" s="8" customFormat="1">
      <c r="N289" s="5"/>
      <c r="O289" s="5"/>
      <c r="Q289" s="5"/>
      <c r="R289" s="5"/>
      <c r="S289" s="5"/>
      <c r="T289" s="318"/>
    </row>
    <row r="290" spans="14:20" s="8" customFormat="1">
      <c r="N290" s="5"/>
      <c r="O290" s="5"/>
      <c r="Q290" s="5"/>
      <c r="R290" s="5"/>
      <c r="S290" s="5"/>
      <c r="T290" s="318"/>
    </row>
    <row r="291" spans="14:20" s="8" customFormat="1">
      <c r="N291" s="5"/>
      <c r="O291" s="5"/>
      <c r="Q291" s="5"/>
      <c r="R291" s="5"/>
      <c r="S291" s="5"/>
      <c r="T291" s="318"/>
    </row>
    <row r="292" spans="14:20" s="8" customFormat="1">
      <c r="N292" s="5"/>
      <c r="O292" s="5"/>
      <c r="Q292" s="5"/>
      <c r="R292" s="5"/>
      <c r="S292" s="5"/>
      <c r="T292" s="318"/>
    </row>
    <row r="293" spans="14:20" s="8" customFormat="1">
      <c r="N293" s="5"/>
      <c r="O293" s="5"/>
      <c r="Q293" s="5"/>
      <c r="R293" s="5"/>
      <c r="S293" s="5"/>
      <c r="T293" s="318"/>
    </row>
    <row r="294" spans="14:20" s="8" customFormat="1">
      <c r="N294" s="5"/>
      <c r="O294" s="5"/>
      <c r="Q294" s="5"/>
      <c r="R294" s="5"/>
      <c r="S294" s="5"/>
      <c r="T294" s="318"/>
    </row>
    <row r="295" spans="14:20" s="8" customFormat="1">
      <c r="N295" s="5"/>
      <c r="O295" s="5"/>
      <c r="Q295" s="5"/>
      <c r="R295" s="5"/>
      <c r="S295" s="5"/>
      <c r="T295" s="318"/>
    </row>
    <row r="296" spans="14:20" s="8" customFormat="1">
      <c r="N296" s="5"/>
      <c r="O296" s="5"/>
      <c r="Q296" s="5"/>
      <c r="R296" s="5"/>
      <c r="S296" s="5"/>
      <c r="T296" s="318"/>
    </row>
    <row r="297" spans="14:20" s="8" customFormat="1">
      <c r="N297" s="5"/>
      <c r="O297" s="5"/>
      <c r="Q297" s="5"/>
      <c r="R297" s="5"/>
      <c r="S297" s="5"/>
      <c r="T297" s="318"/>
    </row>
    <row r="298" spans="14:20" s="8" customFormat="1">
      <c r="N298" s="5"/>
      <c r="O298" s="5"/>
      <c r="Q298" s="5"/>
      <c r="R298" s="5"/>
      <c r="S298" s="5"/>
      <c r="T298" s="318"/>
    </row>
    <row r="299" spans="14:20" s="8" customFormat="1">
      <c r="N299" s="5"/>
      <c r="O299" s="5"/>
      <c r="Q299" s="5"/>
      <c r="R299" s="5"/>
      <c r="S299" s="5"/>
      <c r="T299" s="318"/>
    </row>
    <row r="300" spans="14:20" s="8" customFormat="1">
      <c r="N300" s="5"/>
      <c r="O300" s="5"/>
      <c r="Q300" s="5"/>
      <c r="R300" s="5"/>
      <c r="S300" s="5"/>
      <c r="T300" s="318"/>
    </row>
    <row r="301" spans="14:20" s="8" customFormat="1">
      <c r="N301" s="5"/>
      <c r="O301" s="5"/>
      <c r="Q301" s="5"/>
      <c r="R301" s="5"/>
      <c r="S301" s="5"/>
      <c r="T301" s="318"/>
    </row>
    <row r="302" spans="14:20" s="8" customFormat="1">
      <c r="N302" s="5"/>
      <c r="O302" s="5"/>
      <c r="Q302" s="5"/>
      <c r="R302" s="5"/>
      <c r="S302" s="5"/>
      <c r="T302" s="318"/>
    </row>
    <row r="303" spans="14:20" s="8" customFormat="1">
      <c r="N303" s="5"/>
      <c r="O303" s="5"/>
      <c r="Q303" s="5"/>
      <c r="R303" s="5"/>
      <c r="S303" s="5"/>
      <c r="T303" s="318"/>
    </row>
    <row r="304" spans="14:20" s="8" customFormat="1">
      <c r="N304" s="5"/>
      <c r="O304" s="5"/>
      <c r="Q304" s="5"/>
      <c r="R304" s="5"/>
      <c r="S304" s="5"/>
      <c r="T304" s="318"/>
    </row>
    <row r="305" spans="14:20" s="8" customFormat="1">
      <c r="N305" s="5"/>
      <c r="O305" s="5"/>
      <c r="Q305" s="5"/>
      <c r="R305" s="5"/>
      <c r="S305" s="5"/>
      <c r="T305" s="318"/>
    </row>
    <row r="306" spans="14:20" s="8" customFormat="1">
      <c r="N306" s="5"/>
      <c r="O306" s="5"/>
      <c r="Q306" s="5"/>
      <c r="R306" s="5"/>
      <c r="S306" s="5"/>
      <c r="T306" s="318"/>
    </row>
    <row r="307" spans="14:20" s="8" customFormat="1">
      <c r="N307" s="5"/>
      <c r="O307" s="5"/>
      <c r="Q307" s="5"/>
      <c r="R307" s="5"/>
      <c r="S307" s="5"/>
      <c r="T307" s="318"/>
    </row>
    <row r="308" spans="14:20" s="8" customFormat="1">
      <c r="N308" s="5"/>
      <c r="O308" s="5"/>
      <c r="Q308" s="5"/>
      <c r="R308" s="5"/>
      <c r="S308" s="5"/>
      <c r="T308" s="318"/>
    </row>
    <row r="309" spans="14:20" s="8" customFormat="1">
      <c r="N309" s="5"/>
      <c r="O309" s="5"/>
      <c r="Q309" s="5"/>
      <c r="R309" s="5"/>
      <c r="S309" s="5"/>
      <c r="T309" s="318"/>
    </row>
    <row r="310" spans="14:20" s="8" customFormat="1">
      <c r="N310" s="5"/>
      <c r="O310" s="5"/>
      <c r="Q310" s="5"/>
      <c r="R310" s="5"/>
      <c r="S310" s="5"/>
      <c r="T310" s="318"/>
    </row>
    <row r="311" spans="14:20" s="8" customFormat="1">
      <c r="N311" s="5"/>
      <c r="O311" s="5"/>
      <c r="Q311" s="5"/>
      <c r="R311" s="5"/>
      <c r="S311" s="5"/>
      <c r="T311" s="318"/>
    </row>
    <row r="312" spans="14:20" s="8" customFormat="1">
      <c r="N312" s="5"/>
      <c r="O312" s="5"/>
      <c r="Q312" s="5"/>
      <c r="R312" s="5"/>
      <c r="S312" s="5"/>
      <c r="T312" s="318"/>
    </row>
    <row r="313" spans="14:20" s="8" customFormat="1">
      <c r="N313" s="5"/>
      <c r="O313" s="5"/>
      <c r="Q313" s="5"/>
      <c r="R313" s="5"/>
      <c r="S313" s="5"/>
      <c r="T313" s="318"/>
    </row>
    <row r="314" spans="14:20" s="8" customFormat="1">
      <c r="N314" s="5"/>
      <c r="O314" s="5"/>
      <c r="Q314" s="5"/>
      <c r="R314" s="5"/>
      <c r="S314" s="5"/>
      <c r="T314" s="318"/>
    </row>
    <row r="315" spans="14:20" s="8" customFormat="1">
      <c r="N315" s="5"/>
      <c r="O315" s="5"/>
      <c r="Q315" s="5"/>
      <c r="R315" s="5"/>
      <c r="S315" s="5"/>
      <c r="T315" s="318"/>
    </row>
    <row r="316" spans="14:20" s="8" customFormat="1">
      <c r="N316" s="5"/>
      <c r="O316" s="5"/>
      <c r="Q316" s="5"/>
      <c r="R316" s="5"/>
      <c r="S316" s="5"/>
      <c r="T316" s="318"/>
    </row>
    <row r="317" spans="14:20" s="8" customFormat="1">
      <c r="N317" s="5"/>
      <c r="O317" s="5"/>
      <c r="Q317" s="5"/>
      <c r="R317" s="5"/>
      <c r="S317" s="5"/>
      <c r="T317" s="318"/>
    </row>
    <row r="318" spans="14:20" s="8" customFormat="1">
      <c r="N318" s="5"/>
      <c r="O318" s="5"/>
      <c r="Q318" s="5"/>
      <c r="R318" s="5"/>
      <c r="S318" s="5"/>
      <c r="T318" s="318"/>
    </row>
    <row r="319" spans="14:20" s="8" customFormat="1">
      <c r="N319" s="5"/>
      <c r="O319" s="5"/>
      <c r="Q319" s="5"/>
      <c r="R319" s="5"/>
      <c r="S319" s="5"/>
      <c r="T319" s="318"/>
    </row>
    <row r="320" spans="14:20" s="8" customFormat="1">
      <c r="N320" s="5"/>
      <c r="O320" s="5"/>
      <c r="Q320" s="5"/>
      <c r="R320" s="5"/>
      <c r="S320" s="5"/>
      <c r="T320" s="318"/>
    </row>
    <row r="321" spans="14:20" s="8" customFormat="1">
      <c r="N321" s="5"/>
      <c r="O321" s="5"/>
      <c r="Q321" s="5"/>
      <c r="R321" s="5"/>
      <c r="S321" s="5"/>
      <c r="T321" s="318"/>
    </row>
    <row r="322" spans="14:20" s="8" customFormat="1">
      <c r="N322" s="5"/>
      <c r="O322" s="5"/>
      <c r="Q322" s="5"/>
      <c r="R322" s="5"/>
      <c r="S322" s="5"/>
      <c r="T322" s="318"/>
    </row>
    <row r="323" spans="14:20" s="8" customFormat="1">
      <c r="N323" s="5"/>
      <c r="O323" s="5"/>
      <c r="Q323" s="5"/>
      <c r="R323" s="5"/>
      <c r="S323" s="5"/>
      <c r="T323" s="318"/>
    </row>
    <row r="324" spans="14:20" s="8" customFormat="1">
      <c r="N324" s="5"/>
      <c r="O324" s="5"/>
      <c r="Q324" s="5"/>
      <c r="R324" s="5"/>
      <c r="S324" s="5"/>
      <c r="T324" s="318"/>
    </row>
    <row r="325" spans="14:20" s="8" customFormat="1">
      <c r="N325" s="5"/>
      <c r="O325" s="5"/>
      <c r="Q325" s="5"/>
      <c r="R325" s="5"/>
      <c r="S325" s="5"/>
      <c r="T325" s="318"/>
    </row>
    <row r="326" spans="14:20" s="8" customFormat="1">
      <c r="N326" s="5"/>
      <c r="O326" s="5"/>
      <c r="Q326" s="5"/>
      <c r="R326" s="5"/>
      <c r="S326" s="5"/>
      <c r="T326" s="318"/>
    </row>
    <row r="327" spans="14:20" s="8" customFormat="1">
      <c r="N327" s="5"/>
      <c r="O327" s="5"/>
      <c r="Q327" s="5"/>
      <c r="R327" s="5"/>
      <c r="S327" s="5"/>
      <c r="T327" s="318"/>
    </row>
    <row r="328" spans="14:20" s="8" customFormat="1">
      <c r="N328" s="5"/>
      <c r="O328" s="5"/>
      <c r="Q328" s="5"/>
      <c r="R328" s="5"/>
      <c r="S328" s="5"/>
      <c r="T328" s="318"/>
    </row>
    <row r="329" spans="14:20" s="8" customFormat="1">
      <c r="N329" s="5"/>
      <c r="O329" s="5"/>
      <c r="Q329" s="5"/>
      <c r="R329" s="5"/>
      <c r="S329" s="5"/>
      <c r="T329" s="318"/>
    </row>
    <row r="330" spans="14:20" s="8" customFormat="1">
      <c r="N330" s="5"/>
      <c r="O330" s="5"/>
      <c r="Q330" s="5"/>
      <c r="R330" s="5"/>
      <c r="S330" s="5"/>
      <c r="T330" s="318"/>
    </row>
    <row r="331" spans="14:20" s="8" customFormat="1">
      <c r="N331" s="5"/>
      <c r="O331" s="5"/>
      <c r="Q331" s="5"/>
      <c r="R331" s="5"/>
      <c r="S331" s="5"/>
      <c r="T331" s="318"/>
    </row>
    <row r="332" spans="14:20" s="8" customFormat="1">
      <c r="N332" s="5"/>
      <c r="O332" s="5"/>
      <c r="Q332" s="5"/>
      <c r="R332" s="5"/>
      <c r="S332" s="5"/>
      <c r="T332" s="318"/>
    </row>
    <row r="333" spans="14:20" s="8" customFormat="1">
      <c r="N333" s="5"/>
      <c r="O333" s="5"/>
      <c r="Q333" s="5"/>
      <c r="R333" s="5"/>
      <c r="S333" s="5"/>
      <c r="T333" s="318"/>
    </row>
    <row r="334" spans="14:20" s="8" customFormat="1">
      <c r="N334" s="5"/>
      <c r="O334" s="5"/>
      <c r="Q334" s="5"/>
      <c r="R334" s="5"/>
      <c r="S334" s="5"/>
      <c r="T334" s="318"/>
    </row>
    <row r="335" spans="14:20" s="8" customFormat="1">
      <c r="N335" s="5"/>
      <c r="O335" s="5"/>
      <c r="Q335" s="5"/>
      <c r="R335" s="5"/>
      <c r="S335" s="5"/>
      <c r="T335" s="318"/>
    </row>
    <row r="336" spans="14:20" s="8" customFormat="1">
      <c r="N336" s="5"/>
      <c r="O336" s="5"/>
      <c r="Q336" s="5"/>
      <c r="R336" s="5"/>
      <c r="S336" s="5"/>
      <c r="T336" s="318"/>
    </row>
    <row r="337" spans="14:20" s="8" customFormat="1">
      <c r="N337" s="5"/>
      <c r="O337" s="5"/>
      <c r="Q337" s="5"/>
      <c r="R337" s="5"/>
      <c r="S337" s="5"/>
      <c r="T337" s="318"/>
    </row>
    <row r="338" spans="14:20" s="8" customFormat="1">
      <c r="N338" s="5"/>
      <c r="O338" s="5"/>
      <c r="Q338" s="5"/>
      <c r="R338" s="5"/>
      <c r="S338" s="5"/>
      <c r="T338" s="318"/>
    </row>
    <row r="339" spans="14:20" s="8" customFormat="1">
      <c r="N339" s="5"/>
      <c r="O339" s="5"/>
      <c r="Q339" s="5"/>
      <c r="R339" s="5"/>
      <c r="S339" s="5"/>
      <c r="T339" s="318"/>
    </row>
    <row r="340" spans="14:20" s="8" customFormat="1">
      <c r="N340" s="5"/>
      <c r="O340" s="5"/>
      <c r="Q340" s="5"/>
      <c r="R340" s="5"/>
      <c r="S340" s="5"/>
      <c r="T340" s="318"/>
    </row>
    <row r="341" spans="14:20" s="8" customFormat="1">
      <c r="N341" s="5"/>
      <c r="O341" s="5"/>
      <c r="Q341" s="5"/>
      <c r="R341" s="5"/>
      <c r="S341" s="5"/>
      <c r="T341" s="318"/>
    </row>
    <row r="342" spans="14:20" s="8" customFormat="1">
      <c r="N342" s="5"/>
      <c r="O342" s="5"/>
      <c r="Q342" s="5"/>
      <c r="R342" s="5"/>
      <c r="S342" s="5"/>
      <c r="T342" s="318"/>
    </row>
    <row r="343" spans="14:20" s="8" customFormat="1">
      <c r="N343" s="5"/>
      <c r="O343" s="5"/>
      <c r="Q343" s="5"/>
      <c r="R343" s="5"/>
      <c r="S343" s="5"/>
      <c r="T343" s="318"/>
    </row>
    <row r="344" spans="14:20" s="8" customFormat="1">
      <c r="N344" s="5"/>
      <c r="O344" s="5"/>
      <c r="Q344" s="5"/>
      <c r="R344" s="5"/>
      <c r="S344" s="5"/>
      <c r="T344" s="318"/>
    </row>
    <row r="345" spans="14:20" s="8" customFormat="1">
      <c r="N345" s="5"/>
      <c r="O345" s="5"/>
      <c r="Q345" s="5"/>
      <c r="R345" s="5"/>
      <c r="S345" s="5"/>
      <c r="T345" s="318"/>
    </row>
    <row r="346" spans="14:20" s="8" customFormat="1">
      <c r="N346" s="5"/>
      <c r="O346" s="5"/>
      <c r="Q346" s="5"/>
      <c r="R346" s="5"/>
      <c r="S346" s="5"/>
      <c r="T346" s="318"/>
    </row>
    <row r="347" spans="14:20" s="8" customFormat="1">
      <c r="N347" s="5"/>
      <c r="O347" s="5"/>
      <c r="Q347" s="5"/>
      <c r="R347" s="5"/>
      <c r="S347" s="5"/>
      <c r="T347" s="318"/>
    </row>
    <row r="348" spans="14:20" s="8" customFormat="1">
      <c r="N348" s="5"/>
      <c r="O348" s="5"/>
      <c r="Q348" s="5"/>
      <c r="R348" s="5"/>
      <c r="S348" s="5"/>
      <c r="T348" s="318"/>
    </row>
    <row r="349" spans="14:20" s="8" customFormat="1">
      <c r="N349" s="5"/>
      <c r="O349" s="5"/>
      <c r="Q349" s="5"/>
      <c r="R349" s="5"/>
      <c r="S349" s="5"/>
      <c r="T349" s="318"/>
    </row>
    <row r="350" spans="14:20" s="8" customFormat="1">
      <c r="N350" s="5"/>
      <c r="O350" s="5"/>
      <c r="Q350" s="5"/>
      <c r="R350" s="5"/>
      <c r="S350" s="5"/>
      <c r="T350" s="318"/>
    </row>
    <row r="351" spans="14:20" s="8" customFormat="1">
      <c r="N351" s="5"/>
      <c r="O351" s="5"/>
      <c r="Q351" s="5"/>
      <c r="R351" s="5"/>
      <c r="S351" s="5"/>
      <c r="T351" s="318"/>
    </row>
    <row r="352" spans="14:20" s="8" customFormat="1">
      <c r="N352" s="5"/>
      <c r="O352" s="5"/>
      <c r="Q352" s="5"/>
      <c r="R352" s="5"/>
      <c r="S352" s="5"/>
      <c r="T352" s="318"/>
    </row>
    <row r="353" spans="14:20" s="8" customFormat="1">
      <c r="N353" s="5"/>
      <c r="O353" s="5"/>
      <c r="Q353" s="5"/>
      <c r="R353" s="5"/>
      <c r="S353" s="5"/>
      <c r="T353" s="318"/>
    </row>
    <row r="354" spans="14:20" s="8" customFormat="1">
      <c r="N354" s="5"/>
      <c r="O354" s="5"/>
      <c r="Q354" s="5"/>
      <c r="R354" s="5"/>
      <c r="S354" s="5"/>
      <c r="T354" s="318"/>
    </row>
    <row r="355" spans="14:20" s="8" customFormat="1">
      <c r="N355" s="5"/>
      <c r="O355" s="5"/>
      <c r="Q355" s="5"/>
      <c r="R355" s="5"/>
      <c r="S355" s="5"/>
      <c r="T355" s="318"/>
    </row>
    <row r="356" spans="14:20" s="8" customFormat="1">
      <c r="N356" s="5"/>
      <c r="O356" s="5"/>
      <c r="Q356" s="5"/>
      <c r="R356" s="5"/>
      <c r="S356" s="5"/>
      <c r="T356" s="318"/>
    </row>
    <row r="357" spans="14:20" s="8" customFormat="1">
      <c r="N357" s="5"/>
      <c r="O357" s="5"/>
      <c r="Q357" s="5"/>
      <c r="R357" s="5"/>
      <c r="S357" s="5"/>
      <c r="T357" s="318"/>
    </row>
    <row r="358" spans="14:20" s="8" customFormat="1">
      <c r="N358" s="5"/>
      <c r="O358" s="5"/>
      <c r="Q358" s="5"/>
      <c r="R358" s="5"/>
      <c r="S358" s="5"/>
      <c r="T358" s="318"/>
    </row>
    <row r="359" spans="14:20" s="8" customFormat="1">
      <c r="N359" s="5"/>
      <c r="O359" s="5"/>
      <c r="Q359" s="5"/>
      <c r="R359" s="5"/>
      <c r="S359" s="5"/>
      <c r="T359" s="318"/>
    </row>
    <row r="360" spans="14:20" s="8" customFormat="1">
      <c r="N360" s="5"/>
      <c r="O360" s="5"/>
      <c r="Q360" s="5"/>
      <c r="R360" s="5"/>
      <c r="S360" s="5"/>
      <c r="T360" s="318"/>
    </row>
    <row r="361" spans="14:20" s="8" customFormat="1">
      <c r="N361" s="5"/>
      <c r="O361" s="5"/>
      <c r="Q361" s="5"/>
      <c r="R361" s="5"/>
      <c r="S361" s="5"/>
      <c r="T361" s="318"/>
    </row>
    <row r="362" spans="14:20" s="8" customFormat="1">
      <c r="N362" s="5"/>
      <c r="O362" s="5"/>
      <c r="Q362" s="5"/>
      <c r="R362" s="5"/>
      <c r="S362" s="5"/>
      <c r="T362" s="318"/>
    </row>
    <row r="363" spans="14:20" s="8" customFormat="1">
      <c r="N363" s="5"/>
      <c r="O363" s="5"/>
      <c r="Q363" s="5"/>
      <c r="R363" s="5"/>
      <c r="S363" s="5"/>
      <c r="T363" s="318"/>
    </row>
    <row r="364" spans="14:20" s="8" customFormat="1">
      <c r="N364" s="5"/>
      <c r="O364" s="5"/>
      <c r="Q364" s="5"/>
      <c r="R364" s="5"/>
      <c r="S364" s="5"/>
      <c r="T364" s="318"/>
    </row>
    <row r="365" spans="14:20" s="8" customFormat="1">
      <c r="N365" s="5"/>
      <c r="O365" s="5"/>
      <c r="Q365" s="5"/>
      <c r="R365" s="5"/>
      <c r="S365" s="5"/>
      <c r="T365" s="318"/>
    </row>
    <row r="366" spans="14:20" s="8" customFormat="1">
      <c r="N366" s="5"/>
      <c r="O366" s="5"/>
      <c r="Q366" s="5"/>
      <c r="R366" s="5"/>
      <c r="S366" s="5"/>
      <c r="T366" s="318"/>
    </row>
    <row r="367" spans="14:20" s="8" customFormat="1">
      <c r="N367" s="5"/>
      <c r="O367" s="5"/>
      <c r="Q367" s="5"/>
      <c r="R367" s="5"/>
      <c r="S367" s="5"/>
      <c r="T367" s="318"/>
    </row>
    <row r="368" spans="14:20" s="8" customFormat="1">
      <c r="N368" s="5"/>
      <c r="O368" s="5"/>
      <c r="Q368" s="5"/>
      <c r="R368" s="5"/>
      <c r="S368" s="5"/>
      <c r="T368" s="318"/>
    </row>
    <row r="369" spans="14:20" s="8" customFormat="1">
      <c r="N369" s="5"/>
      <c r="O369" s="5"/>
      <c r="Q369" s="5"/>
      <c r="R369" s="5"/>
      <c r="S369" s="5"/>
      <c r="T369" s="318"/>
    </row>
    <row r="370" spans="14:20" s="8" customFormat="1">
      <c r="N370" s="5"/>
      <c r="O370" s="5"/>
      <c r="Q370" s="5"/>
      <c r="R370" s="5"/>
      <c r="S370" s="5"/>
      <c r="T370" s="318"/>
    </row>
    <row r="371" spans="14:20" s="8" customFormat="1">
      <c r="N371" s="5"/>
      <c r="O371" s="5"/>
      <c r="Q371" s="5"/>
      <c r="R371" s="5"/>
      <c r="S371" s="5"/>
      <c r="T371" s="318"/>
    </row>
    <row r="372" spans="14:20" s="8" customFormat="1">
      <c r="N372" s="5"/>
      <c r="O372" s="5"/>
      <c r="Q372" s="5"/>
      <c r="R372" s="5"/>
      <c r="S372" s="5"/>
      <c r="T372" s="318"/>
    </row>
    <row r="373" spans="14:20" s="8" customFormat="1">
      <c r="N373" s="5"/>
      <c r="O373" s="5"/>
      <c r="Q373" s="5"/>
      <c r="R373" s="5"/>
      <c r="S373" s="5"/>
      <c r="T373" s="318"/>
    </row>
    <row r="374" spans="14:20" s="8" customFormat="1">
      <c r="N374" s="5"/>
      <c r="O374" s="5"/>
      <c r="Q374" s="5"/>
      <c r="R374" s="5"/>
      <c r="S374" s="5"/>
      <c r="T374" s="318"/>
    </row>
    <row r="375" spans="14:20" s="8" customFormat="1">
      <c r="N375" s="5"/>
      <c r="O375" s="5"/>
      <c r="Q375" s="5"/>
      <c r="R375" s="5"/>
      <c r="S375" s="5"/>
      <c r="T375" s="318"/>
    </row>
    <row r="376" spans="14:20" s="8" customFormat="1">
      <c r="N376" s="5"/>
      <c r="O376" s="5"/>
      <c r="Q376" s="5"/>
      <c r="R376" s="5"/>
      <c r="S376" s="5"/>
      <c r="T376" s="318"/>
    </row>
    <row r="377" spans="14:20" s="8" customFormat="1">
      <c r="N377" s="5"/>
      <c r="O377" s="5"/>
      <c r="Q377" s="5"/>
      <c r="R377" s="5"/>
      <c r="S377" s="5"/>
      <c r="T377" s="318"/>
    </row>
    <row r="378" spans="14:20" s="8" customFormat="1">
      <c r="N378" s="5"/>
      <c r="O378" s="5"/>
      <c r="Q378" s="5"/>
      <c r="R378" s="5"/>
      <c r="S378" s="5"/>
      <c r="T378" s="318"/>
    </row>
    <row r="379" spans="14:20" s="8" customFormat="1">
      <c r="N379" s="5"/>
      <c r="O379" s="5"/>
      <c r="Q379" s="5"/>
      <c r="R379" s="5"/>
      <c r="S379" s="5"/>
      <c r="T379" s="318"/>
    </row>
    <row r="380" spans="14:20" s="8" customFormat="1">
      <c r="N380" s="5"/>
      <c r="O380" s="5"/>
      <c r="Q380" s="5"/>
      <c r="R380" s="5"/>
      <c r="S380" s="5"/>
      <c r="T380" s="318"/>
    </row>
    <row r="381" spans="14:20" s="8" customFormat="1">
      <c r="N381" s="5"/>
      <c r="O381" s="5"/>
      <c r="Q381" s="5"/>
      <c r="R381" s="5"/>
      <c r="S381" s="5"/>
      <c r="T381" s="318"/>
    </row>
    <row r="382" spans="14:20" s="8" customFormat="1">
      <c r="N382" s="5"/>
      <c r="O382" s="5"/>
      <c r="Q382" s="5"/>
      <c r="R382" s="5"/>
      <c r="S382" s="5"/>
      <c r="T382" s="318"/>
    </row>
    <row r="383" spans="14:20" s="8" customFormat="1">
      <c r="N383" s="5"/>
      <c r="O383" s="5"/>
      <c r="Q383" s="5"/>
      <c r="R383" s="5"/>
      <c r="S383" s="5"/>
      <c r="T383" s="318"/>
    </row>
    <row r="384" spans="14:20" s="8" customFormat="1">
      <c r="N384" s="5"/>
      <c r="O384" s="5"/>
      <c r="Q384" s="5"/>
      <c r="R384" s="5"/>
      <c r="S384" s="5"/>
      <c r="T384" s="318"/>
    </row>
    <row r="385" spans="14:20" s="8" customFormat="1">
      <c r="N385" s="5"/>
      <c r="O385" s="5"/>
      <c r="Q385" s="5"/>
      <c r="R385" s="5"/>
      <c r="S385" s="5"/>
      <c r="T385" s="318"/>
    </row>
    <row r="386" spans="14:20" s="8" customFormat="1">
      <c r="N386" s="5"/>
      <c r="O386" s="5"/>
      <c r="Q386" s="5"/>
      <c r="R386" s="5"/>
      <c r="S386" s="5"/>
      <c r="T386" s="318"/>
    </row>
    <row r="387" spans="14:20" s="8" customFormat="1">
      <c r="N387" s="5"/>
      <c r="O387" s="5"/>
      <c r="Q387" s="5"/>
      <c r="R387" s="5"/>
      <c r="S387" s="5"/>
      <c r="T387" s="318"/>
    </row>
    <row r="388" spans="14:20" s="8" customFormat="1">
      <c r="N388" s="5"/>
      <c r="O388" s="5"/>
      <c r="Q388" s="5"/>
      <c r="R388" s="5"/>
      <c r="S388" s="5"/>
      <c r="T388" s="318"/>
    </row>
    <row r="389" spans="14:20" s="8" customFormat="1">
      <c r="N389" s="5"/>
      <c r="O389" s="5"/>
      <c r="Q389" s="5"/>
      <c r="R389" s="5"/>
      <c r="S389" s="5"/>
      <c r="T389" s="318"/>
    </row>
    <row r="390" spans="14:20" s="8" customFormat="1">
      <c r="N390" s="5"/>
      <c r="O390" s="5"/>
      <c r="Q390" s="5"/>
      <c r="R390" s="5"/>
      <c r="S390" s="5"/>
      <c r="T390" s="318"/>
    </row>
    <row r="391" spans="14:20" s="8" customFormat="1">
      <c r="N391" s="5"/>
      <c r="O391" s="5"/>
      <c r="Q391" s="5"/>
      <c r="R391" s="5"/>
      <c r="S391" s="5"/>
      <c r="T391" s="318"/>
    </row>
    <row r="392" spans="14:20" s="8" customFormat="1">
      <c r="N392" s="5"/>
      <c r="O392" s="5"/>
      <c r="Q392" s="5"/>
      <c r="R392" s="5"/>
      <c r="S392" s="5"/>
      <c r="T392" s="318"/>
    </row>
    <row r="393" spans="14:20" s="8" customFormat="1">
      <c r="N393" s="5"/>
      <c r="O393" s="5"/>
      <c r="Q393" s="5"/>
      <c r="R393" s="5"/>
      <c r="S393" s="5"/>
      <c r="T393" s="318"/>
    </row>
    <row r="394" spans="14:20" s="8" customFormat="1">
      <c r="N394" s="5"/>
      <c r="O394" s="5"/>
      <c r="Q394" s="5"/>
      <c r="R394" s="5"/>
      <c r="S394" s="5"/>
      <c r="T394" s="318"/>
    </row>
    <row r="395" spans="14:20" s="8" customFormat="1">
      <c r="N395" s="5"/>
      <c r="O395" s="5"/>
      <c r="Q395" s="5"/>
      <c r="R395" s="5"/>
      <c r="S395" s="5"/>
      <c r="T395" s="318"/>
    </row>
    <row r="396" spans="14:20" s="8" customFormat="1">
      <c r="N396" s="5"/>
      <c r="O396" s="5"/>
      <c r="Q396" s="5"/>
      <c r="R396" s="5"/>
      <c r="S396" s="5"/>
      <c r="T396" s="318"/>
    </row>
    <row r="397" spans="14:20" s="8" customFormat="1">
      <c r="N397" s="5"/>
      <c r="O397" s="5"/>
      <c r="Q397" s="5"/>
      <c r="R397" s="5"/>
      <c r="S397" s="5"/>
      <c r="T397" s="318"/>
    </row>
    <row r="398" spans="14:20" s="8" customFormat="1">
      <c r="N398" s="5"/>
      <c r="O398" s="5"/>
      <c r="Q398" s="5"/>
      <c r="R398" s="5"/>
      <c r="S398" s="5"/>
      <c r="T398" s="318"/>
    </row>
    <row r="399" spans="14:20" s="8" customFormat="1">
      <c r="N399" s="5"/>
      <c r="O399" s="5"/>
      <c r="Q399" s="5"/>
      <c r="R399" s="5"/>
      <c r="S399" s="5"/>
      <c r="T399" s="318"/>
    </row>
    <row r="400" spans="14:20" s="8" customFormat="1">
      <c r="N400" s="5"/>
      <c r="O400" s="5"/>
      <c r="Q400" s="5"/>
      <c r="R400" s="5"/>
      <c r="S400" s="5"/>
      <c r="T400" s="318"/>
    </row>
    <row r="401" spans="14:20" s="8" customFormat="1">
      <c r="N401" s="5"/>
      <c r="O401" s="5"/>
      <c r="Q401" s="5"/>
      <c r="R401" s="5"/>
      <c r="S401" s="5"/>
      <c r="T401" s="318"/>
    </row>
    <row r="402" spans="14:20" s="8" customFormat="1">
      <c r="N402" s="5"/>
      <c r="O402" s="5"/>
      <c r="Q402" s="5"/>
      <c r="R402" s="5"/>
      <c r="S402" s="5"/>
      <c r="T402" s="318"/>
    </row>
    <row r="403" spans="14:20" s="8" customFormat="1">
      <c r="N403" s="5"/>
      <c r="O403" s="5"/>
      <c r="Q403" s="5"/>
      <c r="R403" s="5"/>
      <c r="S403" s="5"/>
      <c r="T403" s="318"/>
    </row>
    <row r="404" spans="14:20" s="8" customFormat="1">
      <c r="N404" s="5"/>
      <c r="O404" s="5"/>
      <c r="Q404" s="5"/>
      <c r="R404" s="5"/>
      <c r="S404" s="5"/>
      <c r="T404" s="318"/>
    </row>
    <row r="405" spans="14:20" s="8" customFormat="1">
      <c r="N405" s="5"/>
      <c r="O405" s="5"/>
      <c r="Q405" s="5"/>
      <c r="R405" s="5"/>
      <c r="S405" s="5"/>
      <c r="T405" s="318"/>
    </row>
    <row r="406" spans="14:20" s="8" customFormat="1">
      <c r="N406" s="5"/>
      <c r="O406" s="5"/>
      <c r="Q406" s="5"/>
      <c r="R406" s="5"/>
      <c r="S406" s="5"/>
      <c r="T406" s="318"/>
    </row>
    <row r="407" spans="14:20" s="8" customFormat="1">
      <c r="N407" s="5"/>
      <c r="O407" s="5"/>
      <c r="Q407" s="5"/>
      <c r="R407" s="5"/>
      <c r="S407" s="5"/>
      <c r="T407" s="318"/>
    </row>
    <row r="408" spans="14:20" s="8" customFormat="1">
      <c r="N408" s="5"/>
      <c r="O408" s="5"/>
      <c r="Q408" s="5"/>
      <c r="R408" s="5"/>
      <c r="S408" s="5"/>
      <c r="T408" s="318"/>
    </row>
    <row r="409" spans="14:20" s="8" customFormat="1">
      <c r="N409" s="5"/>
      <c r="O409" s="5"/>
      <c r="Q409" s="5"/>
      <c r="R409" s="5"/>
      <c r="S409" s="5"/>
      <c r="T409" s="318"/>
    </row>
    <row r="410" spans="14:20" s="8" customFormat="1">
      <c r="N410" s="5"/>
      <c r="O410" s="5"/>
      <c r="Q410" s="5"/>
      <c r="R410" s="5"/>
      <c r="S410" s="5"/>
      <c r="T410" s="318"/>
    </row>
    <row r="411" spans="14:20" s="8" customFormat="1">
      <c r="N411" s="5"/>
      <c r="O411" s="5"/>
      <c r="Q411" s="5"/>
      <c r="R411" s="5"/>
      <c r="S411" s="5"/>
      <c r="T411" s="318"/>
    </row>
    <row r="412" spans="14:20" s="8" customFormat="1">
      <c r="N412" s="5"/>
      <c r="O412" s="5"/>
      <c r="Q412" s="5"/>
      <c r="R412" s="5"/>
      <c r="S412" s="5"/>
      <c r="T412" s="318"/>
    </row>
    <row r="413" spans="14:20" s="8" customFormat="1">
      <c r="N413" s="5"/>
      <c r="O413" s="5"/>
      <c r="Q413" s="5"/>
      <c r="R413" s="5"/>
      <c r="S413" s="5"/>
      <c r="T413" s="318"/>
    </row>
    <row r="414" spans="14:20" s="8" customFormat="1">
      <c r="N414" s="5"/>
      <c r="O414" s="5"/>
      <c r="Q414" s="5"/>
      <c r="R414" s="5"/>
      <c r="S414" s="5"/>
      <c r="T414" s="318"/>
    </row>
    <row r="415" spans="14:20" s="8" customFormat="1">
      <c r="N415" s="5"/>
      <c r="O415" s="5"/>
      <c r="Q415" s="5"/>
      <c r="R415" s="5"/>
      <c r="S415" s="5"/>
      <c r="T415" s="318"/>
    </row>
    <row r="416" spans="14:20" s="8" customFormat="1">
      <c r="N416" s="5"/>
      <c r="O416" s="5"/>
      <c r="Q416" s="5"/>
      <c r="R416" s="5"/>
      <c r="S416" s="5"/>
      <c r="T416" s="318"/>
    </row>
    <row r="417" spans="14:20" s="8" customFormat="1">
      <c r="N417" s="5"/>
      <c r="O417" s="5"/>
      <c r="Q417" s="5"/>
      <c r="R417" s="5"/>
      <c r="S417" s="5"/>
      <c r="T417" s="318"/>
    </row>
    <row r="418" spans="14:20" s="8" customFormat="1">
      <c r="N418" s="5"/>
      <c r="O418" s="5"/>
      <c r="Q418" s="5"/>
      <c r="R418" s="5"/>
      <c r="S418" s="5"/>
      <c r="T418" s="318"/>
    </row>
    <row r="419" spans="14:20" s="8" customFormat="1">
      <c r="N419" s="5"/>
      <c r="O419" s="5"/>
      <c r="Q419" s="5"/>
      <c r="R419" s="5"/>
      <c r="S419" s="5"/>
      <c r="T419" s="318"/>
    </row>
    <row r="420" spans="14:20" s="8" customFormat="1">
      <c r="N420" s="5"/>
      <c r="O420" s="5"/>
      <c r="Q420" s="5"/>
      <c r="R420" s="5"/>
      <c r="S420" s="5"/>
      <c r="T420" s="318"/>
    </row>
    <row r="421" spans="14:20" s="8" customFormat="1">
      <c r="N421" s="5"/>
      <c r="O421" s="5"/>
      <c r="Q421" s="5"/>
      <c r="R421" s="5"/>
      <c r="S421" s="5"/>
      <c r="T421" s="318"/>
    </row>
    <row r="422" spans="14:20" s="8" customFormat="1">
      <c r="N422" s="5"/>
      <c r="O422" s="5"/>
      <c r="Q422" s="5"/>
      <c r="R422" s="5"/>
      <c r="S422" s="5"/>
      <c r="T422" s="318"/>
    </row>
    <row r="423" spans="14:20" s="8" customFormat="1">
      <c r="N423" s="5"/>
      <c r="O423" s="5"/>
      <c r="Q423" s="5"/>
      <c r="R423" s="5"/>
      <c r="S423" s="5"/>
      <c r="T423" s="318"/>
    </row>
    <row r="424" spans="14:20" s="8" customFormat="1">
      <c r="N424" s="5"/>
      <c r="O424" s="5"/>
      <c r="Q424" s="5"/>
      <c r="R424" s="5"/>
      <c r="S424" s="5"/>
      <c r="T424" s="318"/>
    </row>
    <row r="425" spans="14:20" s="8" customFormat="1">
      <c r="N425" s="5"/>
      <c r="O425" s="5"/>
      <c r="Q425" s="5"/>
      <c r="R425" s="5"/>
      <c r="S425" s="5"/>
      <c r="T425" s="318"/>
    </row>
    <row r="426" spans="14:20" s="8" customFormat="1">
      <c r="N426" s="5"/>
      <c r="O426" s="5"/>
      <c r="Q426" s="5"/>
      <c r="R426" s="5"/>
      <c r="S426" s="5"/>
      <c r="T426" s="318"/>
    </row>
    <row r="427" spans="14:20" s="8" customFormat="1">
      <c r="N427" s="5"/>
      <c r="O427" s="5"/>
      <c r="Q427" s="5"/>
      <c r="R427" s="5"/>
      <c r="S427" s="5"/>
      <c r="T427" s="318"/>
    </row>
    <row r="428" spans="14:20" s="8" customFormat="1">
      <c r="N428" s="5"/>
      <c r="O428" s="5"/>
      <c r="Q428" s="5"/>
      <c r="R428" s="5"/>
      <c r="S428" s="5"/>
      <c r="T428" s="318"/>
    </row>
    <row r="429" spans="14:20" s="8" customFormat="1">
      <c r="N429" s="5"/>
      <c r="O429" s="5"/>
      <c r="Q429" s="5"/>
      <c r="R429" s="5"/>
      <c r="S429" s="5"/>
      <c r="T429" s="318"/>
    </row>
    <row r="430" spans="14:20" s="8" customFormat="1">
      <c r="N430" s="5"/>
      <c r="O430" s="5"/>
      <c r="Q430" s="5"/>
      <c r="R430" s="5"/>
      <c r="S430" s="5"/>
      <c r="T430" s="318"/>
    </row>
    <row r="431" spans="14:20" s="8" customFormat="1">
      <c r="N431" s="5"/>
      <c r="O431" s="5"/>
      <c r="Q431" s="5"/>
      <c r="R431" s="5"/>
      <c r="S431" s="5"/>
      <c r="T431" s="318"/>
    </row>
    <row r="432" spans="14:20" s="8" customFormat="1">
      <c r="N432" s="5"/>
      <c r="O432" s="5"/>
      <c r="Q432" s="5"/>
      <c r="R432" s="5"/>
      <c r="S432" s="5"/>
      <c r="T432" s="318"/>
    </row>
    <row r="433" spans="14:20" s="8" customFormat="1">
      <c r="N433" s="5"/>
      <c r="O433" s="5"/>
      <c r="Q433" s="5"/>
      <c r="R433" s="5"/>
      <c r="S433" s="5"/>
      <c r="T433" s="318"/>
    </row>
    <row r="434" spans="14:20" s="8" customFormat="1">
      <c r="N434" s="5"/>
      <c r="O434" s="5"/>
      <c r="Q434" s="5"/>
      <c r="R434" s="5"/>
      <c r="S434" s="5"/>
      <c r="T434" s="318"/>
    </row>
    <row r="435" spans="14:20" s="8" customFormat="1">
      <c r="N435" s="5"/>
      <c r="O435" s="5"/>
      <c r="Q435" s="5"/>
      <c r="R435" s="5"/>
      <c r="S435" s="5"/>
      <c r="T435" s="318"/>
    </row>
    <row r="436" spans="14:20" s="8" customFormat="1">
      <c r="N436" s="5"/>
      <c r="O436" s="5"/>
      <c r="Q436" s="5"/>
      <c r="R436" s="5"/>
      <c r="S436" s="5"/>
      <c r="T436" s="318"/>
    </row>
    <row r="437" spans="14:20" s="8" customFormat="1">
      <c r="N437" s="5"/>
      <c r="O437" s="5"/>
      <c r="Q437" s="5"/>
      <c r="R437" s="5"/>
      <c r="S437" s="5"/>
      <c r="T437" s="318"/>
    </row>
    <row r="438" spans="14:20" s="8" customFormat="1">
      <c r="N438" s="5"/>
      <c r="O438" s="5"/>
      <c r="Q438" s="5"/>
      <c r="R438" s="5"/>
      <c r="S438" s="5"/>
      <c r="T438" s="318"/>
    </row>
    <row r="439" spans="14:20" s="8" customFormat="1">
      <c r="N439" s="5"/>
      <c r="O439" s="5"/>
      <c r="Q439" s="5"/>
      <c r="R439" s="5"/>
      <c r="S439" s="5"/>
      <c r="T439" s="318"/>
    </row>
    <row r="440" spans="14:20" s="8" customFormat="1">
      <c r="N440" s="5"/>
      <c r="O440" s="5"/>
      <c r="Q440" s="5"/>
      <c r="R440" s="5"/>
      <c r="S440" s="5"/>
      <c r="T440" s="318"/>
    </row>
    <row r="441" spans="14:20" s="8" customFormat="1">
      <c r="N441" s="5"/>
      <c r="O441" s="5"/>
      <c r="Q441" s="5"/>
      <c r="R441" s="5"/>
      <c r="S441" s="5"/>
      <c r="T441" s="318"/>
    </row>
    <row r="442" spans="14:20" s="8" customFormat="1">
      <c r="N442" s="5"/>
      <c r="O442" s="5"/>
      <c r="Q442" s="5"/>
      <c r="R442" s="5"/>
      <c r="S442" s="5"/>
      <c r="T442" s="318"/>
    </row>
    <row r="443" spans="14:20" s="8" customFormat="1">
      <c r="N443" s="5"/>
      <c r="O443" s="5"/>
      <c r="Q443" s="5"/>
      <c r="R443" s="5"/>
      <c r="S443" s="5"/>
      <c r="T443" s="318"/>
    </row>
    <row r="444" spans="14:20" s="8" customFormat="1">
      <c r="N444" s="5"/>
      <c r="O444" s="5"/>
      <c r="Q444" s="5"/>
      <c r="R444" s="5"/>
      <c r="S444" s="5"/>
      <c r="T444" s="318"/>
    </row>
    <row r="445" spans="14:20" s="8" customFormat="1">
      <c r="N445" s="5"/>
      <c r="O445" s="5"/>
      <c r="Q445" s="5"/>
      <c r="R445" s="5"/>
      <c r="S445" s="5"/>
      <c r="T445" s="318"/>
    </row>
    <row r="446" spans="14:20" s="8" customFormat="1">
      <c r="N446" s="5"/>
      <c r="O446" s="5"/>
      <c r="Q446" s="5"/>
      <c r="R446" s="5"/>
      <c r="S446" s="5"/>
      <c r="T446" s="318"/>
    </row>
    <row r="447" spans="14:20" s="8" customFormat="1">
      <c r="N447" s="5"/>
      <c r="O447" s="5"/>
      <c r="Q447" s="5"/>
      <c r="R447" s="5"/>
      <c r="S447" s="5"/>
      <c r="T447" s="318"/>
    </row>
    <row r="448" spans="14:20" s="8" customFormat="1">
      <c r="N448" s="5"/>
      <c r="O448" s="5"/>
      <c r="Q448" s="5"/>
      <c r="R448" s="5"/>
      <c r="S448" s="5"/>
      <c r="T448" s="318"/>
    </row>
    <row r="449" spans="14:20" s="8" customFormat="1">
      <c r="N449" s="5"/>
      <c r="O449" s="5"/>
      <c r="Q449" s="5"/>
      <c r="R449" s="5"/>
      <c r="S449" s="5"/>
      <c r="T449" s="318"/>
    </row>
    <row r="450" spans="14:20" s="8" customFormat="1">
      <c r="N450" s="5"/>
      <c r="O450" s="5"/>
      <c r="Q450" s="5"/>
      <c r="R450" s="5"/>
      <c r="S450" s="5"/>
      <c r="T450" s="318"/>
    </row>
    <row r="451" spans="14:20" s="8" customFormat="1">
      <c r="N451" s="5"/>
      <c r="O451" s="5"/>
      <c r="Q451" s="5"/>
      <c r="R451" s="5"/>
      <c r="S451" s="5"/>
      <c r="T451" s="318"/>
    </row>
    <row r="452" spans="14:20" s="8" customFormat="1">
      <c r="N452" s="5"/>
      <c r="O452" s="5"/>
      <c r="Q452" s="5"/>
      <c r="R452" s="5"/>
      <c r="S452" s="5"/>
      <c r="T452" s="318"/>
    </row>
    <row r="453" spans="14:20" s="8" customFormat="1">
      <c r="N453" s="5"/>
      <c r="O453" s="5"/>
      <c r="Q453" s="5"/>
      <c r="R453" s="5"/>
      <c r="S453" s="5"/>
      <c r="T453" s="318"/>
    </row>
    <row r="454" spans="14:20" s="8" customFormat="1">
      <c r="N454" s="5"/>
      <c r="O454" s="5"/>
      <c r="Q454" s="5"/>
      <c r="R454" s="5"/>
      <c r="S454" s="5"/>
      <c r="T454" s="318"/>
    </row>
    <row r="455" spans="14:20" s="8" customFormat="1">
      <c r="N455" s="5"/>
      <c r="O455" s="5"/>
      <c r="Q455" s="5"/>
      <c r="R455" s="5"/>
      <c r="S455" s="5"/>
      <c r="T455" s="318"/>
    </row>
    <row r="456" spans="14:20" s="8" customFormat="1">
      <c r="N456" s="5"/>
      <c r="O456" s="5"/>
      <c r="Q456" s="5"/>
      <c r="R456" s="5"/>
      <c r="S456" s="5"/>
      <c r="T456" s="318"/>
    </row>
    <row r="457" spans="14:20" s="8" customFormat="1">
      <c r="N457" s="5"/>
      <c r="O457" s="5"/>
      <c r="Q457" s="5"/>
      <c r="R457" s="5"/>
      <c r="S457" s="5"/>
      <c r="T457" s="318"/>
    </row>
    <row r="458" spans="14:20" s="8" customFormat="1">
      <c r="N458" s="5"/>
      <c r="O458" s="5"/>
      <c r="Q458" s="5"/>
      <c r="R458" s="5"/>
      <c r="S458" s="5"/>
      <c r="T458" s="318"/>
    </row>
    <row r="459" spans="14:20" s="8" customFormat="1">
      <c r="N459" s="5"/>
      <c r="O459" s="5"/>
      <c r="Q459" s="5"/>
      <c r="R459" s="5"/>
      <c r="S459" s="5"/>
      <c r="T459" s="318"/>
    </row>
    <row r="460" spans="14:20" s="8" customFormat="1">
      <c r="N460" s="5"/>
      <c r="O460" s="5"/>
      <c r="Q460" s="5"/>
      <c r="R460" s="5"/>
      <c r="S460" s="5"/>
      <c r="T460" s="318"/>
    </row>
    <row r="461" spans="14:20" s="8" customFormat="1">
      <c r="N461" s="5"/>
      <c r="O461" s="5"/>
      <c r="Q461" s="5"/>
      <c r="R461" s="5"/>
      <c r="S461" s="5"/>
      <c r="T461" s="318"/>
    </row>
    <row r="462" spans="14:20" s="8" customFormat="1">
      <c r="N462" s="5"/>
      <c r="O462" s="5"/>
      <c r="Q462" s="5"/>
      <c r="R462" s="5"/>
      <c r="S462" s="5"/>
      <c r="T462" s="318"/>
    </row>
    <row r="463" spans="14:20" s="8" customFormat="1">
      <c r="N463" s="5"/>
      <c r="O463" s="5"/>
      <c r="Q463" s="5"/>
      <c r="R463" s="5"/>
      <c r="S463" s="5"/>
      <c r="T463" s="318"/>
    </row>
    <row r="464" spans="14:20" s="8" customFormat="1">
      <c r="N464" s="5"/>
      <c r="O464" s="5"/>
      <c r="Q464" s="5"/>
      <c r="R464" s="5"/>
      <c r="S464" s="5"/>
      <c r="T464" s="318"/>
    </row>
    <row r="465" spans="14:20" s="8" customFormat="1">
      <c r="N465" s="5"/>
      <c r="O465" s="5"/>
      <c r="Q465" s="5"/>
      <c r="R465" s="5"/>
      <c r="S465" s="5"/>
      <c r="T465" s="318"/>
    </row>
    <row r="466" spans="14:20" s="8" customFormat="1">
      <c r="N466" s="5"/>
      <c r="O466" s="5"/>
      <c r="Q466" s="5"/>
      <c r="R466" s="5"/>
      <c r="S466" s="5"/>
      <c r="T466" s="318"/>
    </row>
    <row r="467" spans="14:20" s="8" customFormat="1">
      <c r="N467" s="5"/>
      <c r="O467" s="5"/>
      <c r="Q467" s="5"/>
      <c r="R467" s="5"/>
      <c r="S467" s="5"/>
      <c r="T467" s="318"/>
    </row>
    <row r="468" spans="14:20" s="8" customFormat="1">
      <c r="N468" s="5"/>
      <c r="O468" s="5"/>
      <c r="Q468" s="5"/>
      <c r="R468" s="5"/>
      <c r="S468" s="5"/>
      <c r="T468" s="318"/>
    </row>
    <row r="469" spans="14:20" s="8" customFormat="1">
      <c r="N469" s="5"/>
      <c r="O469" s="5"/>
      <c r="Q469" s="5"/>
      <c r="R469" s="5"/>
      <c r="S469" s="5"/>
      <c r="T469" s="318"/>
    </row>
    <row r="470" spans="14:20" s="8" customFormat="1">
      <c r="N470" s="5"/>
      <c r="O470" s="5"/>
      <c r="Q470" s="5"/>
      <c r="R470" s="5"/>
      <c r="S470" s="5"/>
      <c r="T470" s="318"/>
    </row>
    <row r="471" spans="14:20" s="8" customFormat="1">
      <c r="N471" s="5"/>
      <c r="O471" s="5"/>
      <c r="Q471" s="5"/>
      <c r="R471" s="5"/>
      <c r="S471" s="5"/>
      <c r="T471" s="318"/>
    </row>
    <row r="472" spans="14:20" s="8" customFormat="1">
      <c r="N472" s="5"/>
      <c r="O472" s="5"/>
      <c r="Q472" s="5"/>
      <c r="R472" s="5"/>
      <c r="S472" s="5"/>
      <c r="T472" s="318"/>
    </row>
    <row r="473" spans="14:20" s="8" customFormat="1">
      <c r="N473" s="5"/>
      <c r="O473" s="5"/>
      <c r="Q473" s="5"/>
      <c r="R473" s="5"/>
      <c r="S473" s="5"/>
      <c r="T473" s="318"/>
    </row>
    <row r="474" spans="14:20" s="8" customFormat="1">
      <c r="N474" s="5"/>
      <c r="O474" s="5"/>
      <c r="Q474" s="5"/>
      <c r="R474" s="5"/>
      <c r="S474" s="5"/>
      <c r="T474" s="318"/>
    </row>
    <row r="475" spans="14:20" s="8" customFormat="1">
      <c r="N475" s="5"/>
      <c r="O475" s="5"/>
      <c r="Q475" s="5"/>
      <c r="R475" s="5"/>
      <c r="S475" s="5"/>
      <c r="T475" s="318"/>
    </row>
    <row r="476" spans="14:20" s="8" customFormat="1">
      <c r="N476" s="5"/>
      <c r="O476" s="5"/>
      <c r="Q476" s="5"/>
      <c r="R476" s="5"/>
      <c r="S476" s="5"/>
      <c r="T476" s="318"/>
    </row>
    <row r="477" spans="14:20" s="8" customFormat="1">
      <c r="N477" s="5"/>
      <c r="O477" s="5"/>
      <c r="Q477" s="5"/>
      <c r="R477" s="5"/>
      <c r="S477" s="5"/>
      <c r="T477" s="318"/>
    </row>
    <row r="478" spans="14:20" s="8" customFormat="1">
      <c r="N478" s="5"/>
      <c r="O478" s="5"/>
      <c r="Q478" s="5"/>
      <c r="R478" s="5"/>
      <c r="S478" s="5"/>
      <c r="T478" s="318"/>
    </row>
    <row r="479" spans="14:20" s="8" customFormat="1">
      <c r="N479" s="5"/>
      <c r="O479" s="5"/>
      <c r="Q479" s="5"/>
      <c r="R479" s="5"/>
      <c r="S479" s="5"/>
      <c r="T479" s="318"/>
    </row>
    <row r="480" spans="14:20" s="8" customFormat="1">
      <c r="N480" s="5"/>
      <c r="O480" s="5"/>
      <c r="Q480" s="5"/>
      <c r="R480" s="5"/>
      <c r="S480" s="5"/>
      <c r="T480" s="318"/>
    </row>
    <row r="481" spans="14:20" s="8" customFormat="1">
      <c r="N481" s="5"/>
      <c r="O481" s="5"/>
      <c r="Q481" s="5"/>
      <c r="R481" s="5"/>
      <c r="S481" s="5"/>
      <c r="T481" s="318"/>
    </row>
    <row r="482" spans="14:20" s="8" customFormat="1">
      <c r="N482" s="5"/>
      <c r="O482" s="5"/>
      <c r="Q482" s="5"/>
      <c r="R482" s="5"/>
      <c r="S482" s="5"/>
      <c r="T482" s="318"/>
    </row>
    <row r="483" spans="14:20" s="8" customFormat="1">
      <c r="N483" s="5"/>
      <c r="O483" s="5"/>
      <c r="Q483" s="5"/>
      <c r="R483" s="5"/>
      <c r="S483" s="5"/>
      <c r="T483" s="318"/>
    </row>
    <row r="484" spans="14:20" s="8" customFormat="1">
      <c r="N484" s="5"/>
      <c r="O484" s="5"/>
      <c r="Q484" s="5"/>
      <c r="R484" s="5"/>
      <c r="S484" s="5"/>
      <c r="T484" s="318"/>
    </row>
    <row r="485" spans="14:20" s="8" customFormat="1">
      <c r="N485" s="5"/>
      <c r="O485" s="5"/>
      <c r="Q485" s="5"/>
      <c r="R485" s="5"/>
      <c r="S485" s="5"/>
      <c r="T485" s="318"/>
    </row>
    <row r="486" spans="14:20" s="8" customFormat="1">
      <c r="N486" s="5"/>
      <c r="O486" s="5"/>
      <c r="Q486" s="5"/>
      <c r="R486" s="5"/>
      <c r="S486" s="5"/>
      <c r="T486" s="318"/>
    </row>
    <row r="487" spans="14:20" s="8" customFormat="1">
      <c r="N487" s="5"/>
      <c r="O487" s="5"/>
      <c r="Q487" s="5"/>
      <c r="R487" s="5"/>
      <c r="S487" s="5"/>
      <c r="T487" s="318"/>
    </row>
    <row r="488" spans="14:20" s="8" customFormat="1">
      <c r="N488" s="5"/>
      <c r="O488" s="5"/>
      <c r="Q488" s="5"/>
      <c r="R488" s="5"/>
      <c r="S488" s="5"/>
      <c r="T488" s="318"/>
    </row>
    <row r="489" spans="14:20" s="8" customFormat="1">
      <c r="N489" s="5"/>
      <c r="O489" s="5"/>
      <c r="Q489" s="5"/>
      <c r="R489" s="5"/>
      <c r="S489" s="5"/>
      <c r="T489" s="318"/>
    </row>
    <row r="490" spans="14:20" s="8" customFormat="1">
      <c r="N490" s="5"/>
      <c r="O490" s="5"/>
      <c r="Q490" s="5"/>
      <c r="R490" s="5"/>
      <c r="S490" s="5"/>
      <c r="T490" s="318"/>
    </row>
    <row r="491" spans="14:20" s="8" customFormat="1">
      <c r="N491" s="5"/>
      <c r="O491" s="5"/>
      <c r="Q491" s="5"/>
      <c r="R491" s="5"/>
      <c r="S491" s="5"/>
      <c r="T491" s="318"/>
    </row>
    <row r="492" spans="14:20" s="8" customFormat="1">
      <c r="N492" s="5"/>
      <c r="O492" s="5"/>
      <c r="Q492" s="5"/>
      <c r="R492" s="5"/>
      <c r="S492" s="5"/>
      <c r="T492" s="318"/>
    </row>
    <row r="493" spans="14:20" s="8" customFormat="1">
      <c r="N493" s="5"/>
      <c r="O493" s="5"/>
      <c r="Q493" s="5"/>
      <c r="R493" s="5"/>
      <c r="S493" s="5"/>
      <c r="T493" s="318"/>
    </row>
    <row r="494" spans="14:20" s="8" customFormat="1">
      <c r="N494" s="5"/>
      <c r="O494" s="5"/>
      <c r="Q494" s="5"/>
      <c r="R494" s="5"/>
      <c r="S494" s="5"/>
      <c r="T494" s="318"/>
    </row>
    <row r="495" spans="14:20" s="8" customFormat="1">
      <c r="N495" s="5"/>
      <c r="O495" s="5"/>
      <c r="Q495" s="5"/>
      <c r="R495" s="5"/>
      <c r="S495" s="5"/>
      <c r="T495" s="318"/>
    </row>
    <row r="496" spans="14:20" s="8" customFormat="1">
      <c r="N496" s="5"/>
      <c r="O496" s="5"/>
      <c r="Q496" s="5"/>
      <c r="R496" s="5"/>
      <c r="S496" s="5"/>
      <c r="T496" s="318"/>
    </row>
    <row r="497" spans="14:20" s="8" customFormat="1">
      <c r="N497" s="5"/>
      <c r="O497" s="5"/>
      <c r="Q497" s="5"/>
      <c r="R497" s="5"/>
      <c r="S497" s="5"/>
      <c r="T497" s="318"/>
    </row>
    <row r="498" spans="14:20" s="8" customFormat="1">
      <c r="N498" s="5"/>
      <c r="O498" s="5"/>
      <c r="Q498" s="5"/>
      <c r="R498" s="5"/>
      <c r="S498" s="5"/>
      <c r="T498" s="318"/>
    </row>
    <row r="499" spans="14:20" s="8" customFormat="1">
      <c r="N499" s="5"/>
      <c r="O499" s="5"/>
      <c r="Q499" s="5"/>
      <c r="R499" s="5"/>
      <c r="S499" s="5"/>
      <c r="T499" s="318"/>
    </row>
    <row r="500" spans="14:20" s="8" customFormat="1">
      <c r="N500" s="5"/>
      <c r="O500" s="5"/>
      <c r="Q500" s="5"/>
      <c r="R500" s="5"/>
      <c r="S500" s="5"/>
      <c r="T500" s="318"/>
    </row>
    <row r="501" spans="14:20" s="8" customFormat="1">
      <c r="N501" s="5"/>
      <c r="O501" s="5"/>
      <c r="Q501" s="5"/>
      <c r="R501" s="5"/>
      <c r="S501" s="5"/>
      <c r="T501" s="318"/>
    </row>
    <row r="502" spans="14:20" s="8" customFormat="1">
      <c r="N502" s="5"/>
      <c r="O502" s="5"/>
      <c r="Q502" s="5"/>
      <c r="R502" s="5"/>
      <c r="S502" s="5"/>
      <c r="T502" s="318"/>
    </row>
    <row r="503" spans="14:20" s="8" customFormat="1">
      <c r="N503" s="5"/>
      <c r="O503" s="5"/>
      <c r="Q503" s="5"/>
      <c r="R503" s="5"/>
      <c r="S503" s="5"/>
      <c r="T503" s="318"/>
    </row>
    <row r="504" spans="14:20" s="8" customFormat="1">
      <c r="N504" s="5"/>
      <c r="O504" s="5"/>
      <c r="Q504" s="5"/>
      <c r="R504" s="5"/>
      <c r="S504" s="5"/>
      <c r="T504" s="318"/>
    </row>
    <row r="505" spans="14:20" s="8" customFormat="1">
      <c r="N505" s="5"/>
      <c r="O505" s="5"/>
      <c r="Q505" s="5"/>
      <c r="R505" s="5"/>
      <c r="S505" s="5"/>
      <c r="T505" s="318"/>
    </row>
    <row r="506" spans="14:20" s="8" customFormat="1">
      <c r="N506" s="5"/>
      <c r="O506" s="5"/>
      <c r="Q506" s="5"/>
      <c r="R506" s="5"/>
      <c r="S506" s="5"/>
      <c r="T506" s="318"/>
    </row>
    <row r="507" spans="14:20" s="8" customFormat="1">
      <c r="N507" s="5"/>
      <c r="O507" s="5"/>
      <c r="Q507" s="5"/>
      <c r="R507" s="5"/>
      <c r="S507" s="5"/>
      <c r="T507" s="318"/>
    </row>
    <row r="508" spans="14:20" s="8" customFormat="1">
      <c r="N508" s="5"/>
      <c r="O508" s="5"/>
      <c r="Q508" s="5"/>
      <c r="R508" s="5"/>
      <c r="S508" s="5"/>
      <c r="T508" s="318"/>
    </row>
    <row r="509" spans="14:20" s="8" customFormat="1">
      <c r="N509" s="5"/>
      <c r="O509" s="5"/>
      <c r="Q509" s="5"/>
      <c r="R509" s="5"/>
      <c r="S509" s="5"/>
      <c r="T509" s="318"/>
    </row>
    <row r="510" spans="14:20" s="8" customFormat="1">
      <c r="N510" s="5"/>
      <c r="O510" s="5"/>
      <c r="Q510" s="5"/>
      <c r="R510" s="5"/>
      <c r="S510" s="5"/>
      <c r="T510" s="318"/>
    </row>
    <row r="511" spans="14:20" s="8" customFormat="1">
      <c r="N511" s="5"/>
      <c r="O511" s="5"/>
      <c r="Q511" s="5"/>
      <c r="R511" s="5"/>
      <c r="S511" s="5"/>
      <c r="T511" s="318"/>
    </row>
    <row r="512" spans="14:20" s="8" customFormat="1">
      <c r="N512" s="5"/>
      <c r="O512" s="5"/>
      <c r="Q512" s="5"/>
      <c r="R512" s="5"/>
      <c r="S512" s="5"/>
      <c r="T512" s="318"/>
    </row>
    <row r="513" spans="14:20" s="8" customFormat="1">
      <c r="N513" s="5"/>
      <c r="O513" s="5"/>
      <c r="Q513" s="5"/>
      <c r="R513" s="5"/>
      <c r="S513" s="5"/>
      <c r="T513" s="318"/>
    </row>
    <row r="514" spans="14:20" s="8" customFormat="1">
      <c r="N514" s="5"/>
      <c r="O514" s="5"/>
      <c r="Q514" s="5"/>
      <c r="R514" s="5"/>
      <c r="S514" s="5"/>
      <c r="T514" s="318"/>
    </row>
    <row r="515" spans="14:20" s="8" customFormat="1">
      <c r="N515" s="5"/>
      <c r="O515" s="5"/>
      <c r="Q515" s="5"/>
      <c r="R515" s="5"/>
      <c r="S515" s="5"/>
      <c r="T515" s="318"/>
    </row>
    <row r="516" spans="14:20" s="8" customFormat="1">
      <c r="N516" s="5"/>
      <c r="O516" s="5"/>
      <c r="Q516" s="5"/>
      <c r="R516" s="5"/>
      <c r="S516" s="5"/>
      <c r="T516" s="318"/>
    </row>
    <row r="517" spans="14:20" s="8" customFormat="1">
      <c r="N517" s="5"/>
      <c r="O517" s="5"/>
      <c r="Q517" s="5"/>
      <c r="R517" s="5"/>
      <c r="S517" s="5"/>
      <c r="T517" s="318"/>
    </row>
    <row r="518" spans="14:20" s="8" customFormat="1">
      <c r="N518" s="5"/>
      <c r="O518" s="5"/>
      <c r="Q518" s="5"/>
      <c r="R518" s="5"/>
      <c r="S518" s="5"/>
      <c r="T518" s="318"/>
    </row>
    <row r="519" spans="14:20" s="8" customFormat="1">
      <c r="N519" s="5"/>
      <c r="O519" s="5"/>
      <c r="Q519" s="5"/>
      <c r="R519" s="5"/>
      <c r="S519" s="5"/>
      <c r="T519" s="318"/>
    </row>
    <row r="520" spans="14:20" s="8" customFormat="1">
      <c r="N520" s="5"/>
      <c r="O520" s="5"/>
      <c r="Q520" s="5"/>
      <c r="R520" s="5"/>
      <c r="S520" s="5"/>
      <c r="T520" s="318"/>
    </row>
    <row r="521" spans="14:20" s="8" customFormat="1">
      <c r="N521" s="5"/>
      <c r="O521" s="5"/>
      <c r="Q521" s="5"/>
      <c r="R521" s="5"/>
      <c r="S521" s="5"/>
      <c r="T521" s="318"/>
    </row>
    <row r="522" spans="14:20" s="8" customFormat="1">
      <c r="N522" s="5"/>
      <c r="O522" s="5"/>
      <c r="Q522" s="5"/>
      <c r="R522" s="5"/>
      <c r="S522" s="5"/>
      <c r="T522" s="318"/>
    </row>
    <row r="523" spans="14:20" s="8" customFormat="1">
      <c r="N523" s="5"/>
      <c r="O523" s="5"/>
      <c r="Q523" s="5"/>
      <c r="R523" s="5"/>
      <c r="S523" s="5"/>
      <c r="T523" s="318"/>
    </row>
    <row r="524" spans="14:20" s="8" customFormat="1">
      <c r="N524" s="5"/>
      <c r="O524" s="5"/>
      <c r="Q524" s="5"/>
      <c r="R524" s="5"/>
      <c r="S524" s="5"/>
      <c r="T524" s="318"/>
    </row>
    <row r="525" spans="14:20" s="8" customFormat="1">
      <c r="N525" s="5"/>
      <c r="O525" s="5"/>
      <c r="Q525" s="5"/>
      <c r="R525" s="5"/>
      <c r="S525" s="5"/>
      <c r="T525" s="318"/>
    </row>
    <row r="526" spans="14:20" s="8" customFormat="1">
      <c r="N526" s="5"/>
      <c r="O526" s="5"/>
      <c r="Q526" s="5"/>
      <c r="R526" s="5"/>
      <c r="S526" s="5"/>
      <c r="T526" s="318"/>
    </row>
    <row r="527" spans="14:20" s="8" customFormat="1">
      <c r="N527" s="5"/>
      <c r="O527" s="5"/>
      <c r="Q527" s="5"/>
      <c r="R527" s="5"/>
      <c r="S527" s="5"/>
      <c r="T527" s="318"/>
    </row>
    <row r="528" spans="14:20" s="8" customFormat="1">
      <c r="N528" s="5"/>
      <c r="O528" s="5"/>
      <c r="Q528" s="5"/>
      <c r="R528" s="5"/>
      <c r="S528" s="5"/>
      <c r="T528" s="318"/>
    </row>
    <row r="529" spans="14:20" s="8" customFormat="1">
      <c r="N529" s="5"/>
      <c r="O529" s="5"/>
      <c r="Q529" s="5"/>
      <c r="R529" s="5"/>
      <c r="S529" s="5"/>
      <c r="T529" s="318"/>
    </row>
    <row r="530" spans="14:20" s="8" customFormat="1">
      <c r="N530" s="5"/>
      <c r="O530" s="5"/>
      <c r="Q530" s="5"/>
      <c r="R530" s="5"/>
      <c r="S530" s="5"/>
      <c r="T530" s="318"/>
    </row>
    <row r="531" spans="14:20" s="8" customFormat="1">
      <c r="N531" s="5"/>
      <c r="O531" s="5"/>
      <c r="Q531" s="5"/>
      <c r="R531" s="5"/>
      <c r="S531" s="5"/>
      <c r="T531" s="318"/>
    </row>
    <row r="532" spans="14:20" s="8" customFormat="1">
      <c r="N532" s="5"/>
      <c r="O532" s="5"/>
      <c r="Q532" s="5"/>
      <c r="R532" s="5"/>
      <c r="S532" s="5"/>
      <c r="T532" s="318"/>
    </row>
    <row r="533" spans="14:20" s="8" customFormat="1">
      <c r="N533" s="5"/>
      <c r="O533" s="5"/>
      <c r="Q533" s="5"/>
      <c r="R533" s="5"/>
      <c r="S533" s="5"/>
      <c r="T533" s="318"/>
    </row>
    <row r="534" spans="14:20" s="8" customFormat="1">
      <c r="N534" s="5"/>
      <c r="O534" s="5"/>
      <c r="Q534" s="5"/>
      <c r="R534" s="5"/>
      <c r="S534" s="5"/>
      <c r="T534" s="318"/>
    </row>
    <row r="535" spans="14:20" s="8" customFormat="1">
      <c r="N535" s="5"/>
      <c r="O535" s="5"/>
      <c r="Q535" s="5"/>
      <c r="R535" s="5"/>
      <c r="S535" s="5"/>
      <c r="T535" s="318"/>
    </row>
    <row r="536" spans="14:20" s="8" customFormat="1">
      <c r="N536" s="5"/>
      <c r="O536" s="5"/>
      <c r="Q536" s="5"/>
      <c r="R536" s="5"/>
      <c r="S536" s="5"/>
      <c r="T536" s="318"/>
    </row>
    <row r="537" spans="14:20" s="8" customFormat="1">
      <c r="N537" s="5"/>
      <c r="O537" s="5"/>
      <c r="Q537" s="5"/>
      <c r="R537" s="5"/>
      <c r="S537" s="5"/>
      <c r="T537" s="318"/>
    </row>
    <row r="538" spans="14:20" s="8" customFormat="1">
      <c r="N538" s="5"/>
      <c r="O538" s="5"/>
      <c r="Q538" s="5"/>
      <c r="R538" s="5"/>
      <c r="S538" s="5"/>
      <c r="T538" s="318"/>
    </row>
    <row r="539" spans="14:20" s="8" customFormat="1">
      <c r="N539" s="5"/>
      <c r="O539" s="5"/>
      <c r="Q539" s="5"/>
      <c r="R539" s="5"/>
      <c r="S539" s="5"/>
      <c r="T539" s="318"/>
    </row>
    <row r="540" spans="14:20" s="8" customFormat="1">
      <c r="N540" s="5"/>
      <c r="O540" s="5"/>
      <c r="Q540" s="5"/>
      <c r="R540" s="5"/>
      <c r="S540" s="5"/>
      <c r="T540" s="318"/>
    </row>
    <row r="541" spans="14:20" s="8" customFormat="1">
      <c r="N541" s="5"/>
      <c r="O541" s="5"/>
      <c r="Q541" s="5"/>
      <c r="R541" s="5"/>
      <c r="S541" s="5"/>
      <c r="T541" s="318"/>
    </row>
    <row r="542" spans="14:20" s="8" customFormat="1">
      <c r="N542" s="5"/>
      <c r="O542" s="5"/>
      <c r="Q542" s="5"/>
      <c r="R542" s="5"/>
      <c r="S542" s="5"/>
      <c r="T542" s="318"/>
    </row>
    <row r="543" spans="14:20" s="8" customFormat="1">
      <c r="N543" s="5"/>
      <c r="O543" s="5"/>
      <c r="Q543" s="5"/>
      <c r="R543" s="5"/>
      <c r="S543" s="5"/>
      <c r="T543" s="318"/>
    </row>
    <row r="544" spans="14:20" s="8" customFormat="1">
      <c r="N544" s="5"/>
      <c r="O544" s="5"/>
      <c r="Q544" s="5"/>
      <c r="R544" s="5"/>
      <c r="S544" s="5"/>
      <c r="T544" s="318"/>
    </row>
    <row r="545" spans="14:20" s="8" customFormat="1">
      <c r="N545" s="5"/>
      <c r="O545" s="5"/>
      <c r="Q545" s="5"/>
      <c r="R545" s="5"/>
      <c r="S545" s="5"/>
      <c r="T545" s="318"/>
    </row>
    <row r="546" spans="14:20" s="8" customFormat="1">
      <c r="N546" s="5"/>
      <c r="O546" s="5"/>
      <c r="Q546" s="5"/>
      <c r="R546" s="5"/>
      <c r="S546" s="5"/>
      <c r="T546" s="318"/>
    </row>
    <row r="547" spans="14:20" s="8" customFormat="1">
      <c r="N547" s="5"/>
      <c r="O547" s="5"/>
      <c r="Q547" s="5"/>
      <c r="R547" s="5"/>
      <c r="S547" s="5"/>
      <c r="T547" s="318"/>
    </row>
    <row r="548" spans="14:20" s="8" customFormat="1">
      <c r="N548" s="5"/>
      <c r="O548" s="5"/>
      <c r="Q548" s="5"/>
      <c r="R548" s="5"/>
      <c r="S548" s="5"/>
      <c r="T548" s="318"/>
    </row>
    <row r="549" spans="14:20" s="8" customFormat="1">
      <c r="N549" s="5"/>
      <c r="O549" s="5"/>
      <c r="Q549" s="5"/>
      <c r="R549" s="5"/>
      <c r="S549" s="5"/>
      <c r="T549" s="318"/>
    </row>
    <row r="550" spans="14:20" s="8" customFormat="1">
      <c r="N550" s="5"/>
      <c r="O550" s="5"/>
      <c r="Q550" s="5"/>
      <c r="R550" s="5"/>
      <c r="S550" s="5"/>
      <c r="T550" s="318"/>
    </row>
    <row r="551" spans="14:20" s="8" customFormat="1">
      <c r="N551" s="5"/>
      <c r="O551" s="5"/>
      <c r="Q551" s="5"/>
      <c r="R551" s="5"/>
      <c r="S551" s="5"/>
      <c r="T551" s="318"/>
    </row>
    <row r="552" spans="14:20" s="8" customFormat="1">
      <c r="N552" s="5"/>
      <c r="O552" s="5"/>
      <c r="Q552" s="5"/>
      <c r="R552" s="5"/>
      <c r="S552" s="5"/>
      <c r="T552" s="318"/>
    </row>
    <row r="553" spans="14:20" s="8" customFormat="1">
      <c r="N553" s="5"/>
      <c r="O553" s="5"/>
      <c r="Q553" s="5"/>
      <c r="R553" s="5"/>
      <c r="S553" s="5"/>
      <c r="T553" s="318"/>
    </row>
    <row r="554" spans="14:20" s="8" customFormat="1">
      <c r="N554" s="5"/>
      <c r="O554" s="5"/>
      <c r="Q554" s="5"/>
      <c r="R554" s="5"/>
      <c r="S554" s="5"/>
      <c r="T554" s="318"/>
    </row>
    <row r="555" spans="14:20" s="8" customFormat="1">
      <c r="N555" s="5"/>
      <c r="O555" s="5"/>
      <c r="Q555" s="5"/>
      <c r="R555" s="5"/>
      <c r="S555" s="5"/>
      <c r="T555" s="318"/>
    </row>
    <row r="556" spans="14:20" s="8" customFormat="1">
      <c r="N556" s="5"/>
      <c r="O556" s="5"/>
      <c r="Q556" s="5"/>
      <c r="R556" s="5"/>
      <c r="S556" s="5"/>
      <c r="T556" s="318"/>
    </row>
    <row r="557" spans="14:20" s="8" customFormat="1">
      <c r="N557" s="5"/>
      <c r="O557" s="5"/>
      <c r="Q557" s="5"/>
      <c r="R557" s="5"/>
      <c r="S557" s="5"/>
      <c r="T557" s="318"/>
    </row>
    <row r="558" spans="14:20" s="8" customFormat="1">
      <c r="N558" s="5"/>
      <c r="O558" s="5"/>
      <c r="Q558" s="5"/>
      <c r="R558" s="5"/>
      <c r="S558" s="5"/>
      <c r="T558" s="318"/>
    </row>
    <row r="559" spans="14:20" s="8" customFormat="1">
      <c r="N559" s="5"/>
      <c r="O559" s="5"/>
      <c r="Q559" s="5"/>
      <c r="R559" s="5"/>
      <c r="S559" s="5"/>
      <c r="T559" s="318"/>
    </row>
    <row r="560" spans="14:20" s="8" customFormat="1">
      <c r="N560" s="5"/>
      <c r="O560" s="5"/>
      <c r="Q560" s="5"/>
      <c r="R560" s="5"/>
      <c r="S560" s="5"/>
      <c r="T560" s="318"/>
    </row>
    <row r="561" spans="14:20" s="8" customFormat="1">
      <c r="N561" s="5"/>
      <c r="O561" s="5"/>
      <c r="Q561" s="5"/>
      <c r="R561" s="5"/>
      <c r="S561" s="5"/>
      <c r="T561" s="318"/>
    </row>
    <row r="562" spans="14:20" s="8" customFormat="1">
      <c r="N562" s="5"/>
      <c r="O562" s="5"/>
      <c r="Q562" s="5"/>
      <c r="R562" s="5"/>
      <c r="S562" s="5"/>
      <c r="T562" s="318"/>
    </row>
    <row r="563" spans="14:20" s="8" customFormat="1">
      <c r="N563" s="5"/>
      <c r="O563" s="5"/>
      <c r="Q563" s="5"/>
      <c r="R563" s="5"/>
      <c r="S563" s="5"/>
      <c r="T563" s="318"/>
    </row>
    <row r="564" spans="14:20" s="8" customFormat="1">
      <c r="N564" s="5"/>
      <c r="O564" s="5"/>
      <c r="Q564" s="5"/>
      <c r="R564" s="5"/>
      <c r="S564" s="5"/>
      <c r="T564" s="318"/>
    </row>
    <row r="565" spans="14:20" s="8" customFormat="1">
      <c r="N565" s="5"/>
      <c r="O565" s="5"/>
      <c r="Q565" s="5"/>
      <c r="R565" s="5"/>
      <c r="S565" s="5"/>
      <c r="T565" s="318"/>
    </row>
    <row r="566" spans="14:20" s="8" customFormat="1">
      <c r="N566" s="5"/>
      <c r="O566" s="5"/>
      <c r="Q566" s="5"/>
      <c r="R566" s="5"/>
      <c r="S566" s="5"/>
      <c r="T566" s="318"/>
    </row>
    <row r="567" spans="14:20" s="8" customFormat="1">
      <c r="N567" s="5"/>
      <c r="O567" s="5"/>
      <c r="Q567" s="5"/>
      <c r="R567" s="5"/>
      <c r="S567" s="5"/>
      <c r="T567" s="318"/>
    </row>
    <row r="568" spans="14:20" s="8" customFormat="1">
      <c r="N568" s="5"/>
      <c r="O568" s="5"/>
      <c r="Q568" s="5"/>
      <c r="R568" s="5"/>
      <c r="S568" s="5"/>
      <c r="T568" s="318"/>
    </row>
    <row r="569" spans="14:20" s="8" customFormat="1">
      <c r="N569" s="5"/>
      <c r="O569" s="5"/>
      <c r="Q569" s="5"/>
      <c r="R569" s="5"/>
      <c r="S569" s="5"/>
      <c r="T569" s="318"/>
    </row>
    <row r="570" spans="14:20" s="8" customFormat="1">
      <c r="N570" s="5"/>
      <c r="O570" s="5"/>
      <c r="Q570" s="5"/>
      <c r="R570" s="5"/>
      <c r="S570" s="5"/>
      <c r="T570" s="318"/>
    </row>
    <row r="571" spans="14:20" s="8" customFormat="1">
      <c r="N571" s="5"/>
      <c r="O571" s="5"/>
      <c r="Q571" s="5"/>
      <c r="R571" s="5"/>
      <c r="S571" s="5"/>
      <c r="T571" s="318"/>
    </row>
  </sheetData>
  <sheetProtection formatRows="0" selectLockedCells="1" sort="0" autoFilter="0" pivotTables="0"/>
  <mergeCells count="33">
    <mergeCell ref="P152:P154"/>
    <mergeCell ref="L5:L6"/>
    <mergeCell ref="R152:R154"/>
    <mergeCell ref="N5:N6"/>
    <mergeCell ref="T152:T154"/>
    <mergeCell ref="Q152:Q154"/>
    <mergeCell ref="O5:O6"/>
    <mergeCell ref="S152:S154"/>
    <mergeCell ref="J152:K153"/>
    <mergeCell ref="L152:L154"/>
    <mergeCell ref="M152:M154"/>
    <mergeCell ref="N152:N154"/>
    <mergeCell ref="O152:O154"/>
    <mergeCell ref="B152:B154"/>
    <mergeCell ref="D152:D154"/>
    <mergeCell ref="E152:E154"/>
    <mergeCell ref="F152:G153"/>
    <mergeCell ref="H152:I153"/>
    <mergeCell ref="B2:T2"/>
    <mergeCell ref="B5:B6"/>
    <mergeCell ref="D5:D6"/>
    <mergeCell ref="E5:E6"/>
    <mergeCell ref="F5:G5"/>
    <mergeCell ref="H5:I5"/>
    <mergeCell ref="C5:C6"/>
    <mergeCell ref="R5:R6"/>
    <mergeCell ref="S5:S6"/>
    <mergeCell ref="T5:T6"/>
    <mergeCell ref="Q5:Q6"/>
    <mergeCell ref="J5:K5"/>
    <mergeCell ref="P5:P6"/>
    <mergeCell ref="M5:M6"/>
    <mergeCell ref="B3:T3"/>
  </mergeCell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2" operator="containsText" id="{ED0977DB-E599-47DA-A656-AF3A20EF584C}">
            <xm:f>NOT(ISERROR(SEARCH("No Aplica",T7)))</xm:f>
            <xm:f>"No Aplica"</xm:f>
            <x14:dxf>
              <fill>
                <patternFill>
                  <bgColor theme="0" tint="-0.14996795556505021"/>
                </patternFill>
              </fill>
            </x14:dxf>
          </x14:cfRule>
          <xm:sqref>T7:T146</xm:sqref>
        </x14:conditionalFormatting>
        <x14:conditionalFormatting xmlns:xm="http://schemas.microsoft.com/office/excel/2006/main">
          <x14:cfRule type="containsText" priority="1" operator="containsText" id="{50C086F7-297D-4AAC-825A-FD9FA1BE936B}">
            <xm:f>NOT(ISERROR(SEARCH("No Aplica",T155)))</xm:f>
            <xm:f>"No Aplica"</xm:f>
            <x14:dxf>
              <fill>
                <patternFill>
                  <bgColor theme="0" tint="-0.14996795556505021"/>
                </patternFill>
              </fill>
            </x14:dxf>
          </x14:cfRule>
          <xm:sqref>T155:T254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41ADC-045B-4292-BD21-9427535EC556}">
  <sheetPr codeName="Hoja12">
    <tabColor rgb="FFFFFF00"/>
    <pageSetUpPr fitToPage="1"/>
  </sheetPr>
  <dimension ref="B2:S63"/>
  <sheetViews>
    <sheetView showGridLines="0" zoomScale="89" zoomScaleNormal="89" workbookViewId="0">
      <selection activeCell="B21" sqref="B21"/>
    </sheetView>
  </sheetViews>
  <sheetFormatPr defaultColWidth="11.42578125" defaultRowHeight="15"/>
  <cols>
    <col min="1" max="1" width="4.5703125" customWidth="1"/>
    <col min="2" max="2" width="12.140625" customWidth="1"/>
    <col min="3" max="4" width="11.7109375" customWidth="1"/>
    <col min="5" max="5" width="34.85546875" customWidth="1"/>
    <col min="6" max="6" width="16.7109375" customWidth="1"/>
    <col min="7" max="7" width="4.140625" customWidth="1"/>
    <col min="8" max="8" width="11.140625" customWidth="1"/>
    <col min="9" max="9" width="10.5703125" customWidth="1"/>
    <col min="10" max="10" width="3.42578125" customWidth="1"/>
    <col min="11" max="11" width="9.85546875" customWidth="1"/>
    <col min="12" max="12" width="5" customWidth="1"/>
    <col min="13" max="13" width="9.7109375" customWidth="1"/>
    <col min="14" max="14" width="18.140625" customWidth="1"/>
    <col min="15" max="15" width="8" customWidth="1"/>
    <col min="16" max="16" width="18.7109375" customWidth="1"/>
    <col min="17" max="17" width="11.42578125" customWidth="1"/>
    <col min="18" max="18" width="13.140625" customWidth="1"/>
    <col min="19" max="19" width="12.42578125" customWidth="1"/>
  </cols>
  <sheetData>
    <row r="2" spans="2:17" s="4" customFormat="1" ht="18.75" customHeight="1">
      <c r="B2" s="837" t="str">
        <f>CONCATENATE("22. FICHA DE EVALUACIÓN DE CAMBIOS REALIZADOS EN EL PLAN DE ESTUDIOS DEL PROGRAMA:"," ",'1.Fundamentos'!F6)</f>
        <v>22. FICHA DE EVALUACIÓN DE CAMBIOS REALIZADOS EN EL PLAN DE ESTUDIOS DEL PROGRAMA: EDUCACIÓN SECUNDARIA CON ESPECIALIDAD EN INGLÉS</v>
      </c>
      <c r="C2" s="837"/>
      <c r="D2" s="837"/>
      <c r="E2" s="837"/>
      <c r="F2" s="837"/>
      <c r="G2" s="837"/>
      <c r="H2" s="837"/>
      <c r="I2" s="837"/>
      <c r="J2" s="837"/>
      <c r="K2" s="837"/>
      <c r="L2" s="837"/>
      <c r="M2" s="837"/>
      <c r="N2" s="837"/>
      <c r="O2" s="837"/>
      <c r="P2" s="837"/>
      <c r="Q2" s="837"/>
    </row>
    <row r="3" spans="2:17" ht="7.5" customHeight="1">
      <c r="C3" s="203"/>
    </row>
    <row r="4" spans="2:17">
      <c r="B4" s="460" t="s">
        <v>1120</v>
      </c>
      <c r="D4" s="460"/>
      <c r="E4" s="839" t="str">
        <f>+IF('1.Fundamentos'!F6="","",'1.Fundamentos'!F6)</f>
        <v>EDUCACIÓN SECUNDARIA CON ESPECIALIDAD EN INGLÉS</v>
      </c>
      <c r="F4" s="840"/>
      <c r="G4" s="840"/>
      <c r="H4" s="841"/>
      <c r="I4" s="850" t="s">
        <v>1121</v>
      </c>
      <c r="J4" s="851"/>
      <c r="K4" s="852"/>
      <c r="L4" s="853" t="str">
        <f>+IF('1.Fundamentos'!F8="","",'1.Fundamentos'!F8)</f>
        <v>P25</v>
      </c>
      <c r="M4" s="853"/>
      <c r="N4" s="446" t="s">
        <v>1122</v>
      </c>
      <c r="O4" s="843" t="s">
        <v>1123</v>
      </c>
      <c r="P4" s="843"/>
      <c r="Q4" s="843"/>
    </row>
    <row r="5" spans="2:17" ht="6" customHeight="1">
      <c r="B5" s="460"/>
      <c r="D5" s="460"/>
      <c r="E5" s="459"/>
      <c r="F5" s="459"/>
      <c r="G5" s="459"/>
      <c r="H5" s="459"/>
      <c r="I5" s="462"/>
      <c r="J5" s="460"/>
      <c r="K5" s="460"/>
      <c r="M5" s="463"/>
      <c r="O5" s="460"/>
      <c r="P5" s="460"/>
      <c r="Q5" s="463"/>
    </row>
    <row r="6" spans="2:17">
      <c r="B6" s="461" t="s">
        <v>1124</v>
      </c>
      <c r="D6" s="459"/>
      <c r="E6" s="839" t="str">
        <f>+IF(Plan_Anterior!E4="","",Plan_Anterior!E4)</f>
        <v>EDUCACIÓN SECUNDARIA CON ESPECIALIDAD EN INGLÉS</v>
      </c>
      <c r="F6" s="840"/>
      <c r="G6" s="840"/>
      <c r="H6" s="841"/>
      <c r="I6" s="847" t="s">
        <v>1125</v>
      </c>
      <c r="J6" s="848"/>
      <c r="K6" s="848"/>
      <c r="L6" s="848"/>
      <c r="M6" s="848"/>
      <c r="N6" s="849"/>
      <c r="O6" s="844" t="s">
        <v>1126</v>
      </c>
      <c r="P6" s="845"/>
      <c r="Q6" s="846"/>
    </row>
    <row r="7" spans="2:17" ht="12" customHeight="1">
      <c r="B7" s="461"/>
      <c r="C7" s="461"/>
      <c r="D7" s="459"/>
      <c r="E7" s="459"/>
      <c r="F7" s="459"/>
      <c r="G7" s="459"/>
      <c r="H7" s="459"/>
      <c r="I7" s="459"/>
      <c r="J7" s="459"/>
      <c r="K7" s="459"/>
      <c r="L7" s="460"/>
      <c r="M7" s="460"/>
      <c r="N7" s="460"/>
      <c r="O7" s="460"/>
      <c r="P7" s="460"/>
      <c r="Q7" s="460"/>
    </row>
    <row r="8" spans="2:17">
      <c r="B8" s="436" t="s">
        <v>1127</v>
      </c>
      <c r="D8" s="459"/>
      <c r="E8" s="459"/>
      <c r="F8" s="459"/>
      <c r="G8" s="459"/>
      <c r="H8" s="459"/>
      <c r="I8" s="459"/>
      <c r="J8" s="459"/>
      <c r="K8" s="459"/>
      <c r="L8" s="459"/>
      <c r="M8" s="459"/>
      <c r="N8" s="838"/>
      <c r="O8" s="838"/>
      <c r="P8" s="459"/>
      <c r="Q8" s="459"/>
    </row>
    <row r="9" spans="2:17" ht="12" customHeight="1">
      <c r="B9" s="437"/>
      <c r="C9" s="437"/>
      <c r="D9" s="437"/>
      <c r="E9" s="437"/>
      <c r="F9" s="438"/>
      <c r="G9" s="438"/>
      <c r="H9" s="437"/>
      <c r="I9" s="437"/>
      <c r="J9" s="437"/>
      <c r="K9" s="437"/>
      <c r="L9" s="438"/>
      <c r="M9" s="438"/>
      <c r="N9" s="438"/>
      <c r="O9" s="438"/>
      <c r="P9" s="438"/>
    </row>
    <row r="10" spans="2:17" ht="15.75" thickBot="1">
      <c r="B10" s="439" t="s">
        <v>1128</v>
      </c>
      <c r="E10" s="466" t="str">
        <f>+Plan_Anterior!N10</f>
        <v>FC: EDU. SECUNDARIA 2024-02 - INGLÉS</v>
      </c>
      <c r="F10" s="465" t="str">
        <f>+'1.Fundamentos'!F18</f>
        <v>2025-01</v>
      </c>
      <c r="G10" s="444"/>
      <c r="H10" s="440" t="s">
        <v>1129</v>
      </c>
      <c r="I10" s="445"/>
      <c r="J10" s="442" t="s">
        <v>1130</v>
      </c>
      <c r="K10" s="442"/>
      <c r="L10" s="442"/>
      <c r="M10" s="442"/>
      <c r="N10" s="443"/>
    </row>
    <row r="11" spans="2:17" ht="3" customHeight="1" thickTop="1">
      <c r="B11" s="439"/>
      <c r="E11" s="444"/>
      <c r="F11" s="445"/>
      <c r="G11" s="444"/>
      <c r="H11" s="446"/>
      <c r="I11" s="445"/>
      <c r="J11" s="490"/>
      <c r="K11" s="490"/>
      <c r="L11" s="490"/>
      <c r="M11" s="490"/>
      <c r="N11" s="491"/>
    </row>
    <row r="12" spans="2:17" s="448" customFormat="1">
      <c r="B12" s="449" t="s">
        <v>1131</v>
      </c>
      <c r="E12" s="450">
        <f>Plan_Anterior!N8</f>
        <v>60</v>
      </c>
      <c r="F12" s="451">
        <f>IF('1.Fundamentos'!F14="","",'1.Fundamentos'!F14)</f>
        <v>60</v>
      </c>
      <c r="G12" s="444"/>
      <c r="H12" s="450" t="str">
        <f t="shared" ref="H12:H22" si="0">IF(E12=F12,"-","Sí")</f>
        <v>-</v>
      </c>
      <c r="I12" s="445"/>
      <c r="J12" s="492">
        <f>IF(E4=E6,2,8)</f>
        <v>2</v>
      </c>
      <c r="K12" s="493" t="s">
        <v>1132</v>
      </c>
      <c r="L12" s="494"/>
      <c r="M12" s="495"/>
      <c r="N12" s="496"/>
    </row>
    <row r="13" spans="2:17" s="448" customFormat="1">
      <c r="B13" s="449" t="s">
        <v>1133</v>
      </c>
      <c r="E13" s="450" t="str">
        <f>Plan_Anterior!N6</f>
        <v>SEMESTRAL</v>
      </c>
      <c r="F13" s="450" t="str">
        <f>IF('1.Fundamentos'!D14="","",'1.Fundamentos'!D14)</f>
        <v>SEMESTRAL</v>
      </c>
      <c r="G13" s="444"/>
      <c r="H13" s="450" t="str">
        <f t="shared" si="0"/>
        <v>-</v>
      </c>
      <c r="I13" s="445"/>
      <c r="J13" s="492">
        <f>IF(J12=8,8,2)</f>
        <v>2</v>
      </c>
      <c r="K13" s="493" t="s">
        <v>1134</v>
      </c>
      <c r="L13" s="494"/>
      <c r="M13" s="495"/>
      <c r="N13" s="496"/>
    </row>
    <row r="14" spans="2:17" s="448" customFormat="1">
      <c r="B14" s="449" t="s">
        <v>1135</v>
      </c>
      <c r="E14" s="450" t="str">
        <f>Plan_Anterior!E6</f>
        <v>PRESENCIAL</v>
      </c>
      <c r="F14" s="450" t="str">
        <f>IF('1.Fundamentos'!D8="","",'1.Fundamentos'!D8)</f>
        <v>PRESENCIAL</v>
      </c>
      <c r="G14" s="444"/>
      <c r="H14" s="450" t="str">
        <f t="shared" si="0"/>
        <v>-</v>
      </c>
      <c r="I14" s="445"/>
      <c r="J14" s="492">
        <f>IF(J12=8,8,2)</f>
        <v>2</v>
      </c>
      <c r="K14" s="493" t="s">
        <v>1136</v>
      </c>
      <c r="L14" s="494"/>
      <c r="M14" s="495"/>
      <c r="N14" s="496"/>
    </row>
    <row r="15" spans="2:17" s="448" customFormat="1">
      <c r="B15" s="452" t="s">
        <v>1137</v>
      </c>
      <c r="E15" s="468">
        <f>Plan_Anterior!O154</f>
        <v>200</v>
      </c>
      <c r="F15" s="467">
        <f>+IF('3.Plan de Estudios'!O8=0,"",'3.Plan de Estudios'!O8)</f>
        <v>200</v>
      </c>
      <c r="G15" s="444"/>
      <c r="H15" s="450" t="str">
        <f t="shared" si="0"/>
        <v>-</v>
      </c>
      <c r="I15" s="445"/>
      <c r="J15" s="492">
        <f>IF(H12="sí",8,2)</f>
        <v>2</v>
      </c>
      <c r="K15" s="493" t="s">
        <v>1138</v>
      </c>
      <c r="L15" s="494"/>
      <c r="M15" s="495"/>
      <c r="N15" s="496"/>
    </row>
    <row r="16" spans="2:17" s="448" customFormat="1" ht="13.5" customHeight="1">
      <c r="B16" s="447" t="s">
        <v>1139</v>
      </c>
      <c r="E16" s="468">
        <f>Plan_Anterior!I154/16+Plan_Anterior!K154/32+Plan_Anterior!M154/32</f>
        <v>200</v>
      </c>
      <c r="F16" s="467">
        <f>+'3.Plan de Estudios'!O12</f>
        <v>200</v>
      </c>
      <c r="G16" s="444"/>
      <c r="H16" s="450" t="str">
        <f t="shared" si="0"/>
        <v>-</v>
      </c>
      <c r="I16" s="445"/>
      <c r="J16" s="492">
        <f>IF(H13="sí",8,2)</f>
        <v>2</v>
      </c>
      <c r="K16" s="493" t="s">
        <v>1140</v>
      </c>
      <c r="L16" s="494"/>
      <c r="M16" s="495"/>
      <c r="N16" s="496"/>
    </row>
    <row r="17" spans="2:19" s="448" customFormat="1" ht="13.5" customHeight="1">
      <c r="B17" s="447" t="s">
        <v>1141</v>
      </c>
      <c r="E17" s="468">
        <f>+Plan_Anterior!J154/16+Plan_Anterior!L154/32+Plan_Anterior!N154/32</f>
        <v>0</v>
      </c>
      <c r="F17" s="467">
        <f>+'3.Plan de Estudios'!O13</f>
        <v>0</v>
      </c>
      <c r="G17" s="444"/>
      <c r="H17" s="450" t="str">
        <f t="shared" si="0"/>
        <v>-</v>
      </c>
      <c r="I17" s="450"/>
      <c r="J17" s="492">
        <f>IF(H18="-",2,8)</f>
        <v>2</v>
      </c>
      <c r="K17" s="493" t="s">
        <v>1142</v>
      </c>
      <c r="L17" s="494"/>
      <c r="M17" s="495"/>
      <c r="N17" s="496"/>
    </row>
    <row r="18" spans="2:19" s="448" customFormat="1" ht="13.5" customHeight="1">
      <c r="B18" s="453" t="s">
        <v>1143</v>
      </c>
      <c r="E18" s="469">
        <f>IF(E16+E17=0,"-",E17/E15)</f>
        <v>0</v>
      </c>
      <c r="F18" s="469">
        <f>IF(F16+F17=0,"-",F17/F15)</f>
        <v>0</v>
      </c>
      <c r="G18" s="444"/>
      <c r="H18" s="450" t="str">
        <f t="shared" si="0"/>
        <v>-</v>
      </c>
      <c r="I18" s="454"/>
      <c r="J18" s="492">
        <f>IF(H22="-",2,8)</f>
        <v>8</v>
      </c>
      <c r="K18" s="493" t="s">
        <v>1144</v>
      </c>
      <c r="L18" s="494"/>
      <c r="M18" s="495"/>
      <c r="N18" s="496"/>
      <c r="P18" s="441"/>
      <c r="Q18" s="455"/>
      <c r="R18" s="441"/>
      <c r="S18" s="455"/>
    </row>
    <row r="19" spans="2:19">
      <c r="B19" s="447" t="s">
        <v>1145</v>
      </c>
      <c r="C19" s="436"/>
      <c r="E19" s="296">
        <f>COUNTIF(Plan_Anterior!G14:G113,"Electivo")</f>
        <v>4</v>
      </c>
      <c r="F19" s="450">
        <f>COUNTIF('3.Plan de Estudios'!H19:H171,"Electivo")</f>
        <v>4</v>
      </c>
      <c r="G19" s="444"/>
      <c r="H19" s="450" t="str">
        <f t="shared" si="0"/>
        <v>-</v>
      </c>
      <c r="I19" s="450"/>
      <c r="J19" s="492">
        <f>IF(H23="-",2,8)</f>
        <v>2</v>
      </c>
      <c r="K19" s="493" t="s">
        <v>1146</v>
      </c>
      <c r="L19" s="494"/>
      <c r="M19" s="495"/>
      <c r="N19" s="496"/>
      <c r="P19" s="441"/>
      <c r="Q19" s="441"/>
      <c r="R19" s="441"/>
      <c r="S19" s="441"/>
    </row>
    <row r="20" spans="2:19">
      <c r="B20" s="447" t="s">
        <v>1147</v>
      </c>
      <c r="E20" s="296">
        <f>COUNTIF(Plan_Anterior!G14:G113,"Obligatorio")</f>
        <v>51</v>
      </c>
      <c r="F20" s="296">
        <f>COUNTIF('3.Plan de Estudios'!H19:H171,"Obligatorio")</f>
        <v>51</v>
      </c>
      <c r="G20" s="444"/>
      <c r="H20" s="450" t="str">
        <f t="shared" si="0"/>
        <v>-</v>
      </c>
      <c r="I20" s="296"/>
      <c r="J20" s="492" t="e">
        <f>IF(#REF!&gt;0,8,2)</f>
        <v>#REF!</v>
      </c>
      <c r="K20" s="493" t="s">
        <v>1148</v>
      </c>
      <c r="L20" s="487"/>
      <c r="M20" s="495"/>
      <c r="N20" s="496"/>
    </row>
    <row r="21" spans="2:19" ht="16.5" customHeight="1">
      <c r="B21" s="452" t="s">
        <v>1149</v>
      </c>
      <c r="E21" s="450">
        <v>5</v>
      </c>
      <c r="F21" s="450">
        <v>0</v>
      </c>
      <c r="G21" s="444"/>
      <c r="H21" s="477" t="str">
        <f t="shared" si="0"/>
        <v>Sí</v>
      </c>
      <c r="I21" s="450"/>
      <c r="J21" s="492">
        <f>IF(Q26&gt;1,8,2)</f>
        <v>2</v>
      </c>
      <c r="K21" s="493" t="s">
        <v>1150</v>
      </c>
      <c r="L21" s="487"/>
      <c r="M21" s="495"/>
      <c r="N21" s="496"/>
    </row>
    <row r="22" spans="2:19">
      <c r="B22" s="452" t="s">
        <v>1151</v>
      </c>
      <c r="C22" s="436"/>
      <c r="E22" s="450">
        <v>0</v>
      </c>
      <c r="F22" s="450">
        <f>COUNTIF(K28:K32,"Obligatorio")</f>
        <v>5</v>
      </c>
      <c r="G22" s="444"/>
      <c r="H22" s="477" t="str">
        <f t="shared" si="0"/>
        <v>Sí</v>
      </c>
      <c r="I22" s="450"/>
      <c r="J22" s="492">
        <f>IF(P26+O26&gt;1,8,2)</f>
        <v>2</v>
      </c>
      <c r="K22" s="493" t="s">
        <v>1152</v>
      </c>
      <c r="L22" s="487"/>
      <c r="M22" s="495"/>
      <c r="N22" s="496"/>
    </row>
    <row r="23" spans="2:19">
      <c r="B23" s="452" t="s">
        <v>1153</v>
      </c>
      <c r="E23" s="68">
        <v>0</v>
      </c>
      <c r="F23" s="68">
        <f>COUNTIF(K28:K32,"Electivo")</f>
        <v>0</v>
      </c>
      <c r="H23" s="477" t="str">
        <f>IF(E23=F23,"-","Sí")</f>
        <v>-</v>
      </c>
      <c r="I23" s="296"/>
      <c r="J23" s="492">
        <f>IF(COUNT(#REF!)&gt;1,8,2)</f>
        <v>2</v>
      </c>
      <c r="K23" s="493" t="s">
        <v>1154</v>
      </c>
      <c r="L23" s="487"/>
      <c r="M23" s="495"/>
      <c r="N23" s="496"/>
    </row>
    <row r="24" spans="2:19">
      <c r="B24" s="448" t="s">
        <v>1155</v>
      </c>
      <c r="C24" s="436"/>
      <c r="E24" s="296">
        <f>+SUM('3.Plan de Estudios'!Q173:V173)</f>
        <v>33</v>
      </c>
      <c r="F24" s="296">
        <f>+SUM('3.Plan de Estudios'!R173:W173)</f>
        <v>33</v>
      </c>
      <c r="G24" s="444"/>
      <c r="H24" s="450" t="str">
        <f>IF(E24=F24,"-","Sí")</f>
        <v>-</v>
      </c>
      <c r="J24" s="492">
        <f>IF(H15="-",2,8)</f>
        <v>2</v>
      </c>
      <c r="K24" s="493" t="s">
        <v>1156</v>
      </c>
      <c r="L24" s="487"/>
      <c r="M24" s="495"/>
      <c r="N24" s="496"/>
    </row>
    <row r="25" spans="2:19">
      <c r="B25" s="438"/>
      <c r="C25" s="436"/>
      <c r="G25" s="444"/>
    </row>
    <row r="26" spans="2:19" ht="9.75" hidden="1" customHeight="1">
      <c r="B26" s="438"/>
      <c r="C26" s="436"/>
      <c r="O26" s="474">
        <f>IF(H20="Sí",2,0)</f>
        <v>0</v>
      </c>
      <c r="P26" s="474">
        <f>IF(H19="Sí",2,0)</f>
        <v>0</v>
      </c>
      <c r="Q26" s="474">
        <f>COUNTA(#REF!)</f>
        <v>1</v>
      </c>
    </row>
    <row r="27" spans="2:19">
      <c r="B27" s="842" t="s">
        <v>1157</v>
      </c>
      <c r="C27" s="842"/>
      <c r="D27" s="842"/>
      <c r="E27" s="456" t="s">
        <v>224</v>
      </c>
      <c r="G27" s="473" t="s">
        <v>1158</v>
      </c>
      <c r="H27" s="65"/>
      <c r="I27" s="473"/>
      <c r="J27" s="65"/>
      <c r="K27" s="502" t="s">
        <v>229</v>
      </c>
      <c r="L27" s="456" t="s">
        <v>224</v>
      </c>
      <c r="M27" s="457"/>
      <c r="N27" s="475" t="s">
        <v>1159</v>
      </c>
      <c r="O27" s="475"/>
      <c r="P27" s="475" t="s">
        <v>1160</v>
      </c>
      <c r="Q27" s="456" t="s">
        <v>224</v>
      </c>
    </row>
    <row r="28" spans="2:19">
      <c r="B28" s="441" t="s">
        <v>268</v>
      </c>
      <c r="C28" s="455"/>
      <c r="E28" s="498" t="s">
        <v>1161</v>
      </c>
      <c r="G28" s="441" t="s">
        <v>268</v>
      </c>
      <c r="I28" s="441"/>
      <c r="K28" s="441" t="s">
        <v>242</v>
      </c>
      <c r="L28" s="498" t="s">
        <v>1161</v>
      </c>
      <c r="M28" s="455"/>
      <c r="N28" s="441"/>
      <c r="P28" s="441"/>
      <c r="Q28" s="498"/>
    </row>
    <row r="29" spans="2:19">
      <c r="B29" s="441" t="s">
        <v>270</v>
      </c>
      <c r="C29" s="455"/>
      <c r="E29" s="498" t="s">
        <v>1161</v>
      </c>
      <c r="G29" s="441" t="s">
        <v>270</v>
      </c>
      <c r="I29" s="441"/>
      <c r="K29" s="441" t="s">
        <v>242</v>
      </c>
      <c r="L29" s="498" t="s">
        <v>1161</v>
      </c>
      <c r="M29" s="455"/>
      <c r="N29" s="441"/>
      <c r="P29" s="441"/>
      <c r="Q29" s="498"/>
    </row>
    <row r="30" spans="2:19">
      <c r="B30" s="441" t="s">
        <v>282</v>
      </c>
      <c r="C30" s="455"/>
      <c r="E30" s="498" t="s">
        <v>1162</v>
      </c>
      <c r="G30" s="441" t="s">
        <v>282</v>
      </c>
      <c r="I30" s="441"/>
      <c r="K30" s="441" t="s">
        <v>242</v>
      </c>
      <c r="L30" s="498" t="s">
        <v>1162</v>
      </c>
      <c r="M30" s="455"/>
      <c r="N30" s="441"/>
      <c r="P30" s="441"/>
      <c r="Q30" s="498"/>
    </row>
    <row r="31" spans="2:19">
      <c r="B31" s="441" t="s">
        <v>290</v>
      </c>
      <c r="C31" s="455"/>
      <c r="E31" s="498" t="s">
        <v>1163</v>
      </c>
      <c r="G31" s="441" t="s">
        <v>290</v>
      </c>
      <c r="I31" s="441"/>
      <c r="K31" s="441" t="s">
        <v>242</v>
      </c>
      <c r="L31" s="498" t="s">
        <v>1163</v>
      </c>
      <c r="M31" s="455"/>
      <c r="N31" s="441"/>
      <c r="P31" s="441"/>
      <c r="Q31" s="498"/>
    </row>
    <row r="32" spans="2:19">
      <c r="B32" s="499" t="s">
        <v>304</v>
      </c>
      <c r="C32" s="500"/>
      <c r="D32" s="185"/>
      <c r="E32" s="501" t="s">
        <v>1164</v>
      </c>
      <c r="G32" s="499" t="s">
        <v>304</v>
      </c>
      <c r="H32" s="185"/>
      <c r="I32" s="499"/>
      <c r="J32" s="185"/>
      <c r="K32" s="499" t="s">
        <v>242</v>
      </c>
      <c r="L32" s="501" t="s">
        <v>1164</v>
      </c>
      <c r="M32" s="455"/>
      <c r="N32" s="499"/>
      <c r="O32" s="185"/>
      <c r="P32" s="499"/>
      <c r="Q32" s="501"/>
    </row>
    <row r="33" spans="2:18">
      <c r="B33" s="438"/>
      <c r="C33" s="436"/>
      <c r="D33" s="441"/>
      <c r="E33" s="441"/>
      <c r="F33" s="441"/>
      <c r="G33" s="441"/>
      <c r="H33" s="441"/>
      <c r="I33" s="441"/>
      <c r="J33" s="441"/>
      <c r="K33" s="441"/>
      <c r="L33" s="441"/>
      <c r="M33" s="441"/>
      <c r="N33" s="441"/>
      <c r="O33" s="441"/>
      <c r="P33" s="441"/>
      <c r="Q33" s="441"/>
    </row>
    <row r="34" spans="2:18">
      <c r="B34" s="436" t="s">
        <v>1165</v>
      </c>
      <c r="C34" s="436"/>
      <c r="D34" s="441"/>
      <c r="E34" s="441"/>
      <c r="F34" s="441" t="s">
        <v>1166</v>
      </c>
      <c r="G34" s="441"/>
      <c r="H34" s="441"/>
      <c r="I34" s="441"/>
      <c r="J34" s="441"/>
      <c r="K34" s="441"/>
      <c r="L34" s="441"/>
      <c r="M34" s="441"/>
      <c r="N34" s="441"/>
      <c r="O34" s="441"/>
      <c r="P34" s="441"/>
      <c r="Q34" s="441"/>
    </row>
    <row r="35" spans="2:18">
      <c r="B35" s="438"/>
      <c r="C35" s="436"/>
      <c r="D35" s="441"/>
      <c r="E35" s="441"/>
      <c r="F35" s="441"/>
      <c r="G35" s="441"/>
      <c r="H35" s="441"/>
      <c r="J35" s="441"/>
      <c r="K35" s="441"/>
      <c r="M35" s="441"/>
      <c r="N35" s="441"/>
      <c r="O35" s="441"/>
      <c r="P35" s="441"/>
      <c r="Q35" s="441"/>
    </row>
    <row r="36" spans="2:18">
      <c r="C36" s="854" t="s">
        <v>1167</v>
      </c>
      <c r="D36" s="854"/>
      <c r="E36" s="854"/>
      <c r="F36" s="854"/>
      <c r="G36" s="854"/>
      <c r="H36" s="854"/>
      <c r="I36" s="858" t="s">
        <v>1168</v>
      </c>
      <c r="J36" s="859"/>
      <c r="K36" s="859"/>
      <c r="L36" s="859"/>
      <c r="M36" s="859"/>
      <c r="N36" s="859"/>
      <c r="O36" s="859"/>
      <c r="P36" s="860"/>
      <c r="Q36" s="441"/>
      <c r="R36" s="441"/>
    </row>
    <row r="37" spans="2:18" ht="35.25" customHeight="1">
      <c r="C37" s="480" t="s">
        <v>224</v>
      </c>
      <c r="D37" s="481" t="s">
        <v>1169</v>
      </c>
      <c r="E37" s="861" t="s">
        <v>1170</v>
      </c>
      <c r="F37" s="861"/>
      <c r="G37" s="861"/>
      <c r="H37" s="480" t="s">
        <v>233</v>
      </c>
      <c r="I37" s="479" t="s">
        <v>224</v>
      </c>
      <c r="J37" s="855" t="s">
        <v>1169</v>
      </c>
      <c r="K37" s="856"/>
      <c r="L37" s="857"/>
      <c r="M37" s="855" t="s">
        <v>1170</v>
      </c>
      <c r="N37" s="856"/>
      <c r="O37" s="857"/>
      <c r="P37" s="479" t="s">
        <v>233</v>
      </c>
      <c r="Q37" s="441"/>
      <c r="R37" s="441"/>
    </row>
    <row r="38" spans="2:18">
      <c r="C38" s="583">
        <v>3</v>
      </c>
      <c r="D38" s="583" t="s">
        <v>267</v>
      </c>
      <c r="E38" s="872" t="s">
        <v>268</v>
      </c>
      <c r="F38" s="873"/>
      <c r="G38" s="874"/>
      <c r="H38" s="584">
        <v>4</v>
      </c>
      <c r="I38" s="583">
        <v>3</v>
      </c>
      <c r="J38" s="862" t="s">
        <v>397</v>
      </c>
      <c r="K38" s="863"/>
      <c r="L38" s="864"/>
      <c r="M38" s="888" t="s">
        <v>268</v>
      </c>
      <c r="N38" s="889"/>
      <c r="O38" s="890"/>
      <c r="P38" s="584">
        <v>4</v>
      </c>
      <c r="Q38" s="441"/>
      <c r="R38" s="441"/>
    </row>
    <row r="39" spans="2:18">
      <c r="C39" s="583">
        <v>3</v>
      </c>
      <c r="D39" s="583" t="s">
        <v>269</v>
      </c>
      <c r="E39" s="872" t="s">
        <v>270</v>
      </c>
      <c r="F39" s="873"/>
      <c r="G39" s="874"/>
      <c r="H39" s="584">
        <v>4</v>
      </c>
      <c r="I39" s="583">
        <v>3</v>
      </c>
      <c r="J39" s="862" t="s">
        <v>398</v>
      </c>
      <c r="K39" s="863"/>
      <c r="L39" s="864"/>
      <c r="M39" s="888" t="s">
        <v>270</v>
      </c>
      <c r="N39" s="889"/>
      <c r="O39" s="890"/>
      <c r="P39" s="584">
        <v>4</v>
      </c>
      <c r="Q39" s="441"/>
      <c r="R39" s="441"/>
    </row>
    <row r="40" spans="2:18">
      <c r="C40" s="583">
        <v>4</v>
      </c>
      <c r="D40" s="583" t="s">
        <v>281</v>
      </c>
      <c r="E40" s="872" t="s">
        <v>282</v>
      </c>
      <c r="F40" s="873"/>
      <c r="G40" s="874"/>
      <c r="H40" s="584">
        <v>4</v>
      </c>
      <c r="I40" s="583">
        <v>4</v>
      </c>
      <c r="J40" s="862" t="s">
        <v>402</v>
      </c>
      <c r="K40" s="863"/>
      <c r="L40" s="864"/>
      <c r="M40" s="888" t="s">
        <v>282</v>
      </c>
      <c r="N40" s="889"/>
      <c r="O40" s="890"/>
      <c r="P40" s="584">
        <v>4</v>
      </c>
      <c r="Q40" s="441"/>
      <c r="R40" s="441"/>
    </row>
    <row r="41" spans="2:18">
      <c r="C41" s="583">
        <v>5</v>
      </c>
      <c r="D41" s="583" t="s">
        <v>289</v>
      </c>
      <c r="E41" s="872" t="s">
        <v>290</v>
      </c>
      <c r="F41" s="873"/>
      <c r="G41" s="874"/>
      <c r="H41" s="584">
        <v>4</v>
      </c>
      <c r="I41" s="583">
        <v>5</v>
      </c>
      <c r="J41" s="862" t="s">
        <v>405</v>
      </c>
      <c r="K41" s="863"/>
      <c r="L41" s="864"/>
      <c r="M41" s="888" t="s">
        <v>290</v>
      </c>
      <c r="N41" s="889"/>
      <c r="O41" s="890"/>
      <c r="P41" s="584">
        <v>4</v>
      </c>
      <c r="Q41" s="441"/>
      <c r="R41" s="441"/>
    </row>
    <row r="42" spans="2:18">
      <c r="B42" s="438"/>
      <c r="C42" s="583">
        <v>6</v>
      </c>
      <c r="D42" s="583" t="s">
        <v>303</v>
      </c>
      <c r="E42" s="872" t="s">
        <v>304</v>
      </c>
      <c r="F42" s="873"/>
      <c r="G42" s="874"/>
      <c r="H42" s="584">
        <v>4</v>
      </c>
      <c r="I42" s="583">
        <v>6</v>
      </c>
      <c r="J42" s="862" t="s">
        <v>413</v>
      </c>
      <c r="K42" s="863"/>
      <c r="L42" s="864"/>
      <c r="M42" s="888" t="s">
        <v>304</v>
      </c>
      <c r="N42" s="889"/>
      <c r="O42" s="890"/>
      <c r="P42" s="584">
        <v>4</v>
      </c>
      <c r="Q42" s="441"/>
    </row>
    <row r="43" spans="2:18">
      <c r="B43" s="438"/>
      <c r="C43" s="436"/>
      <c r="D43" s="441"/>
      <c r="E43" s="441"/>
      <c r="F43" s="441"/>
      <c r="G43" s="441"/>
      <c r="H43" s="441"/>
      <c r="I43" s="441"/>
      <c r="J43" s="441"/>
      <c r="K43" s="441"/>
      <c r="L43" s="441"/>
      <c r="M43" s="441"/>
      <c r="N43" s="441"/>
      <c r="O43" s="441"/>
      <c r="P43" s="441"/>
      <c r="Q43" s="441"/>
    </row>
    <row r="44" spans="2:18">
      <c r="B44" s="436" t="s">
        <v>1171</v>
      </c>
      <c r="E44" s="441"/>
      <c r="F44" s="441"/>
      <c r="G44" s="441"/>
      <c r="H44" s="441"/>
      <c r="I44" s="441"/>
      <c r="J44" s="441"/>
      <c r="K44" s="441"/>
      <c r="L44" s="441"/>
      <c r="M44" s="441"/>
      <c r="N44" s="441"/>
      <c r="O44" s="441"/>
      <c r="P44" s="441"/>
      <c r="Q44" s="441"/>
    </row>
    <row r="45" spans="2:18">
      <c r="B45" s="436"/>
      <c r="C45" s="458"/>
      <c r="D45" s="441"/>
      <c r="E45" s="441"/>
      <c r="F45" s="441"/>
      <c r="G45" s="441"/>
      <c r="H45" s="441"/>
      <c r="I45" s="441"/>
      <c r="J45" s="441"/>
      <c r="K45" s="441"/>
      <c r="L45" s="441"/>
      <c r="M45" s="441"/>
      <c r="N45" s="441"/>
      <c r="O45" s="441"/>
      <c r="P45" s="441"/>
      <c r="Q45" s="441"/>
    </row>
    <row r="46" spans="2:18">
      <c r="B46" s="878"/>
      <c r="C46" s="879"/>
      <c r="D46" s="879"/>
      <c r="E46" s="879"/>
      <c r="F46" s="879"/>
      <c r="G46" s="879"/>
      <c r="H46" s="879"/>
      <c r="I46" s="879"/>
      <c r="J46" s="879"/>
      <c r="K46" s="879"/>
      <c r="L46" s="879"/>
      <c r="M46" s="879"/>
      <c r="N46" s="879"/>
      <c r="O46" s="879"/>
      <c r="P46" s="879"/>
      <c r="Q46" s="880"/>
    </row>
    <row r="47" spans="2:18" ht="16.5" customHeight="1">
      <c r="B47" s="478"/>
      <c r="C47" s="478"/>
      <c r="D47" s="478"/>
      <c r="E47" s="478"/>
      <c r="F47" s="478"/>
      <c r="G47" s="478"/>
      <c r="H47" s="478"/>
      <c r="I47" s="478"/>
      <c r="J47" s="478"/>
      <c r="K47" s="478"/>
      <c r="L47" s="478"/>
      <c r="M47" s="478"/>
      <c r="N47" s="478"/>
      <c r="O47" s="478"/>
      <c r="P47" s="478"/>
      <c r="Q47" s="478"/>
    </row>
    <row r="48" spans="2:18">
      <c r="B48" s="436" t="s">
        <v>1172</v>
      </c>
      <c r="C48" s="441"/>
      <c r="D48" s="441"/>
      <c r="E48" s="441"/>
      <c r="F48" s="441"/>
      <c r="G48" s="441"/>
      <c r="H48" s="441"/>
      <c r="I48" s="441"/>
      <c r="J48" s="441"/>
      <c r="K48" s="441"/>
      <c r="L48" s="441"/>
      <c r="M48" s="441"/>
      <c r="N48" s="441"/>
      <c r="O48" s="441"/>
      <c r="P48" s="441"/>
      <c r="Q48" s="441"/>
    </row>
    <row r="49" spans="2:17">
      <c r="B49" s="438"/>
      <c r="C49" s="436"/>
      <c r="D49" s="458"/>
      <c r="E49" s="441"/>
      <c r="F49" s="441"/>
      <c r="G49" s="441"/>
      <c r="H49" s="441"/>
      <c r="I49" s="441"/>
      <c r="J49" s="441"/>
      <c r="K49" s="441"/>
      <c r="L49" s="441"/>
      <c r="M49" s="441"/>
      <c r="N49" s="441"/>
      <c r="O49" s="441"/>
      <c r="P49" s="441"/>
      <c r="Q49" s="441"/>
    </row>
    <row r="50" spans="2:17">
      <c r="B50" s="881" t="s">
        <v>1173</v>
      </c>
      <c r="C50" s="882"/>
      <c r="D50" s="882"/>
      <c r="E50" s="882"/>
      <c r="F50" s="882"/>
      <c r="G50" s="882"/>
      <c r="H50" s="882"/>
      <c r="I50" s="882"/>
      <c r="J50" s="882"/>
      <c r="K50" s="882"/>
      <c r="L50" s="882"/>
      <c r="M50" s="882"/>
      <c r="N50" s="882"/>
      <c r="O50" s="882"/>
      <c r="P50" s="882"/>
      <c r="Q50" s="883"/>
    </row>
    <row r="52" spans="2:17">
      <c r="B52" s="438"/>
      <c r="C52" s="436"/>
      <c r="D52" s="441"/>
      <c r="E52" s="441"/>
      <c r="F52" s="441"/>
      <c r="G52" s="441"/>
      <c r="H52" s="441"/>
      <c r="I52" s="441"/>
      <c r="J52" s="441"/>
      <c r="K52" s="441"/>
      <c r="L52" s="441"/>
      <c r="M52" s="441"/>
      <c r="N52" s="441"/>
      <c r="O52" s="441"/>
      <c r="P52" s="441"/>
      <c r="Q52" s="441"/>
    </row>
    <row r="53" spans="2:17">
      <c r="B53" s="875" t="s">
        <v>1174</v>
      </c>
      <c r="C53" s="876"/>
      <c r="D53" s="877"/>
      <c r="E53" s="869" t="s">
        <v>1175</v>
      </c>
      <c r="F53" s="869"/>
      <c r="G53" s="869" t="s">
        <v>1176</v>
      </c>
      <c r="H53" s="869"/>
      <c r="I53" s="869"/>
      <c r="J53" s="869"/>
      <c r="K53" s="869"/>
      <c r="L53" s="869" t="s">
        <v>1177</v>
      </c>
      <c r="M53" s="869"/>
      <c r="N53" s="869"/>
      <c r="O53" s="869" t="s">
        <v>1178</v>
      </c>
      <c r="P53" s="869"/>
      <c r="Q53" s="869"/>
    </row>
    <row r="54" spans="2:17" ht="99.75" customHeight="1">
      <c r="B54" s="476"/>
      <c r="C54" s="453"/>
      <c r="D54" s="453"/>
      <c r="E54" s="871"/>
      <c r="F54" s="871"/>
      <c r="G54" s="885"/>
      <c r="H54" s="886"/>
      <c r="I54" s="886"/>
      <c r="J54" s="886"/>
      <c r="K54" s="887"/>
      <c r="L54" s="870"/>
      <c r="M54" s="871"/>
      <c r="N54" s="871"/>
      <c r="O54" s="871"/>
      <c r="P54" s="871"/>
      <c r="Q54" s="871"/>
    </row>
    <row r="55" spans="2:17">
      <c r="B55" s="865" t="s">
        <v>1179</v>
      </c>
      <c r="C55" s="865"/>
      <c r="D55" s="865"/>
      <c r="E55" s="865" t="s">
        <v>1180</v>
      </c>
      <c r="F55" s="865"/>
      <c r="G55" s="497" t="s">
        <v>1181</v>
      </c>
      <c r="H55" s="200"/>
      <c r="I55" s="497"/>
      <c r="J55" s="497"/>
      <c r="K55" s="486"/>
      <c r="L55" s="866" t="s">
        <v>1182</v>
      </c>
      <c r="M55" s="867"/>
      <c r="N55" s="868"/>
      <c r="O55" s="865" t="s">
        <v>1183</v>
      </c>
      <c r="P55" s="865"/>
      <c r="Q55" s="865"/>
    </row>
    <row r="56" spans="2:17">
      <c r="B56" s="866" t="s">
        <v>1184</v>
      </c>
      <c r="C56" s="867"/>
      <c r="D56" s="868"/>
      <c r="E56" s="865" t="s">
        <v>1184</v>
      </c>
      <c r="F56" s="865"/>
      <c r="G56" s="884" t="s">
        <v>1184</v>
      </c>
      <c r="H56" s="884"/>
      <c r="I56" s="884"/>
      <c r="J56" s="884"/>
      <c r="K56" s="884"/>
      <c r="L56" s="866" t="s">
        <v>1184</v>
      </c>
      <c r="M56" s="867"/>
      <c r="N56" s="868"/>
      <c r="O56" s="865" t="s">
        <v>1184</v>
      </c>
      <c r="P56" s="865"/>
      <c r="Q56" s="865"/>
    </row>
    <row r="57" spans="2:17">
      <c r="B57" s="438"/>
      <c r="C57" s="436"/>
      <c r="D57" s="441"/>
      <c r="E57" s="441"/>
      <c r="F57" s="441"/>
      <c r="G57" s="441"/>
      <c r="H57" s="441"/>
      <c r="I57" s="441"/>
      <c r="J57" s="441"/>
      <c r="K57" s="441"/>
      <c r="L57" s="441"/>
      <c r="M57" s="441"/>
      <c r="N57" s="441"/>
      <c r="O57" s="441"/>
      <c r="P57" s="441"/>
      <c r="Q57" s="441"/>
    </row>
    <row r="58" spans="2:17">
      <c r="B58" s="438"/>
      <c r="C58" s="436"/>
      <c r="D58" s="441"/>
      <c r="E58" s="441"/>
      <c r="F58" s="441"/>
      <c r="G58" s="441"/>
      <c r="H58" s="441"/>
      <c r="I58" s="441"/>
      <c r="J58" s="441"/>
      <c r="K58" s="441"/>
      <c r="L58" s="441"/>
      <c r="M58" s="441"/>
      <c r="N58" s="441"/>
      <c r="O58" s="441"/>
      <c r="P58" s="441"/>
      <c r="Q58" s="441"/>
    </row>
    <row r="59" spans="2:17">
      <c r="B59" s="438"/>
      <c r="C59" s="436"/>
      <c r="D59" s="441"/>
      <c r="E59" s="441"/>
      <c r="F59" s="441"/>
      <c r="G59" s="441"/>
      <c r="H59" s="441"/>
      <c r="I59" s="441"/>
      <c r="J59" s="441"/>
      <c r="K59" s="441"/>
      <c r="L59" s="441"/>
      <c r="M59" s="441"/>
      <c r="N59" s="441"/>
      <c r="O59" s="441"/>
      <c r="P59" s="441"/>
      <c r="Q59" s="441"/>
    </row>
    <row r="60" spans="2:17">
      <c r="B60" s="438"/>
      <c r="C60" s="436"/>
      <c r="D60" s="441"/>
      <c r="E60" s="441"/>
      <c r="F60" s="441"/>
      <c r="G60" s="441"/>
      <c r="H60" s="441"/>
      <c r="I60" s="441"/>
      <c r="J60" s="441"/>
      <c r="K60" s="441"/>
      <c r="L60" s="441"/>
      <c r="M60" s="441"/>
      <c r="N60" s="441"/>
      <c r="O60" s="441"/>
      <c r="P60" s="441"/>
      <c r="Q60" s="441"/>
    </row>
    <row r="61" spans="2:17">
      <c r="B61" s="438"/>
      <c r="C61" s="436"/>
      <c r="D61" s="441"/>
      <c r="E61" s="441"/>
      <c r="F61" s="441"/>
      <c r="G61" s="441"/>
      <c r="H61" s="441"/>
      <c r="I61" s="441"/>
      <c r="J61" s="441"/>
      <c r="K61" s="441"/>
      <c r="L61" s="441"/>
      <c r="M61" s="441"/>
      <c r="N61" s="441"/>
      <c r="O61" s="441"/>
      <c r="P61" s="441"/>
      <c r="Q61" s="441"/>
    </row>
    <row r="62" spans="2:17">
      <c r="B62" s="438"/>
      <c r="C62" s="436"/>
      <c r="D62" s="441"/>
      <c r="E62" s="441"/>
      <c r="F62" s="441"/>
      <c r="G62" s="441"/>
      <c r="H62" s="441"/>
      <c r="I62" s="441"/>
      <c r="J62" s="441"/>
      <c r="K62" s="441"/>
      <c r="L62" s="441"/>
      <c r="M62" s="441"/>
      <c r="N62" s="441"/>
      <c r="O62" s="441"/>
      <c r="P62" s="441"/>
      <c r="Q62" s="441"/>
    </row>
    <row r="63" spans="2:17">
      <c r="B63" s="438"/>
      <c r="C63" s="436"/>
      <c r="D63" s="441"/>
      <c r="E63" s="441"/>
      <c r="F63" s="441"/>
      <c r="G63" s="441"/>
      <c r="H63" s="441"/>
      <c r="I63" s="441"/>
      <c r="J63" s="441"/>
      <c r="K63" s="441"/>
      <c r="L63" s="441"/>
      <c r="M63" s="441"/>
      <c r="N63" s="441"/>
      <c r="O63" s="441"/>
      <c r="P63" s="441"/>
      <c r="Q63" s="441"/>
    </row>
  </sheetData>
  <mergeCells count="50">
    <mergeCell ref="M38:O38"/>
    <mergeCell ref="M39:O39"/>
    <mergeCell ref="M40:O40"/>
    <mergeCell ref="M41:O41"/>
    <mergeCell ref="M42:O42"/>
    <mergeCell ref="J40:L40"/>
    <mergeCell ref="J41:L41"/>
    <mergeCell ref="J42:L42"/>
    <mergeCell ref="E56:F56"/>
    <mergeCell ref="B53:D53"/>
    <mergeCell ref="B46:Q46"/>
    <mergeCell ref="B50:Q50"/>
    <mergeCell ref="G56:K56"/>
    <mergeCell ref="G53:K53"/>
    <mergeCell ref="G54:K54"/>
    <mergeCell ref="O53:Q53"/>
    <mergeCell ref="O54:Q54"/>
    <mergeCell ref="O55:Q55"/>
    <mergeCell ref="O56:Q56"/>
    <mergeCell ref="J38:L38"/>
    <mergeCell ref="J39:L39"/>
    <mergeCell ref="B55:D55"/>
    <mergeCell ref="B56:D56"/>
    <mergeCell ref="E53:F53"/>
    <mergeCell ref="L53:N53"/>
    <mergeCell ref="L54:N54"/>
    <mergeCell ref="L55:N55"/>
    <mergeCell ref="L56:N56"/>
    <mergeCell ref="E54:F54"/>
    <mergeCell ref="E55:F55"/>
    <mergeCell ref="E38:G38"/>
    <mergeCell ref="E39:G39"/>
    <mergeCell ref="E40:G40"/>
    <mergeCell ref="E41:G41"/>
    <mergeCell ref="E42:G42"/>
    <mergeCell ref="C36:H36"/>
    <mergeCell ref="J37:L37"/>
    <mergeCell ref="I36:P36"/>
    <mergeCell ref="M37:O37"/>
    <mergeCell ref="E37:G37"/>
    <mergeCell ref="B2:Q2"/>
    <mergeCell ref="N8:O8"/>
    <mergeCell ref="E4:H4"/>
    <mergeCell ref="E6:H6"/>
    <mergeCell ref="B27:D27"/>
    <mergeCell ref="O4:Q4"/>
    <mergeCell ref="O6:Q6"/>
    <mergeCell ref="I6:N6"/>
    <mergeCell ref="I4:K4"/>
    <mergeCell ref="L4:M4"/>
  </mergeCells>
  <conditionalFormatting sqref="B4:B6 O5:Q5 L7:Q8 O16:O18 B17:C19 P18:S19 P24:P25 D35:H35 C36 Q36:R36 T36:T41 P37:R37 D37:E42 M37:M42 C38:C41 B42:C42 Q42 S42:S43 R44:R45 B44:B47 S49 S52:S63 E53 G53 L53 E55:E56 L55:L56 O55:O56 J10:N11 G55:G56 D33:N34 O33:Q35 M35:N35 H37:H42 J37:K42 B43:I43 E44:I44 C45:I45 J43:Q45 O48:R48 B48:N49 O49:Q49 O57:Q63 O64:S1048576 B57:N1048576 M12:N24 J12:K17 I36 J35:K35 O53 B52:Q52 J20:K24 J18:J19 L4 I4 G25 G10:H22 B10:B21 B24:C26 E21:F22 H23 E24:H24 S26:S35 B27 G27:G32 K27:N32 B28:C35 E28:E32 I27:I32 P27:Q32 I38:I42 Q38:R41 P38:P42">
    <cfRule type="containsText" dxfId="12" priority="25" operator="containsText" text="Revisar cambios">
      <formula>NOT(ISERROR(SEARCH("Revisar cambios",B4)))</formula>
    </cfRule>
  </conditionalFormatting>
  <conditionalFormatting sqref="B53:B55">
    <cfRule type="containsText" dxfId="11" priority="10" operator="containsText" text="Revisar cambios">
      <formula>NOT(ISERROR(SEARCH("Revisar cambios",B53)))</formula>
    </cfRule>
  </conditionalFormatting>
  <conditionalFormatting sqref="E4:E6">
    <cfRule type="cellIs" dxfId="10" priority="13" operator="equal">
      <formula>0</formula>
    </cfRule>
  </conditionalFormatting>
  <conditionalFormatting sqref="E27">
    <cfRule type="containsText" dxfId="9" priority="22" operator="containsText" text="Revisar cambios">
      <formula>NOT(ISERROR(SEARCH("Revisar cambios",E27)))</formula>
    </cfRule>
  </conditionalFormatting>
  <conditionalFormatting sqref="D4:E6 B7:G7 H7:K9 B8 D8:G8 B9:G9 E10:E18 F10:F19 I10:I19 C16 I21:I23">
    <cfRule type="containsText" dxfId="8" priority="20" operator="containsText" text="Revisar cambios">
      <formula>NOT(ISERROR(SEARCH("Revisar cambios",B4)))</formula>
    </cfRule>
  </conditionalFormatting>
  <conditionalFormatting sqref="H12:H24">
    <cfRule type="containsText" dxfId="7" priority="14" operator="containsText" text="Sí">
      <formula>NOT(ISERROR(SEARCH("Sí",H12)))</formula>
    </cfRule>
  </conditionalFormatting>
  <conditionalFormatting sqref="N4:O4 I5:K5 M5 I6 L9:P9">
    <cfRule type="containsText" dxfId="6" priority="5" operator="containsText" text="Revisar cambios">
      <formula>NOT(ISERROR(SEARCH("Revisar cambios",I4)))</formula>
    </cfRule>
  </conditionalFormatting>
  <conditionalFormatting sqref="J12:J24">
    <cfRule type="iconSet" priority="4924">
      <iconSet iconSet="4RedToBlack">
        <cfvo type="percent" val="0"/>
        <cfvo type="percent" val="25"/>
        <cfvo type="percent" val="50"/>
        <cfvo type="percent" val="75"/>
      </iconSet>
    </cfRule>
    <cfRule type="iconSet" priority="4925">
      <iconSet iconSet="4TrafficLights">
        <cfvo type="percent" val="0"/>
        <cfvo type="percent" val="25"/>
        <cfvo type="percent" val="50"/>
        <cfvo type="percent" val="75"/>
      </iconSet>
    </cfRule>
    <cfRule type="iconSet" priority="4926">
      <iconSet iconSet="3TrafficLights2">
        <cfvo type="percent" val="0"/>
        <cfvo type="percent" val="33"/>
        <cfvo type="percent" val="67"/>
      </iconSet>
    </cfRule>
  </conditionalFormatting>
  <conditionalFormatting sqref="K18:K19">
    <cfRule type="containsText" dxfId="5" priority="4" operator="containsText" text="Revisar cambios">
      <formula>NOT(ISERROR(SEARCH("Revisar cambios",K18)))</formula>
    </cfRule>
  </conditionalFormatting>
  <conditionalFormatting sqref="B22:B23 C22">
    <cfRule type="containsText" dxfId="4" priority="3" operator="containsText" text="Revisar cambios">
      <formula>NOT(ISERROR(SEARCH("Revisar cambios",B22)))</formula>
    </cfRule>
  </conditionalFormatting>
  <conditionalFormatting sqref="B50">
    <cfRule type="containsText" dxfId="3" priority="2" operator="containsText" text="Revisar cambios">
      <formula>NOT(ISERROR(SEARCH("Revisar cambios",B50)))</formula>
    </cfRule>
  </conditionalFormatting>
  <conditionalFormatting sqref="B56">
    <cfRule type="containsText" dxfId="2" priority="1" operator="containsText" text="Revisar cambios">
      <formula>NOT(ISERROR(SEARCH("Revisar cambios",B56)))</formula>
    </cfRule>
  </conditionalFormatting>
  <dataValidations count="1">
    <dataValidation allowBlank="1" showInputMessage="1" showErrorMessage="1" promptTitle="Sigla de la malla" prompt="Colocar Sigla de la malla donde se aplicará, caso contrario indicar que es malla nueva" sqref="I6" xr:uid="{07F0CD4E-B896-4F94-852C-E96164B3AE18}"/>
  </dataValidations>
  <printOptions horizontalCentered="1"/>
  <pageMargins left="0.70866141732283472" right="0.70866141732283472" top="0.59055118110236227" bottom="0.59055118110236227" header="0.31496062992125984" footer="0.31496062992125984"/>
  <pageSetup paperSize="9" scale="77"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1B995-8DF0-41B0-86FA-F85881B45138}">
  <sheetPr codeName="Hoja1">
    <pageSetUpPr fitToPage="1"/>
  </sheetPr>
  <dimension ref="A1:R22"/>
  <sheetViews>
    <sheetView showGridLines="0" zoomScale="95" zoomScaleNormal="95" workbookViewId="0">
      <selection activeCell="A22" sqref="A22"/>
    </sheetView>
  </sheetViews>
  <sheetFormatPr defaultColWidth="11.42578125" defaultRowHeight="15"/>
  <cols>
    <col min="1" max="4" width="11.42578125" style="82"/>
    <col min="5" max="5" width="1.85546875" style="82" customWidth="1"/>
    <col min="6" max="11" width="11.42578125" style="82"/>
    <col min="12" max="12" width="3.140625" style="82" customWidth="1"/>
    <col min="13" max="16384" width="11.42578125" style="82"/>
  </cols>
  <sheetData>
    <row r="1" spans="1:18" ht="19.5">
      <c r="A1" s="892" t="str">
        <f>IF('1.Fundamentos'!F6="","",'1.Fundamentos'!F6)</f>
        <v>EDUCACIÓN SECUNDARIA CON ESPECIALIDAD EN INGLÉS</v>
      </c>
      <c r="B1" s="892"/>
      <c r="C1" s="892"/>
      <c r="D1" s="892"/>
      <c r="E1" s="892"/>
      <c r="F1" s="892"/>
      <c r="G1" s="892"/>
      <c r="H1" s="892"/>
      <c r="I1" s="892"/>
      <c r="J1" s="892"/>
      <c r="K1" s="892"/>
      <c r="L1" s="892"/>
      <c r="M1" s="892"/>
      <c r="N1" s="892"/>
      <c r="O1" s="892"/>
      <c r="P1" s="892"/>
      <c r="Q1" s="892"/>
      <c r="R1" s="892"/>
    </row>
    <row r="2" spans="1:18" ht="19.5">
      <c r="A2" s="892" t="str">
        <f>IF(ISERROR(CONCATENATE("MODALIDAD: ",'3.Plan de Estudios'!P4)),"",CONCATENATE("MODALIDAD: ",'3.Plan de Estudios'!P4))</f>
        <v>MODALIDAD: PRESENCIAL</v>
      </c>
      <c r="B2" s="892"/>
      <c r="C2" s="892"/>
      <c r="D2" s="892"/>
      <c r="E2" s="892"/>
      <c r="F2" s="892"/>
      <c r="G2" s="892"/>
      <c r="H2" s="892"/>
      <c r="I2" s="892"/>
      <c r="J2" s="892"/>
      <c r="K2" s="892"/>
      <c r="L2" s="892"/>
      <c r="M2" s="892"/>
      <c r="N2" s="892"/>
      <c r="O2" s="892"/>
      <c r="P2" s="892"/>
      <c r="Q2" s="892"/>
      <c r="R2" s="892"/>
    </row>
    <row r="3" spans="1:18">
      <c r="A3" s="84"/>
      <c r="B3" s="84"/>
      <c r="C3" s="84"/>
      <c r="D3" s="84"/>
      <c r="E3" s="84"/>
      <c r="F3" s="84"/>
      <c r="G3" s="84"/>
      <c r="H3" s="84"/>
      <c r="I3" s="84"/>
      <c r="J3" s="84"/>
      <c r="K3" s="84"/>
      <c r="L3" s="84"/>
      <c r="M3" s="84"/>
      <c r="N3" s="84"/>
      <c r="O3" s="84"/>
    </row>
    <row r="4" spans="1:18">
      <c r="A4" s="894" t="s">
        <v>1185</v>
      </c>
      <c r="B4" s="894"/>
      <c r="C4" s="894"/>
      <c r="D4" s="894"/>
      <c r="E4" s="85"/>
      <c r="F4" s="894" t="s">
        <v>1186</v>
      </c>
      <c r="G4" s="894"/>
      <c r="H4" s="894"/>
      <c r="I4" s="894"/>
      <c r="J4" s="894"/>
      <c r="K4" s="894"/>
      <c r="M4" s="894" t="s">
        <v>1187</v>
      </c>
      <c r="N4" s="894"/>
      <c r="O4" s="894"/>
      <c r="P4" s="894"/>
      <c r="Q4" s="894"/>
      <c r="R4" s="894"/>
    </row>
    <row r="5" spans="1:18">
      <c r="F5" s="894" t="str">
        <f>(DATOS!AU17+DATOS!AV17) &amp; " Créditos Totales"</f>
        <v>200 Créditos Totales</v>
      </c>
      <c r="G5" s="894"/>
      <c r="H5" s="894"/>
      <c r="I5" s="894"/>
      <c r="J5" s="894"/>
      <c r="K5" s="894"/>
      <c r="M5" s="894" t="str">
        <f>(DATOS!AU17+DATOS!AV17) &amp; " Créditos Totales"</f>
        <v>200 Créditos Totales</v>
      </c>
      <c r="N5" s="894"/>
      <c r="O5" s="894"/>
      <c r="P5" s="894"/>
      <c r="Q5" s="894"/>
      <c r="R5" s="894"/>
    </row>
    <row r="16" spans="1:18" ht="9" customHeight="1"/>
    <row r="17" spans="1:18">
      <c r="B17" s="893" t="str">
        <f>ROUND(('3.Plan de Estudios'!$P$13*100),1) &amp; "% de Virtualidad"</f>
        <v>0% de Virtualidad</v>
      </c>
      <c r="C17" s="893"/>
    </row>
    <row r="18" spans="1:18">
      <c r="B18" s="893"/>
      <c r="C18" s="893"/>
    </row>
    <row r="19" spans="1:18">
      <c r="B19" s="893"/>
      <c r="C19" s="893"/>
    </row>
    <row r="20" spans="1:18">
      <c r="B20" s="893"/>
      <c r="C20" s="893"/>
    </row>
    <row r="22" spans="1:18" ht="15.75">
      <c r="A22" s="891" t="s">
        <v>1188</v>
      </c>
      <c r="B22" s="891"/>
      <c r="C22" s="891"/>
      <c r="D22" s="891"/>
      <c r="E22" s="891"/>
      <c r="F22" s="891"/>
      <c r="G22" s="891"/>
      <c r="H22" s="891"/>
      <c r="I22" s="891"/>
      <c r="J22" s="891"/>
      <c r="K22" s="891"/>
      <c r="L22" s="891"/>
      <c r="M22" s="891"/>
      <c r="N22" s="891"/>
      <c r="O22" s="891"/>
      <c r="P22" s="891"/>
      <c r="Q22" s="891"/>
      <c r="R22" s="891"/>
    </row>
  </sheetData>
  <mergeCells count="9">
    <mergeCell ref="A22:R22"/>
    <mergeCell ref="A1:R1"/>
    <mergeCell ref="A2:R2"/>
    <mergeCell ref="B17:C20"/>
    <mergeCell ref="A4:D4"/>
    <mergeCell ref="F4:K4"/>
    <mergeCell ref="F5:K5"/>
    <mergeCell ref="M4:R4"/>
    <mergeCell ref="M5:R5"/>
  </mergeCells>
  <pageMargins left="0.70866141732283472" right="0.70866141732283472" top="0.74803149606299213" bottom="0.74803149606299213" header="0.31496062992125984" footer="0.31496062992125984"/>
  <pageSetup paperSize="9" scale="71" orientation="landscape" horizontalDpi="300" verticalDpi="3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7FD4E-D698-40BC-96A8-4C09BDCEC5E0}">
  <sheetPr codeName="Hoja13"/>
  <dimension ref="A1:U571"/>
  <sheetViews>
    <sheetView showGridLines="0" zoomScale="130" zoomScaleNormal="130" workbookViewId="0">
      <selection activeCell="G7" sqref="G7"/>
    </sheetView>
  </sheetViews>
  <sheetFormatPr defaultColWidth="9.140625" defaultRowHeight="15"/>
  <cols>
    <col min="1" max="1" width="6.7109375" bestFit="1" customWidth="1"/>
    <col min="2" max="2" width="16.85546875" customWidth="1"/>
    <col min="3" max="3" width="20" bestFit="1" customWidth="1"/>
    <col min="4" max="4" width="19.28515625" customWidth="1"/>
    <col min="5" max="10" width="11.5703125" customWidth="1"/>
    <col min="11" max="11" width="9.5703125" hidden="1" customWidth="1"/>
    <col min="12" max="12" width="70.42578125" hidden="1" customWidth="1"/>
    <col min="13" max="13" width="48.5703125" style="4" customWidth="1"/>
    <col min="14" max="14" width="70.42578125" style="4" customWidth="1"/>
    <col min="15" max="15" width="70.42578125" hidden="1" customWidth="1"/>
    <col min="16" max="18" width="70.42578125" style="4" customWidth="1"/>
    <col min="19" max="19" width="70.42578125" style="68" customWidth="1"/>
  </cols>
  <sheetData>
    <row r="1" spans="1:21" s="8" customFormat="1">
      <c r="A1" s="835" t="str">
        <f>CONCATENATE("MATRIZ DE JUSTIFICACIÓN:", '1.Fundamentos'!F6)</f>
        <v>MATRIZ DE JUSTIFICACIÓN:EDUCACIÓN SECUNDARIA CON ESPECIALIDAD EN INGLÉS</v>
      </c>
      <c r="B1" s="835"/>
      <c r="C1" s="835"/>
      <c r="D1" s="835"/>
      <c r="E1" s="835"/>
      <c r="F1" s="835"/>
      <c r="G1" s="835"/>
      <c r="H1" s="835"/>
      <c r="I1" s="835"/>
      <c r="J1" s="835"/>
      <c r="K1" s="835"/>
      <c r="L1" s="835"/>
      <c r="M1" s="835"/>
      <c r="N1" s="835"/>
      <c r="O1" s="835"/>
      <c r="P1" s="835"/>
      <c r="Q1" s="835"/>
      <c r="R1" s="835"/>
      <c r="S1" s="835"/>
    </row>
    <row r="2" spans="1:21" s="8" customFormat="1">
      <c r="A2" s="835"/>
      <c r="B2" s="835"/>
      <c r="C2" s="835"/>
      <c r="D2" s="835"/>
      <c r="E2" s="835"/>
      <c r="F2" s="835"/>
      <c r="G2" s="835"/>
      <c r="H2" s="835"/>
      <c r="I2" s="835"/>
      <c r="J2" s="835"/>
      <c r="K2" s="835"/>
      <c r="L2" s="835"/>
      <c r="M2" s="835"/>
      <c r="N2" s="835"/>
      <c r="O2" s="835"/>
      <c r="P2" s="835"/>
      <c r="Q2" s="835"/>
      <c r="R2" s="835"/>
      <c r="S2" s="835"/>
    </row>
    <row r="3" spans="1:21" s="8" customFormat="1">
      <c r="A3" s="835"/>
      <c r="B3" s="835"/>
      <c r="C3" s="835"/>
      <c r="D3" s="835"/>
      <c r="E3" s="835"/>
      <c r="F3" s="835"/>
      <c r="G3" s="835"/>
      <c r="H3" s="835"/>
      <c r="I3" s="835"/>
      <c r="J3" s="835"/>
      <c r="K3" s="835"/>
      <c r="L3" s="835"/>
      <c r="M3" s="835"/>
      <c r="N3" s="835"/>
      <c r="O3" s="835"/>
      <c r="P3" s="835"/>
      <c r="Q3" s="835"/>
      <c r="R3" s="835"/>
      <c r="S3" s="835"/>
    </row>
    <row r="4" spans="1:21" s="8" customFormat="1" ht="36">
      <c r="A4" s="317" t="s">
        <v>1189</v>
      </c>
      <c r="B4" s="316"/>
      <c r="C4" s="316"/>
      <c r="D4" s="316"/>
      <c r="E4" s="316"/>
      <c r="F4" s="316"/>
      <c r="G4" s="316"/>
      <c r="H4" s="316"/>
      <c r="I4" s="316"/>
      <c r="J4" s="316"/>
      <c r="K4" s="316"/>
      <c r="L4" s="316"/>
      <c r="M4" s="316"/>
      <c r="N4" s="316"/>
      <c r="O4" s="316"/>
      <c r="P4" s="316"/>
      <c r="Q4" s="316"/>
      <c r="R4" s="316"/>
      <c r="S4" s="316"/>
    </row>
    <row r="5" spans="1:21" s="68" customFormat="1" ht="27.75" customHeight="1">
      <c r="A5" s="896" t="s">
        <v>224</v>
      </c>
      <c r="B5" s="897" t="s">
        <v>1107</v>
      </c>
      <c r="C5" s="897" t="s">
        <v>227</v>
      </c>
      <c r="D5" s="897" t="s">
        <v>1108</v>
      </c>
      <c r="E5" s="898" t="s">
        <v>366</v>
      </c>
      <c r="F5" s="898"/>
      <c r="G5" s="898" t="s">
        <v>367</v>
      </c>
      <c r="H5" s="898"/>
      <c r="I5" s="899" t="s">
        <v>1109</v>
      </c>
      <c r="J5" s="899"/>
      <c r="K5" s="897" t="s">
        <v>233</v>
      </c>
      <c r="L5" s="900" t="s">
        <v>1024</v>
      </c>
      <c r="M5" s="900" t="s">
        <v>1110</v>
      </c>
      <c r="N5" s="901" t="s">
        <v>1111</v>
      </c>
      <c r="O5" s="895" t="s">
        <v>456</v>
      </c>
      <c r="P5" s="895" t="s">
        <v>1119</v>
      </c>
      <c r="Q5" s="895" t="s">
        <v>1113</v>
      </c>
      <c r="R5" s="895" t="s">
        <v>1114</v>
      </c>
      <c r="S5" s="895" t="s">
        <v>1115</v>
      </c>
    </row>
    <row r="6" spans="1:21" s="68" customFormat="1" ht="27.75" customHeight="1">
      <c r="A6" s="896"/>
      <c r="B6" s="897"/>
      <c r="C6" s="897"/>
      <c r="D6" s="897"/>
      <c r="E6" s="289" t="s">
        <v>243</v>
      </c>
      <c r="F6" s="295" t="s">
        <v>365</v>
      </c>
      <c r="G6" s="289" t="s">
        <v>243</v>
      </c>
      <c r="H6" s="290" t="s">
        <v>365</v>
      </c>
      <c r="I6" s="337" t="s">
        <v>243</v>
      </c>
      <c r="J6" s="338" t="s">
        <v>365</v>
      </c>
      <c r="K6" s="897"/>
      <c r="L6" s="900"/>
      <c r="M6" s="900"/>
      <c r="N6" s="901"/>
      <c r="O6" s="895"/>
      <c r="P6" s="895"/>
      <c r="Q6" s="895"/>
      <c r="R6" s="895"/>
      <c r="S6" s="895"/>
    </row>
    <row r="7" spans="1:21" ht="84">
      <c r="A7" s="292">
        <f>IF('3.Plan de Estudios'!B19="","",'3.Plan de Estudios'!B19)</f>
        <v>1</v>
      </c>
      <c r="B7" s="292" t="str">
        <f>IF('3.Plan de Estudios'!C19="","",'3.Plan de Estudios'!C19)</f>
        <v>GES51001</v>
      </c>
      <c r="C7" s="292" t="str">
        <f>IF('3.Plan de Estudios'!E19="","",'3.Plan de Estudios'!E19)</f>
        <v>ADMINISTRACIÓN PARA LOS NEGOCIOS</v>
      </c>
      <c r="D7" s="293" t="str">
        <f>'3.Plan de Estudios'!I19</f>
        <v>Presencial</v>
      </c>
      <c r="E7" s="293">
        <f>IF('3.Plan de Estudios'!J19=0,"-",'3.Plan de Estudios'!J19)</f>
        <v>64</v>
      </c>
      <c r="F7" s="319" t="str">
        <f>IF('3.Plan de Estudios'!K19=0,"-",'3.Plan de Estudios'!K19)</f>
        <v>-</v>
      </c>
      <c r="G7" s="319" t="str">
        <f>IF('3.Plan de Estudios'!L19=0,"-",'3.Plan de Estudios'!L19)</f>
        <v>-</v>
      </c>
      <c r="H7" s="319" t="str">
        <f>IF('3.Plan de Estudios'!M19=0,"-",'3.Plan de Estudios'!M19)</f>
        <v>-</v>
      </c>
      <c r="I7" s="319" t="str">
        <f>IF('3.Plan de Estudios'!N19=0,"-",'3.Plan de Estudios'!N19)</f>
        <v>-</v>
      </c>
      <c r="J7" s="320" t="str">
        <f>IF('3.Plan de Estudios'!O19=0,"-",'3.Plan de Estudios'!O19)</f>
        <v>-</v>
      </c>
      <c r="K7" s="321">
        <f>IF('3.Plan de Estudios'!P19=0,"-",'3.Plan de Estudios'!P19)</f>
        <v>4</v>
      </c>
      <c r="L7" s="294" t="str">
        <f>IF('7.Sumillas'!G8=0,"",'7.Sumillas'!G8)</f>
        <v>Administración para los Negocios es un curso específico, es de naturaleza teórico, contribuye al desarrollo de la competencia general de gestión de recursos mediante la elaboración de un plan de negocios. Comprende el desarrollo de los siguientes ejes temáticos: Conceptos fundamentales de negocio, el proceso administrativo, la estructuración de un plan de negocio y su vinculación con las diferentes áreas de una organización. El producto acreditable de la asignatura es el plan de negocio.</v>
      </c>
      <c r="M7" s="298"/>
      <c r="N7" s="298"/>
      <c r="O7" s="294" t="str">
        <f>CONCATENATE(CHAR(10),CONCATENATE('3.Plan de Estudios'!AA19,CHAR(10),'3.Plan de Estudios'!AC19,CHAR(10),'3.Plan de Estudios'!AE19,CHAR(10),'3.Plan de Estudios'!AG19,CHAR(10),'3.Plan de Estudios'!AI19))</f>
        <v xml:space="preserve">
CG4: Gestión de Recursos:N1 Reconoce la teoría de gestión y sus componentes de manera aplicada para comprender la lógica empresarial.
</v>
      </c>
      <c r="P7" s="298"/>
      <c r="Q7" s="298"/>
      <c r="R7" s="298"/>
      <c r="S7" s="336" t="str">
        <f>IF(H7&lt;&gt;"-","","No Aplica")</f>
        <v>No Aplica</v>
      </c>
      <c r="U7" s="296"/>
    </row>
    <row r="8" spans="1:21" ht="96">
      <c r="A8" s="292">
        <f>IF('3.Plan de Estudios'!B20="","",'3.Plan de Estudios'!B20)</f>
        <v>1</v>
      </c>
      <c r="B8" s="292" t="str">
        <f>IF('3.Plan de Estudios'!C20="","",'3.Plan de Estudios'!C20)</f>
        <v>PSI53001</v>
      </c>
      <c r="C8" s="292" t="str">
        <f>IF('3.Plan de Estudios'!E20="","",'3.Plan de Estudios'!E20)</f>
        <v>DESARROLLO HUMANO</v>
      </c>
      <c r="D8" s="293" t="str">
        <f>'3.Plan de Estudios'!I20</f>
        <v>Presencial</v>
      </c>
      <c r="E8" s="293">
        <f>IF('3.Plan de Estudios'!J20=0,"-",'3.Plan de Estudios'!J20)</f>
        <v>64</v>
      </c>
      <c r="F8" s="319" t="str">
        <f>IF('3.Plan de Estudios'!K20=0,"-",'3.Plan de Estudios'!K20)</f>
        <v>-</v>
      </c>
      <c r="G8" s="319" t="str">
        <f>IF('3.Plan de Estudios'!L20=0,"-",'3.Plan de Estudios'!L20)</f>
        <v>-</v>
      </c>
      <c r="H8" s="319" t="str">
        <f>IF('3.Plan de Estudios'!M20=0,"-",'3.Plan de Estudios'!M20)</f>
        <v>-</v>
      </c>
      <c r="I8" s="319" t="str">
        <f>IF('3.Plan de Estudios'!N20=0,"-",'3.Plan de Estudios'!N20)</f>
        <v>-</v>
      </c>
      <c r="J8" s="320" t="str">
        <f>IF('3.Plan de Estudios'!O20=0,"-",'3.Plan de Estudios'!O20)</f>
        <v>-</v>
      </c>
      <c r="K8" s="321">
        <f>IF('3.Plan de Estudios'!P20=0,"-",'3.Plan de Estudios'!P20)</f>
        <v>4</v>
      </c>
      <c r="L8" s="294" t="str">
        <f>IF('7.Sumillas'!G10=0,"",'7.Sumillas'!G10)</f>
        <v>English I, es un curso que pertenece al área formativa de estudios específicos, tiene carácter teórico-práctico, y tributa a la competencia de comunicación bilingüe. Contribuye al desarrollo de la competencia comunicativa, nivel A1-A2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M8" s="298"/>
      <c r="N8" s="298"/>
      <c r="O8" s="294" t="str">
        <f>CONCATENATE(CHAR(10),CONCATENATE('3.Plan de Estudios'!AA20,CHAR(10),'3.Plan de Estudios'!AC20,CHAR(10),'3.Plan de Estudios'!AE20,CHAR(10),'3.Plan de Estudios'!AG20,CHAR(10),'3.Plan de Estudios'!AI20))</f>
        <v xml:space="preserve">
CG5: Desarrollo Humano:N1 Identifica sus capacidades y/o cualidades personales y académicas mediante ejercicios y base teórica conducente al fortalecimiento del autoconocimiento.
</v>
      </c>
      <c r="P8" s="298"/>
      <c r="Q8" s="298"/>
      <c r="R8" s="298"/>
      <c r="S8" s="336" t="str">
        <f t="shared" ref="S8:S71" si="0">IF(H8&lt;&gt;"-","","No Aplica")</f>
        <v>No Aplica</v>
      </c>
    </row>
    <row r="9" spans="1:21" ht="108">
      <c r="A9" s="292">
        <f>IF('3.Plan de Estudios'!B21="","",'3.Plan de Estudios'!B21)</f>
        <v>1</v>
      </c>
      <c r="B9" s="292" t="str">
        <f>IF('3.Plan de Estudios'!C21="","",'3.Plan de Estudios'!C21)</f>
        <v>ENG42003</v>
      </c>
      <c r="C9" s="292" t="str">
        <f>IF('3.Plan de Estudios'!E21="","",'3.Plan de Estudios'!E21)</f>
        <v>ENGLISH I</v>
      </c>
      <c r="D9" s="293" t="str">
        <f>'3.Plan de Estudios'!I21</f>
        <v>Presencial</v>
      </c>
      <c r="E9" s="293">
        <f>IF('3.Plan de Estudios'!J21=0,"-",'3.Plan de Estudios'!J21)</f>
        <v>36</v>
      </c>
      <c r="F9" s="319" t="str">
        <f>IF('3.Plan de Estudios'!K21=0,"-",'3.Plan de Estudios'!K21)</f>
        <v>-</v>
      </c>
      <c r="G9" s="319">
        <f>IF('3.Plan de Estudios'!L21=0,"-",'3.Plan de Estudios'!L21)</f>
        <v>56</v>
      </c>
      <c r="H9" s="319" t="str">
        <f>IF('3.Plan de Estudios'!M21=0,"-",'3.Plan de Estudios'!M21)</f>
        <v>-</v>
      </c>
      <c r="I9" s="319" t="str">
        <f>IF('3.Plan de Estudios'!N21=0,"-",'3.Plan de Estudios'!N21)</f>
        <v>-</v>
      </c>
      <c r="J9" s="320" t="str">
        <f>IF('3.Plan de Estudios'!O21=0,"-",'3.Plan de Estudios'!O21)</f>
        <v>-</v>
      </c>
      <c r="K9" s="321">
        <f>IF('3.Plan de Estudios'!P21=0,"-",'3.Plan de Estudios'!P21)</f>
        <v>4</v>
      </c>
      <c r="L9" s="294" t="str">
        <f>IF('7.Sumillas'!G11=0,"",'7.Sumillas'!G11)</f>
        <v>Lenguaje I pertenece al área de estudios generales. La asignatura es de naturaleza teórico y tiene como propósito brindar las bases fundamentales para el logro de la Competencia General de Comunicación Integral. Sus ejes temáticos son los siguientes: análisis de diversos textos, gramática textual, redacción de textos argumentativos, la expresión oral a través de presentaciones académicas, haciendo uso eficiente de las TIC. Las estrategias didácticas aplicadas son los estudios de caso, entre otras. El producto acreditable es un proyecto que consiste en la redacción y sustentación de un texto académico argumentativo con una actitud ética frente a la sociedad y entorno.</v>
      </c>
      <c r="M9" s="298"/>
      <c r="N9" s="298"/>
      <c r="O9" s="294" t="str">
        <f>CONCATENATE(CHAR(10),CONCATENATE('3.Plan de Estudios'!AA21,CHAR(10),'3.Plan de Estudios'!AC21,CHAR(10),'3.Plan de Estudios'!AE21,CHAR(10),'3.Plan de Estudios'!AG21,CHAR(10),'3.Plan de Estudios'!AI21))</f>
        <v xml:space="preserve">
CG2: Comunicación Bilingüe:N1 Aplica las competencias correspondientes al nivel A2 según los estándares del Marco de Referencia de la Comunidad Europea (CEFR).
</v>
      </c>
      <c r="P9" s="298"/>
      <c r="Q9" s="298"/>
      <c r="R9" s="298"/>
      <c r="S9" s="336" t="str">
        <f t="shared" si="0"/>
        <v>No Aplica</v>
      </c>
    </row>
    <row r="10" spans="1:21" ht="108">
      <c r="A10" s="292">
        <f>IF('3.Plan de Estudios'!B22="","",'3.Plan de Estudios'!B22)</f>
        <v>1</v>
      </c>
      <c r="B10" s="292" t="str">
        <f>IF('3.Plan de Estudios'!C22="","",'3.Plan de Estudios'!C22)</f>
        <v>COM42008</v>
      </c>
      <c r="C10" s="292" t="str">
        <f>IF('3.Plan de Estudios'!E22="","",'3.Plan de Estudios'!E22)</f>
        <v>LENGUAJE I</v>
      </c>
      <c r="D10" s="293" t="str">
        <f>'3.Plan de Estudios'!I22</f>
        <v>Presencial</v>
      </c>
      <c r="E10" s="293">
        <f>IF('3.Plan de Estudios'!J22=0,"-",'3.Plan de Estudios'!J22)</f>
        <v>64</v>
      </c>
      <c r="F10" s="319" t="str">
        <f>IF('3.Plan de Estudios'!K22=0,"-",'3.Plan de Estudios'!K22)</f>
        <v>-</v>
      </c>
      <c r="G10" s="319" t="str">
        <f>IF('3.Plan de Estudios'!L22=0,"-",'3.Plan de Estudios'!L22)</f>
        <v>-</v>
      </c>
      <c r="H10" s="319" t="str">
        <f>IF('3.Plan de Estudios'!M22=0,"-",'3.Plan de Estudios'!M22)</f>
        <v>-</v>
      </c>
      <c r="I10" s="319" t="str">
        <f>IF('3.Plan de Estudios'!N22=0,"-",'3.Plan de Estudios'!N22)</f>
        <v>-</v>
      </c>
      <c r="J10" s="320" t="str">
        <f>IF('3.Plan de Estudios'!O22=0,"-",'3.Plan de Estudios'!O22)</f>
        <v>-</v>
      </c>
      <c r="K10" s="321">
        <f>IF('3.Plan de Estudios'!P22=0,"-",'3.Plan de Estudios'!P22)</f>
        <v>4</v>
      </c>
      <c r="L10" s="294" t="str">
        <f>IF('7.Sumillas'!G11=0,"",'7.Sumillas'!G11)</f>
        <v>Lenguaje I pertenece al área de estudios generales. La asignatura es de naturaleza teórico y tiene como propósito brindar las bases fundamentales para el logro de la Competencia General de Comunicación Integral. Sus ejes temáticos son los siguientes: análisis de diversos textos, gramática textual, redacción de textos argumentativos, la expresión oral a través de presentaciones académicas, haciendo uso eficiente de las TIC. Las estrategias didácticas aplicadas son los estudios de caso, entre otras. El producto acreditable es un proyecto que consiste en la redacción y sustentación de un texto académico argumentativo con una actitud ética frente a la sociedad y entorno.</v>
      </c>
      <c r="M10" s="298"/>
      <c r="N10" s="298"/>
      <c r="O10" s="294" t="str">
        <f>CONCATENATE(CHAR(10),CONCATENATE('3.Plan de Estudios'!AA22,CHAR(10),'3.Plan de Estudios'!AC22,CHAR(10),'3.Plan de Estudios'!AE22,CHAR(10),'3.Plan de Estudios'!AG22,CHAR(10),'3.Plan de Estudios'!AI22))</f>
        <v xml:space="preserve">
CG1: Comunicación Integral:N1 Elabora textos académicos escritos y comunicaciones orales con una estructura básica para exponer con eficiencia sus ideas en un entorno académico y/o social.
</v>
      </c>
      <c r="P10" s="298"/>
      <c r="Q10" s="298"/>
      <c r="R10" s="298"/>
      <c r="S10" s="336" t="str">
        <f t="shared" si="0"/>
        <v>No Aplica</v>
      </c>
    </row>
    <row r="11" spans="1:21" ht="96">
      <c r="A11" s="292">
        <f>IF('3.Plan de Estudios'!B23="","",'3.Plan de Estudios'!B23)</f>
        <v>1</v>
      </c>
      <c r="B11" s="292" t="str">
        <f>IF('3.Plan de Estudios'!C23="","",'3.Plan de Estudios'!C23)</f>
        <v>MAT41003</v>
      </c>
      <c r="C11" s="292" t="str">
        <f>IF('3.Plan de Estudios'!E23="","",'3.Plan de Estudios'!E23)</f>
        <v>MATEMÁTICA</v>
      </c>
      <c r="D11" s="293" t="str">
        <f>'3.Plan de Estudios'!I23</f>
        <v>Presencial</v>
      </c>
      <c r="E11" s="293">
        <f>IF('3.Plan de Estudios'!J23=0,"-",'3.Plan de Estudios'!J23)</f>
        <v>64</v>
      </c>
      <c r="F11" s="319" t="str">
        <f>IF('3.Plan de Estudios'!K23=0,"-",'3.Plan de Estudios'!K23)</f>
        <v>-</v>
      </c>
      <c r="G11" s="319" t="str">
        <f>IF('3.Plan de Estudios'!L23=0,"-",'3.Plan de Estudios'!L23)</f>
        <v>-</v>
      </c>
      <c r="H11" s="319" t="str">
        <f>IF('3.Plan de Estudios'!M23=0,"-",'3.Plan de Estudios'!M23)</f>
        <v>-</v>
      </c>
      <c r="I11" s="319" t="str">
        <f>IF('3.Plan de Estudios'!N23=0,"-",'3.Plan de Estudios'!N23)</f>
        <v>-</v>
      </c>
      <c r="J11" s="320" t="str">
        <f>IF('3.Plan de Estudios'!O23=0,"-",'3.Plan de Estudios'!O23)</f>
        <v>-</v>
      </c>
      <c r="K11" s="321">
        <f>IF('3.Plan de Estudios'!P23=0,"-",'3.Plan de Estudios'!P23)</f>
        <v>4</v>
      </c>
      <c r="L11" s="294" t="str">
        <f>IF('7.Sumillas'!G12=0,"",'7.Sumillas'!G12)</f>
        <v>Matemática es teórico, pertenece al área de estudios generales y tiene como propósito el logro de la competencia de comunicación integral, a través de la aplicación del lenguaje matemático, la matematización y el cálculo, haciendo uso eficiente de las TIC, con una actitud ética frente a una sociedad globalizada. El contenido incluye temas relacionados con los números reales, las funciones, las derivadas y sus aplicaciones. El producto del curso consiste en la elaboración de un e-portafolio con problemas contextualizados resueltos.</v>
      </c>
      <c r="M11" s="298"/>
      <c r="N11" s="298"/>
      <c r="O11" s="294" t="str">
        <f>CONCATENATE(CHAR(10),CONCATENATE('3.Plan de Estudios'!AA23,CHAR(10),'3.Plan de Estudios'!AC23,CHAR(10),'3.Plan de Estudios'!AE23,CHAR(10),'3.Plan de Estudios'!AG23,CHAR(10),'3.Plan de Estudios'!AI23))</f>
        <v xml:space="preserve">
CG1: Comunicación Integral:N1 Elabora textos académicos escritos y comunicaciones orales con una estructura básica para exponer con eficiencia sus ideas en un entorno académico y/o social.
</v>
      </c>
      <c r="P11" s="298"/>
      <c r="Q11" s="298"/>
      <c r="R11" s="298"/>
      <c r="S11" s="336" t="str">
        <f t="shared" si="0"/>
        <v>No Aplica</v>
      </c>
    </row>
    <row r="12" spans="1:21" ht="72">
      <c r="A12" s="292">
        <f>IF('3.Plan de Estudios'!B24="","",'3.Plan de Estudios'!B24)</f>
        <v>1</v>
      </c>
      <c r="B12" s="292" t="str">
        <f>IF('3.Plan de Estudios'!C24="","",'3.Plan de Estudios'!C24)</f>
        <v/>
      </c>
      <c r="C12" s="292" t="str">
        <f>IF('3.Plan de Estudios'!E24="","",'3.Plan de Estudios'!E24)</f>
        <v/>
      </c>
      <c r="D12" s="293" t="str">
        <f>'3.Plan de Estudios'!I24</f>
        <v/>
      </c>
      <c r="E12" s="293" t="str">
        <f>IF('3.Plan de Estudios'!J24=0,"-",'3.Plan de Estudios'!J24)</f>
        <v>-</v>
      </c>
      <c r="F12" s="319" t="str">
        <f>IF('3.Plan de Estudios'!K24=0,"-",'3.Plan de Estudios'!K24)</f>
        <v>-</v>
      </c>
      <c r="G12" s="319" t="str">
        <f>IF('3.Plan de Estudios'!L24=0,"-",'3.Plan de Estudios'!L24)</f>
        <v>-</v>
      </c>
      <c r="H12" s="319" t="str">
        <f>IF('3.Plan de Estudios'!M24=0,"-",'3.Plan de Estudios'!M24)</f>
        <v>-</v>
      </c>
      <c r="I12" s="319" t="str">
        <f>IF('3.Plan de Estudios'!N24=0,"-",'3.Plan de Estudios'!N24)</f>
        <v>-</v>
      </c>
      <c r="J12" s="320" t="str">
        <f>IF('3.Plan de Estudios'!O24=0,"-",'3.Plan de Estudios'!O24)</f>
        <v>-</v>
      </c>
      <c r="K12" s="321" t="str">
        <f>IF('3.Plan de Estudios'!P24=0,"-",'3.Plan de Estudios'!P24)</f>
        <v>-</v>
      </c>
      <c r="L12" s="294" t="str">
        <f>IF('7.Sumillas'!G13=0,"",'7.Sumillas'!G13)</f>
        <v/>
      </c>
      <c r="M12" s="298"/>
      <c r="N12" s="298"/>
      <c r="O12" s="294" t="str">
        <f>CONCATENATE(CHAR(10),CONCATENATE('3.Plan de Estudios'!AA24,CHAR(10),'3.Plan de Estudios'!AC24,CHAR(10),'3.Plan de Estudios'!AE24,CHAR(10),'3.Plan de Estudios'!AG24,CHAR(10),'3.Plan de Estudios'!AI24))</f>
        <v xml:space="preserve">
</v>
      </c>
      <c r="P12" s="298"/>
      <c r="Q12" s="298"/>
      <c r="R12" s="298"/>
      <c r="S12" s="336" t="str">
        <f t="shared" si="0"/>
        <v>No Aplica</v>
      </c>
    </row>
    <row r="13" spans="1:21" ht="72">
      <c r="A13" s="292">
        <f>IF('3.Plan de Estudios'!B25="","",'3.Plan de Estudios'!B25)</f>
        <v>1</v>
      </c>
      <c r="B13" s="292" t="str">
        <f>IF('3.Plan de Estudios'!C25="","",'3.Plan de Estudios'!C25)</f>
        <v/>
      </c>
      <c r="C13" s="292" t="str">
        <f>IF('3.Plan de Estudios'!E25="","",'3.Plan de Estudios'!E25)</f>
        <v/>
      </c>
      <c r="D13" s="293" t="str">
        <f>'3.Plan de Estudios'!I25</f>
        <v/>
      </c>
      <c r="E13" s="293" t="str">
        <f>IF('3.Plan de Estudios'!J25=0,"-",'3.Plan de Estudios'!J25)</f>
        <v>-</v>
      </c>
      <c r="F13" s="319" t="str">
        <f>IF('3.Plan de Estudios'!K25=0,"-",'3.Plan de Estudios'!K25)</f>
        <v>-</v>
      </c>
      <c r="G13" s="319" t="str">
        <f>IF('3.Plan de Estudios'!L25=0,"-",'3.Plan de Estudios'!L25)</f>
        <v>-</v>
      </c>
      <c r="H13" s="319" t="str">
        <f>IF('3.Plan de Estudios'!M25=0,"-",'3.Plan de Estudios'!M25)</f>
        <v>-</v>
      </c>
      <c r="I13" s="319" t="str">
        <f>IF('3.Plan de Estudios'!N25=0,"-",'3.Plan de Estudios'!N25)</f>
        <v>-</v>
      </c>
      <c r="J13" s="320" t="str">
        <f>IF('3.Plan de Estudios'!O25=0,"-",'3.Plan de Estudios'!O25)</f>
        <v>-</v>
      </c>
      <c r="K13" s="321" t="str">
        <f>IF('3.Plan de Estudios'!P25=0,"-",'3.Plan de Estudios'!P25)</f>
        <v>-</v>
      </c>
      <c r="L13" s="294" t="str">
        <f>IF('7.Sumillas'!G14=0,"",'7.Sumillas'!G14)</f>
        <v/>
      </c>
      <c r="M13" s="298"/>
      <c r="N13" s="298"/>
      <c r="O13" s="294" t="str">
        <f>CONCATENATE(CHAR(10),CONCATENATE('3.Plan de Estudios'!AA25,CHAR(10),'3.Plan de Estudios'!AC25,CHAR(10),'3.Plan de Estudios'!AE25,CHAR(10),'3.Plan de Estudios'!AG25,CHAR(10),'3.Plan de Estudios'!AI25))</f>
        <v xml:space="preserve">
</v>
      </c>
      <c r="P13" s="298"/>
      <c r="Q13" s="298"/>
      <c r="R13" s="298"/>
      <c r="S13" s="336" t="str">
        <f t="shared" si="0"/>
        <v>No Aplica</v>
      </c>
    </row>
    <row r="14" spans="1:21" ht="72">
      <c r="A14" s="292">
        <f>IF('3.Plan de Estudios'!B26="","",'3.Plan de Estudios'!B26)</f>
        <v>1</v>
      </c>
      <c r="B14" s="292" t="str">
        <f>IF('3.Plan de Estudios'!C26="","",'3.Plan de Estudios'!C26)</f>
        <v/>
      </c>
      <c r="C14" s="292" t="str">
        <f>IF('3.Plan de Estudios'!E26="","",'3.Plan de Estudios'!E26)</f>
        <v/>
      </c>
      <c r="D14" s="293" t="str">
        <f>'3.Plan de Estudios'!I26</f>
        <v/>
      </c>
      <c r="E14" s="293" t="str">
        <f>IF('3.Plan de Estudios'!J26=0,"-",'3.Plan de Estudios'!J26)</f>
        <v>-</v>
      </c>
      <c r="F14" s="319" t="str">
        <f>IF('3.Plan de Estudios'!K26=0,"-",'3.Plan de Estudios'!K26)</f>
        <v>-</v>
      </c>
      <c r="G14" s="319" t="str">
        <f>IF('3.Plan de Estudios'!L26=0,"-",'3.Plan de Estudios'!L26)</f>
        <v>-</v>
      </c>
      <c r="H14" s="319" t="str">
        <f>IF('3.Plan de Estudios'!M26=0,"-",'3.Plan de Estudios'!M26)</f>
        <v>-</v>
      </c>
      <c r="I14" s="319" t="str">
        <f>IF('3.Plan de Estudios'!N26=0,"-",'3.Plan de Estudios'!N26)</f>
        <v>-</v>
      </c>
      <c r="J14" s="320" t="str">
        <f>IF('3.Plan de Estudios'!O26=0,"-",'3.Plan de Estudios'!O26)</f>
        <v>-</v>
      </c>
      <c r="K14" s="321" t="str">
        <f>IF('3.Plan de Estudios'!P26=0,"-",'3.Plan de Estudios'!P26)</f>
        <v>-</v>
      </c>
      <c r="L14" s="294" t="str">
        <f>IF('7.Sumillas'!G15=0,"",'7.Sumillas'!G15)</f>
        <v/>
      </c>
      <c r="M14" s="298"/>
      <c r="N14" s="298"/>
      <c r="O14" s="294" t="str">
        <f>CONCATENATE(CHAR(10),CONCATENATE('3.Plan de Estudios'!AA26,CHAR(10),'3.Plan de Estudios'!AC26,CHAR(10),'3.Plan de Estudios'!AE26,CHAR(10),'3.Plan de Estudios'!AG26,CHAR(10),'3.Plan de Estudios'!AI26))</f>
        <v xml:space="preserve">
</v>
      </c>
      <c r="P14" s="298"/>
      <c r="Q14" s="298"/>
      <c r="R14" s="298"/>
      <c r="S14" s="336" t="str">
        <f t="shared" si="0"/>
        <v>No Aplica</v>
      </c>
    </row>
    <row r="15" spans="1:21" ht="72">
      <c r="A15" s="292">
        <f>IF('3.Plan de Estudios'!B27="","",'3.Plan de Estudios'!B27)</f>
        <v>1</v>
      </c>
      <c r="B15" s="292" t="str">
        <f>IF('3.Plan de Estudios'!C27="","",'3.Plan de Estudios'!C27)</f>
        <v/>
      </c>
      <c r="C15" s="292" t="str">
        <f>IF('3.Plan de Estudios'!E27="","",'3.Plan de Estudios'!E27)</f>
        <v/>
      </c>
      <c r="D15" s="293" t="str">
        <f>'3.Plan de Estudios'!I27</f>
        <v/>
      </c>
      <c r="E15" s="293" t="str">
        <f>IF('3.Plan de Estudios'!J27=0,"-",'3.Plan de Estudios'!J27)</f>
        <v>-</v>
      </c>
      <c r="F15" s="319" t="str">
        <f>IF('3.Plan de Estudios'!K27=0,"-",'3.Plan de Estudios'!K27)</f>
        <v>-</v>
      </c>
      <c r="G15" s="319" t="str">
        <f>IF('3.Plan de Estudios'!L27=0,"-",'3.Plan de Estudios'!L27)</f>
        <v>-</v>
      </c>
      <c r="H15" s="319" t="str">
        <f>IF('3.Plan de Estudios'!M27=0,"-",'3.Plan de Estudios'!M27)</f>
        <v>-</v>
      </c>
      <c r="I15" s="319" t="str">
        <f>IF('3.Plan de Estudios'!N27=0,"-",'3.Plan de Estudios'!N27)</f>
        <v>-</v>
      </c>
      <c r="J15" s="320" t="str">
        <f>IF('3.Plan de Estudios'!O27=0,"-",'3.Plan de Estudios'!O27)</f>
        <v>-</v>
      </c>
      <c r="K15" s="321" t="str">
        <f>IF('3.Plan de Estudios'!P27=0,"-",'3.Plan de Estudios'!P27)</f>
        <v>-</v>
      </c>
      <c r="L15" s="294" t="str">
        <f>IF('7.Sumillas'!G16=0,"",'7.Sumillas'!G16)</f>
        <v/>
      </c>
      <c r="M15" s="298"/>
      <c r="N15" s="298"/>
      <c r="O15" s="294" t="str">
        <f>CONCATENATE(CHAR(10),CONCATENATE('3.Plan de Estudios'!AA27,CHAR(10),'3.Plan de Estudios'!AC27,CHAR(10),'3.Plan de Estudios'!AE27,CHAR(10),'3.Plan de Estudios'!AG27,CHAR(10),'3.Plan de Estudios'!AI27))</f>
        <v xml:space="preserve">
</v>
      </c>
      <c r="P15" s="298"/>
      <c r="Q15" s="298"/>
      <c r="R15" s="298"/>
      <c r="S15" s="336" t="str">
        <f t="shared" si="0"/>
        <v>No Aplica</v>
      </c>
    </row>
    <row r="16" spans="1:21" ht="72">
      <c r="A16" s="292">
        <f>IF('3.Plan de Estudios'!B28="","",'3.Plan de Estudios'!B28)</f>
        <v>1</v>
      </c>
      <c r="B16" s="292" t="str">
        <f>IF('3.Plan de Estudios'!C28="","",'3.Plan de Estudios'!C28)</f>
        <v/>
      </c>
      <c r="C16" s="292" t="str">
        <f>IF('3.Plan de Estudios'!E28="","",'3.Plan de Estudios'!E28)</f>
        <v/>
      </c>
      <c r="D16" s="293" t="str">
        <f>'3.Plan de Estudios'!I28</f>
        <v/>
      </c>
      <c r="E16" s="293" t="str">
        <f>IF('3.Plan de Estudios'!J28=0,"-",'3.Plan de Estudios'!J28)</f>
        <v>-</v>
      </c>
      <c r="F16" s="319" t="str">
        <f>IF('3.Plan de Estudios'!K28=0,"-",'3.Plan de Estudios'!K28)</f>
        <v>-</v>
      </c>
      <c r="G16" s="319" t="str">
        <f>IF('3.Plan de Estudios'!L28=0,"-",'3.Plan de Estudios'!L28)</f>
        <v>-</v>
      </c>
      <c r="H16" s="319" t="str">
        <f>IF('3.Plan de Estudios'!M28=0,"-",'3.Plan de Estudios'!M28)</f>
        <v>-</v>
      </c>
      <c r="I16" s="319" t="str">
        <f>IF('3.Plan de Estudios'!N28=0,"-",'3.Plan de Estudios'!N28)</f>
        <v>-</v>
      </c>
      <c r="J16" s="320" t="str">
        <f>IF('3.Plan de Estudios'!O28=0,"-",'3.Plan de Estudios'!O28)</f>
        <v>-</v>
      </c>
      <c r="K16" s="321" t="str">
        <f>IF('3.Plan de Estudios'!P28=0,"-",'3.Plan de Estudios'!P28)</f>
        <v>-</v>
      </c>
      <c r="L16" s="294" t="str">
        <f>IF('7.Sumillas'!G17=0,"",'7.Sumillas'!G17)</f>
        <v/>
      </c>
      <c r="M16" s="298"/>
      <c r="N16" s="298"/>
      <c r="O16" s="294" t="str">
        <f>CONCATENATE(CHAR(10),CONCATENATE('3.Plan de Estudios'!AA28,CHAR(10),'3.Plan de Estudios'!AC28,CHAR(10),'3.Plan de Estudios'!AE28,CHAR(10),'3.Plan de Estudios'!AG28,CHAR(10),'3.Plan de Estudios'!AI28))</f>
        <v xml:space="preserve">
</v>
      </c>
      <c r="P16" s="298"/>
      <c r="Q16" s="298"/>
      <c r="R16" s="298"/>
      <c r="S16" s="336" t="str">
        <f t="shared" si="0"/>
        <v>No Aplica</v>
      </c>
    </row>
    <row r="17" spans="1:19" ht="84">
      <c r="A17" s="292">
        <f>IF('3.Plan de Estudios'!B30="","",'3.Plan de Estudios'!B30)</f>
        <v>2</v>
      </c>
      <c r="B17" s="292" t="str">
        <f>IF('3.Plan de Estudios'!C30="","",'3.Plan de Estudios'!C30)</f>
        <v>EDG52030</v>
      </c>
      <c r="C17" s="292" t="str">
        <f>IF('3.Plan de Estudios'!E30="","",'3.Plan de Estudios'!E30)</f>
        <v>CULTURA POLÍTICA Y REALIDAD DE LA EDUCACIÓN PERUANA</v>
      </c>
      <c r="D17" s="293" t="str">
        <f>'3.Plan de Estudios'!I30</f>
        <v>Presencial</v>
      </c>
      <c r="E17" s="293">
        <f>IF('3.Plan de Estudios'!J30=0,"-",'3.Plan de Estudios'!J30)</f>
        <v>32</v>
      </c>
      <c r="F17" s="319" t="str">
        <f>IF('3.Plan de Estudios'!K30=0,"-",'3.Plan de Estudios'!K30)</f>
        <v>-</v>
      </c>
      <c r="G17" s="319" t="str">
        <f>IF('3.Plan de Estudios'!L30=0,"-",'3.Plan de Estudios'!L30)</f>
        <v>-</v>
      </c>
      <c r="H17" s="319" t="str">
        <f>IF('3.Plan de Estudios'!M30=0,"-",'3.Plan de Estudios'!M30)</f>
        <v>-</v>
      </c>
      <c r="I17" s="319" t="str">
        <f>IF('3.Plan de Estudios'!N30=0,"-",'3.Plan de Estudios'!N30)</f>
        <v>-</v>
      </c>
      <c r="J17" s="320" t="str">
        <f>IF('3.Plan de Estudios'!O30=0,"-",'3.Plan de Estudios'!O30)</f>
        <v>-</v>
      </c>
      <c r="K17" s="321">
        <f>IF('3.Plan de Estudios'!P30=0,"-",'3.Plan de Estudios'!P30)</f>
        <v>2</v>
      </c>
      <c r="L17" s="294" t="str">
        <f>IF('7.Sumillas'!G18=0,"",'7.Sumillas'!G18)</f>
        <v>Cultura Política y Realidad de la Educación Peruana, es una asignatura de formación especializada de naturaleza teórica. Tributa a la competencia Desarrollo enseñanza y aprendizaje.  Comprende el desarrollo de los siguientes ejes temáticos: La educación como parte de la identidad de un pueblo y los cambios políticos y la obligatoriedad de la educación. El producto acreditable consiste en un informe del análisis sobre la importancia de la Educación Humanística en el desarrollo del ejercicio de la docencia en el Perú.</v>
      </c>
      <c r="M17" s="298"/>
      <c r="N17" s="298"/>
      <c r="O17" s="294" t="str">
        <f>CONCATENATE(CHAR(10),CONCATENATE('3.Plan de Estudios'!AA30,CHAR(10),'3.Plan de Estudios'!AC30,CHAR(10),'3.Plan de Estudios'!AE30,CHAR(10),'3.Plan de Estudios'!AG30,CHAR(10),'3.Plan de Estudios'!AI30))</f>
        <v xml:space="preserve">
CP3: Desarrollo enseñanza y aprendizaje:N1 Promueve el desarrollo de la identidad del maestro para acrecentar el aprendizaje de los alumnos.
</v>
      </c>
      <c r="P17" s="298"/>
      <c r="Q17" s="298"/>
      <c r="R17" s="298"/>
      <c r="S17" s="336" t="str">
        <f t="shared" si="0"/>
        <v>No Aplica</v>
      </c>
    </row>
    <row r="18" spans="1:19" ht="84">
      <c r="A18" s="292">
        <f>IF('3.Plan de Estudios'!B31="","",'3.Plan de Estudios'!B31)</f>
        <v>2</v>
      </c>
      <c r="B18" s="292" t="str">
        <f>IF('3.Plan de Estudios'!C31="","",'3.Plan de Estudios'!C31)</f>
        <v>ENG42005</v>
      </c>
      <c r="C18" s="292" t="str">
        <f>IF('3.Plan de Estudios'!E31="","",'3.Plan de Estudios'!E31)</f>
        <v>ENGLISH II</v>
      </c>
      <c r="D18" s="293" t="str">
        <f>'3.Plan de Estudios'!I31</f>
        <v>Presencial</v>
      </c>
      <c r="E18" s="293">
        <f>IF('3.Plan de Estudios'!J31=0,"-",'3.Plan de Estudios'!J31)</f>
        <v>36</v>
      </c>
      <c r="F18" s="319" t="str">
        <f>IF('3.Plan de Estudios'!K31=0,"-",'3.Plan de Estudios'!K31)</f>
        <v>-</v>
      </c>
      <c r="G18" s="319">
        <f>IF('3.Plan de Estudios'!L31=0,"-",'3.Plan de Estudios'!L31)</f>
        <v>56</v>
      </c>
      <c r="H18" s="319" t="str">
        <f>IF('3.Plan de Estudios'!M31=0,"-",'3.Plan de Estudios'!M31)</f>
        <v>-</v>
      </c>
      <c r="I18" s="319" t="str">
        <f>IF('3.Plan de Estudios'!N31=0,"-",'3.Plan de Estudios'!N31)</f>
        <v>-</v>
      </c>
      <c r="J18" s="320" t="str">
        <f>IF('3.Plan de Estudios'!O31=0,"-",'3.Plan de Estudios'!O31)</f>
        <v>-</v>
      </c>
      <c r="K18" s="321">
        <f>IF('3.Plan de Estudios'!P31=0,"-",'3.Plan de Estudios'!P31)</f>
        <v>4</v>
      </c>
      <c r="L18" s="294" t="str">
        <f>IF('7.Sumillas'!G19=0,"",'7.Sumillas'!G19)</f>
        <v>English II, es un curso que pertenece al área formativa de estudios específicos, tiene carácter teórico-práctico, y tributa a la competencia de comunicación bilingüe. Contribuye al desarrollo de la competencia comunicativa, nivel A2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M18" s="298"/>
      <c r="N18" s="298"/>
      <c r="O18" s="294" t="str">
        <f>CONCATENATE(CHAR(10),CONCATENATE('3.Plan de Estudios'!AA31,CHAR(10),'3.Plan de Estudios'!AC31,CHAR(10),'3.Plan de Estudios'!AE31,CHAR(10),'3.Plan de Estudios'!AG31,CHAR(10),'3.Plan de Estudios'!AI31))</f>
        <v xml:space="preserve">
CG2: Comunicación Bilingüe:N1 Aplica las competencias correspondientes al nivel A2 según los estándares del Marco de Referencia de la Comunidad Europea (CEFR).
</v>
      </c>
      <c r="P18" s="298"/>
      <c r="Q18" s="298"/>
      <c r="R18" s="298"/>
      <c r="S18" s="336" t="str">
        <f t="shared" si="0"/>
        <v>No Aplica</v>
      </c>
    </row>
    <row r="19" spans="1:19" ht="132">
      <c r="A19" s="292">
        <f>IF('3.Plan de Estudios'!B32="","",'3.Plan de Estudios'!B32)</f>
        <v>2</v>
      </c>
      <c r="B19" s="292" t="str">
        <f>IF('3.Plan de Estudios'!C32="","",'3.Plan de Estudios'!C32)</f>
        <v>EDG51016</v>
      </c>
      <c r="C19" s="292" t="str">
        <f>IF('3.Plan de Estudios'!E32="","",'3.Plan de Estudios'!E32)</f>
        <v>HISTORIA Y FILOSOFÍA DE LA EDUCACIÓN</v>
      </c>
      <c r="D19" s="293" t="str">
        <f>'3.Plan de Estudios'!I32</f>
        <v>Presencial</v>
      </c>
      <c r="E19" s="293">
        <f>IF('3.Plan de Estudios'!J32=0,"-",'3.Plan de Estudios'!J32)</f>
        <v>64</v>
      </c>
      <c r="F19" s="319" t="str">
        <f>IF('3.Plan de Estudios'!K32=0,"-",'3.Plan de Estudios'!K32)</f>
        <v>-</v>
      </c>
      <c r="G19" s="319" t="str">
        <f>IF('3.Plan de Estudios'!L32=0,"-",'3.Plan de Estudios'!L32)</f>
        <v>-</v>
      </c>
      <c r="H19" s="319" t="str">
        <f>IF('3.Plan de Estudios'!M32=0,"-",'3.Plan de Estudios'!M32)</f>
        <v>-</v>
      </c>
      <c r="I19" s="319" t="str">
        <f>IF('3.Plan de Estudios'!N32=0,"-",'3.Plan de Estudios'!N32)</f>
        <v>-</v>
      </c>
      <c r="J19" s="320" t="str">
        <f>IF('3.Plan de Estudios'!O32=0,"-",'3.Plan de Estudios'!O32)</f>
        <v>-</v>
      </c>
      <c r="K19" s="321">
        <f>IF('3.Plan de Estudios'!P32=0,"-",'3.Plan de Estudios'!P32)</f>
        <v>4</v>
      </c>
      <c r="L19" s="294" t="str">
        <f>IF('7.Sumillas'!G20=0,"",'7.Sumillas'!G20)</f>
        <v>Historia y Filosofía de la Educación pertenece al área de formación especializada, es de naturaleza teórico; esta asignatura tributa a la competencia de Orientación Educativa. Asimismo, el nivel por alcanzar será de elaboración de textos académicos escritos y comunicaciones orales con una estructura básica para exponer con eficiencia sus ideas en un entorno académico y/o social y establecer las orientaciones fundamentales del sentido educativo en los docentes y los alumnos. . Comprende los siguientes ejes temáticos:  Marco teórico y filosófico de la educación, las dimensiones constitutivas del hombre, el problema de las valoraciones humanas y la dimensión deontológica como factor de desarrollo profesional. Su producto acreditable consiste en la elaboración de un informe crítico referido a las posturas filosóficas orientadas a la educación y su impacto en el quehacer educativo de nuestra nación.</v>
      </c>
      <c r="M19" s="298"/>
      <c r="N19" s="298"/>
      <c r="O19" s="294" t="str">
        <f>CONCATENATE(CHAR(10),CONCATENATE('3.Plan de Estudios'!AA32,CHAR(10),'3.Plan de Estudios'!AC32,CHAR(10),'3.Plan de Estudios'!AE32,CHAR(10),'3.Plan de Estudios'!AG32,CHAR(10),'3.Plan de Estudios'!AI32))</f>
        <v xml:space="preserve">
CP1: Orientación educativa:N1 Establece las orientaciones fundamentales del sentido educativo en los docentes y los alumnos. 
</v>
      </c>
      <c r="P19" s="298"/>
      <c r="Q19" s="298"/>
      <c r="R19" s="298"/>
      <c r="S19" s="336" t="str">
        <f t="shared" si="0"/>
        <v>No Aplica</v>
      </c>
    </row>
    <row r="20" spans="1:19" ht="108">
      <c r="A20" s="292">
        <f>IF('3.Plan de Estudios'!B33="","",'3.Plan de Estudios'!B33)</f>
        <v>2</v>
      </c>
      <c r="B20" s="292" t="str">
        <f>IF('3.Plan de Estudios'!C33="","",'3.Plan de Estudios'!C33)</f>
        <v>COM42009</v>
      </c>
      <c r="C20" s="292" t="str">
        <f>IF('3.Plan de Estudios'!E33="","",'3.Plan de Estudios'!E33)</f>
        <v>LENGUAJE II</v>
      </c>
      <c r="D20" s="293" t="str">
        <f>'3.Plan de Estudios'!I33</f>
        <v>Presencial</v>
      </c>
      <c r="E20" s="293">
        <f>IF('3.Plan de Estudios'!J33=0,"-",'3.Plan de Estudios'!J33)</f>
        <v>64</v>
      </c>
      <c r="F20" s="319" t="str">
        <f>IF('3.Plan de Estudios'!K33=0,"-",'3.Plan de Estudios'!K33)</f>
        <v>-</v>
      </c>
      <c r="G20" s="319" t="str">
        <f>IF('3.Plan de Estudios'!L33=0,"-",'3.Plan de Estudios'!L33)</f>
        <v>-</v>
      </c>
      <c r="H20" s="319" t="str">
        <f>IF('3.Plan de Estudios'!M33=0,"-",'3.Plan de Estudios'!M33)</f>
        <v>-</v>
      </c>
      <c r="I20" s="319" t="str">
        <f>IF('3.Plan de Estudios'!N33=0,"-",'3.Plan de Estudios'!N33)</f>
        <v>-</v>
      </c>
      <c r="J20" s="320" t="str">
        <f>IF('3.Plan de Estudios'!O33=0,"-",'3.Plan de Estudios'!O33)</f>
        <v>-</v>
      </c>
      <c r="K20" s="321">
        <f>IF('3.Plan de Estudios'!P33=0,"-",'3.Plan de Estudios'!P33)</f>
        <v>4</v>
      </c>
      <c r="L20" s="294" t="str">
        <f>IF('7.Sumillas'!G21=0,"",'7.Sumillas'!G21)</f>
        <v>Lenguaje II pertenece a los cursos de estudios generales. La asignatura es de naturaleza teórico y tiene como propósito optimizar las habilidades lingüísticas para el logro de la competencia de comunicación integral a través de la comprensión y producción de textos escritos y orales donde se desarrolla la actitud crítica frente a la sociedad y su entorno. La estructura temática de esta materia está constituida por dos ejes importantes: la producción de textos argumentativos y el análisis de textos poéticos. El producto acreditable es un proyecto de redacción y sustentación oral de un escrito académico donde se enfatizan los tópicos de composición textual argumentativa.</v>
      </c>
      <c r="M20" s="298"/>
      <c r="N20" s="298"/>
      <c r="O20" s="294" t="str">
        <f>CONCATENATE(CHAR(10),CONCATENATE('3.Plan de Estudios'!AA33,CHAR(10),'3.Plan de Estudios'!AC33,CHAR(10),'3.Plan de Estudios'!AE33,CHAR(10),'3.Plan de Estudios'!AG33,CHAR(10),'3.Plan de Estudios'!AI33))</f>
        <v xml:space="preserve">
CG1: Comunicación Integral:N1 Elabora textos académicos escritos y comunicaciones orales con una estructura básica para exponer con eficiencia sus ideas en un entorno académico y/o social.
</v>
      </c>
      <c r="P20" s="298"/>
      <c r="Q20" s="298"/>
      <c r="R20" s="298"/>
      <c r="S20" s="336" t="str">
        <f t="shared" si="0"/>
        <v>No Aplica</v>
      </c>
    </row>
    <row r="21" spans="1:19" ht="96">
      <c r="A21" s="292">
        <f>IF('3.Plan de Estudios'!B34="","",'3.Plan de Estudios'!B34)</f>
        <v>2</v>
      </c>
      <c r="B21" s="292" t="str">
        <f>IF('3.Plan de Estudios'!C34="","",'3.Plan de Estudios'!C34)</f>
        <v>MAR52008</v>
      </c>
      <c r="C21" s="292" t="str">
        <f>IF('3.Plan de Estudios'!E34="","",'3.Plan de Estudios'!E34)</f>
        <v>MARKETING</v>
      </c>
      <c r="D21" s="293" t="str">
        <f>'3.Plan de Estudios'!I34</f>
        <v>Presencial</v>
      </c>
      <c r="E21" s="293">
        <f>IF('3.Plan de Estudios'!J34=0,"-",'3.Plan de Estudios'!J34)</f>
        <v>64</v>
      </c>
      <c r="F21" s="319" t="str">
        <f>IF('3.Plan de Estudios'!K34=0,"-",'3.Plan de Estudios'!K34)</f>
        <v>-</v>
      </c>
      <c r="G21" s="319" t="str">
        <f>IF('3.Plan de Estudios'!L34=0,"-",'3.Plan de Estudios'!L34)</f>
        <v>-</v>
      </c>
      <c r="H21" s="319" t="str">
        <f>IF('3.Plan de Estudios'!M34=0,"-",'3.Plan de Estudios'!M34)</f>
        <v>-</v>
      </c>
      <c r="I21" s="319" t="str">
        <f>IF('3.Plan de Estudios'!N34=0,"-",'3.Plan de Estudios'!N34)</f>
        <v>-</v>
      </c>
      <c r="J21" s="320" t="str">
        <f>IF('3.Plan de Estudios'!O34=0,"-",'3.Plan de Estudios'!O34)</f>
        <v>-</v>
      </c>
      <c r="K21" s="321">
        <f>IF('3.Plan de Estudios'!P34=0,"-",'3.Plan de Estudios'!P34)</f>
        <v>4</v>
      </c>
      <c r="L21" s="294" t="str">
        <f>IF('7.Sumillas'!G22=0,"",'7.Sumillas'!G22)</f>
        <v>Marketing es una asignatura específica, de naturaleza teórico, contribuye al desarrollo de la competencia general de gestión de recursos, mediante la elaboración de un documento de un proyecto de estrategias de marketing. Comprende el desarrollo de los siguientes ejes temáticos: conceptos fundamentales de marketing, la segmentación e investigación de mercados, tópicos de posicionamiento y comportamiento del consumidor; así como el análisis del mix de marketing: producto, precio, plaza y promoción. El producto acreditable de la asignatura es un informe de un proyecto de estrategias de marketing.</v>
      </c>
      <c r="M21" s="298"/>
      <c r="N21" s="298"/>
      <c r="O21" s="294" t="str">
        <f>CONCATENATE(CHAR(10),CONCATENATE('3.Plan de Estudios'!AA34,CHAR(10),'3.Plan de Estudios'!AC34,CHAR(10),'3.Plan de Estudios'!AE34,CHAR(10),'3.Plan de Estudios'!AG34,CHAR(10),'3.Plan de Estudios'!AI34))</f>
        <v xml:space="preserve">
CG4: Gestión de Recursos:N1 Reconoce la teoría de gestión y sus componentes de manera aplicada para comprender la lógica empresarial.
</v>
      </c>
      <c r="P21" s="298"/>
      <c r="Q21" s="298"/>
      <c r="R21" s="298"/>
      <c r="S21" s="336" t="str">
        <f t="shared" si="0"/>
        <v>No Aplica</v>
      </c>
    </row>
    <row r="22" spans="1:19" ht="108">
      <c r="A22" s="292">
        <f>IF('3.Plan de Estudios'!B35="","",'3.Plan de Estudios'!B35)</f>
        <v>2</v>
      </c>
      <c r="B22" s="292" t="str">
        <f>IF('3.Plan de Estudios'!C35="","",'3.Plan de Estudios'!C35)</f>
        <v>PSI51020</v>
      </c>
      <c r="C22" s="292" t="str">
        <f>IF('3.Plan de Estudios'!E35="","",'3.Plan de Estudios'!E35)</f>
        <v>PSICOLOGÍA GENERAL</v>
      </c>
      <c r="D22" s="293" t="str">
        <f>'3.Plan de Estudios'!I35</f>
        <v>Presencial</v>
      </c>
      <c r="E22" s="293">
        <f>IF('3.Plan de Estudios'!J35=0,"-",'3.Plan de Estudios'!J35)</f>
        <v>32</v>
      </c>
      <c r="F22" s="319" t="str">
        <f>IF('3.Plan de Estudios'!K35=0,"-",'3.Plan de Estudios'!K35)</f>
        <v>-</v>
      </c>
      <c r="G22" s="319" t="str">
        <f>IF('3.Plan de Estudios'!L35=0,"-",'3.Plan de Estudios'!L35)</f>
        <v>-</v>
      </c>
      <c r="H22" s="319" t="str">
        <f>IF('3.Plan de Estudios'!M35=0,"-",'3.Plan de Estudios'!M35)</f>
        <v>-</v>
      </c>
      <c r="I22" s="319" t="str">
        <f>IF('3.Plan de Estudios'!N35=0,"-",'3.Plan de Estudios'!N35)</f>
        <v>-</v>
      </c>
      <c r="J22" s="320" t="str">
        <f>IF('3.Plan de Estudios'!O35=0,"-",'3.Plan de Estudios'!O35)</f>
        <v>-</v>
      </c>
      <c r="K22" s="321">
        <f>IF('3.Plan de Estudios'!P35=0,"-",'3.Plan de Estudios'!P35)</f>
        <v>2</v>
      </c>
      <c r="L22" s="294" t="str">
        <f>IF('7.Sumillas'!G23=0,"",'7.Sumillas'!G23)</f>
        <v>Psicología General es una asignatura de formación especializada de carácter teórico-práctico que contribuye al desarrollo de la competencia de orientación educativa. El nivel por alcanzar se logrará estableciendo las orientaciones fundamentales del sentido educativo en los docentes y los alumnos.  Comprende el desarrollo de los siguientes ejes temáticos: bases filosóficas, evolución histórica, teorías y representantes puestas al servicio de la educación. El producto acreditable de la asignatura es la entrega de un informe de trabajo de investigación que se encuentre orientado al análisis y fundamentación del contenido teórico de la psicología y su aplicación en el campo pedagógico.</v>
      </c>
      <c r="M22" s="298"/>
      <c r="N22" s="298"/>
      <c r="O22" s="294" t="str">
        <f>CONCATENATE(CHAR(10),CONCATENATE('3.Plan de Estudios'!AA35,CHAR(10),'3.Plan de Estudios'!AC35,CHAR(10),'3.Plan de Estudios'!AE35,CHAR(10),'3.Plan de Estudios'!AG35,CHAR(10),'3.Plan de Estudios'!AI35))</f>
        <v xml:space="preserve">
CP1: Orientación educativa:N1 Establece las orientaciones fundamentales del sentido educativo en los docentes y los alumnos. 
</v>
      </c>
      <c r="P22" s="298"/>
      <c r="Q22" s="298"/>
      <c r="R22" s="298"/>
      <c r="S22" s="336" t="str">
        <f t="shared" si="0"/>
        <v>No Aplica</v>
      </c>
    </row>
    <row r="23" spans="1:19" ht="72">
      <c r="A23" s="292">
        <f>IF('3.Plan de Estudios'!B36="","",'3.Plan de Estudios'!B36)</f>
        <v>2</v>
      </c>
      <c r="B23" s="292" t="str">
        <f>IF('3.Plan de Estudios'!C36="","",'3.Plan de Estudios'!C36)</f>
        <v/>
      </c>
      <c r="C23" s="292" t="str">
        <f>IF('3.Plan de Estudios'!E36="","",'3.Plan de Estudios'!E36)</f>
        <v/>
      </c>
      <c r="D23" s="293" t="str">
        <f>'3.Plan de Estudios'!I36</f>
        <v/>
      </c>
      <c r="E23" s="293" t="str">
        <f>IF('3.Plan de Estudios'!J36=0,"-",'3.Plan de Estudios'!J36)</f>
        <v>-</v>
      </c>
      <c r="F23" s="319" t="str">
        <f>IF('3.Plan de Estudios'!K36=0,"-",'3.Plan de Estudios'!K36)</f>
        <v>-</v>
      </c>
      <c r="G23" s="319" t="str">
        <f>IF('3.Plan de Estudios'!L36=0,"-",'3.Plan de Estudios'!L36)</f>
        <v>-</v>
      </c>
      <c r="H23" s="319" t="str">
        <f>IF('3.Plan de Estudios'!M36=0,"-",'3.Plan de Estudios'!M36)</f>
        <v>-</v>
      </c>
      <c r="I23" s="319" t="str">
        <f>IF('3.Plan de Estudios'!N36=0,"-",'3.Plan de Estudios'!N36)</f>
        <v>-</v>
      </c>
      <c r="J23" s="320" t="str">
        <f>IF('3.Plan de Estudios'!O36=0,"-",'3.Plan de Estudios'!O36)</f>
        <v>-</v>
      </c>
      <c r="K23" s="321" t="str">
        <f>IF('3.Plan de Estudios'!P36=0,"-",'3.Plan de Estudios'!P36)</f>
        <v>-</v>
      </c>
      <c r="L23" s="294" t="str">
        <f>IF('7.Sumillas'!G24=0,"",'7.Sumillas'!G24)</f>
        <v/>
      </c>
      <c r="M23" s="298"/>
      <c r="N23" s="298"/>
      <c r="O23" s="294" t="str">
        <f>CONCATENATE(CHAR(10),CONCATENATE('3.Plan de Estudios'!AA36,CHAR(10),'3.Plan de Estudios'!AC36,CHAR(10),'3.Plan de Estudios'!AE36,CHAR(10),'3.Plan de Estudios'!AG36,CHAR(10),'3.Plan de Estudios'!AI36))</f>
        <v xml:space="preserve">
</v>
      </c>
      <c r="P23" s="298"/>
      <c r="Q23" s="298"/>
      <c r="R23" s="298"/>
      <c r="S23" s="336" t="str">
        <f t="shared" si="0"/>
        <v>No Aplica</v>
      </c>
    </row>
    <row r="24" spans="1:19" ht="72">
      <c r="A24" s="292">
        <f>IF('3.Plan de Estudios'!B37="","",'3.Plan de Estudios'!B37)</f>
        <v>2</v>
      </c>
      <c r="B24" s="292" t="str">
        <f>IF('3.Plan de Estudios'!C37="","",'3.Plan de Estudios'!C37)</f>
        <v/>
      </c>
      <c r="C24" s="292" t="str">
        <f>IF('3.Plan de Estudios'!E37="","",'3.Plan de Estudios'!E37)</f>
        <v/>
      </c>
      <c r="D24" s="293" t="str">
        <f>'3.Plan de Estudios'!I37</f>
        <v/>
      </c>
      <c r="E24" s="293" t="str">
        <f>IF('3.Plan de Estudios'!J37=0,"-",'3.Plan de Estudios'!J37)</f>
        <v>-</v>
      </c>
      <c r="F24" s="319" t="str">
        <f>IF('3.Plan de Estudios'!K37=0,"-",'3.Plan de Estudios'!K37)</f>
        <v>-</v>
      </c>
      <c r="G24" s="319" t="str">
        <f>IF('3.Plan de Estudios'!L37=0,"-",'3.Plan de Estudios'!L37)</f>
        <v>-</v>
      </c>
      <c r="H24" s="319" t="str">
        <f>IF('3.Plan de Estudios'!M37=0,"-",'3.Plan de Estudios'!M37)</f>
        <v>-</v>
      </c>
      <c r="I24" s="319" t="str">
        <f>IF('3.Plan de Estudios'!N37=0,"-",'3.Plan de Estudios'!N37)</f>
        <v>-</v>
      </c>
      <c r="J24" s="320" t="str">
        <f>IF('3.Plan de Estudios'!O37=0,"-",'3.Plan de Estudios'!O37)</f>
        <v>-</v>
      </c>
      <c r="K24" s="321" t="str">
        <f>IF('3.Plan de Estudios'!P37=0,"-",'3.Plan de Estudios'!P37)</f>
        <v>-</v>
      </c>
      <c r="L24" s="294" t="str">
        <f>IF('7.Sumillas'!G25=0,"",'7.Sumillas'!G25)</f>
        <v/>
      </c>
      <c r="M24" s="298"/>
      <c r="N24" s="298"/>
      <c r="O24" s="294" t="str">
        <f>CONCATENATE(CHAR(10),CONCATENATE('3.Plan de Estudios'!AA37,CHAR(10),'3.Plan de Estudios'!AC37,CHAR(10),'3.Plan de Estudios'!AE37,CHAR(10),'3.Plan de Estudios'!AG37,CHAR(10),'3.Plan de Estudios'!AI37))</f>
        <v xml:space="preserve">
</v>
      </c>
      <c r="P24" s="298"/>
      <c r="Q24" s="298"/>
      <c r="R24" s="298"/>
      <c r="S24" s="336" t="str">
        <f t="shared" si="0"/>
        <v>No Aplica</v>
      </c>
    </row>
    <row r="25" spans="1:19" ht="72">
      <c r="A25" s="292">
        <f>IF('3.Plan de Estudios'!B38="","",'3.Plan de Estudios'!B38)</f>
        <v>2</v>
      </c>
      <c r="B25" s="292" t="str">
        <f>IF('3.Plan de Estudios'!C38="","",'3.Plan de Estudios'!C38)</f>
        <v/>
      </c>
      <c r="C25" s="292" t="str">
        <f>IF('3.Plan de Estudios'!E38="","",'3.Plan de Estudios'!E38)</f>
        <v/>
      </c>
      <c r="D25" s="293" t="str">
        <f>'3.Plan de Estudios'!I38</f>
        <v/>
      </c>
      <c r="E25" s="293" t="str">
        <f>IF('3.Plan de Estudios'!J38=0,"-",'3.Plan de Estudios'!J38)</f>
        <v>-</v>
      </c>
      <c r="F25" s="319" t="str">
        <f>IF('3.Plan de Estudios'!K38=0,"-",'3.Plan de Estudios'!K38)</f>
        <v>-</v>
      </c>
      <c r="G25" s="319" t="str">
        <f>IF('3.Plan de Estudios'!L38=0,"-",'3.Plan de Estudios'!L38)</f>
        <v>-</v>
      </c>
      <c r="H25" s="319" t="str">
        <f>IF('3.Plan de Estudios'!M38=0,"-",'3.Plan de Estudios'!M38)</f>
        <v>-</v>
      </c>
      <c r="I25" s="319" t="str">
        <f>IF('3.Plan de Estudios'!N38=0,"-",'3.Plan de Estudios'!N38)</f>
        <v>-</v>
      </c>
      <c r="J25" s="320" t="str">
        <f>IF('3.Plan de Estudios'!O38=0,"-",'3.Plan de Estudios'!O38)</f>
        <v>-</v>
      </c>
      <c r="K25" s="321" t="str">
        <f>IF('3.Plan de Estudios'!P38=0,"-",'3.Plan de Estudios'!P38)</f>
        <v>-</v>
      </c>
      <c r="L25" s="294" t="str">
        <f>IF('7.Sumillas'!G26=0,"",'7.Sumillas'!G26)</f>
        <v/>
      </c>
      <c r="M25" s="298"/>
      <c r="N25" s="298"/>
      <c r="O25" s="294" t="str">
        <f>CONCATENATE(CHAR(10),CONCATENATE('3.Plan de Estudios'!AA38,CHAR(10),'3.Plan de Estudios'!AC38,CHAR(10),'3.Plan de Estudios'!AE38,CHAR(10),'3.Plan de Estudios'!AG38,CHAR(10),'3.Plan de Estudios'!AI38))</f>
        <v xml:space="preserve">
</v>
      </c>
      <c r="P25" s="298"/>
      <c r="Q25" s="298"/>
      <c r="R25" s="298"/>
      <c r="S25" s="336" t="str">
        <f t="shared" si="0"/>
        <v>No Aplica</v>
      </c>
    </row>
    <row r="26" spans="1:19" ht="72">
      <c r="A26" s="292">
        <f>IF('3.Plan de Estudios'!B39="","",'3.Plan de Estudios'!B39)</f>
        <v>2</v>
      </c>
      <c r="B26" s="292" t="str">
        <f>IF('3.Plan de Estudios'!C39="","",'3.Plan de Estudios'!C39)</f>
        <v/>
      </c>
      <c r="C26" s="292" t="str">
        <f>IF('3.Plan de Estudios'!E39="","",'3.Plan de Estudios'!E39)</f>
        <v/>
      </c>
      <c r="D26" s="293" t="str">
        <f>'3.Plan de Estudios'!I39</f>
        <v/>
      </c>
      <c r="E26" s="293" t="str">
        <f>IF('3.Plan de Estudios'!J39=0,"-",'3.Plan de Estudios'!J39)</f>
        <v>-</v>
      </c>
      <c r="F26" s="319" t="str">
        <f>IF('3.Plan de Estudios'!K39=0,"-",'3.Plan de Estudios'!K39)</f>
        <v>-</v>
      </c>
      <c r="G26" s="319" t="str">
        <f>IF('3.Plan de Estudios'!L39=0,"-",'3.Plan de Estudios'!L39)</f>
        <v>-</v>
      </c>
      <c r="H26" s="319" t="str">
        <f>IF('3.Plan de Estudios'!M39=0,"-",'3.Plan de Estudios'!M39)</f>
        <v>-</v>
      </c>
      <c r="I26" s="319" t="str">
        <f>IF('3.Plan de Estudios'!N39=0,"-",'3.Plan de Estudios'!N39)</f>
        <v>-</v>
      </c>
      <c r="J26" s="320" t="str">
        <f>IF('3.Plan de Estudios'!O39=0,"-",'3.Plan de Estudios'!O39)</f>
        <v>-</v>
      </c>
      <c r="K26" s="321" t="str">
        <f>IF('3.Plan de Estudios'!P39=0,"-",'3.Plan de Estudios'!P39)</f>
        <v>-</v>
      </c>
      <c r="L26" s="294" t="str">
        <f>IF('7.Sumillas'!G27=0,"",'7.Sumillas'!G27)</f>
        <v/>
      </c>
      <c r="M26" s="298"/>
      <c r="N26" s="298"/>
      <c r="O26" s="294" t="str">
        <f>CONCATENATE(CHAR(10),CONCATENATE('3.Plan de Estudios'!AA39,CHAR(10),'3.Plan de Estudios'!AC39,CHAR(10),'3.Plan de Estudios'!AE39,CHAR(10),'3.Plan de Estudios'!AG39,CHAR(10),'3.Plan de Estudios'!AI39))</f>
        <v xml:space="preserve">
</v>
      </c>
      <c r="P26" s="298"/>
      <c r="Q26" s="298"/>
      <c r="R26" s="298"/>
      <c r="S26" s="336" t="str">
        <f t="shared" si="0"/>
        <v>No Aplica</v>
      </c>
    </row>
    <row r="27" spans="1:19" ht="84">
      <c r="A27" s="292">
        <f>IF('3.Plan de Estudios'!B41="","",'3.Plan de Estudios'!B41)</f>
        <v>3</v>
      </c>
      <c r="B27" s="292" t="str">
        <f>IF('3.Plan de Estudios'!C41="","",'3.Plan de Estudios'!C41)</f>
        <v>ENG42087</v>
      </c>
      <c r="C27" s="292" t="str">
        <f>IF('3.Plan de Estudios'!E41="","",'3.Plan de Estudios'!E41)</f>
        <v>ENGLISH III</v>
      </c>
      <c r="D27" s="293" t="str">
        <f>'3.Plan de Estudios'!I41</f>
        <v>Presencial</v>
      </c>
      <c r="E27" s="293">
        <f>IF('3.Plan de Estudios'!J41=0,"-",'3.Plan de Estudios'!J41)</f>
        <v>48</v>
      </c>
      <c r="F27" s="319" t="str">
        <f>IF('3.Plan de Estudios'!K41=0,"-",'3.Plan de Estudios'!K41)</f>
        <v>-</v>
      </c>
      <c r="G27" s="319">
        <f>IF('3.Plan de Estudios'!L41=0,"-",'3.Plan de Estudios'!L41)</f>
        <v>32</v>
      </c>
      <c r="H27" s="319" t="str">
        <f>IF('3.Plan de Estudios'!M41=0,"-",'3.Plan de Estudios'!M41)</f>
        <v>-</v>
      </c>
      <c r="I27" s="319" t="str">
        <f>IF('3.Plan de Estudios'!N41=0,"-",'3.Plan de Estudios'!N41)</f>
        <v>-</v>
      </c>
      <c r="J27" s="320" t="str">
        <f>IF('3.Plan de Estudios'!O41=0,"-",'3.Plan de Estudios'!O41)</f>
        <v>-</v>
      </c>
      <c r="K27" s="321">
        <f>IF('3.Plan de Estudios'!P41=0,"-",'3.Plan de Estudios'!P41)</f>
        <v>4</v>
      </c>
      <c r="L27" s="294" t="str">
        <f>IF('7.Sumillas'!G28=0,"",'7.Sumillas'!G28)</f>
        <v>English III, es un curso que pertenece al área formativa de estudios específicos, tiene carácter teórico-práctico, y tributa a la competencia de comunicación bilingüe. Contribuye al desarrollo de la competencia comunicativa y aplica las competencias correspondientes al nivel A2 según los estándares del Marco de Referencia de la Comunidad Europea (CEFR). Sus ejes temáticos son: producción de textos escritos, expresión de textos orales, comprensión de textos escritos y comprensión de textos orales. El producto acreditable de la asignatura es el examen final.</v>
      </c>
      <c r="M27" s="298"/>
      <c r="N27" s="298"/>
      <c r="O27" s="294" t="str">
        <f>CONCATENATE(CHAR(10),CONCATENATE('3.Plan de Estudios'!AA41,CHAR(10),'3.Plan de Estudios'!AC41,CHAR(10),'3.Plan de Estudios'!AE41,CHAR(10),'3.Plan de Estudios'!AG41,CHAR(10),'3.Plan de Estudios'!AI41))</f>
        <v xml:space="preserve">
CG2: Comunicación Bilingüe:N1 Aplica las competencias correspondientes al nivel A2 según los estándares del Marco de Referencia de la Comunidad Europea (CEFR).
</v>
      </c>
      <c r="P27" s="298"/>
      <c r="Q27" s="298"/>
      <c r="R27" s="298"/>
      <c r="S27" s="336" t="str">
        <f t="shared" si="0"/>
        <v>No Aplica</v>
      </c>
    </row>
    <row r="28" spans="1:19" ht="96">
      <c r="A28" s="292">
        <f>IF('3.Plan de Estudios'!B42="","",'3.Plan de Estudios'!B42)</f>
        <v>3</v>
      </c>
      <c r="B28" s="292" t="str">
        <f>IF('3.Plan de Estudios'!C42="","",'3.Plan de Estudios'!C42)</f>
        <v>EST41016</v>
      </c>
      <c r="C28" s="292" t="str">
        <f>IF('3.Plan de Estudios'!E42="","",'3.Plan de Estudios'!E42)</f>
        <v>ESTADÍSTICA GENERAL</v>
      </c>
      <c r="D28" s="293" t="str">
        <f>'3.Plan de Estudios'!I42</f>
        <v>Presencial</v>
      </c>
      <c r="E28" s="293">
        <f>IF('3.Plan de Estudios'!J42=0,"-",'3.Plan de Estudios'!J42)</f>
        <v>48</v>
      </c>
      <c r="F28" s="319" t="str">
        <f>IF('3.Plan de Estudios'!K42=0,"-",'3.Plan de Estudios'!K42)</f>
        <v>-</v>
      </c>
      <c r="G28" s="319">
        <f>IF('3.Plan de Estudios'!L42=0,"-",'3.Plan de Estudios'!L42)</f>
        <v>16</v>
      </c>
      <c r="H28" s="319" t="str">
        <f>IF('3.Plan de Estudios'!M42=0,"-",'3.Plan de Estudios'!M42)</f>
        <v>-</v>
      </c>
      <c r="I28" s="319">
        <f>IF('3.Plan de Estudios'!N42=0,"-",'3.Plan de Estudios'!N42)</f>
        <v>16</v>
      </c>
      <c r="J28" s="320" t="str">
        <f>IF('3.Plan de Estudios'!O42=0,"-",'3.Plan de Estudios'!O42)</f>
        <v>-</v>
      </c>
      <c r="K28" s="321">
        <f>IF('3.Plan de Estudios'!P42=0,"-",'3.Plan de Estudios'!P42)</f>
        <v>4</v>
      </c>
      <c r="L28" s="294" t="str">
        <f>IF('7.Sumillas'!G29=0,"",'7.Sumillas'!G29)</f>
        <v>Estadística General pertenece a la área de estudios generales, de naturaleza teórico-práctico. Tributa a la competencia de investigación a través del análisis e interpretación de datos de las investigaciones que realice en el área de su formación profesional, mediante técnicas estadísticas y con el apoyo de software especializado.. Se estudiarán los siguientes tópicos: Estadística Descriptiva, Probabilidades e Inferencia Estadística. Se obtendrá como producto del curso un reporte estadístico elaborado en base a los típicos de estadística descriptiva e inferencial adquiridos en el curso, utilizando una base de datos relacionada con su especialidad.</v>
      </c>
      <c r="M28" s="298"/>
      <c r="N28" s="298"/>
      <c r="O28" s="294" t="str">
        <f>CONCATENATE(CHAR(10),CONCATENATE('3.Plan de Estudios'!AA42,CHAR(10),'3.Plan de Estudios'!AC42,CHAR(10),'3.Plan de Estudios'!AE42,CHAR(10),'3.Plan de Estudios'!AG42,CHAR(10),'3.Plan de Estudios'!AI42))</f>
        <v xml:space="preserve">
CG3: Investigación:N1 Reconoce y plantea adecuadamente que es un problema de investigación y los objetivos de la misma.
</v>
      </c>
      <c r="P28" s="298"/>
      <c r="Q28" s="298"/>
      <c r="R28" s="298"/>
      <c r="S28" s="336" t="str">
        <f t="shared" si="0"/>
        <v>No Aplica</v>
      </c>
    </row>
    <row r="29" spans="1:19" ht="120">
      <c r="A29" s="292">
        <f>IF('3.Plan de Estudios'!B43="","",'3.Plan de Estudios'!B43)</f>
        <v>3</v>
      </c>
      <c r="B29" s="292" t="str">
        <f>IF('3.Plan de Estudios'!C43="","",'3.Plan de Estudios'!C43)</f>
        <v>API51001</v>
      </c>
      <c r="C29" s="292" t="str">
        <f>IF('3.Plan de Estudios'!E43="","",'3.Plan de Estudios'!E43)</f>
        <v>INFORMÁTICA APLICADA A LA EDUCACIÓN</v>
      </c>
      <c r="D29" s="293" t="str">
        <f>'3.Plan de Estudios'!I43</f>
        <v>Presencial</v>
      </c>
      <c r="E29" s="293">
        <f>IF('3.Plan de Estudios'!J43=0,"-",'3.Plan de Estudios'!J43)</f>
        <v>2</v>
      </c>
      <c r="F29" s="319" t="str">
        <f>IF('3.Plan de Estudios'!K43=0,"-",'3.Plan de Estudios'!K43)</f>
        <v>-</v>
      </c>
      <c r="G29" s="319">
        <f>IF('3.Plan de Estudios'!L43=0,"-",'3.Plan de Estudios'!L43)</f>
        <v>60</v>
      </c>
      <c r="H29" s="319" t="str">
        <f>IF('3.Plan de Estudios'!M43=0,"-",'3.Plan de Estudios'!M43)</f>
        <v>-</v>
      </c>
      <c r="I29" s="319" t="str">
        <f>IF('3.Plan de Estudios'!N43=0,"-",'3.Plan de Estudios'!N43)</f>
        <v>-</v>
      </c>
      <c r="J29" s="320" t="str">
        <f>IF('3.Plan de Estudios'!O43=0,"-",'3.Plan de Estudios'!O43)</f>
        <v>-</v>
      </c>
      <c r="K29" s="321">
        <f>IF('3.Plan de Estudios'!P43=0,"-",'3.Plan de Estudios'!P43)</f>
        <v>2</v>
      </c>
      <c r="L29" s="294" t="str">
        <f>IF('7.Sumillas'!G30=0,"",'7.Sumillas'!G30)</f>
        <v>Informática Aplicada a la Educación, es una asignatura de formación especializada de naturaleza teórico - práctico. Tributa a las competencias de desarrollo de gestión educativa y gestión de recursos. Los niveles por alcanzar serán: Desarrollar algunos principios básicos de la gestión educativa para brindar un adecuado servicio educativo y reconocer la teoría de gestión y sus componentes de manera aplicada para comprender la lógica empresarial. Comprende el desarrollo de los siguientes ejes temáticos: Beneficios de la informática y de las tecnologías en el quehacer educativo; la búsqueda y organización de la información en espacios de aprendizaje social, y la evaluación de software educativo como recurso de aprendizaje y sus aplicaciones. El producto acreditable es un informe de una propuesta de innovación educativa.</v>
      </c>
      <c r="M29" s="298"/>
      <c r="N29" s="298"/>
      <c r="O29" s="294" t="str">
        <f>CONCATENATE(CHAR(10),CONCATENATE('3.Plan de Estudios'!AA43,CHAR(10),'3.Plan de Estudios'!AC43,CHAR(10),'3.Plan de Estudios'!AE43,CHAR(10),'3.Plan de Estudios'!AG43,CHAR(10),'3.Plan de Estudios'!AI43))</f>
        <v xml:space="preserve">
CP2: Desarrollo de gestión educativa:N1 Desarrolla algunos principios básicos de la gestión educativa para brindar un adecuado servicio educativo.
CG4: Gestión de Recursos:N1 Reconoce la teoría de gestión y sus componentes de manera aplicada para comprender la lógica empresarial.
</v>
      </c>
      <c r="P29" s="298"/>
      <c r="Q29" s="298"/>
      <c r="R29" s="298"/>
      <c r="S29" s="336" t="str">
        <f t="shared" si="0"/>
        <v>No Aplica</v>
      </c>
    </row>
    <row r="30" spans="1:19" ht="84">
      <c r="A30" s="292">
        <f>IF('3.Plan de Estudios'!B44="","",'3.Plan de Estudios'!B44)</f>
        <v>3</v>
      </c>
      <c r="B30" s="292" t="str">
        <f>IF('3.Plan de Estudios'!C44="","",'3.Plan de Estudios'!C44)</f>
        <v>COM43009</v>
      </c>
      <c r="C30" s="292" t="str">
        <f>IF('3.Plan de Estudios'!E44="","",'3.Plan de Estudios'!E44)</f>
        <v>INTERPRETACIÓN DE TEXTOS</v>
      </c>
      <c r="D30" s="293" t="str">
        <f>'3.Plan de Estudios'!I44</f>
        <v>Presencial</v>
      </c>
      <c r="E30" s="293">
        <f>IF('3.Plan de Estudios'!J44=0,"-",'3.Plan de Estudios'!J44)</f>
        <v>36</v>
      </c>
      <c r="F30" s="319" t="str">
        <f>IF('3.Plan de Estudios'!K44=0,"-",'3.Plan de Estudios'!K44)</f>
        <v>-</v>
      </c>
      <c r="G30" s="319">
        <f>IF('3.Plan de Estudios'!L44=0,"-",'3.Plan de Estudios'!L44)</f>
        <v>56</v>
      </c>
      <c r="H30" s="319" t="str">
        <f>IF('3.Plan de Estudios'!M44=0,"-",'3.Plan de Estudios'!M44)</f>
        <v>-</v>
      </c>
      <c r="I30" s="319" t="str">
        <f>IF('3.Plan de Estudios'!N44=0,"-",'3.Plan de Estudios'!N44)</f>
        <v>-</v>
      </c>
      <c r="J30" s="320" t="str">
        <f>IF('3.Plan de Estudios'!O44=0,"-",'3.Plan de Estudios'!O44)</f>
        <v>-</v>
      </c>
      <c r="K30" s="321">
        <f>IF('3.Plan de Estudios'!P44=0,"-",'3.Plan de Estudios'!P44)</f>
        <v>4</v>
      </c>
      <c r="L30" s="294" t="str">
        <f>IF('7.Sumillas'!G31=0,"",'7.Sumillas'!G31)</f>
        <v>Comprensión e Interpretación de Textos, es una asignatura de formación especializada y de naturaleza teórico –práctico. Tributa a la competencia de comprensión y expresión del idioma inglés. Comprende el desarrollo de los siguientes ejes temáticos: Interpretación, características de un buen intérprete, las relaciones entre forma y contenido. El producto acreditable es un informe de investigación bibliográfica acerca de alguna obra destacada una autoridad en su especialidad.</v>
      </c>
      <c r="M30" s="298"/>
      <c r="N30" s="298"/>
      <c r="O30" s="294" t="str">
        <f>CONCATENATE(CHAR(10),CONCATENATE('3.Plan de Estudios'!AA44,CHAR(10),'3.Plan de Estudios'!AC44,CHAR(10),'3.Plan de Estudios'!AE44,CHAR(10),'3.Plan de Estudios'!AG44,CHAR(10),'3.Plan de Estudios'!AI44))</f>
        <v xml:space="preserve">
CP5: Comprensión y expresión del idioma inglés:N1 Emplea el uso de las TIC para el proceso de sistematización del proceso enseñanza aprendizaje.
</v>
      </c>
      <c r="P30" s="298"/>
      <c r="Q30" s="298"/>
      <c r="R30" s="298"/>
      <c r="S30" s="336" t="str">
        <f t="shared" si="0"/>
        <v>No Aplica</v>
      </c>
    </row>
    <row r="31" spans="1:19" ht="108">
      <c r="A31" s="292">
        <f>IF('3.Plan de Estudios'!B45="","",'3.Plan de Estudios'!B45)</f>
        <v>3</v>
      </c>
      <c r="B31" s="292" t="str">
        <f>IF('3.Plan de Estudios'!C45="","",'3.Plan de Estudios'!C45)</f>
        <v>GLB41002</v>
      </c>
      <c r="C31" s="292" t="str">
        <f>IF('3.Plan de Estudios'!E45="","",'3.Plan de Estudios'!E45)</f>
        <v>REALIDAD NACIONAL Y GLOBALIZACIÓN</v>
      </c>
      <c r="D31" s="293" t="str">
        <f>'3.Plan de Estudios'!I45</f>
        <v>Presencial</v>
      </c>
      <c r="E31" s="293">
        <f>IF('3.Plan de Estudios'!J45=0,"-",'3.Plan de Estudios'!J45)</f>
        <v>64</v>
      </c>
      <c r="F31" s="319" t="str">
        <f>IF('3.Plan de Estudios'!K45=0,"-",'3.Plan de Estudios'!K45)</f>
        <v>-</v>
      </c>
      <c r="G31" s="319" t="str">
        <f>IF('3.Plan de Estudios'!L45=0,"-",'3.Plan de Estudios'!L45)</f>
        <v>-</v>
      </c>
      <c r="H31" s="319" t="str">
        <f>IF('3.Plan de Estudios'!M45=0,"-",'3.Plan de Estudios'!M45)</f>
        <v>-</v>
      </c>
      <c r="I31" s="319" t="str">
        <f>IF('3.Plan de Estudios'!N45=0,"-",'3.Plan de Estudios'!N45)</f>
        <v>-</v>
      </c>
      <c r="J31" s="320" t="str">
        <f>IF('3.Plan de Estudios'!O45=0,"-",'3.Plan de Estudios'!O45)</f>
        <v>-</v>
      </c>
      <c r="K31" s="321">
        <f>IF('3.Plan de Estudios'!P45=0,"-",'3.Plan de Estudios'!P45)</f>
        <v>4</v>
      </c>
      <c r="L31" s="294" t="str">
        <f>IF('7.Sumillas'!G32=0,"",'7.Sumillas'!G32)</f>
        <v xml:space="preserve">Realidad Nacional y Globalización, es un curso que pertenece al área formativa de estudios generales, es de naturaleza teórica. Contribuye al desarrollo de las competencias de Orientación Educativa y Desarrollo Humano. Comprende el desarrollo de los siguientes ejes temáticos: la ecología, la economía y la cultura del Perú, y el impacto de la globalización en estos tres campos. Su producto acreditable es un informe que analiza las potencialidades de nuestro país y las principales tendencias del mundo actual con el marco teórico de las ciencias sociales y las nuevas tecnologías de la información y la comunicación. </v>
      </c>
      <c r="M31" s="298"/>
      <c r="N31" s="298"/>
      <c r="O31" s="294" t="str">
        <f>CONCATENATE(CHAR(10),CONCATENATE('3.Plan de Estudios'!AA45,CHAR(10),'3.Plan de Estudios'!AC45,CHAR(10),'3.Plan de Estudios'!AE45,CHAR(10),'3.Plan de Estudios'!AG45,CHAR(10),'3.Plan de Estudios'!AI45))</f>
        <v xml:space="preserve">
CP1: Orientación educativa:N1 Establece las orientaciones fundamentales del sentido educativo en los docentes y los alumnos. 
CG5: Desarrollo Humano:N1 Identifica sus capacidades y/o cualidades personales y académicas mediante ejercicios y base teórica conducente al fortalecimiento del autoconocimiento.
</v>
      </c>
      <c r="P31" s="298"/>
      <c r="Q31" s="298"/>
      <c r="R31" s="298"/>
      <c r="S31" s="336" t="str">
        <f t="shared" si="0"/>
        <v>No Aplica</v>
      </c>
    </row>
    <row r="32" spans="1:19" ht="84">
      <c r="A32" s="292">
        <f>IF('3.Plan de Estudios'!B46="","",'3.Plan de Estudios'!B46)</f>
        <v>3</v>
      </c>
      <c r="B32" s="292" t="str">
        <f>IF('3.Plan de Estudios'!C46="","",'3.Plan de Estudios'!C46)</f>
        <v>EDG51002</v>
      </c>
      <c r="C32" s="292" t="str">
        <f>IF('3.Plan de Estudios'!E46="","",'3.Plan de Estudios'!E46)</f>
        <v>TEORÍA DE LA EDUCACIÓN</v>
      </c>
      <c r="D32" s="293" t="str">
        <f>'3.Plan de Estudios'!I46</f>
        <v>Presencial</v>
      </c>
      <c r="E32" s="293">
        <f>IF('3.Plan de Estudios'!J46=0,"-",'3.Plan de Estudios'!J46)</f>
        <v>32</v>
      </c>
      <c r="F32" s="319" t="str">
        <f>IF('3.Plan de Estudios'!K46=0,"-",'3.Plan de Estudios'!K46)</f>
        <v>-</v>
      </c>
      <c r="G32" s="319" t="str">
        <f>IF('3.Plan de Estudios'!L46=0,"-",'3.Plan de Estudios'!L46)</f>
        <v>-</v>
      </c>
      <c r="H32" s="319" t="str">
        <f>IF('3.Plan de Estudios'!M46=0,"-",'3.Plan de Estudios'!M46)</f>
        <v>-</v>
      </c>
      <c r="I32" s="319" t="str">
        <f>IF('3.Plan de Estudios'!N46=0,"-",'3.Plan de Estudios'!N46)</f>
        <v>-</v>
      </c>
      <c r="J32" s="320" t="str">
        <f>IF('3.Plan de Estudios'!O46=0,"-",'3.Plan de Estudios'!O46)</f>
        <v>-</v>
      </c>
      <c r="K32" s="321">
        <f>IF('3.Plan de Estudios'!P46=0,"-",'3.Plan de Estudios'!P46)</f>
        <v>2</v>
      </c>
      <c r="L32" s="294" t="str">
        <f>IF('7.Sumillas'!G33=0,"",'7.Sumillas'!G33)</f>
        <v>Teoría de la Educación, es un asignatura de formación especializada y naturaleza teórica. Tributa a la competencia de desarrollo, enseñanza y aprendizaje. Comprende el desarrollo de los siguientes ejes temáticos: Bases Teóricas de la educación; teorías del aprendizaje y educación en la actualidad. El producto acreditable es un informe de investigación orientado al análisis y fundamentación de la teoría de la educación.</v>
      </c>
      <c r="M32" s="298"/>
      <c r="N32" s="298"/>
      <c r="O32" s="294" t="str">
        <f>CONCATENATE(CHAR(10),CONCATENATE('3.Plan de Estudios'!AA46,CHAR(10),'3.Plan de Estudios'!AC46,CHAR(10),'3.Plan de Estudios'!AE46,CHAR(10),'3.Plan de Estudios'!AG46,CHAR(10),'3.Plan de Estudios'!AI46))</f>
        <v xml:space="preserve">
CP3: Desarrollo enseñanza y aprendizaje:N1 Promueve el desarrollo de la identidad del maestro para acrecentar el aprendizaje de los alumnos.
</v>
      </c>
      <c r="P32" s="298"/>
      <c r="Q32" s="298"/>
      <c r="R32" s="298"/>
      <c r="S32" s="336" t="str">
        <f t="shared" si="0"/>
        <v>No Aplica</v>
      </c>
    </row>
    <row r="33" spans="1:19" ht="72">
      <c r="A33" s="292">
        <f>IF('3.Plan de Estudios'!B47="","",'3.Plan de Estudios'!B47)</f>
        <v>3</v>
      </c>
      <c r="B33" s="292" t="str">
        <f>IF('3.Plan de Estudios'!C47="","",'3.Plan de Estudios'!C47)</f>
        <v/>
      </c>
      <c r="C33" s="292" t="str">
        <f>IF('3.Plan de Estudios'!E47="","",'3.Plan de Estudios'!E47)</f>
        <v/>
      </c>
      <c r="D33" s="293" t="str">
        <f>'3.Plan de Estudios'!I47</f>
        <v/>
      </c>
      <c r="E33" s="293" t="str">
        <f>IF('3.Plan de Estudios'!J47=0,"-",'3.Plan de Estudios'!J47)</f>
        <v>-</v>
      </c>
      <c r="F33" s="319" t="str">
        <f>IF('3.Plan de Estudios'!K47=0,"-",'3.Plan de Estudios'!K47)</f>
        <v>-</v>
      </c>
      <c r="G33" s="319" t="str">
        <f>IF('3.Plan de Estudios'!L47=0,"-",'3.Plan de Estudios'!L47)</f>
        <v>-</v>
      </c>
      <c r="H33" s="319" t="str">
        <f>IF('3.Plan de Estudios'!M47=0,"-",'3.Plan de Estudios'!M47)</f>
        <v>-</v>
      </c>
      <c r="I33" s="319" t="str">
        <f>IF('3.Plan de Estudios'!N47=0,"-",'3.Plan de Estudios'!N47)</f>
        <v>-</v>
      </c>
      <c r="J33" s="320" t="str">
        <f>IF('3.Plan de Estudios'!O47=0,"-",'3.Plan de Estudios'!O47)</f>
        <v>-</v>
      </c>
      <c r="K33" s="321" t="str">
        <f>IF('3.Plan de Estudios'!P47=0,"-",'3.Plan de Estudios'!P47)</f>
        <v>-</v>
      </c>
      <c r="L33" s="294" t="str">
        <f>IF('7.Sumillas'!G34=0,"",'7.Sumillas'!G34)</f>
        <v/>
      </c>
      <c r="M33" s="298"/>
      <c r="N33" s="298"/>
      <c r="O33" s="294" t="str">
        <f>CONCATENATE(CHAR(10),CONCATENATE('3.Plan de Estudios'!AA47,CHAR(10),'3.Plan de Estudios'!AC47,CHAR(10),'3.Plan de Estudios'!AE47,CHAR(10),'3.Plan de Estudios'!AG47,CHAR(10),'3.Plan de Estudios'!AI47))</f>
        <v xml:space="preserve">
</v>
      </c>
      <c r="P33" s="298"/>
      <c r="Q33" s="298"/>
      <c r="R33" s="298"/>
      <c r="S33" s="336" t="str">
        <f t="shared" si="0"/>
        <v>No Aplica</v>
      </c>
    </row>
    <row r="34" spans="1:19" ht="72">
      <c r="A34" s="292">
        <f>IF('3.Plan de Estudios'!B48="","",'3.Plan de Estudios'!B48)</f>
        <v>3</v>
      </c>
      <c r="B34" s="292" t="str">
        <f>IF('3.Plan de Estudios'!C48="","",'3.Plan de Estudios'!C48)</f>
        <v/>
      </c>
      <c r="C34" s="292" t="str">
        <f>IF('3.Plan de Estudios'!E48="","",'3.Plan de Estudios'!E48)</f>
        <v/>
      </c>
      <c r="D34" s="293" t="str">
        <f>'3.Plan de Estudios'!I48</f>
        <v/>
      </c>
      <c r="E34" s="293" t="str">
        <f>IF('3.Plan de Estudios'!J48=0,"-",'3.Plan de Estudios'!J48)</f>
        <v>-</v>
      </c>
      <c r="F34" s="319" t="str">
        <f>IF('3.Plan de Estudios'!K48=0,"-",'3.Plan de Estudios'!K48)</f>
        <v>-</v>
      </c>
      <c r="G34" s="319" t="str">
        <f>IF('3.Plan de Estudios'!L48=0,"-",'3.Plan de Estudios'!L48)</f>
        <v>-</v>
      </c>
      <c r="H34" s="319" t="str">
        <f>IF('3.Plan de Estudios'!M48=0,"-",'3.Plan de Estudios'!M48)</f>
        <v>-</v>
      </c>
      <c r="I34" s="319" t="str">
        <f>IF('3.Plan de Estudios'!N48=0,"-",'3.Plan de Estudios'!N48)</f>
        <v>-</v>
      </c>
      <c r="J34" s="320" t="str">
        <f>IF('3.Plan de Estudios'!O48=0,"-",'3.Plan de Estudios'!O48)</f>
        <v>-</v>
      </c>
      <c r="K34" s="321" t="str">
        <f>IF('3.Plan de Estudios'!P48=0,"-",'3.Plan de Estudios'!P48)</f>
        <v>-</v>
      </c>
      <c r="L34" s="294" t="str">
        <f>IF('7.Sumillas'!G35=0,"",'7.Sumillas'!G35)</f>
        <v/>
      </c>
      <c r="M34" s="298"/>
      <c r="N34" s="298"/>
      <c r="O34" s="294" t="str">
        <f>CONCATENATE(CHAR(10),CONCATENATE('3.Plan de Estudios'!AA48,CHAR(10),'3.Plan de Estudios'!AC48,CHAR(10),'3.Plan de Estudios'!AE48,CHAR(10),'3.Plan de Estudios'!AG48,CHAR(10),'3.Plan de Estudios'!AI48))</f>
        <v xml:space="preserve">
</v>
      </c>
      <c r="P34" s="298"/>
      <c r="Q34" s="298"/>
      <c r="R34" s="298"/>
      <c r="S34" s="336" t="str">
        <f t="shared" si="0"/>
        <v>No Aplica</v>
      </c>
    </row>
    <row r="35" spans="1:19" ht="72">
      <c r="A35" s="292">
        <f>IF('3.Plan de Estudios'!B49="","",'3.Plan de Estudios'!B49)</f>
        <v>3</v>
      </c>
      <c r="B35" s="292" t="str">
        <f>IF('3.Plan de Estudios'!C49="","",'3.Plan de Estudios'!C49)</f>
        <v/>
      </c>
      <c r="C35" s="292" t="str">
        <f>IF('3.Plan de Estudios'!E49="","",'3.Plan de Estudios'!E49)</f>
        <v/>
      </c>
      <c r="D35" s="293" t="str">
        <f>'3.Plan de Estudios'!I49</f>
        <v/>
      </c>
      <c r="E35" s="293" t="str">
        <f>IF('3.Plan de Estudios'!J49=0,"-",'3.Plan de Estudios'!J49)</f>
        <v>-</v>
      </c>
      <c r="F35" s="319" t="str">
        <f>IF('3.Plan de Estudios'!K49=0,"-",'3.Plan de Estudios'!K49)</f>
        <v>-</v>
      </c>
      <c r="G35" s="319" t="str">
        <f>IF('3.Plan de Estudios'!L49=0,"-",'3.Plan de Estudios'!L49)</f>
        <v>-</v>
      </c>
      <c r="H35" s="319" t="str">
        <f>IF('3.Plan de Estudios'!M49=0,"-",'3.Plan de Estudios'!M49)</f>
        <v>-</v>
      </c>
      <c r="I35" s="319" t="str">
        <f>IF('3.Plan de Estudios'!N49=0,"-",'3.Plan de Estudios'!N49)</f>
        <v>-</v>
      </c>
      <c r="J35" s="320" t="str">
        <f>IF('3.Plan de Estudios'!O49=0,"-",'3.Plan de Estudios'!O49)</f>
        <v>-</v>
      </c>
      <c r="K35" s="321" t="str">
        <f>IF('3.Plan de Estudios'!P49=0,"-",'3.Plan de Estudios'!P49)</f>
        <v>-</v>
      </c>
      <c r="L35" s="294" t="str">
        <f>IF('7.Sumillas'!G36=0,"",'7.Sumillas'!G36)</f>
        <v/>
      </c>
      <c r="M35" s="298"/>
      <c r="N35" s="298"/>
      <c r="O35" s="294" t="str">
        <f>CONCATENATE(CHAR(10),CONCATENATE('3.Plan de Estudios'!AA49,CHAR(10),'3.Plan de Estudios'!AC49,CHAR(10),'3.Plan de Estudios'!AE49,CHAR(10),'3.Plan de Estudios'!AG49,CHAR(10),'3.Plan de Estudios'!AI49))</f>
        <v xml:space="preserve">
</v>
      </c>
      <c r="P35" s="298"/>
      <c r="Q35" s="298"/>
      <c r="R35" s="298"/>
      <c r="S35" s="336" t="str">
        <f t="shared" si="0"/>
        <v>No Aplica</v>
      </c>
    </row>
    <row r="36" spans="1:19" ht="72">
      <c r="A36" s="292">
        <f>IF('3.Plan de Estudios'!B50="","",'3.Plan de Estudios'!B50)</f>
        <v>3</v>
      </c>
      <c r="B36" s="292" t="str">
        <f>IF('3.Plan de Estudios'!C50="","",'3.Plan de Estudios'!C50)</f>
        <v/>
      </c>
      <c r="C36" s="292" t="str">
        <f>IF('3.Plan de Estudios'!E50="","",'3.Plan de Estudios'!E50)</f>
        <v/>
      </c>
      <c r="D36" s="293" t="str">
        <f>'3.Plan de Estudios'!I50</f>
        <v/>
      </c>
      <c r="E36" s="293" t="str">
        <f>IF('3.Plan de Estudios'!J50=0,"-",'3.Plan de Estudios'!J50)</f>
        <v>-</v>
      </c>
      <c r="F36" s="319" t="str">
        <f>IF('3.Plan de Estudios'!K50=0,"-",'3.Plan de Estudios'!K50)</f>
        <v>-</v>
      </c>
      <c r="G36" s="319" t="str">
        <f>IF('3.Plan de Estudios'!L50=0,"-",'3.Plan de Estudios'!L50)</f>
        <v>-</v>
      </c>
      <c r="H36" s="319" t="str">
        <f>IF('3.Plan de Estudios'!M50=0,"-",'3.Plan de Estudios'!M50)</f>
        <v>-</v>
      </c>
      <c r="I36" s="319" t="str">
        <f>IF('3.Plan de Estudios'!N50=0,"-",'3.Plan de Estudios'!N50)</f>
        <v>-</v>
      </c>
      <c r="J36" s="320" t="str">
        <f>IF('3.Plan de Estudios'!O50=0,"-",'3.Plan de Estudios'!O50)</f>
        <v>-</v>
      </c>
      <c r="K36" s="321" t="str">
        <f>IF('3.Plan de Estudios'!P50=0,"-",'3.Plan de Estudios'!P50)</f>
        <v>-</v>
      </c>
      <c r="L36" s="294" t="str">
        <f>IF('7.Sumillas'!G37=0,"",'7.Sumillas'!G37)</f>
        <v/>
      </c>
      <c r="M36" s="298"/>
      <c r="N36" s="298"/>
      <c r="O36" s="294" t="str">
        <f>CONCATENATE(CHAR(10),CONCATENATE('3.Plan de Estudios'!AA50,CHAR(10),'3.Plan de Estudios'!AC50,CHAR(10),'3.Plan de Estudios'!AE50,CHAR(10),'3.Plan de Estudios'!AG50,CHAR(10),'3.Plan de Estudios'!AI50))</f>
        <v xml:space="preserve">
</v>
      </c>
      <c r="P36" s="298"/>
      <c r="Q36" s="298"/>
      <c r="R36" s="298"/>
      <c r="S36" s="336" t="str">
        <f t="shared" si="0"/>
        <v>No Aplica</v>
      </c>
    </row>
    <row r="37" spans="1:19" ht="96">
      <c r="A37" s="292">
        <f>IF('3.Plan de Estudios'!B52="","",'3.Plan de Estudios'!B52)</f>
        <v>4</v>
      </c>
      <c r="B37" s="292" t="str">
        <f>IF('3.Plan de Estudios'!C52="","",'3.Plan de Estudios'!C52)</f>
        <v>EDG51015</v>
      </c>
      <c r="C37" s="292" t="str">
        <f>IF('3.Plan de Estudios'!E52="","",'3.Plan de Estudios'!E52)</f>
        <v>DISEÑO Y PROGRAMACIÓN CURRICULAR</v>
      </c>
      <c r="D37" s="293" t="str">
        <f>'3.Plan de Estudios'!I52</f>
        <v>Presencial</v>
      </c>
      <c r="E37" s="293">
        <f>IF('3.Plan de Estudios'!J52=0,"-",'3.Plan de Estudios'!J52)</f>
        <v>36</v>
      </c>
      <c r="F37" s="319" t="str">
        <f>IF('3.Plan de Estudios'!K52=0,"-",'3.Plan de Estudios'!K52)</f>
        <v>-</v>
      </c>
      <c r="G37" s="319">
        <f>IF('3.Plan de Estudios'!L52=0,"-",'3.Plan de Estudios'!L52)</f>
        <v>56</v>
      </c>
      <c r="H37" s="319" t="str">
        <f>IF('3.Plan de Estudios'!M52=0,"-",'3.Plan de Estudios'!M52)</f>
        <v>-</v>
      </c>
      <c r="I37" s="319" t="str">
        <f>IF('3.Plan de Estudios'!N52=0,"-",'3.Plan de Estudios'!N52)</f>
        <v>-</v>
      </c>
      <c r="J37" s="320" t="str">
        <f>IF('3.Plan de Estudios'!O52=0,"-",'3.Plan de Estudios'!O52)</f>
        <v>-</v>
      </c>
      <c r="K37" s="321">
        <f>IF('3.Plan de Estudios'!P52=0,"-",'3.Plan de Estudios'!P52)</f>
        <v>4</v>
      </c>
      <c r="L37" s="294" t="str">
        <f>IF('7.Sumillas'!G38=0,"",'7.Sumillas'!G38)</f>
        <v xml:space="preserve">Diseño y Programación Curricular, es una asignatura de formación especializada y es de naturaleza teórico-práctico. Tributa a las competencias de desarrollo de enseñanza y aprendizaje; desarrollo gestión educativa. Promueve el desarrollo de la identidad del maestro para acrecentar el aprendizaje de los alumnos. Comprende el desarrollo de los siguientes ejes temáticos: fundamentos del currículo nacional de la educación básica y la programación curricular en la educación básica regular. El producto acreditable de la asignatura es el informe de una propuesta de sesión de aprendizaje considerando fundamentos teóricos y tendencias actuales curriculares. </v>
      </c>
      <c r="M37" s="298"/>
      <c r="N37" s="298"/>
      <c r="O37" s="294" t="str">
        <f>CONCATENATE(CHAR(10),CONCATENATE('3.Plan de Estudios'!AA52,CHAR(10),'3.Plan de Estudios'!AC52,CHAR(10),'3.Plan de Estudios'!AE52,CHAR(10),'3.Plan de Estudios'!AG52,CHAR(10),'3.Plan de Estudios'!AI52))</f>
        <v xml:space="preserve">
CP2: Desarrollo de gestión educativa:N1 Desarrolla algunos principios básicos de la gestión educativa para brindar un adecuado servicio educativo.
CP3: Desarrollo enseñanza y aprendizaje:N1 Promueve el desarrollo de la identidad del maestro para acrecentar el aprendizaje de los alumnos.
</v>
      </c>
      <c r="P37" s="298"/>
      <c r="Q37" s="298"/>
      <c r="R37" s="298"/>
      <c r="S37" s="336" t="str">
        <f t="shared" si="0"/>
        <v>No Aplica</v>
      </c>
    </row>
    <row r="38" spans="1:19" ht="84">
      <c r="A38" s="292">
        <f>IF('3.Plan de Estudios'!B53="","",'3.Plan de Estudios'!B53)</f>
        <v>4</v>
      </c>
      <c r="B38" s="292" t="str">
        <f>IF('3.Plan de Estudios'!C53="","",'3.Plan de Estudios'!C53)</f>
        <v>ENG42089</v>
      </c>
      <c r="C38" s="292" t="str">
        <f>IF('3.Plan de Estudios'!E53="","",'3.Plan de Estudios'!E53)</f>
        <v>ENGLISH IV</v>
      </c>
      <c r="D38" s="293" t="str">
        <f>'3.Plan de Estudios'!I53</f>
        <v>Presencial</v>
      </c>
      <c r="E38" s="293">
        <f>IF('3.Plan de Estudios'!J53=0,"-",'3.Plan de Estudios'!J53)</f>
        <v>48</v>
      </c>
      <c r="F38" s="319" t="str">
        <f>IF('3.Plan de Estudios'!K53=0,"-",'3.Plan de Estudios'!K53)</f>
        <v>-</v>
      </c>
      <c r="G38" s="319">
        <f>IF('3.Plan de Estudios'!L53=0,"-",'3.Plan de Estudios'!L53)</f>
        <v>32</v>
      </c>
      <c r="H38" s="319" t="str">
        <f>IF('3.Plan de Estudios'!M53=0,"-",'3.Plan de Estudios'!M53)</f>
        <v>-</v>
      </c>
      <c r="I38" s="319" t="str">
        <f>IF('3.Plan de Estudios'!N53=0,"-",'3.Plan de Estudios'!N53)</f>
        <v>-</v>
      </c>
      <c r="J38" s="320" t="str">
        <f>IF('3.Plan de Estudios'!O53=0,"-",'3.Plan de Estudios'!O53)</f>
        <v>-</v>
      </c>
      <c r="K38" s="321">
        <f>IF('3.Plan de Estudios'!P53=0,"-",'3.Plan de Estudios'!P53)</f>
        <v>4</v>
      </c>
      <c r="L38" s="294" t="str">
        <f>IF('7.Sumillas'!G39=0,"",'7.Sumillas'!G39)</f>
        <v xml:space="preserve">English IV, es un curso que pertenece al área formativa de estudios específicos, tiene carácter teórico-práctico, y tributa a la competencia de comunicación bilingüe. Contribuye al desarrollo de la competencia comunicativa, nivel B1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 </v>
      </c>
      <c r="M38" s="298"/>
      <c r="N38" s="298"/>
      <c r="O38" s="294" t="str">
        <f>CONCATENATE(CHAR(10),CONCATENATE('3.Plan de Estudios'!AA53,CHAR(10),'3.Plan de Estudios'!AC53,CHAR(10),'3.Plan de Estudios'!AE53,CHAR(10),'3.Plan de Estudios'!AG53,CHAR(10),'3.Plan de Estudios'!AI53))</f>
        <v xml:space="preserve">
CG2: Comunicación Bilingüe:N2 Aplica las competencias correspondientes al nivel B1 según los estándares del Marco de Referencia de la Comunidad Europea (CEFR).
</v>
      </c>
      <c r="P38" s="298"/>
      <c r="Q38" s="298"/>
      <c r="R38" s="298"/>
      <c r="S38" s="336" t="str">
        <f t="shared" si="0"/>
        <v>No Aplica</v>
      </c>
    </row>
    <row r="39" spans="1:19" ht="96">
      <c r="A39" s="292">
        <f>IF('3.Plan de Estudios'!B54="","",'3.Plan de Estudios'!B54)</f>
        <v>4</v>
      </c>
      <c r="B39" s="292" t="str">
        <f>IF('3.Plan de Estudios'!C54="","",'3.Plan de Estudios'!C54)</f>
        <v>ENG53009</v>
      </c>
      <c r="C39" s="292" t="str">
        <f>IF('3.Plan de Estudios'!E54="","",'3.Plan de Estudios'!E54)</f>
        <v>ENGLISH VOCABULARY</v>
      </c>
      <c r="D39" s="293" t="str">
        <f>'3.Plan de Estudios'!I54</f>
        <v>Presencial</v>
      </c>
      <c r="E39" s="293">
        <f>IF('3.Plan de Estudios'!J54=0,"-",'3.Plan de Estudios'!J54)</f>
        <v>36</v>
      </c>
      <c r="F39" s="319" t="str">
        <f>IF('3.Plan de Estudios'!K54=0,"-",'3.Plan de Estudios'!K54)</f>
        <v>-</v>
      </c>
      <c r="G39" s="319">
        <f>IF('3.Plan de Estudios'!L54=0,"-",'3.Plan de Estudios'!L54)</f>
        <v>56</v>
      </c>
      <c r="H39" s="319" t="str">
        <f>IF('3.Plan de Estudios'!M54=0,"-",'3.Plan de Estudios'!M54)</f>
        <v>-</v>
      </c>
      <c r="I39" s="319" t="str">
        <f>IF('3.Plan de Estudios'!N54=0,"-",'3.Plan de Estudios'!N54)</f>
        <v>-</v>
      </c>
      <c r="J39" s="320" t="str">
        <f>IF('3.Plan de Estudios'!O54=0,"-",'3.Plan de Estudios'!O54)</f>
        <v>-</v>
      </c>
      <c r="K39" s="321">
        <f>IF('3.Plan de Estudios'!P54=0,"-",'3.Plan de Estudios'!P54)</f>
        <v>4</v>
      </c>
      <c r="L39" s="294" t="str">
        <f>IF('7.Sumillas'!G40=0,"",'7.Sumillas'!G40)</f>
        <v>The English Vocabulary course is of a theoretical-practical nature, its purpose is to broaden the lexical, semantic and morphological linguistic knowledge of future English teachers. The course pays tribute to the competence: Comprehension and expression of the English language. The level of the course employs the use of ICT for the systematization process of the teaching-learning process. In addition, teachers will be able to analyze, reflect and make the right decisions when implementing ICT in current teaching scenarios. The accreditable product will be that the students make a visual organizer to demonstrate the learning of the subject.</v>
      </c>
      <c r="M39" s="298"/>
      <c r="N39" s="298"/>
      <c r="O39" s="294" t="str">
        <f>CONCATENATE(CHAR(10),CONCATENATE('3.Plan de Estudios'!AA54,CHAR(10),'3.Plan de Estudios'!AC54,CHAR(10),'3.Plan de Estudios'!AE54,CHAR(10),'3.Plan de Estudios'!AG54,CHAR(10),'3.Plan de Estudios'!AI54))</f>
        <v xml:space="preserve">
CP5: Comprensión y expresión del idioma inglés:N1 Emplea el uso de las TIC para el proceso de sistematización del proceso enseñanza aprendizaje.
</v>
      </c>
      <c r="P39" s="298"/>
      <c r="Q39" s="298"/>
      <c r="R39" s="298"/>
      <c r="S39" s="336" t="str">
        <f t="shared" si="0"/>
        <v>No Aplica</v>
      </c>
    </row>
    <row r="40" spans="1:19" ht="120">
      <c r="A40" s="292">
        <f>IF('3.Plan de Estudios'!B55="","",'3.Plan de Estudios'!B55)</f>
        <v>4</v>
      </c>
      <c r="B40" s="292" t="str">
        <f>IF('3.Plan de Estudios'!C55="","",'3.Plan de Estudios'!C55)</f>
        <v>INV51002</v>
      </c>
      <c r="C40" s="292" t="str">
        <f>IF('3.Plan de Estudios'!E55="","",'3.Plan de Estudios'!E55)</f>
        <v>METODOLOGÍA DE LA INVESTIGACIÓN</v>
      </c>
      <c r="D40" s="293" t="str">
        <f>'3.Plan de Estudios'!I55</f>
        <v>Presencial</v>
      </c>
      <c r="E40" s="293">
        <f>IF('3.Plan de Estudios'!J55=0,"-",'3.Plan de Estudios'!J55)</f>
        <v>64</v>
      </c>
      <c r="F40" s="319" t="str">
        <f>IF('3.Plan de Estudios'!K55=0,"-",'3.Plan de Estudios'!K55)</f>
        <v>-</v>
      </c>
      <c r="G40" s="319" t="str">
        <f>IF('3.Plan de Estudios'!L55=0,"-",'3.Plan de Estudios'!L55)</f>
        <v>-</v>
      </c>
      <c r="H40" s="319" t="str">
        <f>IF('3.Plan de Estudios'!M55=0,"-",'3.Plan de Estudios'!M55)</f>
        <v>-</v>
      </c>
      <c r="I40" s="319" t="str">
        <f>IF('3.Plan de Estudios'!N55=0,"-",'3.Plan de Estudios'!N55)</f>
        <v>-</v>
      </c>
      <c r="J40" s="320" t="str">
        <f>IF('3.Plan de Estudios'!O55=0,"-",'3.Plan de Estudios'!O55)</f>
        <v>-</v>
      </c>
      <c r="K40" s="321">
        <f>IF('3.Plan de Estudios'!P55=0,"-",'3.Plan de Estudios'!P55)</f>
        <v>4</v>
      </c>
      <c r="L40" s="294" t="str">
        <f>IF('7.Sumillas'!G41=0,"",'7.Sumillas'!G41)</f>
        <v>Metodología de la investigación, es un curso que pertenece al área formativa de estudios generales, tiene carácter teórico. Contribuye al desarrollo de la competencia de investigación educativa y a la competencia general de investigación. Es estudiante tendrá la oportunidad de implementar el marco teórico del proyecto de investigación para la validación de los posibles instrumentos a aplicar. El contenido temático comprende desde las habilidades para la búsqueda de información y redacción académica, hasta la construcción del proyecto: problematización, argumentación del enfoque teórico-conceptual, formulación de objetivos e hipótesis e identificación de las estrategias metodológicas.  El producto acreditable de la asignatura es una matriz de consistencia que luego se convertirá en un proyecto de investigación.</v>
      </c>
      <c r="M40" s="298"/>
      <c r="N40" s="298"/>
      <c r="O40" s="294" t="str">
        <f>CONCATENATE(CHAR(10),CONCATENATE('3.Plan de Estudios'!AA55,CHAR(10),'3.Plan de Estudios'!AC55,CHAR(10),'3.Plan de Estudios'!AE55,CHAR(10),'3.Plan de Estudios'!AG55,CHAR(10),'3.Plan de Estudios'!AI55))</f>
        <v xml:space="preserve">
CP4: Investigación Educativa:N1 Implementa el marco teórico del proyecto de investigación para la validación de los posibles instrumentos a aplicar.
CG3: Investigación:N1 Reconoce y plantea adecuadamente que es un problema de investigación y los objetivos de la misma.
</v>
      </c>
      <c r="P40" s="298"/>
      <c r="Q40" s="298"/>
      <c r="R40" s="298"/>
      <c r="S40" s="336" t="str">
        <f t="shared" si="0"/>
        <v>No Aplica</v>
      </c>
    </row>
    <row r="41" spans="1:19" ht="180">
      <c r="A41" s="292">
        <f>IF('3.Plan de Estudios'!B56="","",'3.Plan de Estudios'!B56)</f>
        <v>4</v>
      </c>
      <c r="B41" s="292" t="str">
        <f>IF('3.Plan de Estudios'!C56="","",'3.Plan de Estudios'!C56)</f>
        <v>ECO51012</v>
      </c>
      <c r="C41" s="292" t="str">
        <f>IF('3.Plan de Estudios'!E56="","",'3.Plan de Estudios'!E56)</f>
        <v>PRINCIPIOS DE ECONOMÍA</v>
      </c>
      <c r="D41" s="293" t="str">
        <f>'3.Plan de Estudios'!I56</f>
        <v>Presencial</v>
      </c>
      <c r="E41" s="293">
        <f>IF('3.Plan de Estudios'!J56=0,"-",'3.Plan de Estudios'!J56)</f>
        <v>64</v>
      </c>
      <c r="F41" s="319" t="str">
        <f>IF('3.Plan de Estudios'!K56=0,"-",'3.Plan de Estudios'!K56)</f>
        <v>-</v>
      </c>
      <c r="G41" s="319" t="str">
        <f>IF('3.Plan de Estudios'!L56=0,"-",'3.Plan de Estudios'!L56)</f>
        <v>-</v>
      </c>
      <c r="H41" s="319" t="str">
        <f>IF('3.Plan de Estudios'!M56=0,"-",'3.Plan de Estudios'!M56)</f>
        <v>-</v>
      </c>
      <c r="I41" s="319" t="str">
        <f>IF('3.Plan de Estudios'!N56=0,"-",'3.Plan de Estudios'!N56)</f>
        <v>-</v>
      </c>
      <c r="J41" s="320" t="str">
        <f>IF('3.Plan de Estudios'!O56=0,"-",'3.Plan de Estudios'!O56)</f>
        <v>-</v>
      </c>
      <c r="K41" s="321">
        <f>IF('3.Plan de Estudios'!P56=0,"-",'3.Plan de Estudios'!P56)</f>
        <v>4</v>
      </c>
      <c r="L41" s="294" t="str">
        <f>IF('7.Sumillas'!G42=0,"",'7.Sumillas'!G42)</f>
        <v>Principios de Economía es una asignatura de formación específica,  de naturaleza teórico. Contribuye al desarrollo de competencia de gestión de recursos. Tiene como propósito proporcionar a los estudiantes elementos conceptuales de la teoría económica para la comprensión del debate económico nacional, sin requerir complejidad matemática alguna. El curso cubre temas de la microeconomía y la macroeconomía. En microeconomía, se estudia el funcionamiento de los mercados y sus componentes principales, la demanda y oferta, introduciendo a los alumnos al estudio de los mercados perfectamente competitivos para culminar con el análisis de las situaciones de mercado no competitivo. En macroeconomía, se abordan los grandes objetivos macroeconómicos, la estabilización de los ciclos económicos, la estabilidad de precios y el crecimiento a largo plazo, así como la influencia de las políticas económicas. Se estudia adicionalmente el fundamento teórico de la importancia del comercio internacional. El producto acreditable de la asignatura es el trabajo final relacionado al aspecto macroeconómico y microeconómico referentes a la teoría económica.</v>
      </c>
      <c r="M41" s="298"/>
      <c r="N41" s="298"/>
      <c r="O41" s="294" t="str">
        <f>CONCATENATE(CHAR(10),CONCATENATE('3.Plan de Estudios'!AA56,CHAR(10),'3.Plan de Estudios'!AC56,CHAR(10),'3.Plan de Estudios'!AE56,CHAR(10),'3.Plan de Estudios'!AG56,CHAR(10),'3.Plan de Estudios'!AI56))</f>
        <v xml:space="preserve">
CG4: Gestión de Recursos:N1 Reconoce la teoría de gestión y sus componentes de manera aplicada para comprender la lógica empresarial.
</v>
      </c>
      <c r="P41" s="298"/>
      <c r="Q41" s="298"/>
      <c r="R41" s="298"/>
      <c r="S41" s="336" t="str">
        <f t="shared" si="0"/>
        <v>No Aplica</v>
      </c>
    </row>
    <row r="42" spans="1:19" ht="72">
      <c r="A42" s="292">
        <f>IF('3.Plan de Estudios'!B57="","",'3.Plan de Estudios'!B57)</f>
        <v>4</v>
      </c>
      <c r="B42" s="292" t="str">
        <f>IF('3.Plan de Estudios'!C57="","",'3.Plan de Estudios'!C57)</f>
        <v/>
      </c>
      <c r="C42" s="292" t="str">
        <f>IF('3.Plan de Estudios'!E57="","",'3.Plan de Estudios'!E57)</f>
        <v/>
      </c>
      <c r="D42" s="293" t="str">
        <f>'3.Plan de Estudios'!I57</f>
        <v/>
      </c>
      <c r="E42" s="293" t="str">
        <f>IF('3.Plan de Estudios'!J57=0,"-",'3.Plan de Estudios'!J57)</f>
        <v>-</v>
      </c>
      <c r="F42" s="319" t="str">
        <f>IF('3.Plan de Estudios'!K57=0,"-",'3.Plan de Estudios'!K57)</f>
        <v>-</v>
      </c>
      <c r="G42" s="319" t="str">
        <f>IF('3.Plan de Estudios'!L57=0,"-",'3.Plan de Estudios'!L57)</f>
        <v>-</v>
      </c>
      <c r="H42" s="319" t="str">
        <f>IF('3.Plan de Estudios'!M57=0,"-",'3.Plan de Estudios'!M57)</f>
        <v>-</v>
      </c>
      <c r="I42" s="319" t="str">
        <f>IF('3.Plan de Estudios'!N57=0,"-",'3.Plan de Estudios'!N57)</f>
        <v>-</v>
      </c>
      <c r="J42" s="320" t="str">
        <f>IF('3.Plan de Estudios'!O57=0,"-",'3.Plan de Estudios'!O57)</f>
        <v>-</v>
      </c>
      <c r="K42" s="321" t="str">
        <f>IF('3.Plan de Estudios'!P57=0,"-",'3.Plan de Estudios'!P57)</f>
        <v>-</v>
      </c>
      <c r="L42" s="294" t="str">
        <f>IF('7.Sumillas'!G43=0,"",'7.Sumillas'!G43)</f>
        <v/>
      </c>
      <c r="M42" s="298"/>
      <c r="N42" s="298"/>
      <c r="O42" s="294" t="str">
        <f>CONCATENATE(CHAR(10),CONCATENATE('3.Plan de Estudios'!AA57,CHAR(10),'3.Plan de Estudios'!AC57,CHAR(10),'3.Plan de Estudios'!AE57,CHAR(10),'3.Plan de Estudios'!AG57,CHAR(10),'3.Plan de Estudios'!AI57))</f>
        <v xml:space="preserve">
</v>
      </c>
      <c r="P42" s="298"/>
      <c r="Q42" s="298"/>
      <c r="R42" s="298"/>
      <c r="S42" s="336" t="str">
        <f t="shared" si="0"/>
        <v>No Aplica</v>
      </c>
    </row>
    <row r="43" spans="1:19" ht="72">
      <c r="A43" s="292">
        <f>IF('3.Plan de Estudios'!B58="","",'3.Plan de Estudios'!B58)</f>
        <v>4</v>
      </c>
      <c r="B43" s="292" t="str">
        <f>IF('3.Plan de Estudios'!C58="","",'3.Plan de Estudios'!C58)</f>
        <v/>
      </c>
      <c r="C43" s="292" t="str">
        <f>IF('3.Plan de Estudios'!E58="","",'3.Plan de Estudios'!E58)</f>
        <v/>
      </c>
      <c r="D43" s="293" t="str">
        <f>'3.Plan de Estudios'!I58</f>
        <v/>
      </c>
      <c r="E43" s="293" t="str">
        <f>IF('3.Plan de Estudios'!J58=0,"-",'3.Plan de Estudios'!J58)</f>
        <v>-</v>
      </c>
      <c r="F43" s="319" t="str">
        <f>IF('3.Plan de Estudios'!K58=0,"-",'3.Plan de Estudios'!K58)</f>
        <v>-</v>
      </c>
      <c r="G43" s="319" t="str">
        <f>IF('3.Plan de Estudios'!L58=0,"-",'3.Plan de Estudios'!L58)</f>
        <v>-</v>
      </c>
      <c r="H43" s="319" t="str">
        <f>IF('3.Plan de Estudios'!M58=0,"-",'3.Plan de Estudios'!M58)</f>
        <v>-</v>
      </c>
      <c r="I43" s="319" t="str">
        <f>IF('3.Plan de Estudios'!N58=0,"-",'3.Plan de Estudios'!N58)</f>
        <v>-</v>
      </c>
      <c r="J43" s="320" t="str">
        <f>IF('3.Plan de Estudios'!O58=0,"-",'3.Plan de Estudios'!O58)</f>
        <v>-</v>
      </c>
      <c r="K43" s="321" t="str">
        <f>IF('3.Plan de Estudios'!P58=0,"-",'3.Plan de Estudios'!P58)</f>
        <v>-</v>
      </c>
      <c r="L43" s="294" t="str">
        <f>IF('7.Sumillas'!G44=0,"",'7.Sumillas'!G44)</f>
        <v/>
      </c>
      <c r="M43" s="298"/>
      <c r="N43" s="298"/>
      <c r="O43" s="294" t="str">
        <f>CONCATENATE(CHAR(10),CONCATENATE('3.Plan de Estudios'!AA58,CHAR(10),'3.Plan de Estudios'!AC58,CHAR(10),'3.Plan de Estudios'!AE58,CHAR(10),'3.Plan de Estudios'!AG58,CHAR(10),'3.Plan de Estudios'!AI58))</f>
        <v xml:space="preserve">
</v>
      </c>
      <c r="P43" s="298"/>
      <c r="Q43" s="298"/>
      <c r="R43" s="298"/>
      <c r="S43" s="336" t="str">
        <f t="shared" si="0"/>
        <v>No Aplica</v>
      </c>
    </row>
    <row r="44" spans="1:19" ht="72">
      <c r="A44" s="292">
        <f>IF('3.Plan de Estudios'!B59="","",'3.Plan de Estudios'!B59)</f>
        <v>4</v>
      </c>
      <c r="B44" s="292" t="str">
        <f>IF('3.Plan de Estudios'!C59="","",'3.Plan de Estudios'!C59)</f>
        <v/>
      </c>
      <c r="C44" s="292" t="str">
        <f>IF('3.Plan de Estudios'!E59="","",'3.Plan de Estudios'!E59)</f>
        <v/>
      </c>
      <c r="D44" s="293" t="str">
        <f>'3.Plan de Estudios'!I59</f>
        <v/>
      </c>
      <c r="E44" s="293" t="str">
        <f>IF('3.Plan de Estudios'!J59=0,"-",'3.Plan de Estudios'!J59)</f>
        <v>-</v>
      </c>
      <c r="F44" s="319" t="str">
        <f>IF('3.Plan de Estudios'!K59=0,"-",'3.Plan de Estudios'!K59)</f>
        <v>-</v>
      </c>
      <c r="G44" s="319" t="str">
        <f>IF('3.Plan de Estudios'!L59=0,"-",'3.Plan de Estudios'!L59)</f>
        <v>-</v>
      </c>
      <c r="H44" s="319" t="str">
        <f>IF('3.Plan de Estudios'!M59=0,"-",'3.Plan de Estudios'!M59)</f>
        <v>-</v>
      </c>
      <c r="I44" s="319" t="str">
        <f>IF('3.Plan de Estudios'!N59=0,"-",'3.Plan de Estudios'!N59)</f>
        <v>-</v>
      </c>
      <c r="J44" s="320" t="str">
        <f>IF('3.Plan de Estudios'!O59=0,"-",'3.Plan de Estudios'!O59)</f>
        <v>-</v>
      </c>
      <c r="K44" s="321" t="str">
        <f>IF('3.Plan de Estudios'!P59=0,"-",'3.Plan de Estudios'!P59)</f>
        <v>-</v>
      </c>
      <c r="L44" s="294" t="str">
        <f>IF('7.Sumillas'!G45=0,"",'7.Sumillas'!G45)</f>
        <v/>
      </c>
      <c r="M44" s="298"/>
      <c r="N44" s="298"/>
      <c r="O44" s="294" t="str">
        <f>CONCATENATE(CHAR(10),CONCATENATE('3.Plan de Estudios'!AA59,CHAR(10),'3.Plan de Estudios'!AC59,CHAR(10),'3.Plan de Estudios'!AE59,CHAR(10),'3.Plan de Estudios'!AG59,CHAR(10),'3.Plan de Estudios'!AI59))</f>
        <v xml:space="preserve">
</v>
      </c>
      <c r="P44" s="298"/>
      <c r="Q44" s="298"/>
      <c r="R44" s="298"/>
      <c r="S44" s="336" t="str">
        <f t="shared" si="0"/>
        <v>No Aplica</v>
      </c>
    </row>
    <row r="45" spans="1:19" ht="72">
      <c r="A45" s="292">
        <f>IF('3.Plan de Estudios'!B60="","",'3.Plan de Estudios'!B60)</f>
        <v>4</v>
      </c>
      <c r="B45" s="292" t="str">
        <f>IF('3.Plan de Estudios'!C60="","",'3.Plan de Estudios'!C60)</f>
        <v/>
      </c>
      <c r="C45" s="292" t="str">
        <f>IF('3.Plan de Estudios'!E60="","",'3.Plan de Estudios'!E60)</f>
        <v/>
      </c>
      <c r="D45" s="293" t="str">
        <f>'3.Plan de Estudios'!I60</f>
        <v/>
      </c>
      <c r="E45" s="293" t="str">
        <f>IF('3.Plan de Estudios'!J60=0,"-",'3.Plan de Estudios'!J60)</f>
        <v>-</v>
      </c>
      <c r="F45" s="319" t="str">
        <f>IF('3.Plan de Estudios'!K60=0,"-",'3.Plan de Estudios'!K60)</f>
        <v>-</v>
      </c>
      <c r="G45" s="319" t="str">
        <f>IF('3.Plan de Estudios'!L60=0,"-",'3.Plan de Estudios'!L60)</f>
        <v>-</v>
      </c>
      <c r="H45" s="319" t="str">
        <f>IF('3.Plan de Estudios'!M60=0,"-",'3.Plan de Estudios'!M60)</f>
        <v>-</v>
      </c>
      <c r="I45" s="319" t="str">
        <f>IF('3.Plan de Estudios'!N60=0,"-",'3.Plan de Estudios'!N60)</f>
        <v>-</v>
      </c>
      <c r="J45" s="320" t="str">
        <f>IF('3.Plan de Estudios'!O60=0,"-",'3.Plan de Estudios'!O60)</f>
        <v>-</v>
      </c>
      <c r="K45" s="321" t="str">
        <f>IF('3.Plan de Estudios'!P60=0,"-",'3.Plan de Estudios'!P60)</f>
        <v>-</v>
      </c>
      <c r="L45" s="294" t="str">
        <f>IF('7.Sumillas'!G46=0,"",'7.Sumillas'!G46)</f>
        <v/>
      </c>
      <c r="M45" s="298"/>
      <c r="N45" s="298"/>
      <c r="O45" s="294" t="str">
        <f>CONCATENATE(CHAR(10),CONCATENATE('3.Plan de Estudios'!AA60,CHAR(10),'3.Plan de Estudios'!AC60,CHAR(10),'3.Plan de Estudios'!AE60,CHAR(10),'3.Plan de Estudios'!AG60,CHAR(10),'3.Plan de Estudios'!AI60))</f>
        <v xml:space="preserve">
</v>
      </c>
      <c r="P45" s="298"/>
      <c r="Q45" s="298"/>
      <c r="R45" s="298"/>
      <c r="S45" s="336" t="str">
        <f t="shared" si="0"/>
        <v>No Aplica</v>
      </c>
    </row>
    <row r="46" spans="1:19" ht="72">
      <c r="A46" s="292">
        <f>IF('3.Plan de Estudios'!B61="","",'3.Plan de Estudios'!B61)</f>
        <v>4</v>
      </c>
      <c r="B46" s="292" t="str">
        <f>IF('3.Plan de Estudios'!C61="","",'3.Plan de Estudios'!C61)</f>
        <v/>
      </c>
      <c r="C46" s="292" t="str">
        <f>IF('3.Plan de Estudios'!E61="","",'3.Plan de Estudios'!E61)</f>
        <v/>
      </c>
      <c r="D46" s="293" t="str">
        <f>'3.Plan de Estudios'!I61</f>
        <v/>
      </c>
      <c r="E46" s="293" t="str">
        <f>IF('3.Plan de Estudios'!J61=0,"-",'3.Plan de Estudios'!J61)</f>
        <v>-</v>
      </c>
      <c r="F46" s="319" t="str">
        <f>IF('3.Plan de Estudios'!K61=0,"-",'3.Plan de Estudios'!K61)</f>
        <v>-</v>
      </c>
      <c r="G46" s="319" t="str">
        <f>IF('3.Plan de Estudios'!L61=0,"-",'3.Plan de Estudios'!L61)</f>
        <v>-</v>
      </c>
      <c r="H46" s="319" t="str">
        <f>IF('3.Plan de Estudios'!M61=0,"-",'3.Plan de Estudios'!M61)</f>
        <v>-</v>
      </c>
      <c r="I46" s="319" t="str">
        <f>IF('3.Plan de Estudios'!N61=0,"-",'3.Plan de Estudios'!N61)</f>
        <v>-</v>
      </c>
      <c r="J46" s="320" t="str">
        <f>IF('3.Plan de Estudios'!O61=0,"-",'3.Plan de Estudios'!O61)</f>
        <v>-</v>
      </c>
      <c r="K46" s="321" t="str">
        <f>IF('3.Plan de Estudios'!P61=0,"-",'3.Plan de Estudios'!P61)</f>
        <v>-</v>
      </c>
      <c r="L46" s="294" t="str">
        <f>IF('7.Sumillas'!G47=0,"",'7.Sumillas'!G47)</f>
        <v/>
      </c>
      <c r="M46" s="298"/>
      <c r="N46" s="298"/>
      <c r="O46" s="294" t="str">
        <f>CONCATENATE(CHAR(10),CONCATENATE('3.Plan de Estudios'!AA61,CHAR(10),'3.Plan de Estudios'!AC61,CHAR(10),'3.Plan de Estudios'!AE61,CHAR(10),'3.Plan de Estudios'!AG61,CHAR(10),'3.Plan de Estudios'!AI61))</f>
        <v xml:space="preserve">
</v>
      </c>
      <c r="P46" s="298"/>
      <c r="Q46" s="298"/>
      <c r="R46" s="298"/>
      <c r="S46" s="336" t="str">
        <f t="shared" si="0"/>
        <v>No Aplica</v>
      </c>
    </row>
    <row r="47" spans="1:19" ht="84">
      <c r="A47" s="292">
        <f>IF('3.Plan de Estudios'!B63="","",'3.Plan de Estudios'!B63)</f>
        <v>5</v>
      </c>
      <c r="B47" s="292" t="str">
        <f>IF('3.Plan de Estudios'!C63="","",'3.Plan de Estudios'!C63)</f>
        <v>ENG42091</v>
      </c>
      <c r="C47" s="292" t="str">
        <f>IF('3.Plan de Estudios'!E63="","",'3.Plan de Estudios'!E63)</f>
        <v>ENGLISH V</v>
      </c>
      <c r="D47" s="293" t="str">
        <f>'3.Plan de Estudios'!I63</f>
        <v>Presencial</v>
      </c>
      <c r="E47" s="293">
        <f>IF('3.Plan de Estudios'!J63=0,"-",'3.Plan de Estudios'!J63)</f>
        <v>48</v>
      </c>
      <c r="F47" s="319" t="str">
        <f>IF('3.Plan de Estudios'!K63=0,"-",'3.Plan de Estudios'!K63)</f>
        <v>-</v>
      </c>
      <c r="G47" s="319">
        <f>IF('3.Plan de Estudios'!L63=0,"-",'3.Plan de Estudios'!L63)</f>
        <v>32</v>
      </c>
      <c r="H47" s="319" t="str">
        <f>IF('3.Plan de Estudios'!M63=0,"-",'3.Plan de Estudios'!M63)</f>
        <v>-</v>
      </c>
      <c r="I47" s="319" t="str">
        <f>IF('3.Plan de Estudios'!N63=0,"-",'3.Plan de Estudios'!N63)</f>
        <v>-</v>
      </c>
      <c r="J47" s="320" t="str">
        <f>IF('3.Plan de Estudios'!O63=0,"-",'3.Plan de Estudios'!O63)</f>
        <v>-</v>
      </c>
      <c r="K47" s="321">
        <f>IF('3.Plan de Estudios'!P63=0,"-",'3.Plan de Estudios'!P63)</f>
        <v>4</v>
      </c>
      <c r="L47" s="294" t="str">
        <f>IF('7.Sumillas'!G48=0,"",'7.Sumillas'!G48)</f>
        <v xml:space="preserve">English V, es un curso que pertenece al área formativa de estudios específicos, tiene carácter teórico-práctico, y tributa a la competencia de comunicación bilingüe. Contribuye al desarrollo de la competencia comunicativa, nivel B1-B2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 </v>
      </c>
      <c r="M47" s="298"/>
      <c r="N47" s="298"/>
      <c r="O47" s="294" t="str">
        <f>CONCATENATE(CHAR(10),CONCATENATE('3.Plan de Estudios'!AA63,CHAR(10),'3.Plan de Estudios'!AC63,CHAR(10),'3.Plan de Estudios'!AE63,CHAR(10),'3.Plan de Estudios'!AG63,CHAR(10),'3.Plan de Estudios'!AI63))</f>
        <v xml:space="preserve">
CG2: Comunicación Bilingüe:N2 Aplica las competencias correspondientes al nivel B1 según los estándares del Marco de Referencia de la Comunidad Europea (CEFR).
</v>
      </c>
      <c r="P47" s="298"/>
      <c r="Q47" s="298"/>
      <c r="R47" s="298"/>
      <c r="S47" s="336" t="str">
        <f t="shared" si="0"/>
        <v>No Aplica</v>
      </c>
    </row>
    <row r="48" spans="1:19" ht="96">
      <c r="A48" s="292">
        <f>IF('3.Plan de Estudios'!B64="","",'3.Plan de Estudios'!B64)</f>
        <v>5</v>
      </c>
      <c r="B48" s="292" t="str">
        <f>IF('3.Plan de Estudios'!C64="","",'3.Plan de Estudios'!C64)</f>
        <v>EDG62026</v>
      </c>
      <c r="C48" s="292" t="str">
        <f>IF('3.Plan de Estudios'!E64="","",'3.Plan de Estudios'!E64)</f>
        <v>ESTRATEGIAS DE ENSEÑANZA APRENDIZAJE</v>
      </c>
      <c r="D48" s="293" t="str">
        <f>'3.Plan de Estudios'!I64</f>
        <v>Presencial</v>
      </c>
      <c r="E48" s="293">
        <f>IF('3.Plan de Estudios'!J64=0,"-",'3.Plan de Estudios'!J64)</f>
        <v>36</v>
      </c>
      <c r="F48" s="319" t="str">
        <f>IF('3.Plan de Estudios'!K64=0,"-",'3.Plan de Estudios'!K64)</f>
        <v>-</v>
      </c>
      <c r="G48" s="319">
        <f>IF('3.Plan de Estudios'!L64=0,"-",'3.Plan de Estudios'!L64)</f>
        <v>56</v>
      </c>
      <c r="H48" s="319" t="str">
        <f>IF('3.Plan de Estudios'!M64=0,"-",'3.Plan de Estudios'!M64)</f>
        <v>-</v>
      </c>
      <c r="I48" s="319" t="str">
        <f>IF('3.Plan de Estudios'!N64=0,"-",'3.Plan de Estudios'!N64)</f>
        <v>-</v>
      </c>
      <c r="J48" s="320" t="str">
        <f>IF('3.Plan de Estudios'!O64=0,"-",'3.Plan de Estudios'!O64)</f>
        <v>-</v>
      </c>
      <c r="K48" s="321">
        <f>IF('3.Plan de Estudios'!P64=0,"-",'3.Plan de Estudios'!P64)</f>
        <v>4</v>
      </c>
      <c r="L48" s="294" t="str">
        <f>IF('7.Sumillas'!G49=0,"",'7.Sumillas'!G49)</f>
        <v>Estrategias de Enseñanza Aprendizaje, es un asignatura de formación especializada y naturaleza teórico-práctico. Este curso tributa a la competencia: Desarrollo de Enseñanza y aprendizaje y que el estudiante alcance el nivel de manera eficaz y el mejoramiento de la enseñanza docente para elevar la calidad educativa.Comprende los siguientes ejes temáticos: Neuro-educación, los aportes de la neurociencia a la educación; estrategias de enseñanza aprendizaje y la didáctica de enseñanza aprendizaje. El producto acreditable de la asignatura es el informe de una propuesta de sesión de aprendizaje utilizando el ABP.</v>
      </c>
      <c r="M48" s="298"/>
      <c r="N48" s="298"/>
      <c r="O48" s="294" t="str">
        <f>CONCATENATE(CHAR(10),CONCATENATE('3.Plan de Estudios'!AA64,CHAR(10),'3.Plan de Estudios'!AC64,CHAR(10),'3.Plan de Estudios'!AE64,CHAR(10),'3.Plan de Estudios'!AG64,CHAR(10),'3.Plan de Estudios'!AI64))</f>
        <v xml:space="preserve">
CP3: Desarrollo enseñanza y aprendizaje:N2 Efectúa, de manera eficaz, el mejoramiento de la enseñanza docente para elevar la calidad educativa.
</v>
      </c>
      <c r="P48" s="298"/>
      <c r="Q48" s="298"/>
      <c r="R48" s="298"/>
      <c r="S48" s="336" t="str">
        <f t="shared" si="0"/>
        <v>No Aplica</v>
      </c>
    </row>
    <row r="49" spans="1:19" ht="108">
      <c r="A49" s="292">
        <f>IF('3.Plan de Estudios'!B65="","",'3.Plan de Estudios'!B65)</f>
        <v>5</v>
      </c>
      <c r="B49" s="292" t="str">
        <f>IF('3.Plan de Estudios'!C65="","",'3.Plan de Estudios'!C65)</f>
        <v>ETM41007</v>
      </c>
      <c r="C49" s="292" t="str">
        <f>IF('3.Plan de Estudios'!E65="","",'3.Plan de Estudios'!E65)</f>
        <v>ÉTICA Y CIUDADANÍA</v>
      </c>
      <c r="D49" s="293" t="str">
        <f>'3.Plan de Estudios'!I65</f>
        <v>Presencial</v>
      </c>
      <c r="E49" s="293">
        <f>IF('3.Plan de Estudios'!J65=0,"-",'3.Plan de Estudios'!J65)</f>
        <v>34</v>
      </c>
      <c r="F49" s="319" t="str">
        <f>IF('3.Plan de Estudios'!K65=0,"-",'3.Plan de Estudios'!K65)</f>
        <v>-</v>
      </c>
      <c r="G49" s="319">
        <f>IF('3.Plan de Estudios'!L65=0,"-",'3.Plan de Estudios'!L65)</f>
        <v>28</v>
      </c>
      <c r="H49" s="319" t="str">
        <f>IF('3.Plan de Estudios'!M65=0,"-",'3.Plan de Estudios'!M65)</f>
        <v>-</v>
      </c>
      <c r="I49" s="319" t="str">
        <f>IF('3.Plan de Estudios'!N65=0,"-",'3.Plan de Estudios'!N65)</f>
        <v>-</v>
      </c>
      <c r="J49" s="320" t="str">
        <f>IF('3.Plan de Estudios'!O65=0,"-",'3.Plan de Estudios'!O65)</f>
        <v>-</v>
      </c>
      <c r="K49" s="321">
        <f>IF('3.Plan de Estudios'!P65=0,"-",'3.Plan de Estudios'!P65)</f>
        <v>3</v>
      </c>
      <c r="L49" s="294" t="str">
        <f>IF('7.Sumillas'!G50=0,"",'7.Sumillas'!G50)</f>
        <v>Ética y Ciudadanía, perteneciente a estudios generales, es un curso teórico-práctico, tributa a la competencia de desarrollo humano, a través de la aplicación a casos de la realidad actual, en el que los estudiantes desarrollan capacidades para reflexionar e intervenir, a través de juicios críticos y argumentativos, en los espacios públicos y privados pertinentes. La asignatura comprende las investigaciones filosóficas de la ética y la ciudadanía, así como sus aplicaciones en la persona, la sociedad y la vida profesional. El curso está organizado en cuatro áreas temáticas: ética; ética y persona; ética para la ciudadanía; ética y profesión. El producto acreditable es un ensayo sobre los temas del curso.</v>
      </c>
      <c r="M49" s="298"/>
      <c r="N49" s="298"/>
      <c r="O49" s="294" t="str">
        <f>CONCATENATE(CHAR(10),CONCATENATE('3.Plan de Estudios'!AA65,CHAR(10),'3.Plan de Estudios'!AC65,CHAR(10),'3.Plan de Estudios'!AE65,CHAR(10),'3.Plan de Estudios'!AG65,CHAR(10),'3.Plan de Estudios'!AI65))</f>
        <v xml:space="preserve">
CG5: Desarrollo Humano:N3 Demuestra sensibilidad y disposición social en las interacciones de su vida académica, con asertividad y empatía, para afrontar de manera satisfactoria las exigencias sociales y profesionales.
</v>
      </c>
      <c r="P49" s="298"/>
      <c r="Q49" s="298"/>
      <c r="R49" s="298"/>
      <c r="S49" s="336" t="str">
        <f t="shared" si="0"/>
        <v>No Aplica</v>
      </c>
    </row>
    <row r="50" spans="1:19" ht="96">
      <c r="A50" s="292">
        <f>IF('3.Plan de Estudios'!B66="","",'3.Plan de Estudios'!B66)</f>
        <v>5</v>
      </c>
      <c r="B50" s="292" t="str">
        <f>IF('3.Plan de Estudios'!C66="","",'3.Plan de Estudios'!C66)</f>
        <v>ESE61015</v>
      </c>
      <c r="C50" s="292" t="str">
        <f>IF('3.Plan de Estudios'!E66="","",'3.Plan de Estudios'!E66)</f>
        <v>FOUNDATIONS OF GENERAL LINGUISTICS</v>
      </c>
      <c r="D50" s="293" t="str">
        <f>'3.Plan de Estudios'!I66</f>
        <v>Presencial</v>
      </c>
      <c r="E50" s="293">
        <f>IF('3.Plan de Estudios'!J66=0,"-",'3.Plan de Estudios'!J66)</f>
        <v>36</v>
      </c>
      <c r="F50" s="319" t="str">
        <f>IF('3.Plan de Estudios'!K66=0,"-",'3.Plan de Estudios'!K66)</f>
        <v>-</v>
      </c>
      <c r="G50" s="319">
        <f>IF('3.Plan de Estudios'!L66=0,"-",'3.Plan de Estudios'!L66)</f>
        <v>56</v>
      </c>
      <c r="H50" s="319" t="str">
        <f>IF('3.Plan de Estudios'!M66=0,"-",'3.Plan de Estudios'!M66)</f>
        <v>-</v>
      </c>
      <c r="I50" s="319" t="str">
        <f>IF('3.Plan de Estudios'!N66=0,"-",'3.Plan de Estudios'!N66)</f>
        <v>-</v>
      </c>
      <c r="J50" s="320" t="str">
        <f>IF('3.Plan de Estudios'!O66=0,"-",'3.Plan de Estudios'!O66)</f>
        <v>-</v>
      </c>
      <c r="K50" s="321">
        <f>IF('3.Plan de Estudios'!P66=0,"-",'3.Plan de Estudios'!P66)</f>
        <v>4</v>
      </c>
      <c r="L50" s="294" t="str">
        <f>IF('7.Sumillas'!G51=0,"",'7.Sumillas'!G51)</f>
        <v>The Fundamentals of General Linguistics course is of a theoretical-practical nature, its purpose is to privilege the use of the English language and introduce students to the problems of the various currents of linguistics, so that they can respond to the demands of their future students. . This subject attributes to the competence: Comprehension and expression of the English language. Understands and develops critical thinking in an integral way of the English language as a second language, perfecting certain fundamental aspects such as the phonetic and lexical field. The accreditable product is the production of an argumentative and expository text.</v>
      </c>
      <c r="M50" s="298"/>
      <c r="N50" s="298"/>
      <c r="O50" s="294" t="str">
        <f>CONCATENATE(CHAR(10),CONCATENATE('3.Plan de Estudios'!AA66,CHAR(10),'3.Plan de Estudios'!AC66,CHAR(10),'3.Plan de Estudios'!AE66,CHAR(10),'3.Plan de Estudios'!AG66,CHAR(10),'3.Plan de Estudios'!AI66))</f>
        <v xml:space="preserve">
CP5: Comprensión y expresión del idioma inglés:N2 Comprende y desarrolla el pensamiento crítico de manera integral del idioma inglés como segunda lengua, perfeccionando ciertos aspectos fundamentales como el campo fonético y léxico. 
</v>
      </c>
      <c r="P50" s="298"/>
      <c r="Q50" s="298"/>
      <c r="R50" s="298"/>
      <c r="S50" s="336" t="str">
        <f t="shared" si="0"/>
        <v>No Aplica</v>
      </c>
    </row>
    <row r="51" spans="1:19" ht="96">
      <c r="A51" s="292">
        <f>IF('3.Plan de Estudios'!B67="","",'3.Plan de Estudios'!B67)</f>
        <v>5</v>
      </c>
      <c r="B51" s="292" t="str">
        <f>IF('3.Plan de Estudios'!C67="","",'3.Plan de Estudios'!C67)</f>
        <v>FIN42006</v>
      </c>
      <c r="C51" s="292" t="str">
        <f>IF('3.Plan de Estudios'!E67="","",'3.Plan de Estudios'!E67)</f>
        <v>FUNDAMENTOS DE LAS FINANZAS</v>
      </c>
      <c r="D51" s="293" t="str">
        <f>'3.Plan de Estudios'!I67</f>
        <v>Presencial</v>
      </c>
      <c r="E51" s="293">
        <f>IF('3.Plan de Estudios'!J67=0,"-",'3.Plan de Estudios'!J67)</f>
        <v>64</v>
      </c>
      <c r="F51" s="319" t="str">
        <f>IF('3.Plan de Estudios'!K67=0,"-",'3.Plan de Estudios'!K67)</f>
        <v>-</v>
      </c>
      <c r="G51" s="319" t="str">
        <f>IF('3.Plan de Estudios'!L67=0,"-",'3.Plan de Estudios'!L67)</f>
        <v>-</v>
      </c>
      <c r="H51" s="319" t="str">
        <f>IF('3.Plan de Estudios'!M67=0,"-",'3.Plan de Estudios'!M67)</f>
        <v>-</v>
      </c>
      <c r="I51" s="319" t="str">
        <f>IF('3.Plan de Estudios'!N67=0,"-",'3.Plan de Estudios'!N67)</f>
        <v>-</v>
      </c>
      <c r="J51" s="320" t="str">
        <f>IF('3.Plan de Estudios'!O67=0,"-",'3.Plan de Estudios'!O67)</f>
        <v>-</v>
      </c>
      <c r="K51" s="321">
        <f>IF('3.Plan de Estudios'!P67=0,"-",'3.Plan de Estudios'!P67)</f>
        <v>4</v>
      </c>
      <c r="L51" s="294" t="str">
        <f>IF('7.Sumillas'!G52=0,"",'7.Sumillas'!G52)</f>
        <v>Fundamentos de las Finanzas, es un curso teórico, pertenece al área específica y contribuye a la competencia general de gestión de recursos. Brinda los conocimientos fundamentales sobre las finanzas de corto, mediano y largo plazo para la toma de decisiones en la empresa. Sus ejes temáticos incluyen nociones generales de valor de dinero en el tiempo, la contabilidad como herramienta de gestión, conceptos básicos de finanzas de corto plazo y evaluación de inversiones. El producto acreditable consiste en la entrega de un trabajo final grupal y sustentación de un tema seleccionado que tiene referencia con el curso.</v>
      </c>
      <c r="M51" s="298"/>
      <c r="N51" s="298"/>
      <c r="O51" s="294" t="str">
        <f>CONCATENATE(CHAR(10),CONCATENATE('3.Plan de Estudios'!AA67,CHAR(10),'3.Plan de Estudios'!AC67,CHAR(10),'3.Plan de Estudios'!AE67,CHAR(10),'3.Plan de Estudios'!AG67,CHAR(10),'3.Plan de Estudios'!AI67))</f>
        <v xml:space="preserve">
CG4: Gestión de Recursos:N2 Describe el mercado con el uso de herramientas de marketing y/o modelos económicos para definir objetivos empresariales.
</v>
      </c>
      <c r="P51" s="298"/>
      <c r="Q51" s="298"/>
      <c r="R51" s="298"/>
      <c r="S51" s="336" t="str">
        <f t="shared" si="0"/>
        <v>No Aplica</v>
      </c>
    </row>
    <row r="52" spans="1:19" ht="120">
      <c r="A52" s="292">
        <f>IF('3.Plan de Estudios'!B68="","",'3.Plan de Estudios'!B68)</f>
        <v>5</v>
      </c>
      <c r="B52" s="292" t="str">
        <f>IF('3.Plan de Estudios'!C68="","",'3.Plan de Estudios'!C68)</f>
        <v>PSI52006</v>
      </c>
      <c r="C52" s="292" t="str">
        <f>IF('3.Plan de Estudios'!E68="","",'3.Plan de Estudios'!E68)</f>
        <v>PSICOLOGÍA EVOLUTIVA PARA EDUCACIÓN</v>
      </c>
      <c r="D52" s="293" t="str">
        <f>'3.Plan de Estudios'!I68</f>
        <v>Presencial</v>
      </c>
      <c r="E52" s="293">
        <f>IF('3.Plan de Estudios'!J68=0,"-",'3.Plan de Estudios'!J68)</f>
        <v>32</v>
      </c>
      <c r="F52" s="319" t="str">
        <f>IF('3.Plan de Estudios'!K68=0,"-",'3.Plan de Estudios'!K68)</f>
        <v>-</v>
      </c>
      <c r="G52" s="319" t="str">
        <f>IF('3.Plan de Estudios'!L68=0,"-",'3.Plan de Estudios'!L68)</f>
        <v>-</v>
      </c>
      <c r="H52" s="319" t="str">
        <f>IF('3.Plan de Estudios'!M68=0,"-",'3.Plan de Estudios'!M68)</f>
        <v>-</v>
      </c>
      <c r="I52" s="319" t="str">
        <f>IF('3.Plan de Estudios'!N68=0,"-",'3.Plan de Estudios'!N68)</f>
        <v>-</v>
      </c>
      <c r="J52" s="320" t="str">
        <f>IF('3.Plan de Estudios'!O68=0,"-",'3.Plan de Estudios'!O68)</f>
        <v>-</v>
      </c>
      <c r="K52" s="321">
        <f>IF('3.Plan de Estudios'!P68=0,"-",'3.Plan de Estudios'!P68)</f>
        <v>2</v>
      </c>
      <c r="L52" s="294" t="str">
        <f>IF('7.Sumillas'!G53=0,"",'7.Sumillas'!G53)</f>
        <v>El curso Psicología evolutiva para la educación, es de naturaleza teórico, atributa a las competencias: Orientación Educativa y Desarrollo Humano. Asimismo, concibe la observación educativa a nivel de la teoría, historia y psicología  para establecer las orientaciones básicas que permitan el desarrollo evolutivo. Así como las alteraciones conductuales que influyen en su evolución, con el fin de evitar desajustes en el desarrollo personal y mental del ser humano. El producto acreditable de la asignatura pretende desarrollar y poner en contacto al futuro educador, con conocimientos y criterios que fundamentarán su labor de formación y adecuada estimulación de los niños y niñas en edad escolar.</v>
      </c>
      <c r="M52" s="298"/>
      <c r="N52" s="298"/>
      <c r="O52" s="294" t="str">
        <f>CONCATENATE(CHAR(10),CONCATENATE('3.Plan de Estudios'!AA68,CHAR(10),'3.Plan de Estudios'!AC68,CHAR(10),'3.Plan de Estudios'!AE68,CHAR(10),'3.Plan de Estudios'!AG68,CHAR(10),'3.Plan de Estudios'!AI68))</f>
        <v xml:space="preserve">
CP1: Orientación educativa:N2 Concibe la observación educativa a nivel de la teoría, historia y psicología  para establecer las orientaciones básicas que permitan el desarrollo evolutivo.
CG5: Desarrollo Humano:N2 Relaciona sus características personales, valores y capacidades a través del análisis de casos para interactuar de forma propositiva con su entorno social.
</v>
      </c>
      <c r="P52" s="298"/>
      <c r="Q52" s="298"/>
      <c r="R52" s="298"/>
      <c r="S52" s="336" t="str">
        <f t="shared" si="0"/>
        <v>No Aplica</v>
      </c>
    </row>
    <row r="53" spans="1:19" ht="72">
      <c r="A53" s="292">
        <f>IF('3.Plan de Estudios'!B69="","",'3.Plan de Estudios'!B69)</f>
        <v>5</v>
      </c>
      <c r="B53" s="292" t="str">
        <f>IF('3.Plan de Estudios'!C69="","",'3.Plan de Estudios'!C69)</f>
        <v/>
      </c>
      <c r="C53" s="292" t="str">
        <f>IF('3.Plan de Estudios'!E69="","",'3.Plan de Estudios'!E69)</f>
        <v/>
      </c>
      <c r="D53" s="293" t="str">
        <f>'3.Plan de Estudios'!I69</f>
        <v/>
      </c>
      <c r="E53" s="293" t="str">
        <f>IF('3.Plan de Estudios'!J69=0,"-",'3.Plan de Estudios'!J69)</f>
        <v>-</v>
      </c>
      <c r="F53" s="319" t="str">
        <f>IF('3.Plan de Estudios'!K69=0,"-",'3.Plan de Estudios'!K69)</f>
        <v>-</v>
      </c>
      <c r="G53" s="319" t="str">
        <f>IF('3.Plan de Estudios'!L69=0,"-",'3.Plan de Estudios'!L69)</f>
        <v>-</v>
      </c>
      <c r="H53" s="319" t="str">
        <f>IF('3.Plan de Estudios'!M69=0,"-",'3.Plan de Estudios'!M69)</f>
        <v>-</v>
      </c>
      <c r="I53" s="319" t="str">
        <f>IF('3.Plan de Estudios'!N69=0,"-",'3.Plan de Estudios'!N69)</f>
        <v>-</v>
      </c>
      <c r="J53" s="320" t="str">
        <f>IF('3.Plan de Estudios'!O69=0,"-",'3.Plan de Estudios'!O69)</f>
        <v>-</v>
      </c>
      <c r="K53" s="321" t="str">
        <f>IF('3.Plan de Estudios'!P69=0,"-",'3.Plan de Estudios'!P69)</f>
        <v>-</v>
      </c>
      <c r="L53" s="294" t="str">
        <f>IF('7.Sumillas'!G54=0,"",'7.Sumillas'!G54)</f>
        <v/>
      </c>
      <c r="M53" s="298"/>
      <c r="N53" s="298"/>
      <c r="O53" s="294" t="str">
        <f>CONCATENATE(CHAR(10),CONCATENATE('3.Plan de Estudios'!AA69,CHAR(10),'3.Plan de Estudios'!AC69,CHAR(10),'3.Plan de Estudios'!AE69,CHAR(10),'3.Plan de Estudios'!AG69,CHAR(10),'3.Plan de Estudios'!AI69))</f>
        <v xml:space="preserve">
</v>
      </c>
      <c r="P53" s="298"/>
      <c r="Q53" s="298"/>
      <c r="R53" s="298"/>
      <c r="S53" s="336" t="str">
        <f t="shared" si="0"/>
        <v>No Aplica</v>
      </c>
    </row>
    <row r="54" spans="1:19" ht="72">
      <c r="A54" s="292">
        <f>IF('3.Plan de Estudios'!B70="","",'3.Plan de Estudios'!B70)</f>
        <v>5</v>
      </c>
      <c r="B54" s="292" t="str">
        <f>IF('3.Plan de Estudios'!C70="","",'3.Plan de Estudios'!C70)</f>
        <v/>
      </c>
      <c r="C54" s="292" t="str">
        <f>IF('3.Plan de Estudios'!E70="","",'3.Plan de Estudios'!E70)</f>
        <v/>
      </c>
      <c r="D54" s="293" t="str">
        <f>'3.Plan de Estudios'!I70</f>
        <v/>
      </c>
      <c r="E54" s="293" t="str">
        <f>IF('3.Plan de Estudios'!J70=0,"-",'3.Plan de Estudios'!J70)</f>
        <v>-</v>
      </c>
      <c r="F54" s="319" t="str">
        <f>IF('3.Plan de Estudios'!K70=0,"-",'3.Plan de Estudios'!K70)</f>
        <v>-</v>
      </c>
      <c r="G54" s="319" t="str">
        <f>IF('3.Plan de Estudios'!L70=0,"-",'3.Plan de Estudios'!L70)</f>
        <v>-</v>
      </c>
      <c r="H54" s="319" t="str">
        <f>IF('3.Plan de Estudios'!M70=0,"-",'3.Plan de Estudios'!M70)</f>
        <v>-</v>
      </c>
      <c r="I54" s="319" t="str">
        <f>IF('3.Plan de Estudios'!N70=0,"-",'3.Plan de Estudios'!N70)</f>
        <v>-</v>
      </c>
      <c r="J54" s="320" t="str">
        <f>IF('3.Plan de Estudios'!O70=0,"-",'3.Plan de Estudios'!O70)</f>
        <v>-</v>
      </c>
      <c r="K54" s="321" t="str">
        <f>IF('3.Plan de Estudios'!P70=0,"-",'3.Plan de Estudios'!P70)</f>
        <v>-</v>
      </c>
      <c r="L54" s="294" t="str">
        <f>IF('7.Sumillas'!G55=0,"",'7.Sumillas'!G55)</f>
        <v/>
      </c>
      <c r="M54" s="298"/>
      <c r="N54" s="298"/>
      <c r="O54" s="294" t="str">
        <f>CONCATENATE(CHAR(10),CONCATENATE('3.Plan de Estudios'!AA70,CHAR(10),'3.Plan de Estudios'!AC70,CHAR(10),'3.Plan de Estudios'!AE70,CHAR(10),'3.Plan de Estudios'!AG70,CHAR(10),'3.Plan de Estudios'!AI70))</f>
        <v xml:space="preserve">
</v>
      </c>
      <c r="P54" s="298"/>
      <c r="Q54" s="298"/>
      <c r="R54" s="298"/>
      <c r="S54" s="336" t="str">
        <f t="shared" si="0"/>
        <v>No Aplica</v>
      </c>
    </row>
    <row r="55" spans="1:19" ht="72">
      <c r="A55" s="292">
        <f>IF('3.Plan de Estudios'!B71="","",'3.Plan de Estudios'!B71)</f>
        <v>5</v>
      </c>
      <c r="B55" s="292" t="str">
        <f>IF('3.Plan de Estudios'!C71="","",'3.Plan de Estudios'!C71)</f>
        <v/>
      </c>
      <c r="C55" s="292" t="str">
        <f>IF('3.Plan de Estudios'!E71="","",'3.Plan de Estudios'!E71)</f>
        <v/>
      </c>
      <c r="D55" s="293" t="str">
        <f>'3.Plan de Estudios'!I71</f>
        <v/>
      </c>
      <c r="E55" s="293" t="str">
        <f>IF('3.Plan de Estudios'!J71=0,"-",'3.Plan de Estudios'!J71)</f>
        <v>-</v>
      </c>
      <c r="F55" s="319" t="str">
        <f>IF('3.Plan de Estudios'!K71=0,"-",'3.Plan de Estudios'!K71)</f>
        <v>-</v>
      </c>
      <c r="G55" s="319" t="str">
        <f>IF('3.Plan de Estudios'!L71=0,"-",'3.Plan de Estudios'!L71)</f>
        <v>-</v>
      </c>
      <c r="H55" s="319" t="str">
        <f>IF('3.Plan de Estudios'!M71=0,"-",'3.Plan de Estudios'!M71)</f>
        <v>-</v>
      </c>
      <c r="I55" s="319" t="str">
        <f>IF('3.Plan de Estudios'!N71=0,"-",'3.Plan de Estudios'!N71)</f>
        <v>-</v>
      </c>
      <c r="J55" s="320" t="str">
        <f>IF('3.Plan de Estudios'!O71=0,"-",'3.Plan de Estudios'!O71)</f>
        <v>-</v>
      </c>
      <c r="K55" s="321" t="str">
        <f>IF('3.Plan de Estudios'!P71=0,"-",'3.Plan de Estudios'!P71)</f>
        <v>-</v>
      </c>
      <c r="L55" s="294" t="str">
        <f>IF('7.Sumillas'!G56=0,"",'7.Sumillas'!G56)</f>
        <v/>
      </c>
      <c r="M55" s="298"/>
      <c r="N55" s="298"/>
      <c r="O55" s="294" t="str">
        <f>CONCATENATE(CHAR(10),CONCATENATE('3.Plan de Estudios'!AA71,CHAR(10),'3.Plan de Estudios'!AC71,CHAR(10),'3.Plan de Estudios'!AE71,CHAR(10),'3.Plan de Estudios'!AG71,CHAR(10),'3.Plan de Estudios'!AI71))</f>
        <v xml:space="preserve">
</v>
      </c>
      <c r="P55" s="298"/>
      <c r="Q55" s="298"/>
      <c r="R55" s="298"/>
      <c r="S55" s="336" t="str">
        <f t="shared" si="0"/>
        <v>No Aplica</v>
      </c>
    </row>
    <row r="56" spans="1:19" ht="72">
      <c r="A56" s="292">
        <f>IF('3.Plan de Estudios'!B72="","",'3.Plan de Estudios'!B72)</f>
        <v>5</v>
      </c>
      <c r="B56" s="292" t="str">
        <f>IF('3.Plan de Estudios'!C72="","",'3.Plan de Estudios'!C72)</f>
        <v/>
      </c>
      <c r="C56" s="292" t="str">
        <f>IF('3.Plan de Estudios'!E72="","",'3.Plan de Estudios'!E72)</f>
        <v/>
      </c>
      <c r="D56" s="293" t="str">
        <f>'3.Plan de Estudios'!I72</f>
        <v/>
      </c>
      <c r="E56" s="293" t="str">
        <f>IF('3.Plan de Estudios'!J72=0,"-",'3.Plan de Estudios'!J72)</f>
        <v>-</v>
      </c>
      <c r="F56" s="319" t="str">
        <f>IF('3.Plan de Estudios'!K72=0,"-",'3.Plan de Estudios'!K72)</f>
        <v>-</v>
      </c>
      <c r="G56" s="319" t="str">
        <f>IF('3.Plan de Estudios'!L72=0,"-",'3.Plan de Estudios'!L72)</f>
        <v>-</v>
      </c>
      <c r="H56" s="319" t="str">
        <f>IF('3.Plan de Estudios'!M72=0,"-",'3.Plan de Estudios'!M72)</f>
        <v>-</v>
      </c>
      <c r="I56" s="319" t="str">
        <f>IF('3.Plan de Estudios'!N72=0,"-",'3.Plan de Estudios'!N72)</f>
        <v>-</v>
      </c>
      <c r="J56" s="320" t="str">
        <f>IF('3.Plan de Estudios'!O72=0,"-",'3.Plan de Estudios'!O72)</f>
        <v>-</v>
      </c>
      <c r="K56" s="321" t="str">
        <f>IF('3.Plan de Estudios'!P72=0,"-",'3.Plan de Estudios'!P72)</f>
        <v>-</v>
      </c>
      <c r="L56" s="294" t="str">
        <f>IF('7.Sumillas'!G57=0,"",'7.Sumillas'!G57)</f>
        <v/>
      </c>
      <c r="M56" s="298"/>
      <c r="N56" s="298"/>
      <c r="O56" s="294" t="str">
        <f>CONCATENATE(CHAR(10),CONCATENATE('3.Plan de Estudios'!AA72,CHAR(10),'3.Plan de Estudios'!AC72,CHAR(10),'3.Plan de Estudios'!AE72,CHAR(10),'3.Plan de Estudios'!AG72,CHAR(10),'3.Plan de Estudios'!AI72))</f>
        <v xml:space="preserve">
</v>
      </c>
      <c r="P56" s="298"/>
      <c r="Q56" s="298"/>
      <c r="R56" s="298"/>
      <c r="S56" s="336" t="str">
        <f t="shared" si="0"/>
        <v>No Aplica</v>
      </c>
    </row>
    <row r="57" spans="1:19" ht="96">
      <c r="A57" s="292">
        <f>IF('3.Plan de Estudios'!B74="","",'3.Plan de Estudios'!B74)</f>
        <v>6</v>
      </c>
      <c r="B57" s="292" t="str">
        <f>IF('3.Plan de Estudios'!C74="","",'3.Plan de Estudios'!C74)</f>
        <v>ENG53008</v>
      </c>
      <c r="C57" s="292" t="str">
        <f>IF('3.Plan de Estudios'!E74="","",'3.Plan de Estudios'!E74)</f>
        <v>ENGLISH LANGUAGE PHONETICS</v>
      </c>
      <c r="D57" s="293" t="str">
        <f>'3.Plan de Estudios'!I74</f>
        <v>Presencial</v>
      </c>
      <c r="E57" s="293">
        <f>IF('3.Plan de Estudios'!J74=0,"-",'3.Plan de Estudios'!J74)</f>
        <v>36</v>
      </c>
      <c r="F57" s="319" t="str">
        <f>IF('3.Plan de Estudios'!K74=0,"-",'3.Plan de Estudios'!K74)</f>
        <v>-</v>
      </c>
      <c r="G57" s="319">
        <f>IF('3.Plan de Estudios'!L74=0,"-",'3.Plan de Estudios'!L74)</f>
        <v>56</v>
      </c>
      <c r="H57" s="319" t="str">
        <f>IF('3.Plan de Estudios'!M74=0,"-",'3.Plan de Estudios'!M74)</f>
        <v>-</v>
      </c>
      <c r="I57" s="319" t="str">
        <f>IF('3.Plan de Estudios'!N74=0,"-",'3.Plan de Estudios'!N74)</f>
        <v>-</v>
      </c>
      <c r="J57" s="320" t="str">
        <f>IF('3.Plan de Estudios'!O74=0,"-",'3.Plan de Estudios'!O74)</f>
        <v>-</v>
      </c>
      <c r="K57" s="321">
        <f>IF('3.Plan de Estudios'!P74=0,"-",'3.Plan de Estudios'!P74)</f>
        <v>4</v>
      </c>
      <c r="L57" s="294" t="str">
        <f>IF('7.Sumillas'!G58=0,"",'7.Sumillas'!G58)</f>
        <v>The English Language Phonetics course is theoretical-practical in nature. Competence attributes: Comprehension and expression of the English language. Likewise, it should be noted that it is an active and interactive subject to improve the pronunciation and speaking of students in English by learning the phonology of the English language and the work of simple phonetic transcription. The creditable product is a lesson plan design.</v>
      </c>
      <c r="M57" s="298"/>
      <c r="N57" s="298"/>
      <c r="O57" s="294" t="str">
        <f>CONCATENATE(CHAR(10),CONCATENATE('3.Plan de Estudios'!AA74,CHAR(10),'3.Plan de Estudios'!AC74,CHAR(10),'3.Plan de Estudios'!AE74,CHAR(10),'3.Plan de Estudios'!AG74,CHAR(10),'3.Plan de Estudios'!AI74))</f>
        <v xml:space="preserve">
CP5: Comprensión y expresión del idioma inglés:N2 Comprende y desarrolla el pensamiento crítico de manera integral del idioma inglés como segunda lengua, perfeccionando ciertos aspectos fundamentales como el campo fonético y léxico. 
</v>
      </c>
      <c r="P57" s="298"/>
      <c r="Q57" s="298"/>
      <c r="R57" s="298"/>
      <c r="S57" s="336" t="str">
        <f t="shared" si="0"/>
        <v>No Aplica</v>
      </c>
    </row>
    <row r="58" spans="1:19" ht="108">
      <c r="A58" s="292">
        <f>IF('3.Plan de Estudios'!B75="","",'3.Plan de Estudios'!B75)</f>
        <v>6</v>
      </c>
      <c r="B58" s="292" t="str">
        <f>IF('3.Plan de Estudios'!C75="","",'3.Plan de Estudios'!C75)</f>
        <v>ENG42093</v>
      </c>
      <c r="C58" s="292" t="str">
        <f>IF('3.Plan de Estudios'!E75="","",'3.Plan de Estudios'!E75)</f>
        <v>ENGLISH VI: RREL</v>
      </c>
      <c r="D58" s="293" t="str">
        <f>'3.Plan de Estudios'!I75</f>
        <v>Presencial</v>
      </c>
      <c r="E58" s="293">
        <f>IF('3.Plan de Estudios'!J75=0,"-",'3.Plan de Estudios'!J75)</f>
        <v>16</v>
      </c>
      <c r="F58" s="319" t="str">
        <f>IF('3.Plan de Estudios'!K75=0,"-",'3.Plan de Estudios'!K75)</f>
        <v>-</v>
      </c>
      <c r="G58" s="319">
        <f>IF('3.Plan de Estudios'!L75=0,"-",'3.Plan de Estudios'!L75)</f>
        <v>64</v>
      </c>
      <c r="H58" s="319" t="str">
        <f>IF('3.Plan de Estudios'!M75=0,"-",'3.Plan de Estudios'!M75)</f>
        <v>-</v>
      </c>
      <c r="I58" s="319" t="str">
        <f>IF('3.Plan de Estudios'!N75=0,"-",'3.Plan de Estudios'!N75)</f>
        <v>-</v>
      </c>
      <c r="J58" s="320" t="str">
        <f>IF('3.Plan de Estudios'!O75=0,"-",'3.Plan de Estudios'!O75)</f>
        <v>-</v>
      </c>
      <c r="K58" s="321">
        <f>IF('3.Plan de Estudios'!P75=0,"-",'3.Plan de Estudios'!P75)</f>
        <v>3</v>
      </c>
      <c r="L58" s="294" t="str">
        <f>IF('7.Sumillas'!G59=0,"",'7.Sumillas'!G59)</f>
        <v xml:space="preserve">English VI: RREL, es un curso que pertenece al área formativa de estudios específicos, tiene carácter práctico, y tributa a la competencia de comunicación bilingüe. Contribuye al desarrollo de la competencia comunicativa, nivel B2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 </v>
      </c>
      <c r="M58" s="298"/>
      <c r="N58" s="298"/>
      <c r="O58" s="294" t="str">
        <f>CONCATENATE(CHAR(10),CONCATENATE('3.Plan de Estudios'!AA75,CHAR(10),'3.Plan de Estudios'!AC75,CHAR(10),'3.Plan de Estudios'!AE75,CHAR(10),'3.Plan de Estudios'!AG75,CHAR(10),'3.Plan de Estudios'!AI75))</f>
        <v xml:space="preserve">
CG2: Comunicación Bilingüe:N3 Se desenvuelve en inglés utilizando las cuatro habilidades lingüísticas -comprensión auditiva, comprensión lectora, producción oral y producción escrita- con destreza y fluidez para el desempeño personal, académico y profesional.
</v>
      </c>
      <c r="P58" s="298"/>
      <c r="Q58" s="298"/>
      <c r="R58" s="298"/>
      <c r="S58" s="336" t="str">
        <f t="shared" si="0"/>
        <v>No Aplica</v>
      </c>
    </row>
    <row r="59" spans="1:19" ht="132">
      <c r="A59" s="292">
        <f>IF('3.Plan de Estudios'!B76="","",'3.Plan de Estudios'!B76)</f>
        <v>6</v>
      </c>
      <c r="B59" s="292" t="str">
        <f>IF('3.Plan de Estudios'!C76="","",'3.Plan de Estudios'!C76)</f>
        <v>GES66021</v>
      </c>
      <c r="C59" s="292" t="str">
        <f>IF('3.Plan de Estudios'!E76="","",'3.Plan de Estudios'!E76)</f>
        <v>GERENCIA DE INSTITUCIONES EDUCATIVAS</v>
      </c>
      <c r="D59" s="293" t="str">
        <f>'3.Plan de Estudios'!I76</f>
        <v>Presencial</v>
      </c>
      <c r="E59" s="293">
        <f>IF('3.Plan de Estudios'!J76=0,"-",'3.Plan de Estudios'!J76)</f>
        <v>64</v>
      </c>
      <c r="F59" s="319" t="str">
        <f>IF('3.Plan de Estudios'!K76=0,"-",'3.Plan de Estudios'!K76)</f>
        <v>-</v>
      </c>
      <c r="G59" s="319" t="str">
        <f>IF('3.Plan de Estudios'!L76=0,"-",'3.Plan de Estudios'!L76)</f>
        <v>-</v>
      </c>
      <c r="H59" s="319" t="str">
        <f>IF('3.Plan de Estudios'!M76=0,"-",'3.Plan de Estudios'!M76)</f>
        <v>-</v>
      </c>
      <c r="I59" s="319" t="str">
        <f>IF('3.Plan de Estudios'!N76=0,"-",'3.Plan de Estudios'!N76)</f>
        <v>-</v>
      </c>
      <c r="J59" s="320" t="str">
        <f>IF('3.Plan de Estudios'!O76=0,"-",'3.Plan de Estudios'!O76)</f>
        <v>-</v>
      </c>
      <c r="K59" s="321">
        <f>IF('3.Plan de Estudios'!P76=0,"-",'3.Plan de Estudios'!P76)</f>
        <v>4</v>
      </c>
      <c r="L59" s="294" t="str">
        <f>IF('7.Sumillas'!G60=0,"",'7.Sumillas'!G60)</f>
        <v>Gerencia de Instituciones Educativas pertenece al área de formación especializada, es de naturaleza teórico; el curso busca analizar las propuestas de diseño de planes y proyectos educativos considerando las normas que favorecen la buena gestión y la calidad educativa. Esta asignatura tributa a la competencia: Desarrollo de gestión educativa que promueve la conformación de un conjunto de procesos organizados que permitan que las áreas de gestión educativa logren sus objetivos y metas.  los siguientes ejes temáticos: Las instituciones educativas y el proceso administrativo y la dirección de instituciones educativas. Su producto acreditable es: Elabora una propuesta de un modelo de PEI integrando el diagnóstico, políticas y objetivos estratégicos y las actividades estratégicas.</v>
      </c>
      <c r="M59" s="298"/>
      <c r="N59" s="298"/>
      <c r="O59" s="294" t="str">
        <f>CONCATENATE(CHAR(10),CONCATENATE('3.Plan de Estudios'!AA76,CHAR(10),'3.Plan de Estudios'!AC76,CHAR(10),'3.Plan de Estudios'!AE76,CHAR(10),'3.Plan de Estudios'!AG76,CHAR(10),'3.Plan de Estudios'!AI76))</f>
        <v xml:space="preserve">
CP2: Desarrollo de gestión educativa:N2 Promueve la conformación de un conjunto de procesos organizados que permitan que las áreas de gestión educativa logren sus objetivos y metas. 
CG1: Comunicación Integral:N2 Elabora textos académicos escritos y comunicaciones orales con una estructura elaborada en el cual se reconoce la revisión de fuentes y documentación apropiada para comunicar sus ideas en un entorno académico y/o social.
</v>
      </c>
      <c r="P59" s="298"/>
      <c r="Q59" s="298"/>
      <c r="R59" s="298"/>
      <c r="S59" s="336" t="str">
        <f t="shared" si="0"/>
        <v>No Aplica</v>
      </c>
    </row>
    <row r="60" spans="1:19" ht="120">
      <c r="A60" s="292">
        <f>IF('3.Plan de Estudios'!B77="","",'3.Plan de Estudios'!B77)</f>
        <v>6</v>
      </c>
      <c r="B60" s="292" t="str">
        <f>IF('3.Plan de Estudios'!C77="","",'3.Plan de Estudios'!C77)</f>
        <v>ENG41003</v>
      </c>
      <c r="C60" s="292" t="str">
        <f>IF('3.Plan de Estudios'!E77="","",'3.Plan de Estudios'!E77)</f>
        <v>PUBLIC SPEAKING</v>
      </c>
      <c r="D60" s="293" t="str">
        <f>'3.Plan de Estudios'!I77</f>
        <v>Presencial</v>
      </c>
      <c r="E60" s="293">
        <f>IF('3.Plan de Estudios'!J77=0,"-",'3.Plan de Estudios'!J77)</f>
        <v>64</v>
      </c>
      <c r="F60" s="319" t="str">
        <f>IF('3.Plan de Estudios'!K77=0,"-",'3.Plan de Estudios'!K77)</f>
        <v>-</v>
      </c>
      <c r="G60" s="319" t="str">
        <f>IF('3.Plan de Estudios'!L77=0,"-",'3.Plan de Estudios'!L77)</f>
        <v>-</v>
      </c>
      <c r="H60" s="319" t="str">
        <f>IF('3.Plan de Estudios'!M77=0,"-",'3.Plan de Estudios'!M77)</f>
        <v>-</v>
      </c>
      <c r="I60" s="319" t="str">
        <f>IF('3.Plan de Estudios'!N77=0,"-",'3.Plan de Estudios'!N77)</f>
        <v>-</v>
      </c>
      <c r="J60" s="320" t="str">
        <f>IF('3.Plan de Estudios'!O77=0,"-",'3.Plan de Estudios'!O77)</f>
        <v>-</v>
      </c>
      <c r="K60" s="321">
        <f>IF('3.Plan de Estudios'!P77=0,"-",'3.Plan de Estudios'!P77)</f>
        <v>4</v>
      </c>
      <c r="L60" s="294" t="str">
        <f>IF('7.Sumillas'!G61=0,"",'7.Sumillas'!G61)</f>
        <v>Publik Speaking es un curso del área de especialidad, de naturaleza teórica. Tributa a la competencia: Comprensión y expresión del idioma inglés. Esa asignatura comprende y desarrolla el pensamiento crítico de manera integral del idioma inglés como segunda lengua, perfeccionando ciertos aspectos fundamentales como el campo fonético y léxico. Adicionalmente, examinará los elementos básicos de investigación, construcción y entrega de la presentación pública original. Al comprender qué componentes se incluyen en un buen discurso, una persona se verá más segura en su presentación. El producto acreditable de este curso es realizar asignaciones de oratoria para que los estudiantes puedan enfrentar según la casuística los diferentes escenarios en el campo educativo.</v>
      </c>
      <c r="M60" s="298"/>
      <c r="N60" s="298"/>
      <c r="O60" s="294" t="str">
        <f>CONCATENATE(CHAR(10),CONCATENATE('3.Plan de Estudios'!AA77,CHAR(10),'3.Plan de Estudios'!AC77,CHAR(10),'3.Plan de Estudios'!AE77,CHAR(10),'3.Plan de Estudios'!AG77,CHAR(10),'3.Plan de Estudios'!AI77))</f>
        <v xml:space="preserve">
CP5: Comprensión y expresión del idioma inglés:N2 Comprende y desarrolla el pensamiento crítico de manera integral del idioma inglés como segunda lengua, perfeccionando ciertos aspectos fundamentales como el campo fonético y léxico. 
</v>
      </c>
      <c r="P60" s="298"/>
      <c r="Q60" s="298"/>
      <c r="R60" s="298"/>
      <c r="S60" s="336" t="str">
        <f t="shared" si="0"/>
        <v>No Aplica</v>
      </c>
    </row>
    <row r="61" spans="1:19" ht="120">
      <c r="A61" s="292">
        <f>IF('3.Plan de Estudios'!B78="","",'3.Plan de Estudios'!B78)</f>
        <v>6</v>
      </c>
      <c r="B61" s="292" t="str">
        <f>IF('3.Plan de Estudios'!C78="","",'3.Plan de Estudios'!C78)</f>
        <v>ESE61020</v>
      </c>
      <c r="C61" s="292" t="str">
        <f>IF('3.Plan de Estudios'!E78="","",'3.Plan de Estudios'!E78)</f>
        <v>SOFTWARE EDUCATIVO</v>
      </c>
      <c r="D61" s="293" t="str">
        <f>'3.Plan de Estudios'!I78</f>
        <v>Presencial</v>
      </c>
      <c r="E61" s="293">
        <f>IF('3.Plan de Estudios'!J78=0,"-",'3.Plan de Estudios'!J78)</f>
        <v>2</v>
      </c>
      <c r="F61" s="319" t="str">
        <f>IF('3.Plan de Estudios'!K78=0,"-",'3.Plan de Estudios'!K78)</f>
        <v>-</v>
      </c>
      <c r="G61" s="319">
        <f>IF('3.Plan de Estudios'!L78=0,"-",'3.Plan de Estudios'!L78)</f>
        <v>60</v>
      </c>
      <c r="H61" s="319" t="str">
        <f>IF('3.Plan de Estudios'!M78=0,"-",'3.Plan de Estudios'!M78)</f>
        <v>-</v>
      </c>
      <c r="I61" s="319" t="str">
        <f>IF('3.Plan de Estudios'!N78=0,"-",'3.Plan de Estudios'!N78)</f>
        <v>-</v>
      </c>
      <c r="J61" s="320" t="str">
        <f>IF('3.Plan de Estudios'!O78=0,"-",'3.Plan de Estudios'!O78)</f>
        <v>-</v>
      </c>
      <c r="K61" s="321">
        <f>IF('3.Plan de Estudios'!P78=0,"-",'3.Plan de Estudios'!P78)</f>
        <v>2</v>
      </c>
      <c r="L61" s="294" t="str">
        <f>IF('7.Sumillas'!G62=0,"",'7.Sumillas'!G62)</f>
        <v>Software Educativo, es  una asignatura de formación especializada y de naturaleza teórico - práctico. Tributa a las competencias de gestión de recursos y desarrollo de la gestión educativa. Promueve la conformación de un conjunto de procesos organizados que permitan que las áreas de gestión educativa logren sus objetivos y metas. Comprende el desarrollo de los siguientes ejes temáticos: La función educativa y teorías del aprendizaje, entornos virtuales: ambientes de enseñanza aprendizaje y el uso ético e innovador de las Tics. El producto acreditable de la asignatura es un portafolio digital con presentación y exposición de las herramientas digitales trabajadas del contenido teórico del Software educativo y su aplicación en el campo pedagógico.</v>
      </c>
      <c r="M61" s="298"/>
      <c r="N61" s="298"/>
      <c r="O61" s="294" t="str">
        <f>CONCATENATE(CHAR(10),CONCATENATE('3.Plan de Estudios'!AA78,CHAR(10),'3.Plan de Estudios'!AC78,CHAR(10),'3.Plan de Estudios'!AE78,CHAR(10),'3.Plan de Estudios'!AG78,CHAR(10),'3.Plan de Estudios'!AI78))</f>
        <v xml:space="preserve">
CP2: Desarrollo de gestión educativa:N2 Promueve la conformación de un conjunto de procesos organizados que permitan que las áreas de gestión educativa logren sus objetivos y metas. 
CG4: Gestión de Recursos:N2 Describe el mercado con el uso de herramientas de marketing y/o modelos económicos para definir objetivos empresariales.
</v>
      </c>
      <c r="P61" s="298"/>
      <c r="Q61" s="298"/>
      <c r="R61" s="298"/>
      <c r="S61" s="336" t="str">
        <f t="shared" si="0"/>
        <v>No Aplica</v>
      </c>
    </row>
    <row r="62" spans="1:19" ht="96">
      <c r="A62" s="292">
        <f>IF('3.Plan de Estudios'!B79="","",'3.Plan de Estudios'!B79)</f>
        <v>6</v>
      </c>
      <c r="B62" s="292" t="str">
        <f>IF('3.Plan de Estudios'!C79="","",'3.Plan de Estudios'!C79)</f>
        <v>ESE61021</v>
      </c>
      <c r="C62" s="292" t="str">
        <f>IF('3.Plan de Estudios'!E79="","",'3.Plan de Estudios'!E79)</f>
        <v>TEACHING ENGLISH AS SECOND LANGUAGE: METHODS &amp; S. I</v>
      </c>
      <c r="D62" s="293" t="str">
        <f>'3.Plan de Estudios'!I79</f>
        <v>Presencial</v>
      </c>
      <c r="E62" s="293">
        <f>IF('3.Plan de Estudios'!J79=0,"-",'3.Plan de Estudios'!J79)</f>
        <v>36</v>
      </c>
      <c r="F62" s="319" t="str">
        <f>IF('3.Plan de Estudios'!K79=0,"-",'3.Plan de Estudios'!K79)</f>
        <v>-</v>
      </c>
      <c r="G62" s="319">
        <f>IF('3.Plan de Estudios'!L79=0,"-",'3.Plan de Estudios'!L79)</f>
        <v>56</v>
      </c>
      <c r="H62" s="319" t="str">
        <f>IF('3.Plan de Estudios'!M79=0,"-",'3.Plan de Estudios'!M79)</f>
        <v>-</v>
      </c>
      <c r="I62" s="319" t="str">
        <f>IF('3.Plan de Estudios'!N79=0,"-",'3.Plan de Estudios'!N79)</f>
        <v>-</v>
      </c>
      <c r="J62" s="320" t="str">
        <f>IF('3.Plan de Estudios'!O79=0,"-",'3.Plan de Estudios'!O79)</f>
        <v>-</v>
      </c>
      <c r="K62" s="321">
        <f>IF('3.Plan de Estudios'!P79=0,"-",'3.Plan de Estudios'!P79)</f>
        <v>4</v>
      </c>
      <c r="L62" s="294" t="str">
        <f>IF('7.Sumillas'!G63=0,"",'7.Sumillas'!G63)</f>
        <v>The Teaching English as Second Language: Methods &amp; S.I course is theoretical-practical in nature and attributes to the competence: Comprehension and expression of the English language. Educators become active participants in the decision-making process. A general knowledge of the different methodological approaches that have led to the development of the techniques and procedures used in the teaching of the English language will allow teachers to improve their practices in the classroom. The accreditable product is a presentation of an infographic on teaching methodologies.</v>
      </c>
      <c r="M62" s="298"/>
      <c r="N62" s="298"/>
      <c r="O62" s="294" t="str">
        <f>CONCATENATE(CHAR(10),CONCATENATE('3.Plan de Estudios'!AA79,CHAR(10),'3.Plan de Estudios'!AC79,CHAR(10),'3.Plan de Estudios'!AE79,CHAR(10),'3.Plan de Estudios'!AG79,CHAR(10),'3.Plan de Estudios'!AI79))</f>
        <v xml:space="preserve">
CP5: Comprensión y expresión del idioma inglés:N2 Comprende y desarrolla el pensamiento crítico de manera integral del idioma inglés como segunda lengua, perfeccionando ciertos aspectos fundamentales como el campo fonético y léxico. 
</v>
      </c>
      <c r="P62" s="298"/>
      <c r="Q62" s="298"/>
      <c r="R62" s="298"/>
      <c r="S62" s="336" t="str">
        <f t="shared" si="0"/>
        <v>No Aplica</v>
      </c>
    </row>
    <row r="63" spans="1:19" ht="72">
      <c r="A63" s="292">
        <f>IF('3.Plan de Estudios'!B80="","",'3.Plan de Estudios'!B80)</f>
        <v>6</v>
      </c>
      <c r="B63" s="292" t="str">
        <f>IF('3.Plan de Estudios'!C80="","",'3.Plan de Estudios'!C80)</f>
        <v/>
      </c>
      <c r="C63" s="292" t="str">
        <f>IF('3.Plan de Estudios'!E80="","",'3.Plan de Estudios'!E80)</f>
        <v/>
      </c>
      <c r="D63" s="293" t="str">
        <f>'3.Plan de Estudios'!I80</f>
        <v/>
      </c>
      <c r="E63" s="293" t="str">
        <f>IF('3.Plan de Estudios'!J80=0,"-",'3.Plan de Estudios'!J80)</f>
        <v>-</v>
      </c>
      <c r="F63" s="319" t="str">
        <f>IF('3.Plan de Estudios'!K80=0,"-",'3.Plan de Estudios'!K80)</f>
        <v>-</v>
      </c>
      <c r="G63" s="319" t="str">
        <f>IF('3.Plan de Estudios'!L80=0,"-",'3.Plan de Estudios'!L80)</f>
        <v>-</v>
      </c>
      <c r="H63" s="319" t="str">
        <f>IF('3.Plan de Estudios'!M80=0,"-",'3.Plan de Estudios'!M80)</f>
        <v>-</v>
      </c>
      <c r="I63" s="319" t="str">
        <f>IF('3.Plan de Estudios'!N80=0,"-",'3.Plan de Estudios'!N80)</f>
        <v>-</v>
      </c>
      <c r="J63" s="320" t="str">
        <f>IF('3.Plan de Estudios'!O80=0,"-",'3.Plan de Estudios'!O80)</f>
        <v>-</v>
      </c>
      <c r="K63" s="321" t="str">
        <f>IF('3.Plan de Estudios'!P80=0,"-",'3.Plan de Estudios'!P80)</f>
        <v>-</v>
      </c>
      <c r="L63" s="294" t="str">
        <f>IF('7.Sumillas'!G64=0,"",'7.Sumillas'!G64)</f>
        <v/>
      </c>
      <c r="M63" s="298"/>
      <c r="N63" s="298"/>
      <c r="O63" s="294" t="str">
        <f>CONCATENATE(CHAR(10),CONCATENATE('3.Plan de Estudios'!AA80,CHAR(10),'3.Plan de Estudios'!AC80,CHAR(10),'3.Plan de Estudios'!AE80,CHAR(10),'3.Plan de Estudios'!AG80,CHAR(10),'3.Plan de Estudios'!AI80))</f>
        <v xml:space="preserve">
</v>
      </c>
      <c r="P63" s="298"/>
      <c r="Q63" s="298"/>
      <c r="R63" s="298"/>
      <c r="S63" s="336" t="str">
        <f t="shared" si="0"/>
        <v>No Aplica</v>
      </c>
    </row>
    <row r="64" spans="1:19" ht="72">
      <c r="A64" s="292">
        <f>IF('3.Plan de Estudios'!B81="","",'3.Plan de Estudios'!B81)</f>
        <v>6</v>
      </c>
      <c r="B64" s="292" t="str">
        <f>IF('3.Plan de Estudios'!C81="","",'3.Plan de Estudios'!C81)</f>
        <v/>
      </c>
      <c r="C64" s="292" t="str">
        <f>IF('3.Plan de Estudios'!E81="","",'3.Plan de Estudios'!E81)</f>
        <v/>
      </c>
      <c r="D64" s="293" t="str">
        <f>'3.Plan de Estudios'!I81</f>
        <v/>
      </c>
      <c r="E64" s="293" t="str">
        <f>IF('3.Plan de Estudios'!J81=0,"-",'3.Plan de Estudios'!J81)</f>
        <v>-</v>
      </c>
      <c r="F64" s="319" t="str">
        <f>IF('3.Plan de Estudios'!K81=0,"-",'3.Plan de Estudios'!K81)</f>
        <v>-</v>
      </c>
      <c r="G64" s="319" t="str">
        <f>IF('3.Plan de Estudios'!L81=0,"-",'3.Plan de Estudios'!L81)</f>
        <v>-</v>
      </c>
      <c r="H64" s="319" t="str">
        <f>IF('3.Plan de Estudios'!M81=0,"-",'3.Plan de Estudios'!M81)</f>
        <v>-</v>
      </c>
      <c r="I64" s="319" t="str">
        <f>IF('3.Plan de Estudios'!N81=0,"-",'3.Plan de Estudios'!N81)</f>
        <v>-</v>
      </c>
      <c r="J64" s="320" t="str">
        <f>IF('3.Plan de Estudios'!O81=0,"-",'3.Plan de Estudios'!O81)</f>
        <v>-</v>
      </c>
      <c r="K64" s="321" t="str">
        <f>IF('3.Plan de Estudios'!P81=0,"-",'3.Plan de Estudios'!P81)</f>
        <v>-</v>
      </c>
      <c r="L64" s="294" t="str">
        <f>IF('7.Sumillas'!G65=0,"",'7.Sumillas'!G65)</f>
        <v/>
      </c>
      <c r="M64" s="298"/>
      <c r="N64" s="298"/>
      <c r="O64" s="294" t="str">
        <f>CONCATENATE(CHAR(10),CONCATENATE('3.Plan de Estudios'!AA81,CHAR(10),'3.Plan de Estudios'!AC81,CHAR(10),'3.Plan de Estudios'!AE81,CHAR(10),'3.Plan de Estudios'!AG81,CHAR(10),'3.Plan de Estudios'!AI81))</f>
        <v xml:space="preserve">
</v>
      </c>
      <c r="P64" s="298"/>
      <c r="Q64" s="298"/>
      <c r="R64" s="298"/>
      <c r="S64" s="336" t="str">
        <f t="shared" si="0"/>
        <v>No Aplica</v>
      </c>
    </row>
    <row r="65" spans="1:19" ht="72">
      <c r="A65" s="292">
        <f>IF('3.Plan de Estudios'!B82="","",'3.Plan de Estudios'!B82)</f>
        <v>6</v>
      </c>
      <c r="B65" s="292" t="str">
        <f>IF('3.Plan de Estudios'!C82="","",'3.Plan de Estudios'!C82)</f>
        <v/>
      </c>
      <c r="C65" s="292" t="str">
        <f>IF('3.Plan de Estudios'!E82="","",'3.Plan de Estudios'!E82)</f>
        <v/>
      </c>
      <c r="D65" s="293" t="str">
        <f>'3.Plan de Estudios'!I82</f>
        <v/>
      </c>
      <c r="E65" s="293" t="str">
        <f>IF('3.Plan de Estudios'!J82=0,"-",'3.Plan de Estudios'!J82)</f>
        <v>-</v>
      </c>
      <c r="F65" s="319" t="str">
        <f>IF('3.Plan de Estudios'!K82=0,"-",'3.Plan de Estudios'!K82)</f>
        <v>-</v>
      </c>
      <c r="G65" s="319" t="str">
        <f>IF('3.Plan de Estudios'!L82=0,"-",'3.Plan de Estudios'!L82)</f>
        <v>-</v>
      </c>
      <c r="H65" s="319" t="str">
        <f>IF('3.Plan de Estudios'!M82=0,"-",'3.Plan de Estudios'!M82)</f>
        <v>-</v>
      </c>
      <c r="I65" s="319" t="str">
        <f>IF('3.Plan de Estudios'!N82=0,"-",'3.Plan de Estudios'!N82)</f>
        <v>-</v>
      </c>
      <c r="J65" s="320" t="str">
        <f>IF('3.Plan de Estudios'!O82=0,"-",'3.Plan de Estudios'!O82)</f>
        <v>-</v>
      </c>
      <c r="K65" s="321" t="str">
        <f>IF('3.Plan de Estudios'!P82=0,"-",'3.Plan de Estudios'!P82)</f>
        <v>-</v>
      </c>
      <c r="L65" s="294" t="str">
        <f>IF('7.Sumillas'!G66=0,"",'7.Sumillas'!G66)</f>
        <v/>
      </c>
      <c r="M65" s="298"/>
      <c r="N65" s="298"/>
      <c r="O65" s="294" t="str">
        <f>CONCATENATE(CHAR(10),CONCATENATE('3.Plan de Estudios'!AA82,CHAR(10),'3.Plan de Estudios'!AC82,CHAR(10),'3.Plan de Estudios'!AE82,CHAR(10),'3.Plan de Estudios'!AG82,CHAR(10),'3.Plan de Estudios'!AI82))</f>
        <v xml:space="preserve">
</v>
      </c>
      <c r="P65" s="298"/>
      <c r="Q65" s="298"/>
      <c r="R65" s="298"/>
      <c r="S65" s="336" t="str">
        <f t="shared" si="0"/>
        <v>No Aplica</v>
      </c>
    </row>
    <row r="66" spans="1:19" ht="72">
      <c r="A66" s="292">
        <f>IF('3.Plan de Estudios'!B83="","",'3.Plan de Estudios'!B83)</f>
        <v>6</v>
      </c>
      <c r="B66" s="292" t="str">
        <f>IF('3.Plan de Estudios'!C83="","",'3.Plan de Estudios'!C83)</f>
        <v/>
      </c>
      <c r="C66" s="292" t="str">
        <f>IF('3.Plan de Estudios'!E83="","",'3.Plan de Estudios'!E83)</f>
        <v/>
      </c>
      <c r="D66" s="293" t="str">
        <f>'3.Plan de Estudios'!I83</f>
        <v/>
      </c>
      <c r="E66" s="293" t="str">
        <f>IF('3.Plan de Estudios'!J83=0,"-",'3.Plan de Estudios'!J83)</f>
        <v>-</v>
      </c>
      <c r="F66" s="319" t="str">
        <f>IF('3.Plan de Estudios'!K83=0,"-",'3.Plan de Estudios'!K83)</f>
        <v>-</v>
      </c>
      <c r="G66" s="319" t="str">
        <f>IF('3.Plan de Estudios'!L83=0,"-",'3.Plan de Estudios'!L83)</f>
        <v>-</v>
      </c>
      <c r="H66" s="319" t="str">
        <f>IF('3.Plan de Estudios'!M83=0,"-",'3.Plan de Estudios'!M83)</f>
        <v>-</v>
      </c>
      <c r="I66" s="319" t="str">
        <f>IF('3.Plan de Estudios'!N83=0,"-",'3.Plan de Estudios'!N83)</f>
        <v>-</v>
      </c>
      <c r="J66" s="320" t="str">
        <f>IF('3.Plan de Estudios'!O83=0,"-",'3.Plan de Estudios'!O83)</f>
        <v>-</v>
      </c>
      <c r="K66" s="321" t="str">
        <f>IF('3.Plan de Estudios'!P83=0,"-",'3.Plan de Estudios'!P83)</f>
        <v>-</v>
      </c>
      <c r="L66" s="294" t="str">
        <f>IF('7.Sumillas'!G67=0,"",'7.Sumillas'!G67)</f>
        <v/>
      </c>
      <c r="M66" s="298"/>
      <c r="N66" s="298"/>
      <c r="O66" s="294" t="str">
        <f>CONCATENATE(CHAR(10),CONCATENATE('3.Plan de Estudios'!AA83,CHAR(10),'3.Plan de Estudios'!AC83,CHAR(10),'3.Plan de Estudios'!AE83,CHAR(10),'3.Plan de Estudios'!AG83,CHAR(10),'3.Plan de Estudios'!AI83))</f>
        <v xml:space="preserve">
</v>
      </c>
      <c r="P66" s="298"/>
      <c r="Q66" s="298"/>
      <c r="R66" s="298"/>
      <c r="S66" s="336" t="str">
        <f t="shared" si="0"/>
        <v>No Aplica</v>
      </c>
    </row>
    <row r="67" spans="1:19" ht="132">
      <c r="A67" s="292">
        <f>IF('3.Plan de Estudios'!B85="","",'3.Plan de Estudios'!B85)</f>
        <v>7</v>
      </c>
      <c r="B67" s="292" t="str">
        <f>IF('3.Plan de Estudios'!C85="","",'3.Plan de Estudios'!C85)</f>
        <v>ENC51001</v>
      </c>
      <c r="C67" s="292" t="str">
        <f>IF('3.Plan de Estudios'!E85="","",'3.Plan de Estudios'!E85)</f>
        <v>ENGLISH COMPOSITION</v>
      </c>
      <c r="D67" s="293" t="str">
        <f>'3.Plan de Estudios'!I85</f>
        <v>Presencial</v>
      </c>
      <c r="E67" s="293">
        <f>IF('3.Plan de Estudios'!J85=0,"-",'3.Plan de Estudios'!J85)</f>
        <v>64</v>
      </c>
      <c r="F67" s="319" t="str">
        <f>IF('3.Plan de Estudios'!K85=0,"-",'3.Plan de Estudios'!K85)</f>
        <v>-</v>
      </c>
      <c r="G67" s="319" t="str">
        <f>IF('3.Plan de Estudios'!L85=0,"-",'3.Plan de Estudios'!L85)</f>
        <v>-</v>
      </c>
      <c r="H67" s="319" t="str">
        <f>IF('3.Plan de Estudios'!M85=0,"-",'3.Plan de Estudios'!M85)</f>
        <v>-</v>
      </c>
      <c r="I67" s="319" t="str">
        <f>IF('3.Plan de Estudios'!N85=0,"-",'3.Plan de Estudios'!N85)</f>
        <v>-</v>
      </c>
      <c r="J67" s="320" t="str">
        <f>IF('3.Plan de Estudios'!O85=0,"-",'3.Plan de Estudios'!O85)</f>
        <v>-</v>
      </c>
      <c r="K67" s="321">
        <f>IF('3.Plan de Estudios'!P85=0,"-",'3.Plan de Estudios'!P85)</f>
        <v>4</v>
      </c>
      <c r="L67" s="294" t="str">
        <f>IF('7.Sumillas'!G68=0,"",'7.Sumillas'!G68)</f>
        <v>The English Composition course has an analytical-practical nature. The skills to which it is intended are: Comprehension and expression of the English language and Bilingual Communication. Understands and develops critical thinking in an integral way of the English language as a second language, perfecting certain fundamental aspects such as the phonetic and lexical field. The main objective of the course is to inform the participant about the fundamentals of testing and assessment in the field of English language teaching (ELT), as well as the theory and practice behind testing language, receptive and productive skills. The creditable product is written work that develops English language composition and evidence of continuous improvement.</v>
      </c>
      <c r="M67" s="298"/>
      <c r="N67" s="298"/>
      <c r="O67" s="294" t="str">
        <f>CONCATENATE(CHAR(10),CONCATENATE('3.Plan de Estudios'!AA85,CHAR(10),'3.Plan de Estudios'!AC85,CHAR(10),'3.Plan de Estudios'!AE85,CHAR(10),'3.Plan de Estudios'!AG85,CHAR(10),'3.Plan de Estudios'!AI85))</f>
        <v xml:space="preserve">
CP5: Comprensión y expresión del idioma inglés:N2 Comprende y desarrolla el pensamiento crítico de manera integral del idioma inglés como segunda lengua, perfeccionando ciertos aspectos fundamentales como el campo fonético y léxico. 
CG2: Comunicación Bilingüe:N3 Se desenvuelve en inglés utilizando las cuatro habilidades lingüísticas -comprensión auditiva, comprensión lectora, producción oral y producción escrita- con destreza y fluidez para el desempeño personal, académico y profesional.
</v>
      </c>
      <c r="P67" s="298"/>
      <c r="Q67" s="298"/>
      <c r="R67" s="298"/>
      <c r="S67" s="336" t="str">
        <f t="shared" si="0"/>
        <v>No Aplica</v>
      </c>
    </row>
    <row r="68" spans="1:19" ht="132">
      <c r="A68" s="292">
        <f>IF('3.Plan de Estudios'!B86="","",'3.Plan de Estudios'!B86)</f>
        <v>7</v>
      </c>
      <c r="B68" s="292" t="str">
        <f>IF('3.Plan de Estudios'!C86="","",'3.Plan de Estudios'!C86)</f>
        <v>INV41052</v>
      </c>
      <c r="C68" s="292" t="str">
        <f>IF('3.Plan de Estudios'!E86="","",'3.Plan de Estudios'!E86)</f>
        <v>INVESTIGACIÓN EDUCACIONAL</v>
      </c>
      <c r="D68" s="293" t="str">
        <f>'3.Plan de Estudios'!I86</f>
        <v>Presencial</v>
      </c>
      <c r="E68" s="293">
        <f>IF('3.Plan de Estudios'!J86=0,"-",'3.Plan de Estudios'!J86)</f>
        <v>36</v>
      </c>
      <c r="F68" s="319" t="str">
        <f>IF('3.Plan de Estudios'!K86=0,"-",'3.Plan de Estudios'!K86)</f>
        <v>-</v>
      </c>
      <c r="G68" s="319">
        <f>IF('3.Plan de Estudios'!L86=0,"-",'3.Plan de Estudios'!L86)</f>
        <v>56</v>
      </c>
      <c r="H68" s="319" t="str">
        <f>IF('3.Plan de Estudios'!M86=0,"-",'3.Plan de Estudios'!M86)</f>
        <v>-</v>
      </c>
      <c r="I68" s="319" t="str">
        <f>IF('3.Plan de Estudios'!N86=0,"-",'3.Plan de Estudios'!N86)</f>
        <v>-</v>
      </c>
      <c r="J68" s="320" t="str">
        <f>IF('3.Plan de Estudios'!O86=0,"-",'3.Plan de Estudios'!O86)</f>
        <v>-</v>
      </c>
      <c r="K68" s="321">
        <f>IF('3.Plan de Estudios'!P86=0,"-",'3.Plan de Estudios'!P86)</f>
        <v>4</v>
      </c>
      <c r="L68" s="294" t="str">
        <f>IF('7.Sumillas'!G69=0,"",'7.Sumillas'!G69)</f>
        <v>Investigación Educacional, es  una asignatura de formación especializada y de naturaleza teórico - práctico. Este curso tributa a las competencias de investigación e investigación educativa. Realiza proyectos de investigación reflejando sustento sobre el campo metológico y teórico para sustentar los productos acreditables. Comprende el desarrollo de los siguientes ejes temáticos: El proceso de construcción de la práctica pedagógica desde la metodología de investigación acción y la reconstrucción de la práctica pedagógica para la mejora continua. Con el fin de desarrollar el pensamiento crítico reflexivo frente a la identificación de problemas educativos y el planteamiento de soluciones relacionados a la realidad del aula y la escuela. El producto acreditable es una propuesta de intervención para la mejora de una problema encontrada en el ámbito educacional.</v>
      </c>
      <c r="M68" s="298"/>
      <c r="N68" s="298"/>
      <c r="O68" s="294" t="str">
        <f>CONCATENATE(CHAR(10),CONCATENATE('3.Plan de Estudios'!AA86,CHAR(10),'3.Plan de Estudios'!AC86,CHAR(10),'3.Plan de Estudios'!AE86,CHAR(10),'3.Plan de Estudios'!AG86,CHAR(10),'3.Plan de Estudios'!AI86))</f>
        <v xml:space="preserve">
CP4: Investigación Educativa:N2 Realiza proyectos de investigación reflejando sustento sobre el campo metodológico y teórico para sustentar los productos acreditables.
CG3: Investigación:N2 Define cual es la metodología para responder su pregunta de investigación con ética e integridad.
</v>
      </c>
      <c r="P68" s="298"/>
      <c r="Q68" s="298"/>
      <c r="R68" s="298"/>
      <c r="S68" s="336" t="str">
        <f t="shared" si="0"/>
        <v>No Aplica</v>
      </c>
    </row>
    <row r="69" spans="1:19" ht="132">
      <c r="A69" s="292">
        <f>IF('3.Plan de Estudios'!B87="","",'3.Plan de Estudios'!B87)</f>
        <v>7</v>
      </c>
      <c r="B69" s="292" t="str">
        <f>IF('3.Plan de Estudios'!C87="","",'3.Plan de Estudios'!C87)</f>
        <v>GES67063</v>
      </c>
      <c r="C69" s="292" t="str">
        <f>IF('3.Plan de Estudios'!E87="","",'3.Plan de Estudios'!E87)</f>
        <v>PROYECTO INTEGRADOR</v>
      </c>
      <c r="D69" s="293" t="str">
        <f>'3.Plan de Estudios'!I87</f>
        <v>Presencial</v>
      </c>
      <c r="E69" s="293">
        <f>IF('3.Plan de Estudios'!J87=0,"-",'3.Plan de Estudios'!J87)</f>
        <v>64</v>
      </c>
      <c r="F69" s="319" t="str">
        <f>IF('3.Plan de Estudios'!K87=0,"-",'3.Plan de Estudios'!K87)</f>
        <v>-</v>
      </c>
      <c r="G69" s="319" t="str">
        <f>IF('3.Plan de Estudios'!L87=0,"-",'3.Plan de Estudios'!L87)</f>
        <v>-</v>
      </c>
      <c r="H69" s="319" t="str">
        <f>IF('3.Plan de Estudios'!M87=0,"-",'3.Plan de Estudios'!M87)</f>
        <v>-</v>
      </c>
      <c r="I69" s="319" t="str">
        <f>IF('3.Plan de Estudios'!N87=0,"-",'3.Plan de Estudios'!N87)</f>
        <v>-</v>
      </c>
      <c r="J69" s="320" t="str">
        <f>IF('3.Plan de Estudios'!O87=0,"-",'3.Plan de Estudios'!O87)</f>
        <v>-</v>
      </c>
      <c r="K69" s="321">
        <f>IF('3.Plan de Estudios'!P87=0,"-",'3.Plan de Estudios'!P87)</f>
        <v>4</v>
      </c>
      <c r="L69" s="294" t="str">
        <f>IF('7.Sumillas'!G70=0,"",'7.Sumillas'!G70)</f>
        <v>Proyecto Integrador, es una asignatura de formación especializada, es de naturaleza teórico. Tributa a las competencias de investigación educativa y comunicación integral. En este curso el estudiante realiza proyectos de investigación reflejando sustento sobre el campo metológico y teórico para sustentar los productos acreditables. Comprende el desarrollo de los siguientes ejes temáticos: Línea de base del proyecto de innovación, diseño del proyecto de innovación ;y monitoreo y evaluación del proyecto de innovación. El producto acreditable es un proyecto de innovación pedagógica.</v>
      </c>
      <c r="M69" s="298"/>
      <c r="N69" s="298"/>
      <c r="O69" s="294" t="str">
        <f>CONCATENATE(CHAR(10),CONCATENATE('3.Plan de Estudios'!AA87,CHAR(10),'3.Plan de Estudios'!AC87,CHAR(10),'3.Plan de Estudios'!AE87,CHAR(10),'3.Plan de Estudios'!AG87,CHAR(10),'3.Plan de Estudios'!AI87))</f>
        <v xml:space="preserve">
CP4: Investigación Educativa:N2 Realiza proyectos de investigación reflejando sustento sobre el campo metodológico y teórico para sustentar los productos acreditables.
CG1: Comunicación Integral:N2 Elabora textos académicos escritos y comunicaciones orales con una estructura elaborada en el cual se reconoce la revisión de fuentes y documentación apropiada para comunicar sus ideas en un entorno académico y/o social.
</v>
      </c>
      <c r="P69" s="298"/>
      <c r="Q69" s="298"/>
      <c r="R69" s="298"/>
      <c r="S69" s="336" t="str">
        <f t="shared" si="0"/>
        <v>No Aplica</v>
      </c>
    </row>
    <row r="70" spans="1:19" ht="96">
      <c r="A70" s="292">
        <f>IF('3.Plan de Estudios'!B88="","",'3.Plan de Estudios'!B88)</f>
        <v>7</v>
      </c>
      <c r="B70" s="292" t="str">
        <f>IF('3.Plan de Estudios'!C88="","",'3.Plan de Estudios'!C88)</f>
        <v>ESE61022</v>
      </c>
      <c r="C70" s="292" t="str">
        <f>IF('3.Plan de Estudios'!E88="","",'3.Plan de Estudios'!E88)</f>
        <v>TEACHING ENGLISH AS SECOND LANGUAGE: METHODS &amp; S. II</v>
      </c>
      <c r="D70" s="293" t="str">
        <f>'3.Plan de Estudios'!I88</f>
        <v>Presencial</v>
      </c>
      <c r="E70" s="293">
        <f>IF('3.Plan de Estudios'!J88=0,"-",'3.Plan de Estudios'!J88)</f>
        <v>36</v>
      </c>
      <c r="F70" s="319" t="str">
        <f>IF('3.Plan de Estudios'!K88=0,"-",'3.Plan de Estudios'!K88)</f>
        <v>-</v>
      </c>
      <c r="G70" s="319">
        <f>IF('3.Plan de Estudios'!L88=0,"-",'3.Plan de Estudios'!L88)</f>
        <v>56</v>
      </c>
      <c r="H70" s="319" t="str">
        <f>IF('3.Plan de Estudios'!M88=0,"-",'3.Plan de Estudios'!M88)</f>
        <v>-</v>
      </c>
      <c r="I70" s="319" t="str">
        <f>IF('3.Plan de Estudios'!N88=0,"-",'3.Plan de Estudios'!N88)</f>
        <v>-</v>
      </c>
      <c r="J70" s="320" t="str">
        <f>IF('3.Plan de Estudios'!O88=0,"-",'3.Plan de Estudios'!O88)</f>
        <v>-</v>
      </c>
      <c r="K70" s="321">
        <f>IF('3.Plan de Estudios'!P88=0,"-",'3.Plan de Estudios'!P88)</f>
        <v>4</v>
      </c>
      <c r="L70" s="294" t="str">
        <f>IF('7.Sumillas'!G71=0,"",'7.Sumillas'!G71)</f>
        <v>The Teaching English as Second Languages: Methods &amp; Strategies II subject is of a theoretical-practical nature and is attributed to the development of teaching and learning competence. It carries out, effectively, the improvement of teacher training to raise the quality of education. Likewise, the thematic axes focus on active teaching practices where the participants make methodological decisions and develop techniques and procedures to improve their sessions. The accreditable product is the realization of a class session where the methodologies and strategies presented throughout the course are used.</v>
      </c>
      <c r="M70" s="298"/>
      <c r="N70" s="298"/>
      <c r="O70" s="294" t="str">
        <f>CONCATENATE(CHAR(10),CONCATENATE('3.Plan de Estudios'!AA88,CHAR(10),'3.Plan de Estudios'!AC88,CHAR(10),'3.Plan de Estudios'!AE88,CHAR(10),'3.Plan de Estudios'!AG88,CHAR(10),'3.Plan de Estudios'!AI88))</f>
        <v xml:space="preserve">
CP3: Desarrollo enseñanza y aprendizaje:N2 Efectúa, de manera eficaz, el mejoramiento de la enseñanza docente para elevar la calidad educativa.
</v>
      </c>
      <c r="P70" s="298"/>
      <c r="Q70" s="298"/>
      <c r="R70" s="298"/>
      <c r="S70" s="336" t="str">
        <f t="shared" si="0"/>
        <v>No Aplica</v>
      </c>
    </row>
    <row r="71" spans="1:19" ht="72">
      <c r="A71" s="292">
        <f>IF('3.Plan de Estudios'!B89="","",'3.Plan de Estudios'!B89)</f>
        <v>7</v>
      </c>
      <c r="B71" s="292" t="str">
        <f>IF('3.Plan de Estudios'!C89="","",'3.Plan de Estudios'!C89)</f>
        <v/>
      </c>
      <c r="C71" s="292" t="str">
        <f>IF('3.Plan de Estudios'!E89="","",'3.Plan de Estudios'!E89)</f>
        <v>ELECTIVO 1</v>
      </c>
      <c r="D71" s="293" t="str">
        <f>'3.Plan de Estudios'!I89</f>
        <v>Presencial</v>
      </c>
      <c r="E71" s="293">
        <f>IF('3.Plan de Estudios'!J89=0,"-",'3.Plan de Estudios'!J89)</f>
        <v>64</v>
      </c>
      <c r="F71" s="319" t="str">
        <f>IF('3.Plan de Estudios'!K89=0,"-",'3.Plan de Estudios'!K89)</f>
        <v>-</v>
      </c>
      <c r="G71" s="319" t="str">
        <f>IF('3.Plan de Estudios'!L89=0,"-",'3.Plan de Estudios'!L89)</f>
        <v>-</v>
      </c>
      <c r="H71" s="319" t="str">
        <f>IF('3.Plan de Estudios'!M89=0,"-",'3.Plan de Estudios'!M89)</f>
        <v>-</v>
      </c>
      <c r="I71" s="319" t="str">
        <f>IF('3.Plan de Estudios'!N89=0,"-",'3.Plan de Estudios'!N89)</f>
        <v>-</v>
      </c>
      <c r="J71" s="320" t="str">
        <f>IF('3.Plan de Estudios'!O89=0,"-",'3.Plan de Estudios'!O89)</f>
        <v>-</v>
      </c>
      <c r="K71" s="321">
        <f>IF('3.Plan de Estudios'!P89=0,"-",'3.Plan de Estudios'!P89)</f>
        <v>4</v>
      </c>
      <c r="L71" s="294" t="str">
        <f>IF('7.Sumillas'!G72=0,"",'7.Sumillas'!G72)</f>
        <v/>
      </c>
      <c r="M71" s="298"/>
      <c r="N71" s="298"/>
      <c r="O71" s="294" t="str">
        <f>CONCATENATE(CHAR(10),CONCATENATE('3.Plan de Estudios'!AA89,CHAR(10),'3.Plan de Estudios'!AC89,CHAR(10),'3.Plan de Estudios'!AE89,CHAR(10),'3.Plan de Estudios'!AG89,CHAR(10),'3.Plan de Estudios'!AI89))</f>
        <v xml:space="preserve">
</v>
      </c>
      <c r="P71" s="298"/>
      <c r="Q71" s="298"/>
      <c r="R71" s="298"/>
      <c r="S71" s="336" t="str">
        <f t="shared" si="0"/>
        <v>No Aplica</v>
      </c>
    </row>
    <row r="72" spans="1:19" ht="72">
      <c r="A72" s="292">
        <f>IF('3.Plan de Estudios'!B90="","",'3.Plan de Estudios'!B90)</f>
        <v>7</v>
      </c>
      <c r="B72" s="292" t="str">
        <f>IF('3.Plan de Estudios'!C90="","",'3.Plan de Estudios'!C90)</f>
        <v/>
      </c>
      <c r="C72" s="292" t="str">
        <f>IF('3.Plan de Estudios'!E90="","",'3.Plan de Estudios'!E90)</f>
        <v/>
      </c>
      <c r="D72" s="293" t="str">
        <f>'3.Plan de Estudios'!I90</f>
        <v/>
      </c>
      <c r="E72" s="293" t="str">
        <f>IF('3.Plan de Estudios'!J90=0,"-",'3.Plan de Estudios'!J90)</f>
        <v>-</v>
      </c>
      <c r="F72" s="319" t="str">
        <f>IF('3.Plan de Estudios'!K90=0,"-",'3.Plan de Estudios'!K90)</f>
        <v>-</v>
      </c>
      <c r="G72" s="319" t="str">
        <f>IF('3.Plan de Estudios'!L90=0,"-",'3.Plan de Estudios'!L90)</f>
        <v>-</v>
      </c>
      <c r="H72" s="319" t="str">
        <f>IF('3.Plan de Estudios'!M90=0,"-",'3.Plan de Estudios'!M90)</f>
        <v>-</v>
      </c>
      <c r="I72" s="319" t="str">
        <f>IF('3.Plan de Estudios'!N90=0,"-",'3.Plan de Estudios'!N90)</f>
        <v>-</v>
      </c>
      <c r="J72" s="320" t="str">
        <f>IF('3.Plan de Estudios'!O90=0,"-",'3.Plan de Estudios'!O90)</f>
        <v>-</v>
      </c>
      <c r="K72" s="321" t="str">
        <f>IF('3.Plan de Estudios'!P90=0,"-",'3.Plan de Estudios'!P90)</f>
        <v>-</v>
      </c>
      <c r="L72" s="294" t="str">
        <f>IF('7.Sumillas'!G73=0,"",'7.Sumillas'!G73)</f>
        <v/>
      </c>
      <c r="M72" s="298"/>
      <c r="N72" s="298"/>
      <c r="O72" s="294" t="str">
        <f>CONCATENATE(CHAR(10),CONCATENATE('3.Plan de Estudios'!AA90,CHAR(10),'3.Plan de Estudios'!AC90,CHAR(10),'3.Plan de Estudios'!AE90,CHAR(10),'3.Plan de Estudios'!AG90,CHAR(10),'3.Plan de Estudios'!AI90))</f>
        <v xml:space="preserve">
</v>
      </c>
      <c r="P72" s="298"/>
      <c r="Q72" s="298"/>
      <c r="R72" s="298"/>
      <c r="S72" s="336" t="str">
        <f t="shared" ref="S72:S135" si="1">IF(H72&lt;&gt;"-","","No Aplica")</f>
        <v>No Aplica</v>
      </c>
    </row>
    <row r="73" spans="1:19" ht="72">
      <c r="A73" s="292">
        <f>IF('3.Plan de Estudios'!B91="","",'3.Plan de Estudios'!B91)</f>
        <v>7</v>
      </c>
      <c r="B73" s="292" t="str">
        <f>IF('3.Plan de Estudios'!C91="","",'3.Plan de Estudios'!C91)</f>
        <v/>
      </c>
      <c r="C73" s="292" t="str">
        <f>IF('3.Plan de Estudios'!E91="","",'3.Plan de Estudios'!E91)</f>
        <v/>
      </c>
      <c r="D73" s="293" t="str">
        <f>'3.Plan de Estudios'!I91</f>
        <v/>
      </c>
      <c r="E73" s="293" t="str">
        <f>IF('3.Plan de Estudios'!J91=0,"-",'3.Plan de Estudios'!J91)</f>
        <v>-</v>
      </c>
      <c r="F73" s="319" t="str">
        <f>IF('3.Plan de Estudios'!K91=0,"-",'3.Plan de Estudios'!K91)</f>
        <v>-</v>
      </c>
      <c r="G73" s="319" t="str">
        <f>IF('3.Plan de Estudios'!L91=0,"-",'3.Plan de Estudios'!L91)</f>
        <v>-</v>
      </c>
      <c r="H73" s="319" t="str">
        <f>IF('3.Plan de Estudios'!M91=0,"-",'3.Plan de Estudios'!M91)</f>
        <v>-</v>
      </c>
      <c r="I73" s="319" t="str">
        <f>IF('3.Plan de Estudios'!N91=0,"-",'3.Plan de Estudios'!N91)</f>
        <v>-</v>
      </c>
      <c r="J73" s="320" t="str">
        <f>IF('3.Plan de Estudios'!O91=0,"-",'3.Plan de Estudios'!O91)</f>
        <v>-</v>
      </c>
      <c r="K73" s="321" t="str">
        <f>IF('3.Plan de Estudios'!P91=0,"-",'3.Plan de Estudios'!P91)</f>
        <v>-</v>
      </c>
      <c r="L73" s="294" t="str">
        <f>IF('7.Sumillas'!G74=0,"",'7.Sumillas'!G74)</f>
        <v/>
      </c>
      <c r="M73" s="298"/>
      <c r="N73" s="298"/>
      <c r="O73" s="294" t="str">
        <f>CONCATENATE(CHAR(10),CONCATENATE('3.Plan de Estudios'!AA91,CHAR(10),'3.Plan de Estudios'!AC91,CHAR(10),'3.Plan de Estudios'!AE91,CHAR(10),'3.Plan de Estudios'!AG91,CHAR(10),'3.Plan de Estudios'!AI91))</f>
        <v xml:space="preserve">
</v>
      </c>
      <c r="P73" s="298"/>
      <c r="Q73" s="298"/>
      <c r="R73" s="298"/>
      <c r="S73" s="336" t="str">
        <f t="shared" si="1"/>
        <v>No Aplica</v>
      </c>
    </row>
    <row r="74" spans="1:19" ht="72">
      <c r="A74" s="292">
        <f>IF('3.Plan de Estudios'!B92="","",'3.Plan de Estudios'!B92)</f>
        <v>7</v>
      </c>
      <c r="B74" s="292" t="str">
        <f>IF('3.Plan de Estudios'!C92="","",'3.Plan de Estudios'!C92)</f>
        <v/>
      </c>
      <c r="C74" s="292" t="str">
        <f>IF('3.Plan de Estudios'!E92="","",'3.Plan de Estudios'!E92)</f>
        <v/>
      </c>
      <c r="D74" s="293" t="str">
        <f>'3.Plan de Estudios'!I92</f>
        <v/>
      </c>
      <c r="E74" s="293" t="str">
        <f>IF('3.Plan de Estudios'!J92=0,"-",'3.Plan de Estudios'!J92)</f>
        <v>-</v>
      </c>
      <c r="F74" s="319" t="str">
        <f>IF('3.Plan de Estudios'!K92=0,"-",'3.Plan de Estudios'!K92)</f>
        <v>-</v>
      </c>
      <c r="G74" s="319" t="str">
        <f>IF('3.Plan de Estudios'!L92=0,"-",'3.Plan de Estudios'!L92)</f>
        <v>-</v>
      </c>
      <c r="H74" s="319" t="str">
        <f>IF('3.Plan de Estudios'!M92=0,"-",'3.Plan de Estudios'!M92)</f>
        <v>-</v>
      </c>
      <c r="I74" s="319" t="str">
        <f>IF('3.Plan de Estudios'!N92=0,"-",'3.Plan de Estudios'!N92)</f>
        <v>-</v>
      </c>
      <c r="J74" s="320" t="str">
        <f>IF('3.Plan de Estudios'!O92=0,"-",'3.Plan de Estudios'!O92)</f>
        <v>-</v>
      </c>
      <c r="K74" s="321" t="str">
        <f>IF('3.Plan de Estudios'!P92=0,"-",'3.Plan de Estudios'!P92)</f>
        <v>-</v>
      </c>
      <c r="L74" s="294" t="str">
        <f>IF('7.Sumillas'!G75=0,"",'7.Sumillas'!G75)</f>
        <v/>
      </c>
      <c r="M74" s="298"/>
      <c r="N74" s="298"/>
      <c r="O74" s="294" t="str">
        <f>CONCATENATE(CHAR(10),CONCATENATE('3.Plan de Estudios'!AA92,CHAR(10),'3.Plan de Estudios'!AC92,CHAR(10),'3.Plan de Estudios'!AE92,CHAR(10),'3.Plan de Estudios'!AG92,CHAR(10),'3.Plan de Estudios'!AI92))</f>
        <v xml:space="preserve">
</v>
      </c>
      <c r="P74" s="298"/>
      <c r="Q74" s="298"/>
      <c r="R74" s="298"/>
      <c r="S74" s="336" t="str">
        <f t="shared" si="1"/>
        <v>No Aplica</v>
      </c>
    </row>
    <row r="75" spans="1:19" ht="72">
      <c r="A75" s="292">
        <f>IF('3.Plan de Estudios'!B93="","",'3.Plan de Estudios'!B93)</f>
        <v>7</v>
      </c>
      <c r="B75" s="292" t="str">
        <f>IF('3.Plan de Estudios'!C93="","",'3.Plan de Estudios'!C93)</f>
        <v/>
      </c>
      <c r="C75" s="292" t="str">
        <f>IF('3.Plan de Estudios'!E93="","",'3.Plan de Estudios'!E93)</f>
        <v/>
      </c>
      <c r="D75" s="293" t="str">
        <f>'3.Plan de Estudios'!I93</f>
        <v/>
      </c>
      <c r="E75" s="293" t="str">
        <f>IF('3.Plan de Estudios'!J93=0,"-",'3.Plan de Estudios'!J93)</f>
        <v>-</v>
      </c>
      <c r="F75" s="319" t="str">
        <f>IF('3.Plan de Estudios'!K93=0,"-",'3.Plan de Estudios'!K93)</f>
        <v>-</v>
      </c>
      <c r="G75" s="319" t="str">
        <f>IF('3.Plan de Estudios'!L93=0,"-",'3.Plan de Estudios'!L93)</f>
        <v>-</v>
      </c>
      <c r="H75" s="319" t="str">
        <f>IF('3.Plan de Estudios'!M93=0,"-",'3.Plan de Estudios'!M93)</f>
        <v>-</v>
      </c>
      <c r="I75" s="319" t="str">
        <f>IF('3.Plan de Estudios'!N93=0,"-",'3.Plan de Estudios'!N93)</f>
        <v>-</v>
      </c>
      <c r="J75" s="320" t="str">
        <f>IF('3.Plan de Estudios'!O93=0,"-",'3.Plan de Estudios'!O93)</f>
        <v>-</v>
      </c>
      <c r="K75" s="321" t="str">
        <f>IF('3.Plan de Estudios'!P93=0,"-",'3.Plan de Estudios'!P93)</f>
        <v>-</v>
      </c>
      <c r="L75" s="294" t="str">
        <f>IF('7.Sumillas'!G76=0,"",'7.Sumillas'!G76)</f>
        <v/>
      </c>
      <c r="M75" s="298"/>
      <c r="N75" s="298"/>
      <c r="O75" s="294" t="str">
        <f>CONCATENATE(CHAR(10),CONCATENATE('3.Plan de Estudios'!AA93,CHAR(10),'3.Plan de Estudios'!AC93,CHAR(10),'3.Plan de Estudios'!AE93,CHAR(10),'3.Plan de Estudios'!AG93,CHAR(10),'3.Plan de Estudios'!AI93))</f>
        <v xml:space="preserve">
</v>
      </c>
      <c r="P75" s="298"/>
      <c r="Q75" s="298"/>
      <c r="R75" s="298"/>
      <c r="S75" s="336" t="str">
        <f t="shared" si="1"/>
        <v>No Aplica</v>
      </c>
    </row>
    <row r="76" spans="1:19" ht="72">
      <c r="A76" s="292">
        <f>IF('3.Plan de Estudios'!B94="","",'3.Plan de Estudios'!B94)</f>
        <v>7</v>
      </c>
      <c r="B76" s="292" t="str">
        <f>IF('3.Plan de Estudios'!C94="","",'3.Plan de Estudios'!C94)</f>
        <v/>
      </c>
      <c r="C76" s="292" t="str">
        <f>IF('3.Plan de Estudios'!E94="","",'3.Plan de Estudios'!E94)</f>
        <v/>
      </c>
      <c r="D76" s="293" t="str">
        <f>'3.Plan de Estudios'!I94</f>
        <v/>
      </c>
      <c r="E76" s="293" t="str">
        <f>IF('3.Plan de Estudios'!J94=0,"-",'3.Plan de Estudios'!J94)</f>
        <v>-</v>
      </c>
      <c r="F76" s="319" t="str">
        <f>IF('3.Plan de Estudios'!K94=0,"-",'3.Plan de Estudios'!K94)</f>
        <v>-</v>
      </c>
      <c r="G76" s="319" t="str">
        <f>IF('3.Plan de Estudios'!L94=0,"-",'3.Plan de Estudios'!L94)</f>
        <v>-</v>
      </c>
      <c r="H76" s="319" t="str">
        <f>IF('3.Plan de Estudios'!M94=0,"-",'3.Plan de Estudios'!M94)</f>
        <v>-</v>
      </c>
      <c r="I76" s="319" t="str">
        <f>IF('3.Plan de Estudios'!N94=0,"-",'3.Plan de Estudios'!N94)</f>
        <v>-</v>
      </c>
      <c r="J76" s="320" t="str">
        <f>IF('3.Plan de Estudios'!O94=0,"-",'3.Plan de Estudios'!O94)</f>
        <v>-</v>
      </c>
      <c r="K76" s="321" t="str">
        <f>IF('3.Plan de Estudios'!P94=0,"-",'3.Plan de Estudios'!P94)</f>
        <v>-</v>
      </c>
      <c r="L76" s="294" t="str">
        <f>IF('7.Sumillas'!G77=0,"",'7.Sumillas'!G77)</f>
        <v/>
      </c>
      <c r="M76" s="298"/>
      <c r="N76" s="298"/>
      <c r="O76" s="294" t="str">
        <f>CONCATENATE(CHAR(10),CONCATENATE('3.Plan de Estudios'!AA94,CHAR(10),'3.Plan de Estudios'!AC94,CHAR(10),'3.Plan de Estudios'!AE94,CHAR(10),'3.Plan de Estudios'!AG94,CHAR(10),'3.Plan de Estudios'!AI94))</f>
        <v xml:space="preserve">
</v>
      </c>
      <c r="P76" s="298"/>
      <c r="Q76" s="298"/>
      <c r="R76" s="298"/>
      <c r="S76" s="336" t="str">
        <f t="shared" si="1"/>
        <v>No Aplica</v>
      </c>
    </row>
    <row r="77" spans="1:19" ht="108">
      <c r="A77" s="292">
        <f>IF('3.Plan de Estudios'!B96="","",'3.Plan de Estudios'!B96)</f>
        <v>8</v>
      </c>
      <c r="B77" s="292" t="str">
        <f>IF('3.Plan de Estudios'!C96="","",'3.Plan de Estudios'!C96)</f>
        <v>ESE61009</v>
      </c>
      <c r="C77" s="292" t="str">
        <f>IF('3.Plan de Estudios'!E96="","",'3.Plan de Estudios'!E96)</f>
        <v>ESL: LEARNER STRATEGIES</v>
      </c>
      <c r="D77" s="293" t="str">
        <f>'3.Plan de Estudios'!I96</f>
        <v>Presencial</v>
      </c>
      <c r="E77" s="293">
        <f>IF('3.Plan de Estudios'!J96=0,"-",'3.Plan de Estudios'!J96)</f>
        <v>36</v>
      </c>
      <c r="F77" s="319" t="str">
        <f>IF('3.Plan de Estudios'!K96=0,"-",'3.Plan de Estudios'!K96)</f>
        <v>-</v>
      </c>
      <c r="G77" s="319">
        <f>IF('3.Plan de Estudios'!L96=0,"-",'3.Plan de Estudios'!L96)</f>
        <v>56</v>
      </c>
      <c r="H77" s="319" t="str">
        <f>IF('3.Plan de Estudios'!M96=0,"-",'3.Plan de Estudios'!M96)</f>
        <v>-</v>
      </c>
      <c r="I77" s="319" t="str">
        <f>IF('3.Plan de Estudios'!N96=0,"-",'3.Plan de Estudios'!N96)</f>
        <v>-</v>
      </c>
      <c r="J77" s="320" t="str">
        <f>IF('3.Plan de Estudios'!O96=0,"-",'3.Plan de Estudios'!O96)</f>
        <v>-</v>
      </c>
      <c r="K77" s="321">
        <f>IF('3.Plan de Estudios'!P96=0,"-",'3.Plan de Estudios'!P96)</f>
        <v>4</v>
      </c>
      <c r="L77" s="294" t="str">
        <f>IF('7.Sumillas'!G78=0,"",'7.Sumillas'!G78)</f>
        <v>The ESL subject: Learner Strategies is of a theoretical-practical nature and the subject attributes to the competence: Comprehension and expression of the English language. Explains, holistically criticizes the English language as a language, according to the phonetic, lexical and semantic aspects using ICT to systematize it didactically in the teaching-learning process. The second strategies developed are largely appropriate for all students. ESL and classroom teachers will collaborate to deliver the curriculum in the regular classroom. The accreditable product will be a work on the design of a personal development plan and a reflection on the experience.</v>
      </c>
      <c r="M77" s="298"/>
      <c r="N77" s="298"/>
      <c r="O77" s="294" t="str">
        <f>CONCATENATE(CHAR(10),CONCATENATE('3.Plan de Estudios'!AA96,CHAR(10),'3.Plan de Estudios'!AC96,CHAR(10),'3.Plan de Estudios'!AE96,CHAR(10),'3.Plan de Estudios'!AG96,CHAR(10),'3.Plan de Estudios'!AI96))</f>
        <v xml:space="preserve">
CP5: Comprensión y expresión del idioma inglés:N3 Explica, crítica de manera holística el idioma inglés como segunda lengua, según los aspectos fonético, léxico y semántico utilizando las TIC para sistematizarla didácticamente en el proceso de enseñanza aprendizaje.
</v>
      </c>
      <c r="P77" s="298"/>
      <c r="Q77" s="298"/>
      <c r="R77" s="298"/>
      <c r="S77" s="336" t="str">
        <f t="shared" si="1"/>
        <v>No Aplica</v>
      </c>
    </row>
    <row r="78" spans="1:19" ht="144">
      <c r="A78" s="292">
        <f>IF('3.Plan de Estudios'!B97="","",'3.Plan de Estudios'!B97)</f>
        <v>8</v>
      </c>
      <c r="B78" s="292" t="str">
        <f>IF('3.Plan de Estudios'!C97="","",'3.Plan de Estudios'!C97)</f>
        <v>ENG52001</v>
      </c>
      <c r="C78" s="292" t="str">
        <f>IF('3.Plan de Estudios'!E97="","",'3.Plan de Estudios'!E97)</f>
        <v>LISTENING COMPREHENSION</v>
      </c>
      <c r="D78" s="293" t="str">
        <f>'3.Plan de Estudios'!I97</f>
        <v>Presencial</v>
      </c>
      <c r="E78" s="293">
        <f>IF('3.Plan de Estudios'!J97=0,"-",'3.Plan de Estudios'!J97)</f>
        <v>36</v>
      </c>
      <c r="F78" s="319" t="str">
        <f>IF('3.Plan de Estudios'!K97=0,"-",'3.Plan de Estudios'!K97)</f>
        <v>-</v>
      </c>
      <c r="G78" s="319">
        <f>IF('3.Plan de Estudios'!L97=0,"-",'3.Plan de Estudios'!L97)</f>
        <v>56</v>
      </c>
      <c r="H78" s="319" t="str">
        <f>IF('3.Plan de Estudios'!M97=0,"-",'3.Plan de Estudios'!M97)</f>
        <v>-</v>
      </c>
      <c r="I78" s="319" t="str">
        <f>IF('3.Plan de Estudios'!N97=0,"-",'3.Plan de Estudios'!N97)</f>
        <v>-</v>
      </c>
      <c r="J78" s="320" t="str">
        <f>IF('3.Plan de Estudios'!O97=0,"-",'3.Plan de Estudios'!O97)</f>
        <v>-</v>
      </c>
      <c r="K78" s="321">
        <f>IF('3.Plan de Estudios'!P97=0,"-",'3.Plan de Estudios'!P97)</f>
        <v>4</v>
      </c>
      <c r="L78" s="294" t="str">
        <f>IF('7.Sumillas'!G79=0,"",'7.Sumillas'!G79)</f>
        <v>The Listening Comprehension course is a theoretical-practical course that attributes to the competence: Comprehension and expression of the English language. Explains, holistically criticizes the English language as a second language, according to the phonetic, lexical and semantic aspects using ICT to systematize it didactically in the teaching-learning process. And this matter is intended for the subject to obtain a listening comprehension that is able to understand in social interaction and also in recorded form listening to general, technical and academic English at a high level. The creditable product is to produce C2 work that promotes dialogue and English language comprehension ability.</v>
      </c>
      <c r="M78" s="298"/>
      <c r="N78" s="298"/>
      <c r="O78" s="294" t="str">
        <f>CONCATENATE(CHAR(10),CONCATENATE('3.Plan de Estudios'!AA97,CHAR(10),'3.Plan de Estudios'!AC97,CHAR(10),'3.Plan de Estudios'!AE97,CHAR(10),'3.Plan de Estudios'!AG97,CHAR(10),'3.Plan de Estudios'!AI97))</f>
        <v xml:space="preserve">
CP5: Comprensión y expresión del idioma inglés:N3 Explica, crítica de manera holística el idioma inglés como segunda lengua, según los aspectos fonético, léxico y semántico utilizando las TIC para sistematizarla didácticamente en el proceso de enseñanza aprendizaje.
CG2: Comunicación Bilingüe:N3 Se desenvuelve en inglés utilizando las cuatro habilidades lingüísticas -comprensión auditiva, comprensión lectora, producción oral y producción escrita- con destreza y fluidez para el desempeño personal, académico y profesional.
</v>
      </c>
      <c r="P78" s="298"/>
      <c r="Q78" s="298"/>
      <c r="R78" s="298"/>
      <c r="S78" s="336" t="str">
        <f t="shared" si="1"/>
        <v>No Aplica</v>
      </c>
    </row>
    <row r="79" spans="1:19" ht="108">
      <c r="A79" s="292">
        <f>IF('3.Plan de Estudios'!B98="","",'3.Plan de Estudios'!B98)</f>
        <v>8</v>
      </c>
      <c r="B79" s="292" t="str">
        <f>IF('3.Plan de Estudios'!C98="","",'3.Plan de Estudios'!C98)</f>
        <v>INV51047</v>
      </c>
      <c r="C79" s="292" t="str">
        <f>IF('3.Plan de Estudios'!E98="","",'3.Plan de Estudios'!E98)</f>
        <v>ORGANIZACIÓN DE LA INFORMACIÓN</v>
      </c>
      <c r="D79" s="293" t="str">
        <f>'3.Plan de Estudios'!I98</f>
        <v>Presencial</v>
      </c>
      <c r="E79" s="293">
        <f>IF('3.Plan de Estudios'!J98=0,"-",'3.Plan de Estudios'!J98)</f>
        <v>64</v>
      </c>
      <c r="F79" s="319" t="str">
        <f>IF('3.Plan de Estudios'!K98=0,"-",'3.Plan de Estudios'!K98)</f>
        <v>-</v>
      </c>
      <c r="G79" s="319" t="str">
        <f>IF('3.Plan de Estudios'!L98=0,"-",'3.Plan de Estudios'!L98)</f>
        <v>-</v>
      </c>
      <c r="H79" s="319" t="str">
        <f>IF('3.Plan de Estudios'!M98=0,"-",'3.Plan de Estudios'!M98)</f>
        <v>-</v>
      </c>
      <c r="I79" s="319" t="str">
        <f>IF('3.Plan de Estudios'!N98=0,"-",'3.Plan de Estudios'!N98)</f>
        <v>-</v>
      </c>
      <c r="J79" s="320" t="str">
        <f>IF('3.Plan de Estudios'!O98=0,"-",'3.Plan de Estudios'!O98)</f>
        <v>-</v>
      </c>
      <c r="K79" s="321">
        <f>IF('3.Plan de Estudios'!P98=0,"-",'3.Plan de Estudios'!P98)</f>
        <v>4</v>
      </c>
      <c r="L79" s="294" t="str">
        <f>IF('7.Sumillas'!G80=0,"",'7.Sumillas'!G80)</f>
        <v>Organización de la Información, es una asignatura de formación especializada y de naturaleza teórico-práctico. Tributa a la competencia de investigación educativa. Elabora el proyecto de investigación demostrando consistencia sobre todo en el marco teórico, diseño metodológico y validación de los instrumentos de investigación. Comprende el desarrollo de los siguientes ejes temáticos: Proceso de investigación científica aplicado a la educación y el marco metodológico del proyecto de investigación, instrumentos: elaboración, aplicación y sistematización de la información. El producto acreditable es un informe de investigación basado en alguna temática del contexto educacional.</v>
      </c>
      <c r="M79" s="298"/>
      <c r="N79" s="298"/>
      <c r="O79" s="294" t="str">
        <f>CONCATENATE(CHAR(10),CONCATENATE('3.Plan de Estudios'!AA98,CHAR(10),'3.Plan de Estudios'!AC98,CHAR(10),'3.Plan de Estudios'!AE98,CHAR(10),'3.Plan de Estudios'!AG98,CHAR(10),'3.Plan de Estudios'!AI98))</f>
        <v xml:space="preserve">
CP4: Investigación Educativa:N3 Elabora el proyecto de investigación demostrando consistencia sobre todo en el marco teórico, diseño metodológico y validación de los instrumentos de investigación.
CG3: Investigación:N2 Define cual es la metodología para responder su pregunta de investigación con ética e integridad.
</v>
      </c>
      <c r="P79" s="298"/>
      <c r="Q79" s="298"/>
      <c r="R79" s="298"/>
      <c r="S79" s="336" t="str">
        <f t="shared" si="1"/>
        <v>No Aplica</v>
      </c>
    </row>
    <row r="80" spans="1:19" ht="120">
      <c r="A80" s="292">
        <f>IF('3.Plan de Estudios'!B99="","",'3.Plan de Estudios'!B99)</f>
        <v>8</v>
      </c>
      <c r="B80" s="292" t="str">
        <f>IF('3.Plan de Estudios'!C99="","",'3.Plan de Estudios'!C99)</f>
        <v>EIC61040</v>
      </c>
      <c r="C80" s="292" t="str">
        <f>IF('3.Plan de Estudios'!E99="","",'3.Plan de Estudios'!E99)</f>
        <v>PRÁCTICA PRE-PROFESIONAL INICIAL</v>
      </c>
      <c r="D80" s="293" t="str">
        <f>'3.Plan de Estudios'!I99</f>
        <v>Presencial</v>
      </c>
      <c r="E80" s="293">
        <f>IF('3.Plan de Estudios'!J99=0,"-",'3.Plan de Estudios'!J99)</f>
        <v>4</v>
      </c>
      <c r="F80" s="319" t="str">
        <f>IF('3.Plan de Estudios'!K99=0,"-",'3.Plan de Estudios'!K99)</f>
        <v>-</v>
      </c>
      <c r="G80" s="319">
        <f>IF('3.Plan de Estudios'!L99=0,"-",'3.Plan de Estudios'!L99)</f>
        <v>120</v>
      </c>
      <c r="H80" s="319" t="str">
        <f>IF('3.Plan de Estudios'!M99=0,"-",'3.Plan de Estudios'!M99)</f>
        <v>-</v>
      </c>
      <c r="I80" s="319" t="str">
        <f>IF('3.Plan de Estudios'!N99=0,"-",'3.Plan de Estudios'!N99)</f>
        <v>-</v>
      </c>
      <c r="J80" s="320" t="str">
        <f>IF('3.Plan de Estudios'!O99=0,"-",'3.Plan de Estudios'!O99)</f>
        <v>-</v>
      </c>
      <c r="K80" s="321">
        <f>IF('3.Plan de Estudios'!P99=0,"-",'3.Plan de Estudios'!P99)</f>
        <v>4</v>
      </c>
      <c r="L80" s="294" t="str">
        <f>IF('7.Sumillas'!G81=0,"",'7.Sumillas'!G81)</f>
        <v>Práctica Pre-profesional Inicial, es una asignatura de formación especializada y de naturaleza teórico-práctico. Tributa a las competencias de investigación educativa y desarrollo de enseñanza y aprendizaje. Comprende el desarrollo de los siguientes ejes temáticos: El reconocimiento y análisis de diversas metodologías y estrategias para facilitar el aprendizaje; y el análisis de gestión institucional en centros educativos de Lima. El producto acreditable es un portafolio con la planificación y observación de sesiones de aprendizajes de sus centros de prácticas.</v>
      </c>
      <c r="M80" s="298"/>
      <c r="N80" s="298"/>
      <c r="O80" s="294" t="str">
        <f>CONCATENATE(CHAR(10),CONCATENATE('3.Plan de Estudios'!AA99,CHAR(10),'3.Plan de Estudios'!AC99,CHAR(10),'3.Plan de Estudios'!AE99,CHAR(10),'3.Plan de Estudios'!AG99,CHAR(10),'3.Plan de Estudios'!AI99))</f>
        <v xml:space="preserve">
CP4: Investigación Educativa:N3 Elabora el proyecto de investigación demostrando consistencia sobre todo en el marco teórico, diseño metodológico y validación de los instrumentos de investigación.
CP3: Desarrollo enseñanza y aprendizaje:N3 Desempeñarse de manera eficiente en el desarrollo la enseñanza y de su desarrollo en su identidad docente para el buen aprendizaje de los estudiantes.
</v>
      </c>
      <c r="P80" s="298"/>
      <c r="Q80" s="298"/>
      <c r="R80" s="298"/>
      <c r="S80" s="336" t="str">
        <f t="shared" si="1"/>
        <v>No Aplica</v>
      </c>
    </row>
    <row r="81" spans="1:19" ht="72">
      <c r="A81" s="292">
        <f>IF('3.Plan de Estudios'!B100="","",'3.Plan de Estudios'!B100)</f>
        <v>8</v>
      </c>
      <c r="B81" s="292" t="str">
        <f>IF('3.Plan de Estudios'!C100="","",'3.Plan de Estudios'!C100)</f>
        <v/>
      </c>
      <c r="C81" s="292" t="str">
        <f>IF('3.Plan de Estudios'!E100="","",'3.Plan de Estudios'!E100)</f>
        <v>ELECTIVO 2</v>
      </c>
      <c r="D81" s="293" t="str">
        <f>'3.Plan de Estudios'!I100</f>
        <v>Presencial</v>
      </c>
      <c r="E81" s="293">
        <f>IF('3.Plan de Estudios'!J100=0,"-",'3.Plan de Estudios'!J100)</f>
        <v>64</v>
      </c>
      <c r="F81" s="319" t="str">
        <f>IF('3.Plan de Estudios'!K100=0,"-",'3.Plan de Estudios'!K100)</f>
        <v>-</v>
      </c>
      <c r="G81" s="319" t="str">
        <f>IF('3.Plan de Estudios'!L100=0,"-",'3.Plan de Estudios'!L100)</f>
        <v>-</v>
      </c>
      <c r="H81" s="319" t="str">
        <f>IF('3.Plan de Estudios'!M100=0,"-",'3.Plan de Estudios'!M100)</f>
        <v>-</v>
      </c>
      <c r="I81" s="319" t="str">
        <f>IF('3.Plan de Estudios'!N100=0,"-",'3.Plan de Estudios'!N100)</f>
        <v>-</v>
      </c>
      <c r="J81" s="320" t="str">
        <f>IF('3.Plan de Estudios'!O100=0,"-",'3.Plan de Estudios'!O100)</f>
        <v>-</v>
      </c>
      <c r="K81" s="321">
        <f>IF('3.Plan de Estudios'!P100=0,"-",'3.Plan de Estudios'!P100)</f>
        <v>4</v>
      </c>
      <c r="L81" s="294" t="str">
        <f>IF('7.Sumillas'!G82=0,"",'7.Sumillas'!G82)</f>
        <v/>
      </c>
      <c r="M81" s="298"/>
      <c r="N81" s="298"/>
      <c r="O81" s="294" t="str">
        <f>CONCATENATE(CHAR(10),CONCATENATE('3.Plan de Estudios'!AA100,CHAR(10),'3.Plan de Estudios'!AC100,CHAR(10),'3.Plan de Estudios'!AE100,CHAR(10),'3.Plan de Estudios'!AG100,CHAR(10),'3.Plan de Estudios'!AI100))</f>
        <v xml:space="preserve">
</v>
      </c>
      <c r="P81" s="298"/>
      <c r="Q81" s="298"/>
      <c r="R81" s="298"/>
      <c r="S81" s="336" t="str">
        <f t="shared" si="1"/>
        <v>No Aplica</v>
      </c>
    </row>
    <row r="82" spans="1:19" ht="72">
      <c r="A82" s="292">
        <f>IF('3.Plan de Estudios'!B101="","",'3.Plan de Estudios'!B101)</f>
        <v>8</v>
      </c>
      <c r="B82" s="292" t="str">
        <f>IF('3.Plan de Estudios'!C101="","",'3.Plan de Estudios'!C101)</f>
        <v/>
      </c>
      <c r="C82" s="292" t="str">
        <f>IF('3.Plan de Estudios'!E101="","",'3.Plan de Estudios'!E101)</f>
        <v/>
      </c>
      <c r="D82" s="293" t="str">
        <f>'3.Plan de Estudios'!I101</f>
        <v/>
      </c>
      <c r="E82" s="293" t="str">
        <f>IF('3.Plan de Estudios'!J101=0,"-",'3.Plan de Estudios'!J101)</f>
        <v>-</v>
      </c>
      <c r="F82" s="319" t="str">
        <f>IF('3.Plan de Estudios'!K101=0,"-",'3.Plan de Estudios'!K101)</f>
        <v>-</v>
      </c>
      <c r="G82" s="319" t="str">
        <f>IF('3.Plan de Estudios'!L101=0,"-",'3.Plan de Estudios'!L101)</f>
        <v>-</v>
      </c>
      <c r="H82" s="319" t="str">
        <f>IF('3.Plan de Estudios'!M101=0,"-",'3.Plan de Estudios'!M101)</f>
        <v>-</v>
      </c>
      <c r="I82" s="319" t="str">
        <f>IF('3.Plan de Estudios'!N101=0,"-",'3.Plan de Estudios'!N101)</f>
        <v>-</v>
      </c>
      <c r="J82" s="320" t="str">
        <f>IF('3.Plan de Estudios'!O101=0,"-",'3.Plan de Estudios'!O101)</f>
        <v>-</v>
      </c>
      <c r="K82" s="321" t="str">
        <f>IF('3.Plan de Estudios'!P101=0,"-",'3.Plan de Estudios'!P101)</f>
        <v>-</v>
      </c>
      <c r="L82" s="294" t="str">
        <f>IF('7.Sumillas'!G83=0,"",'7.Sumillas'!G83)</f>
        <v/>
      </c>
      <c r="M82" s="298"/>
      <c r="N82" s="298"/>
      <c r="O82" s="294" t="str">
        <f>CONCATENATE(CHAR(10),CONCATENATE('3.Plan de Estudios'!AA101,CHAR(10),'3.Plan de Estudios'!AC101,CHAR(10),'3.Plan de Estudios'!AE101,CHAR(10),'3.Plan de Estudios'!AG101,CHAR(10),'3.Plan de Estudios'!AI101))</f>
        <v xml:space="preserve">
</v>
      </c>
      <c r="P82" s="298"/>
      <c r="Q82" s="298"/>
      <c r="R82" s="298"/>
      <c r="S82" s="336" t="str">
        <f t="shared" si="1"/>
        <v>No Aplica</v>
      </c>
    </row>
    <row r="83" spans="1:19" ht="72">
      <c r="A83" s="292">
        <f>IF('3.Plan de Estudios'!B102="","",'3.Plan de Estudios'!B102)</f>
        <v>8</v>
      </c>
      <c r="B83" s="292" t="str">
        <f>IF('3.Plan de Estudios'!C102="","",'3.Plan de Estudios'!C102)</f>
        <v/>
      </c>
      <c r="C83" s="292" t="str">
        <f>IF('3.Plan de Estudios'!E102="","",'3.Plan de Estudios'!E102)</f>
        <v/>
      </c>
      <c r="D83" s="293" t="str">
        <f>'3.Plan de Estudios'!I102</f>
        <v/>
      </c>
      <c r="E83" s="293" t="str">
        <f>IF('3.Plan de Estudios'!J102=0,"-",'3.Plan de Estudios'!J102)</f>
        <v>-</v>
      </c>
      <c r="F83" s="319" t="str">
        <f>IF('3.Plan de Estudios'!K102=0,"-",'3.Plan de Estudios'!K102)</f>
        <v>-</v>
      </c>
      <c r="G83" s="319" t="str">
        <f>IF('3.Plan de Estudios'!L102=0,"-",'3.Plan de Estudios'!L102)</f>
        <v>-</v>
      </c>
      <c r="H83" s="319" t="str">
        <f>IF('3.Plan de Estudios'!M102=0,"-",'3.Plan de Estudios'!M102)</f>
        <v>-</v>
      </c>
      <c r="I83" s="319" t="str">
        <f>IF('3.Plan de Estudios'!N102=0,"-",'3.Plan de Estudios'!N102)</f>
        <v>-</v>
      </c>
      <c r="J83" s="320" t="str">
        <f>IF('3.Plan de Estudios'!O102=0,"-",'3.Plan de Estudios'!O102)</f>
        <v>-</v>
      </c>
      <c r="K83" s="321" t="str">
        <f>IF('3.Plan de Estudios'!P102=0,"-",'3.Plan de Estudios'!P102)</f>
        <v>-</v>
      </c>
      <c r="L83" s="294" t="str">
        <f>IF('7.Sumillas'!G84=0,"",'7.Sumillas'!G84)</f>
        <v/>
      </c>
      <c r="M83" s="298"/>
      <c r="N83" s="298"/>
      <c r="O83" s="294" t="str">
        <f>CONCATENATE(CHAR(10),CONCATENATE('3.Plan de Estudios'!AA102,CHAR(10),'3.Plan de Estudios'!AC102,CHAR(10),'3.Plan de Estudios'!AE102,CHAR(10),'3.Plan de Estudios'!AG102,CHAR(10),'3.Plan de Estudios'!AI102))</f>
        <v xml:space="preserve">
</v>
      </c>
      <c r="P83" s="298"/>
      <c r="Q83" s="298"/>
      <c r="R83" s="298"/>
      <c r="S83" s="336" t="str">
        <f t="shared" si="1"/>
        <v>No Aplica</v>
      </c>
    </row>
    <row r="84" spans="1:19" ht="72">
      <c r="A84" s="292">
        <f>IF('3.Plan de Estudios'!B103="","",'3.Plan de Estudios'!B103)</f>
        <v>8</v>
      </c>
      <c r="B84" s="292" t="str">
        <f>IF('3.Plan de Estudios'!C103="","",'3.Plan de Estudios'!C103)</f>
        <v/>
      </c>
      <c r="C84" s="292" t="str">
        <f>IF('3.Plan de Estudios'!E103="","",'3.Plan de Estudios'!E103)</f>
        <v/>
      </c>
      <c r="D84" s="293" t="str">
        <f>'3.Plan de Estudios'!I103</f>
        <v/>
      </c>
      <c r="E84" s="293" t="str">
        <f>IF('3.Plan de Estudios'!J103=0,"-",'3.Plan de Estudios'!J103)</f>
        <v>-</v>
      </c>
      <c r="F84" s="319" t="str">
        <f>IF('3.Plan de Estudios'!K103=0,"-",'3.Plan de Estudios'!K103)</f>
        <v>-</v>
      </c>
      <c r="G84" s="319" t="str">
        <f>IF('3.Plan de Estudios'!L103=0,"-",'3.Plan de Estudios'!L103)</f>
        <v>-</v>
      </c>
      <c r="H84" s="319" t="str">
        <f>IF('3.Plan de Estudios'!M103=0,"-",'3.Plan de Estudios'!M103)</f>
        <v>-</v>
      </c>
      <c r="I84" s="319" t="str">
        <f>IF('3.Plan de Estudios'!N103=0,"-",'3.Plan de Estudios'!N103)</f>
        <v>-</v>
      </c>
      <c r="J84" s="320" t="str">
        <f>IF('3.Plan de Estudios'!O103=0,"-",'3.Plan de Estudios'!O103)</f>
        <v>-</v>
      </c>
      <c r="K84" s="321" t="str">
        <f>IF('3.Plan de Estudios'!P103=0,"-",'3.Plan de Estudios'!P103)</f>
        <v>-</v>
      </c>
      <c r="L84" s="294" t="str">
        <f>IF('7.Sumillas'!G85=0,"",'7.Sumillas'!G85)</f>
        <v/>
      </c>
      <c r="M84" s="298"/>
      <c r="N84" s="298"/>
      <c r="O84" s="294" t="str">
        <f>CONCATENATE(CHAR(10),CONCATENATE('3.Plan de Estudios'!AA103,CHAR(10),'3.Plan de Estudios'!AC103,CHAR(10),'3.Plan de Estudios'!AE103,CHAR(10),'3.Plan de Estudios'!AG103,CHAR(10),'3.Plan de Estudios'!AI103))</f>
        <v xml:space="preserve">
</v>
      </c>
      <c r="P84" s="298"/>
      <c r="Q84" s="298"/>
      <c r="R84" s="298"/>
      <c r="S84" s="336" t="str">
        <f t="shared" si="1"/>
        <v>No Aplica</v>
      </c>
    </row>
    <row r="85" spans="1:19" ht="72">
      <c r="A85" s="292">
        <f>IF('3.Plan de Estudios'!B104="","",'3.Plan de Estudios'!B104)</f>
        <v>8</v>
      </c>
      <c r="B85" s="292" t="str">
        <f>IF('3.Plan de Estudios'!C104="","",'3.Plan de Estudios'!C104)</f>
        <v/>
      </c>
      <c r="C85" s="292" t="str">
        <f>IF('3.Plan de Estudios'!E104="","",'3.Plan de Estudios'!E104)</f>
        <v/>
      </c>
      <c r="D85" s="293" t="str">
        <f>'3.Plan de Estudios'!I104</f>
        <v/>
      </c>
      <c r="E85" s="293" t="str">
        <f>IF('3.Plan de Estudios'!J104=0,"-",'3.Plan de Estudios'!J104)</f>
        <v>-</v>
      </c>
      <c r="F85" s="319" t="str">
        <f>IF('3.Plan de Estudios'!K104=0,"-",'3.Plan de Estudios'!K104)</f>
        <v>-</v>
      </c>
      <c r="G85" s="319" t="str">
        <f>IF('3.Plan de Estudios'!L104=0,"-",'3.Plan de Estudios'!L104)</f>
        <v>-</v>
      </c>
      <c r="H85" s="319" t="str">
        <f>IF('3.Plan de Estudios'!M104=0,"-",'3.Plan de Estudios'!M104)</f>
        <v>-</v>
      </c>
      <c r="I85" s="319" t="str">
        <f>IF('3.Plan de Estudios'!N104=0,"-",'3.Plan de Estudios'!N104)</f>
        <v>-</v>
      </c>
      <c r="J85" s="320" t="str">
        <f>IF('3.Plan de Estudios'!O104=0,"-",'3.Plan de Estudios'!O104)</f>
        <v>-</v>
      </c>
      <c r="K85" s="321" t="str">
        <f>IF('3.Plan de Estudios'!P104=0,"-",'3.Plan de Estudios'!P104)</f>
        <v>-</v>
      </c>
      <c r="L85" s="294" t="str">
        <f>IF('7.Sumillas'!G86=0,"",'7.Sumillas'!G86)</f>
        <v/>
      </c>
      <c r="M85" s="298"/>
      <c r="N85" s="298"/>
      <c r="O85" s="294" t="str">
        <f>CONCATENATE(CHAR(10),CONCATENATE('3.Plan de Estudios'!AA104,CHAR(10),'3.Plan de Estudios'!AC104,CHAR(10),'3.Plan de Estudios'!AE104,CHAR(10),'3.Plan de Estudios'!AG104,CHAR(10),'3.Plan de Estudios'!AI104))</f>
        <v xml:space="preserve">
</v>
      </c>
      <c r="P85" s="298"/>
      <c r="Q85" s="298"/>
      <c r="R85" s="298"/>
      <c r="S85" s="336" t="str">
        <f t="shared" si="1"/>
        <v>No Aplica</v>
      </c>
    </row>
    <row r="86" spans="1:19" ht="72">
      <c r="A86" s="292">
        <f>IF('3.Plan de Estudios'!B105="","",'3.Plan de Estudios'!B105)</f>
        <v>8</v>
      </c>
      <c r="B86" s="292" t="str">
        <f>IF('3.Plan de Estudios'!C105="","",'3.Plan de Estudios'!C105)</f>
        <v/>
      </c>
      <c r="C86" s="292" t="str">
        <f>IF('3.Plan de Estudios'!E105="","",'3.Plan de Estudios'!E105)</f>
        <v/>
      </c>
      <c r="D86" s="293" t="str">
        <f>'3.Plan de Estudios'!I105</f>
        <v/>
      </c>
      <c r="E86" s="293" t="str">
        <f>IF('3.Plan de Estudios'!J105=0,"-",'3.Plan de Estudios'!J105)</f>
        <v>-</v>
      </c>
      <c r="F86" s="319" t="str">
        <f>IF('3.Plan de Estudios'!K105=0,"-",'3.Plan de Estudios'!K105)</f>
        <v>-</v>
      </c>
      <c r="G86" s="319" t="str">
        <f>IF('3.Plan de Estudios'!L105=0,"-",'3.Plan de Estudios'!L105)</f>
        <v>-</v>
      </c>
      <c r="H86" s="319" t="str">
        <f>IF('3.Plan de Estudios'!M105=0,"-",'3.Plan de Estudios'!M105)</f>
        <v>-</v>
      </c>
      <c r="I86" s="319" t="str">
        <f>IF('3.Plan de Estudios'!N105=0,"-",'3.Plan de Estudios'!N105)</f>
        <v>-</v>
      </c>
      <c r="J86" s="320" t="str">
        <f>IF('3.Plan de Estudios'!O105=0,"-",'3.Plan de Estudios'!O105)</f>
        <v>-</v>
      </c>
      <c r="K86" s="321" t="str">
        <f>IF('3.Plan de Estudios'!P105=0,"-",'3.Plan de Estudios'!P105)</f>
        <v>-</v>
      </c>
      <c r="L86" s="294" t="str">
        <f>IF('7.Sumillas'!G87=0,"",'7.Sumillas'!G87)</f>
        <v/>
      </c>
      <c r="M86" s="298"/>
      <c r="N86" s="298"/>
      <c r="O86" s="294" t="str">
        <f>CONCATENATE(CHAR(10),CONCATENATE('3.Plan de Estudios'!AA105,CHAR(10),'3.Plan de Estudios'!AC105,CHAR(10),'3.Plan de Estudios'!AE105,CHAR(10),'3.Plan de Estudios'!AG105,CHAR(10),'3.Plan de Estudios'!AI105))</f>
        <v xml:space="preserve">
</v>
      </c>
      <c r="P86" s="298"/>
      <c r="Q86" s="298"/>
      <c r="R86" s="298"/>
      <c r="S86" s="336" t="str">
        <f t="shared" si="1"/>
        <v>No Aplica</v>
      </c>
    </row>
    <row r="87" spans="1:19" ht="108">
      <c r="A87" s="292">
        <f>IF('3.Plan de Estudios'!B107="","",'3.Plan de Estudios'!B107)</f>
        <v>9</v>
      </c>
      <c r="B87" s="292" t="str">
        <f>IF('3.Plan de Estudios'!C107="","",'3.Plan de Estudios'!C107)</f>
        <v>EDG62029</v>
      </c>
      <c r="C87" s="292" t="str">
        <f>IF('3.Plan de Estudios'!E107="","",'3.Plan de Estudios'!E107)</f>
        <v>MICROCOMPUTERS &amp; MEDIA IN THE ESL CLASSROOM</v>
      </c>
      <c r="D87" s="293" t="str">
        <f>'3.Plan de Estudios'!I107</f>
        <v>Presencial</v>
      </c>
      <c r="E87" s="293">
        <f>IF('3.Plan de Estudios'!J107=0,"-",'3.Plan de Estudios'!J107)</f>
        <v>36</v>
      </c>
      <c r="F87" s="319" t="str">
        <f>IF('3.Plan de Estudios'!K107=0,"-",'3.Plan de Estudios'!K107)</f>
        <v>-</v>
      </c>
      <c r="G87" s="319">
        <f>IF('3.Plan de Estudios'!L107=0,"-",'3.Plan de Estudios'!L107)</f>
        <v>56</v>
      </c>
      <c r="H87" s="319" t="str">
        <f>IF('3.Plan de Estudios'!M107=0,"-",'3.Plan de Estudios'!M107)</f>
        <v>-</v>
      </c>
      <c r="I87" s="319" t="str">
        <f>IF('3.Plan de Estudios'!N107=0,"-",'3.Plan de Estudios'!N107)</f>
        <v>-</v>
      </c>
      <c r="J87" s="320" t="str">
        <f>IF('3.Plan de Estudios'!O107=0,"-",'3.Plan de Estudios'!O107)</f>
        <v>-</v>
      </c>
      <c r="K87" s="321">
        <f>IF('3.Plan de Estudios'!P107=0,"-",'3.Plan de Estudios'!P107)</f>
        <v>4</v>
      </c>
      <c r="L87" s="294" t="str">
        <f>IF('7.Sumillas'!G88=0,"",'7.Sumillas'!G88)</f>
        <v>The Microcomputers and Media in the ESL Classroom subject is of a theoretical-practical nature and this subject is attributed to the Teaching and Learning Development and Resource Management competence. Efficiently performs the development of teaching and its development in its teaching identity for the good learning of students. It is based on the proposal to use existing multimedia technology and software in relation to teaching and learning. The creditable product of the course is that students will develop learning sessions and also prepare case reports.</v>
      </c>
      <c r="M87" s="298"/>
      <c r="N87" s="298"/>
      <c r="O87" s="294" t="str">
        <f>CONCATENATE(CHAR(10),CONCATENATE('3.Plan de Estudios'!AA107,CHAR(10),'3.Plan de Estudios'!AC107,CHAR(10),'3.Plan de Estudios'!AE107,CHAR(10),'3.Plan de Estudios'!AG107,CHAR(10),'3.Plan de Estudios'!AI107))</f>
        <v xml:space="preserve">
CP3: Desarrollo enseñanza y aprendizaje:N3 Desempeñarse de manera eficiente en el desarrollo la enseñanza y de su desarrollo en su identidad docente para el buen aprendizaje de los estudiantes.
CG4: Gestión de Recursos:N3 Utiliza herramientas de gestión de recursos empresariales de manera adecuada para la toma de decisiones.
</v>
      </c>
      <c r="P87" s="298"/>
      <c r="Q87" s="298"/>
      <c r="R87" s="298"/>
      <c r="S87" s="336" t="str">
        <f t="shared" si="1"/>
        <v>No Aplica</v>
      </c>
    </row>
    <row r="88" spans="1:19" ht="144">
      <c r="A88" s="292">
        <f>IF('3.Plan de Estudios'!B108="","",'3.Plan de Estudios'!B108)</f>
        <v>9</v>
      </c>
      <c r="B88" s="292" t="str">
        <f>IF('3.Plan de Estudios'!C108="","",'3.Plan de Estudios'!C108)</f>
        <v>EIC61039</v>
      </c>
      <c r="C88" s="292" t="str">
        <f>IF('3.Plan de Estudios'!E108="","",'3.Plan de Estudios'!E108)</f>
        <v>PLANIFICACIÓN DE CLASES Y ACTIVIDADES</v>
      </c>
      <c r="D88" s="293" t="str">
        <f>'3.Plan de Estudios'!I108</f>
        <v>Presencial</v>
      </c>
      <c r="E88" s="293">
        <f>IF('3.Plan de Estudios'!J108=0,"-",'3.Plan de Estudios'!J108)</f>
        <v>64</v>
      </c>
      <c r="F88" s="319" t="str">
        <f>IF('3.Plan de Estudios'!K108=0,"-",'3.Plan de Estudios'!K108)</f>
        <v>-</v>
      </c>
      <c r="G88" s="319" t="str">
        <f>IF('3.Plan de Estudios'!L108=0,"-",'3.Plan de Estudios'!L108)</f>
        <v>-</v>
      </c>
      <c r="H88" s="319" t="str">
        <f>IF('3.Plan de Estudios'!M108=0,"-",'3.Plan de Estudios'!M108)</f>
        <v>-</v>
      </c>
      <c r="I88" s="319" t="str">
        <f>IF('3.Plan de Estudios'!N108=0,"-",'3.Plan de Estudios'!N108)</f>
        <v>-</v>
      </c>
      <c r="J88" s="320" t="str">
        <f>IF('3.Plan de Estudios'!O108=0,"-",'3.Plan de Estudios'!O108)</f>
        <v>-</v>
      </c>
      <c r="K88" s="321">
        <f>IF('3.Plan de Estudios'!P108=0,"-",'3.Plan de Estudios'!P108)</f>
        <v>4</v>
      </c>
      <c r="L88" s="294" t="str">
        <f>IF('7.Sumillas'!G89=0,"",'7.Sumillas'!G89)</f>
        <v>Planificación de Clases y Actividades, es una asignatura de formación especializada y de carácter teórico. Esta asignatura tributa a las competencias de desarrollo de gestión educativa y comunicación integral. Establece relaciones entre las concepciones de administración, economía, marketing y aspectos legales como fundamentos básicos para el desarrollo de una buena gestión educativa. Comprende el desarrollo de los siguientes ejes temáticos: el programa curricular de educación, el diseño y planificación de sesiones de aprendizaje. El producto acreditable es la propuesta de una sesión de aprendizaje, que refleje la planificación y ejecución del proceso enseñanza-aprendizaje.</v>
      </c>
      <c r="M88" s="298"/>
      <c r="N88" s="298"/>
      <c r="O88" s="294" t="str">
        <f>CONCATENATE(CHAR(10),CONCATENATE('3.Plan de Estudios'!AA108,CHAR(10),'3.Plan de Estudios'!AC108,CHAR(10),'3.Plan de Estudios'!AE108,CHAR(10),'3.Plan de Estudios'!AG108,CHAR(10),'3.Plan de Estudios'!AI108))</f>
        <v xml:space="preserve">
CP2: Desarrollo de gestión educativa:N3 Establece relaciones entre las concepciones de administración, economía, marketing y aspectos legales como fundamentos básicos para el desarrollo de una buena gestión educativa.
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
</v>
      </c>
      <c r="P88" s="298"/>
      <c r="Q88" s="298"/>
      <c r="R88" s="298"/>
      <c r="S88" s="336" t="str">
        <f t="shared" si="1"/>
        <v>No Aplica</v>
      </c>
    </row>
    <row r="89" spans="1:19" ht="108">
      <c r="A89" s="292">
        <f>IF('3.Plan de Estudios'!B109="","",'3.Plan de Estudios'!B109)</f>
        <v>9</v>
      </c>
      <c r="B89" s="292" t="str">
        <f>IF('3.Plan de Estudios'!C109="","",'3.Plan de Estudios'!C109)</f>
        <v>EIC61053</v>
      </c>
      <c r="C89" s="292" t="str">
        <f>IF('3.Plan de Estudios'!E109="","",'3.Plan de Estudios'!E109)</f>
        <v>PRÁCTICA PRE-PROFESIONAL INTERMEDIA</v>
      </c>
      <c r="D89" s="293" t="str">
        <f>'3.Plan de Estudios'!I109</f>
        <v>Presencial</v>
      </c>
      <c r="E89" s="293">
        <f>IF('3.Plan de Estudios'!J109=0,"-",'3.Plan de Estudios'!J109)</f>
        <v>4</v>
      </c>
      <c r="F89" s="319" t="str">
        <f>IF('3.Plan de Estudios'!K109=0,"-",'3.Plan de Estudios'!K109)</f>
        <v>-</v>
      </c>
      <c r="G89" s="319">
        <f>IF('3.Plan de Estudios'!L109=0,"-",'3.Plan de Estudios'!L109)</f>
        <v>120</v>
      </c>
      <c r="H89" s="319" t="str">
        <f>IF('3.Plan de Estudios'!M109=0,"-",'3.Plan de Estudios'!M109)</f>
        <v>-</v>
      </c>
      <c r="I89" s="319" t="str">
        <f>IF('3.Plan de Estudios'!N109=0,"-",'3.Plan de Estudios'!N109)</f>
        <v>-</v>
      </c>
      <c r="J89" s="320" t="str">
        <f>IF('3.Plan de Estudios'!O109=0,"-",'3.Plan de Estudios'!O109)</f>
        <v>-</v>
      </c>
      <c r="K89" s="321">
        <f>IF('3.Plan de Estudios'!P109=0,"-",'3.Plan de Estudios'!P109)</f>
        <v>4</v>
      </c>
      <c r="L89" s="294" t="str">
        <f>IF('7.Sumillas'!G90=0,"",'7.Sumillas'!G90)</f>
        <v>Práctica Preprofesional Intermedia, es una asignatura de formación especializada y de naturaleza teórico-práctico. Tributa a la competencia de Desarrollo Enseñanza y Aprendizaje. ESte curso tiene como propósito lograr un desempeño eficiente en la enseñanza y en el desarrollo de su identidad docente para el buen aprendizaje de los estudiantes. Comprende el desarrollo de los siguientes ejes temáticos: la metodología y estrategias para el aprendizaje de las diferentes áreas curriculares, la exposición de situaciones reales y elaboración de sesiones de clase de acuerdo con el contexto educativo. El producto acreditable es un portafolio con la planificación y observación de sesiones de aprendizajes de sus centros de prácticas.</v>
      </c>
      <c r="M89" s="298"/>
      <c r="N89" s="298"/>
      <c r="O89" s="294" t="str">
        <f>CONCATENATE(CHAR(10),CONCATENATE('3.Plan de Estudios'!AA109,CHAR(10),'3.Plan de Estudios'!AC109,CHAR(10),'3.Plan de Estudios'!AE109,CHAR(10),'3.Plan de Estudios'!AG109,CHAR(10),'3.Plan de Estudios'!AI109))</f>
        <v xml:space="preserve">
CP3: Desarrollo enseñanza y aprendizaje:N3 Desempeñarse de manera eficiente en el desarrollo la enseñanza y de su desarrollo en su identidad docente para el buen aprendizaje de los estudiantes.
</v>
      </c>
      <c r="P89" s="298"/>
      <c r="Q89" s="298"/>
      <c r="R89" s="298"/>
      <c r="S89" s="336" t="str">
        <f t="shared" si="1"/>
        <v>No Aplica</v>
      </c>
    </row>
    <row r="90" spans="1:19" ht="96">
      <c r="A90" s="292">
        <f>IF('3.Plan de Estudios'!B110="","",'3.Plan de Estudios'!B110)</f>
        <v>9</v>
      </c>
      <c r="B90" s="292" t="str">
        <f>IF('3.Plan de Estudios'!C110="","",'3.Plan de Estudios'!C110)</f>
        <v>EDG51019</v>
      </c>
      <c r="C90" s="292" t="str">
        <f>IF('3.Plan de Estudios'!E110="","",'3.Plan de Estudios'!E110)</f>
        <v xml:space="preserve">PROJECTS IN THE CLASSROOM </v>
      </c>
      <c r="D90" s="293" t="str">
        <f>'3.Plan de Estudios'!I110</f>
        <v>Presencial</v>
      </c>
      <c r="E90" s="293">
        <f>IF('3.Plan de Estudios'!J110=0,"-",'3.Plan de Estudios'!J110)</f>
        <v>2</v>
      </c>
      <c r="F90" s="319" t="str">
        <f>IF('3.Plan de Estudios'!K110=0,"-",'3.Plan de Estudios'!K110)</f>
        <v>-</v>
      </c>
      <c r="G90" s="319">
        <f>IF('3.Plan de Estudios'!L110=0,"-",'3.Plan de Estudios'!L110)</f>
        <v>60</v>
      </c>
      <c r="H90" s="319" t="str">
        <f>IF('3.Plan de Estudios'!M110=0,"-",'3.Plan de Estudios'!M110)</f>
        <v>-</v>
      </c>
      <c r="I90" s="319" t="str">
        <f>IF('3.Plan de Estudios'!N110=0,"-",'3.Plan de Estudios'!N110)</f>
        <v>-</v>
      </c>
      <c r="J90" s="320" t="str">
        <f>IF('3.Plan de Estudios'!O110=0,"-",'3.Plan de Estudios'!O110)</f>
        <v>-</v>
      </c>
      <c r="K90" s="321">
        <f>IF('3.Plan de Estudios'!P110=0,"-",'3.Plan de Estudios'!P110)</f>
        <v>2</v>
      </c>
      <c r="L90" s="294" t="str">
        <f>IF('7.Sumillas'!G91=0,"",'7.Sumillas'!G91)</f>
        <v>The Tasks and Projects subject is of a practical nature and attributes the teaching and learning development competence. With the purpose that, in the English classroom, students are given a clear concept of work in a task and project, designing them and incorporating them in the classroom. In order for students to develop and write their opinions about teaching. The accreditable product is that an activity is carried out through a forum and a conceptual map on the teaching of writing is presented.</v>
      </c>
      <c r="M90" s="298"/>
      <c r="N90" s="298"/>
      <c r="O90" s="294" t="str">
        <f>CONCATENATE(CHAR(10),CONCATENATE('3.Plan de Estudios'!AA110,CHAR(10),'3.Plan de Estudios'!AC110,CHAR(10),'3.Plan de Estudios'!AE110,CHAR(10),'3.Plan de Estudios'!AG110,CHAR(10),'3.Plan de Estudios'!AI110))</f>
        <v xml:space="preserve">
CP3: Desarrollo enseñanza y aprendizaje:N3 Desempeñarse de manera eficiente en el desarrollo la enseñanza y de su desarrollo en su identidad docente para el buen aprendizaje de los estudiantes.
</v>
      </c>
      <c r="P90" s="298"/>
      <c r="Q90" s="298"/>
      <c r="R90" s="298"/>
      <c r="S90" s="336" t="str">
        <f t="shared" si="1"/>
        <v>No Aplica</v>
      </c>
    </row>
    <row r="91" spans="1:19" ht="180">
      <c r="A91" s="292">
        <f>IF('3.Plan de Estudios'!B111="","",'3.Plan de Estudios'!B111)</f>
        <v>9</v>
      </c>
      <c r="B91" s="292" t="str">
        <f>IF('3.Plan de Estudios'!C111="","",'3.Plan de Estudios'!C111)</f>
        <v>ESE61017</v>
      </c>
      <c r="C91" s="292" t="str">
        <f>IF('3.Plan de Estudios'!E111="","",'3.Plan de Estudios'!E111)</f>
        <v>SISTEMATIZACIÓN DE LA INFORMACIÓN</v>
      </c>
      <c r="D91" s="293" t="str">
        <f>'3.Plan de Estudios'!I111</f>
        <v>Presencial</v>
      </c>
      <c r="E91" s="293">
        <f>IF('3.Plan de Estudios'!J111=0,"-",'3.Plan de Estudios'!J111)</f>
        <v>2</v>
      </c>
      <c r="F91" s="319" t="str">
        <f>IF('3.Plan de Estudios'!K111=0,"-",'3.Plan de Estudios'!K111)</f>
        <v>-</v>
      </c>
      <c r="G91" s="319">
        <f>IF('3.Plan de Estudios'!L111=0,"-",'3.Plan de Estudios'!L111)</f>
        <v>60</v>
      </c>
      <c r="H91" s="319" t="str">
        <f>IF('3.Plan de Estudios'!M111=0,"-",'3.Plan de Estudios'!M111)</f>
        <v>-</v>
      </c>
      <c r="I91" s="319" t="str">
        <f>IF('3.Plan de Estudios'!N111=0,"-",'3.Plan de Estudios'!N111)</f>
        <v>-</v>
      </c>
      <c r="J91" s="320" t="str">
        <f>IF('3.Plan de Estudios'!O111=0,"-",'3.Plan de Estudios'!O111)</f>
        <v>-</v>
      </c>
      <c r="K91" s="321">
        <f>IF('3.Plan de Estudios'!P111=0,"-",'3.Plan de Estudios'!P111)</f>
        <v>2</v>
      </c>
      <c r="L91" s="294" t="str">
        <f>IF('7.Sumillas'!G92=0,"",'7.Sumillas'!G92)</f>
        <v>Sistematización de la Información, es una asignatura de formación especializada y de naturaleza teórico-práctico. Tiene como finalidad que el estudiante desarrolle las competencias de Investigación Educativa y las competencias generales de Investigación y Comunicación Integral. Elabora el proyecto de investigación demostrando consistencia sobre todo en el marco teórico, diseño metodológico y validación de los instrumentos de investigación. Comprende el desarrollo de los siguientes ejes temáticos: Diagnóstico educativo y proyecto de investigación ;e instrumentos de investigación (elaboración, aplicación y sistematización de la información). El producto acreditable es la presentación de un informe de investigación en base a una problemática encontrada en el contexto educacional.</v>
      </c>
      <c r="M91" s="298"/>
      <c r="N91" s="298"/>
      <c r="O91" s="294" t="str">
        <f>CONCATENATE(CHAR(10),CONCATENATE('3.Plan de Estudios'!AA111,CHAR(10),'3.Plan de Estudios'!AC111,CHAR(10),'3.Plan de Estudios'!AE111,CHAR(10),'3.Plan de Estudios'!AG111,CHAR(10),'3.Plan de Estudios'!AI111))</f>
        <v xml:space="preserve">
CP4: Investigación Educativa:N3 Elabora el proyecto de investigación demostrando consistencia sobre todo en el marco teórico, diseño metodológico y validación de los instrumentos de investigación.
CG3: Investigación:N3 Planifica, plantea y elabora un proyecto de investigación, haciendo uso de los pasos del método científico en forma ética para resolver un problema, según las líneas de investigación de la universidad y respondiendo a un problema del país.
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
</v>
      </c>
      <c r="P91" s="298"/>
      <c r="Q91" s="298"/>
      <c r="R91" s="298"/>
      <c r="S91" s="336" t="str">
        <f t="shared" si="1"/>
        <v>No Aplica</v>
      </c>
    </row>
    <row r="92" spans="1:19" ht="72">
      <c r="A92" s="292">
        <f>IF('3.Plan de Estudios'!B112="","",'3.Plan de Estudios'!B112)</f>
        <v>9</v>
      </c>
      <c r="B92" s="292" t="str">
        <f>IF('3.Plan de Estudios'!C112="","",'3.Plan de Estudios'!C112)</f>
        <v/>
      </c>
      <c r="C92" s="292" t="str">
        <f>IF('3.Plan de Estudios'!E112="","",'3.Plan de Estudios'!E112)</f>
        <v>ELECTIVO 3</v>
      </c>
      <c r="D92" s="293" t="str">
        <f>'3.Plan de Estudios'!I112</f>
        <v>Presencial</v>
      </c>
      <c r="E92" s="293">
        <f>IF('3.Plan de Estudios'!J112=0,"-",'3.Plan de Estudios'!J112)</f>
        <v>64</v>
      </c>
      <c r="F92" s="319" t="str">
        <f>IF('3.Plan de Estudios'!K112=0,"-",'3.Plan de Estudios'!K112)</f>
        <v>-</v>
      </c>
      <c r="G92" s="319" t="str">
        <f>IF('3.Plan de Estudios'!L112=0,"-",'3.Plan de Estudios'!L112)</f>
        <v>-</v>
      </c>
      <c r="H92" s="319" t="str">
        <f>IF('3.Plan de Estudios'!M112=0,"-",'3.Plan de Estudios'!M112)</f>
        <v>-</v>
      </c>
      <c r="I92" s="319" t="str">
        <f>IF('3.Plan de Estudios'!N112=0,"-",'3.Plan de Estudios'!N112)</f>
        <v>-</v>
      </c>
      <c r="J92" s="320" t="str">
        <f>IF('3.Plan de Estudios'!O112=0,"-",'3.Plan de Estudios'!O112)</f>
        <v>-</v>
      </c>
      <c r="K92" s="321">
        <f>IF('3.Plan de Estudios'!P112=0,"-",'3.Plan de Estudios'!P112)</f>
        <v>4</v>
      </c>
      <c r="L92" s="294" t="str">
        <f>IF('7.Sumillas'!G93=0,"",'7.Sumillas'!G93)</f>
        <v/>
      </c>
      <c r="M92" s="298"/>
      <c r="N92" s="298"/>
      <c r="O92" s="294" t="str">
        <f>CONCATENATE(CHAR(10),CONCATENATE('3.Plan de Estudios'!AA112,CHAR(10),'3.Plan de Estudios'!AC112,CHAR(10),'3.Plan de Estudios'!AE112,CHAR(10),'3.Plan de Estudios'!AG112,CHAR(10),'3.Plan de Estudios'!AI112))</f>
        <v xml:space="preserve">
</v>
      </c>
      <c r="P92" s="298"/>
      <c r="Q92" s="298"/>
      <c r="R92" s="298"/>
      <c r="S92" s="336" t="str">
        <f t="shared" si="1"/>
        <v>No Aplica</v>
      </c>
    </row>
    <row r="93" spans="1:19" ht="72">
      <c r="A93" s="292">
        <f>IF('3.Plan de Estudios'!B113="","",'3.Plan de Estudios'!B113)</f>
        <v>9</v>
      </c>
      <c r="B93" s="292" t="str">
        <f>IF('3.Plan de Estudios'!C113="","",'3.Plan de Estudios'!C113)</f>
        <v/>
      </c>
      <c r="C93" s="292" t="str">
        <f>IF('3.Plan de Estudios'!E113="","",'3.Plan de Estudios'!E113)</f>
        <v/>
      </c>
      <c r="D93" s="293" t="str">
        <f>'3.Plan de Estudios'!I113</f>
        <v/>
      </c>
      <c r="E93" s="293" t="str">
        <f>IF('3.Plan de Estudios'!J113=0,"-",'3.Plan de Estudios'!J113)</f>
        <v>-</v>
      </c>
      <c r="F93" s="319" t="str">
        <f>IF('3.Plan de Estudios'!K113=0,"-",'3.Plan de Estudios'!K113)</f>
        <v>-</v>
      </c>
      <c r="G93" s="319" t="str">
        <f>IF('3.Plan de Estudios'!L113=0,"-",'3.Plan de Estudios'!L113)</f>
        <v>-</v>
      </c>
      <c r="H93" s="319" t="str">
        <f>IF('3.Plan de Estudios'!M113=0,"-",'3.Plan de Estudios'!M113)</f>
        <v>-</v>
      </c>
      <c r="I93" s="319" t="str">
        <f>IF('3.Plan de Estudios'!N113=0,"-",'3.Plan de Estudios'!N113)</f>
        <v>-</v>
      </c>
      <c r="J93" s="320" t="str">
        <f>IF('3.Plan de Estudios'!O113=0,"-",'3.Plan de Estudios'!O113)</f>
        <v>-</v>
      </c>
      <c r="K93" s="321" t="str">
        <f>IF('3.Plan de Estudios'!P113=0,"-",'3.Plan de Estudios'!P113)</f>
        <v>-</v>
      </c>
      <c r="L93" s="294" t="str">
        <f>IF('7.Sumillas'!G94=0,"",'7.Sumillas'!G94)</f>
        <v/>
      </c>
      <c r="M93" s="298"/>
      <c r="N93" s="298"/>
      <c r="O93" s="294" t="str">
        <f>CONCATENATE(CHAR(10),CONCATENATE('3.Plan de Estudios'!AA113,CHAR(10),'3.Plan de Estudios'!AC113,CHAR(10),'3.Plan de Estudios'!AE113,CHAR(10),'3.Plan de Estudios'!AG113,CHAR(10),'3.Plan de Estudios'!AI113))</f>
        <v xml:space="preserve">
</v>
      </c>
      <c r="P93" s="298"/>
      <c r="Q93" s="298"/>
      <c r="R93" s="298"/>
      <c r="S93" s="336" t="str">
        <f t="shared" si="1"/>
        <v>No Aplica</v>
      </c>
    </row>
    <row r="94" spans="1:19" ht="72">
      <c r="A94" s="292">
        <f>IF('3.Plan de Estudios'!B114="","",'3.Plan de Estudios'!B114)</f>
        <v>9</v>
      </c>
      <c r="B94" s="292" t="str">
        <f>IF('3.Plan de Estudios'!C114="","",'3.Plan de Estudios'!C114)</f>
        <v/>
      </c>
      <c r="C94" s="292" t="str">
        <f>IF('3.Plan de Estudios'!E114="","",'3.Plan de Estudios'!E114)</f>
        <v/>
      </c>
      <c r="D94" s="293" t="str">
        <f>'3.Plan de Estudios'!I114</f>
        <v/>
      </c>
      <c r="E94" s="293" t="str">
        <f>IF('3.Plan de Estudios'!J114=0,"-",'3.Plan de Estudios'!J114)</f>
        <v>-</v>
      </c>
      <c r="F94" s="319" t="str">
        <f>IF('3.Plan de Estudios'!K114=0,"-",'3.Plan de Estudios'!K114)</f>
        <v>-</v>
      </c>
      <c r="G94" s="319" t="str">
        <f>IF('3.Plan de Estudios'!L114=0,"-",'3.Plan de Estudios'!L114)</f>
        <v>-</v>
      </c>
      <c r="H94" s="319" t="str">
        <f>IF('3.Plan de Estudios'!M114=0,"-",'3.Plan de Estudios'!M114)</f>
        <v>-</v>
      </c>
      <c r="I94" s="319" t="str">
        <f>IF('3.Plan de Estudios'!N114=0,"-",'3.Plan de Estudios'!N114)</f>
        <v>-</v>
      </c>
      <c r="J94" s="320" t="str">
        <f>IF('3.Plan de Estudios'!O114=0,"-",'3.Plan de Estudios'!O114)</f>
        <v>-</v>
      </c>
      <c r="K94" s="321" t="str">
        <f>IF('3.Plan de Estudios'!P114=0,"-",'3.Plan de Estudios'!P114)</f>
        <v>-</v>
      </c>
      <c r="L94" s="294" t="str">
        <f>IF('7.Sumillas'!G95=0,"",'7.Sumillas'!G95)</f>
        <v/>
      </c>
      <c r="M94" s="298"/>
      <c r="N94" s="298"/>
      <c r="O94" s="294" t="str">
        <f>CONCATENATE(CHAR(10),CONCATENATE('3.Plan de Estudios'!AA114,CHAR(10),'3.Plan de Estudios'!AC114,CHAR(10),'3.Plan de Estudios'!AE114,CHAR(10),'3.Plan de Estudios'!AG114,CHAR(10),'3.Plan de Estudios'!AI114))</f>
        <v xml:space="preserve">
</v>
      </c>
      <c r="P94" s="298"/>
      <c r="Q94" s="298"/>
      <c r="R94" s="298"/>
      <c r="S94" s="336" t="str">
        <f t="shared" si="1"/>
        <v>No Aplica</v>
      </c>
    </row>
    <row r="95" spans="1:19" ht="72">
      <c r="A95" s="292">
        <f>IF('3.Plan de Estudios'!B115="","",'3.Plan de Estudios'!B115)</f>
        <v>9</v>
      </c>
      <c r="B95" s="292" t="str">
        <f>IF('3.Plan de Estudios'!C115="","",'3.Plan de Estudios'!C115)</f>
        <v/>
      </c>
      <c r="C95" s="292" t="str">
        <f>IF('3.Plan de Estudios'!E115="","",'3.Plan de Estudios'!E115)</f>
        <v/>
      </c>
      <c r="D95" s="293" t="str">
        <f>'3.Plan de Estudios'!I115</f>
        <v/>
      </c>
      <c r="E95" s="293" t="str">
        <f>IF('3.Plan de Estudios'!J115=0,"-",'3.Plan de Estudios'!J115)</f>
        <v>-</v>
      </c>
      <c r="F95" s="319" t="str">
        <f>IF('3.Plan de Estudios'!K115=0,"-",'3.Plan de Estudios'!K115)</f>
        <v>-</v>
      </c>
      <c r="G95" s="319" t="str">
        <f>IF('3.Plan de Estudios'!L115=0,"-",'3.Plan de Estudios'!L115)</f>
        <v>-</v>
      </c>
      <c r="H95" s="319" t="str">
        <f>IF('3.Plan de Estudios'!M115=0,"-",'3.Plan de Estudios'!M115)</f>
        <v>-</v>
      </c>
      <c r="I95" s="319" t="str">
        <f>IF('3.Plan de Estudios'!N115=0,"-",'3.Plan de Estudios'!N115)</f>
        <v>-</v>
      </c>
      <c r="J95" s="320" t="str">
        <f>IF('3.Plan de Estudios'!O115=0,"-",'3.Plan de Estudios'!O115)</f>
        <v>-</v>
      </c>
      <c r="K95" s="321" t="str">
        <f>IF('3.Plan de Estudios'!P115=0,"-",'3.Plan de Estudios'!P115)</f>
        <v>-</v>
      </c>
      <c r="L95" s="294" t="str">
        <f>IF('7.Sumillas'!G96=0,"",'7.Sumillas'!G96)</f>
        <v/>
      </c>
      <c r="M95" s="298"/>
      <c r="N95" s="298"/>
      <c r="O95" s="294" t="str">
        <f>CONCATENATE(CHAR(10),CONCATENATE('3.Plan de Estudios'!AA115,CHAR(10),'3.Plan de Estudios'!AC115,CHAR(10),'3.Plan de Estudios'!AE115,CHAR(10),'3.Plan de Estudios'!AG115,CHAR(10),'3.Plan de Estudios'!AI115))</f>
        <v xml:space="preserve">
</v>
      </c>
      <c r="P95" s="298"/>
      <c r="Q95" s="298"/>
      <c r="R95" s="298"/>
      <c r="S95" s="336" t="str">
        <f t="shared" si="1"/>
        <v>No Aplica</v>
      </c>
    </row>
    <row r="96" spans="1:19" ht="72">
      <c r="A96" s="292">
        <f>IF('3.Plan de Estudios'!B116="","",'3.Plan de Estudios'!B116)</f>
        <v>9</v>
      </c>
      <c r="B96" s="292" t="str">
        <f>IF('3.Plan de Estudios'!C116="","",'3.Plan de Estudios'!C116)</f>
        <v/>
      </c>
      <c r="C96" s="292" t="str">
        <f>IF('3.Plan de Estudios'!E116="","",'3.Plan de Estudios'!E116)</f>
        <v/>
      </c>
      <c r="D96" s="293" t="str">
        <f>'3.Plan de Estudios'!I116</f>
        <v/>
      </c>
      <c r="E96" s="293" t="str">
        <f>IF('3.Plan de Estudios'!J116=0,"-",'3.Plan de Estudios'!J116)</f>
        <v>-</v>
      </c>
      <c r="F96" s="319" t="str">
        <f>IF('3.Plan de Estudios'!K116=0,"-",'3.Plan de Estudios'!K116)</f>
        <v>-</v>
      </c>
      <c r="G96" s="319" t="str">
        <f>IF('3.Plan de Estudios'!L116=0,"-",'3.Plan de Estudios'!L116)</f>
        <v>-</v>
      </c>
      <c r="H96" s="319" t="str">
        <f>IF('3.Plan de Estudios'!M116=0,"-",'3.Plan de Estudios'!M116)</f>
        <v>-</v>
      </c>
      <c r="I96" s="319" t="str">
        <f>IF('3.Plan de Estudios'!N116=0,"-",'3.Plan de Estudios'!N116)</f>
        <v>-</v>
      </c>
      <c r="J96" s="320" t="str">
        <f>IF('3.Plan de Estudios'!O116=0,"-",'3.Plan de Estudios'!O116)</f>
        <v>-</v>
      </c>
      <c r="K96" s="321" t="str">
        <f>IF('3.Plan de Estudios'!P116=0,"-",'3.Plan de Estudios'!P116)</f>
        <v>-</v>
      </c>
      <c r="L96" s="294" t="str">
        <f>IF('7.Sumillas'!G97=0,"",'7.Sumillas'!G97)</f>
        <v/>
      </c>
      <c r="M96" s="298"/>
      <c r="N96" s="298"/>
      <c r="O96" s="294" t="str">
        <f>CONCATENATE(CHAR(10),CONCATENATE('3.Plan de Estudios'!AA116,CHAR(10),'3.Plan de Estudios'!AC116,CHAR(10),'3.Plan de Estudios'!AE116,CHAR(10),'3.Plan de Estudios'!AG116,CHAR(10),'3.Plan de Estudios'!AI116))</f>
        <v xml:space="preserve">
</v>
      </c>
      <c r="P96" s="298"/>
      <c r="Q96" s="298"/>
      <c r="R96" s="298"/>
      <c r="S96" s="336" t="str">
        <f t="shared" si="1"/>
        <v>No Aplica</v>
      </c>
    </row>
    <row r="97" spans="1:19" ht="120">
      <c r="A97" s="292">
        <f>IF('3.Plan de Estudios'!B118="","",'3.Plan de Estudios'!B118)</f>
        <v>10</v>
      </c>
      <c r="B97" s="292" t="str">
        <f>IF('3.Plan de Estudios'!C118="","",'3.Plan de Estudios'!C118)</f>
        <v>DRH63011</v>
      </c>
      <c r="C97" s="292" t="str">
        <f>IF('3.Plan de Estudios'!E118="","",'3.Plan de Estudios'!E118)</f>
        <v>COACHING EDUCATIVO</v>
      </c>
      <c r="D97" s="293" t="str">
        <f>'3.Plan de Estudios'!I118</f>
        <v>Presencial</v>
      </c>
      <c r="E97" s="293">
        <f>IF('3.Plan de Estudios'!J118=0,"-",'3.Plan de Estudios'!J118)</f>
        <v>2</v>
      </c>
      <c r="F97" s="319" t="str">
        <f>IF('3.Plan de Estudios'!K118=0,"-",'3.Plan de Estudios'!K118)</f>
        <v>-</v>
      </c>
      <c r="G97" s="319">
        <f>IF('3.Plan de Estudios'!L118=0,"-",'3.Plan de Estudios'!L118)</f>
        <v>60</v>
      </c>
      <c r="H97" s="319" t="str">
        <f>IF('3.Plan de Estudios'!M118=0,"-",'3.Plan de Estudios'!M118)</f>
        <v>-</v>
      </c>
      <c r="I97" s="319" t="str">
        <f>IF('3.Plan de Estudios'!N118=0,"-",'3.Plan de Estudios'!N118)</f>
        <v>-</v>
      </c>
      <c r="J97" s="320" t="str">
        <f>IF('3.Plan de Estudios'!O118=0,"-",'3.Plan de Estudios'!O118)</f>
        <v>-</v>
      </c>
      <c r="K97" s="321">
        <f>IF('3.Plan de Estudios'!P118=0,"-",'3.Plan de Estudios'!P118)</f>
        <v>2</v>
      </c>
      <c r="L97" s="294" t="str">
        <f>IF('7.Sumillas'!G98=0,"",'7.Sumillas'!G98)</f>
        <v>Coaching Educativo, es una asignatura de formación especializada y de naturaleza teórica-práctica, tiene como finalidad que el estudiante desarrolle las competencias de Orientación educativa y de Desarrollo Humano. Comprende el rigor científico de la teoría, la historia y la psicología aplicadas al ámbito educativo para establecer las orientaciones fundamentales del sentido educativo en los docentes y los alumnos. Demuestra sensibilidad y disposición social en las interacciones de su vida académica, con asertividad y empatía, para afrontar de manera satisfactoria las exigencias sociales y profesionales.  El producto acreditable es el informe estudio de un caso bajo el contexto educacional.</v>
      </c>
      <c r="M97" s="298"/>
      <c r="N97" s="298"/>
      <c r="O97" s="294" t="str">
        <f>CONCATENATE(CHAR(10),CONCATENATE('3.Plan de Estudios'!AA118,CHAR(10),'3.Plan de Estudios'!AC118,CHAR(10),'3.Plan de Estudios'!AE118,CHAR(10),'3.Plan de Estudios'!AG118,CHAR(10),'3.Plan de Estudios'!AI118))</f>
        <v xml:space="preserve">
CP1: Orientación educativa:N3 Comprende el rigor científico de la teoría, la historia y la psicología aplicadas al ámbito educativo para establecer las orientaciones fundamentales del sentido educativo en los docentes y los alumnos.
CG5: Desarrollo Humano:N3 Demuestra sensibilidad y disposición social en las interacciones de su vida académica, con asertividad y empatía, para afrontar de manera satisfactoria las exigencias sociales y profesionales.
</v>
      </c>
      <c r="P97" s="298"/>
      <c r="Q97" s="298"/>
      <c r="R97" s="298"/>
      <c r="S97" s="336" t="str">
        <f t="shared" si="1"/>
        <v>No Aplica</v>
      </c>
    </row>
    <row r="98" spans="1:19" ht="132">
      <c r="A98" s="292">
        <f>IF('3.Plan de Estudios'!B119="","",'3.Plan de Estudios'!B119)</f>
        <v>10</v>
      </c>
      <c r="B98" s="292" t="str">
        <f>IF('3.Plan de Estudios'!C119="","",'3.Plan de Estudios'!C119)</f>
        <v>INV61054</v>
      </c>
      <c r="C98" s="292" t="str">
        <f>IF('3.Plan de Estudios'!E119="","",'3.Plan de Estudios'!E119)</f>
        <v>INFORME Y SUSTENTACIÓN DEL PROYECTO DE INVESTIGACIÓN</v>
      </c>
      <c r="D98" s="293" t="str">
        <f>'3.Plan de Estudios'!I119</f>
        <v>Presencial</v>
      </c>
      <c r="E98" s="293">
        <f>IF('3.Plan de Estudios'!J119=0,"-",'3.Plan de Estudios'!J119)</f>
        <v>4</v>
      </c>
      <c r="F98" s="319" t="str">
        <f>IF('3.Plan de Estudios'!K119=0,"-",'3.Plan de Estudios'!K119)</f>
        <v>-</v>
      </c>
      <c r="G98" s="319">
        <f>IF('3.Plan de Estudios'!L119=0,"-",'3.Plan de Estudios'!L119)</f>
        <v>120</v>
      </c>
      <c r="H98" s="319" t="str">
        <f>IF('3.Plan de Estudios'!M119=0,"-",'3.Plan de Estudios'!M119)</f>
        <v>-</v>
      </c>
      <c r="I98" s="319" t="str">
        <f>IF('3.Plan de Estudios'!N119=0,"-",'3.Plan de Estudios'!N119)</f>
        <v>-</v>
      </c>
      <c r="J98" s="320" t="str">
        <f>IF('3.Plan de Estudios'!O119=0,"-",'3.Plan de Estudios'!O119)</f>
        <v>-</v>
      </c>
      <c r="K98" s="321">
        <f>IF('3.Plan de Estudios'!P119=0,"-",'3.Plan de Estudios'!P119)</f>
        <v>4</v>
      </c>
      <c r="L98" s="294" t="str">
        <f>IF('7.Sumillas'!G99=0,"",'7.Sumillas'!G99)</f>
        <v xml:space="preserve">Informe y Sustentación del Proyecto de Investigación, es una asignatura de formación especializada y de naturaleza teórico-práctico. Desarrolla las competencias de investigación educativa y la competencia general de investigcación. Comprende el desarrollo de los siguientes ejes temáticos: análisis de la información de campo, el marco teórico y la elaboración del informe final de la investigación. Su producto acreditable es la presentación del informe de trabajo de investigación. </v>
      </c>
      <c r="M98" s="298"/>
      <c r="N98" s="298"/>
      <c r="O98" s="294" t="str">
        <f>CONCATENATE(CHAR(10),CONCATENATE('3.Plan de Estudios'!AA119,CHAR(10),'3.Plan de Estudios'!AC119,CHAR(10),'3.Plan de Estudios'!AE119,CHAR(10),'3.Plan de Estudios'!AG119,CHAR(10),'3.Plan de Estudios'!AI119))</f>
        <v xml:space="preserve">
CP4: Investigación Educativa:N3 Elabora el proyecto de investigación demostrando consistencia sobre todo en el marco teórico, diseño metodológico y validación de los instrumentos de investigación.
CG3: Investigación:N3 Planifica, plantea y elabora un proyecto de investigación, haciendo uso de los pasos del método científico en forma ética para resolver un problema, según las líneas de investigación de la universidad y respondiendo a un problema del país.
</v>
      </c>
      <c r="P98" s="298"/>
      <c r="Q98" s="298"/>
      <c r="R98" s="298"/>
      <c r="S98" s="336" t="str">
        <f t="shared" si="1"/>
        <v>No Aplica</v>
      </c>
    </row>
    <row r="99" spans="1:19" ht="132">
      <c r="A99" s="292">
        <f>IF('3.Plan de Estudios'!B120="","",'3.Plan de Estudios'!B120)</f>
        <v>10</v>
      </c>
      <c r="B99" s="292" t="str">
        <f>IF('3.Plan de Estudios'!C120="","",'3.Plan de Estudios'!C120)</f>
        <v>DER54032</v>
      </c>
      <c r="C99" s="292" t="str">
        <f>IF('3.Plan de Estudios'!E120="","",'3.Plan de Estudios'!E120)</f>
        <v>LEGISLACIÓN EDUCATIVA</v>
      </c>
      <c r="D99" s="293" t="str">
        <f>'3.Plan de Estudios'!I120</f>
        <v>Presencial</v>
      </c>
      <c r="E99" s="293">
        <f>IF('3.Plan de Estudios'!J120=0,"-",'3.Plan de Estudios'!J120)</f>
        <v>32</v>
      </c>
      <c r="F99" s="319" t="str">
        <f>IF('3.Plan de Estudios'!K120=0,"-",'3.Plan de Estudios'!K120)</f>
        <v>-</v>
      </c>
      <c r="G99" s="319" t="str">
        <f>IF('3.Plan de Estudios'!L120=0,"-",'3.Plan de Estudios'!L120)</f>
        <v>-</v>
      </c>
      <c r="H99" s="319" t="str">
        <f>IF('3.Plan de Estudios'!M120=0,"-",'3.Plan de Estudios'!M120)</f>
        <v>-</v>
      </c>
      <c r="I99" s="319" t="str">
        <f>IF('3.Plan de Estudios'!N120=0,"-",'3.Plan de Estudios'!N120)</f>
        <v>-</v>
      </c>
      <c r="J99" s="320" t="str">
        <f>IF('3.Plan de Estudios'!O120=0,"-",'3.Plan de Estudios'!O120)</f>
        <v>-</v>
      </c>
      <c r="K99" s="321">
        <f>IF('3.Plan de Estudios'!P120=0,"-",'3.Plan de Estudios'!P120)</f>
        <v>2</v>
      </c>
      <c r="L99" s="294" t="str">
        <f>IF('7.Sumillas'!G100=0,"",'7.Sumillas'!G100)</f>
        <v>Legislación Educativa es de área de especialidad, de naturaleza teórica. Tributa a la competencia Orientación Educativa. Comprende el rigor científico de la teoría, la historia y la psicología aplicadas al ámbito educativo para establecer las orientaciones fundamentales del sentido educativo en los docentes y los alumnos. Esta asignatura  tiene como finalidad que el futuro docente obtenga los conocimientos, procedimientos y actitudes necesarias para el dominio del proceso administrativo, en el Sector Educación con miras al logro de la excelencia en la gestión educacional. Los ejes temáticos del curso son: el desarrollo de la legislación educativa peruana y las estrategias de gerencia educativa, mediante análisis y aplicación de las Leyes vigentes, reglamentos, normas generales y otros dispositivos legales. El producto acreditable es una propuesta de apertura enfocado en un centro educativo.</v>
      </c>
      <c r="M99" s="298"/>
      <c r="N99" s="298"/>
      <c r="O99" s="294" t="str">
        <f>CONCATENATE(CHAR(10),CONCATENATE('3.Plan de Estudios'!AA120,CHAR(10),'3.Plan de Estudios'!AC120,CHAR(10),'3.Plan de Estudios'!AE120,CHAR(10),'3.Plan de Estudios'!AG120,CHAR(10),'3.Plan de Estudios'!AI120))</f>
        <v xml:space="preserve">
CP1: Orientación educativa:N3 Comprende el rigor científico de la teoría, la historia y la psicología aplicadas al ámbito educativo para establecer las orientaciones fundamentales del sentido educativo en los docentes y los alumnos.
</v>
      </c>
      <c r="P99" s="298"/>
      <c r="Q99" s="298"/>
      <c r="R99" s="298"/>
      <c r="S99" s="336" t="str">
        <f t="shared" si="1"/>
        <v>No Aplica</v>
      </c>
    </row>
    <row r="100" spans="1:19" ht="108">
      <c r="A100" s="292">
        <f>IF('3.Plan de Estudios'!B121="","",'3.Plan de Estudios'!B121)</f>
        <v>10</v>
      </c>
      <c r="B100" s="292" t="str">
        <f>IF('3.Plan de Estudios'!C121="","",'3.Plan de Estudios'!C121)</f>
        <v>EIC61041</v>
      </c>
      <c r="C100" s="292" t="str">
        <f>IF('3.Plan de Estudios'!E121="","",'3.Plan de Estudios'!E121)</f>
        <v>PRÁCTICA PRE-PROFESIONAL INTENSIVA</v>
      </c>
      <c r="D100" s="293" t="str">
        <f>'3.Plan de Estudios'!I121</f>
        <v>Presencial</v>
      </c>
      <c r="E100" s="293">
        <f>IF('3.Plan de Estudios'!J121=0,"-",'3.Plan de Estudios'!J121)</f>
        <v>6</v>
      </c>
      <c r="F100" s="319" t="str">
        <f>IF('3.Plan de Estudios'!K121=0,"-",'3.Plan de Estudios'!K121)</f>
        <v>-</v>
      </c>
      <c r="G100" s="319">
        <f>IF('3.Plan de Estudios'!L121=0,"-",'3.Plan de Estudios'!L121)</f>
        <v>180</v>
      </c>
      <c r="H100" s="319" t="str">
        <f>IF('3.Plan de Estudios'!M121=0,"-",'3.Plan de Estudios'!M121)</f>
        <v>-</v>
      </c>
      <c r="I100" s="319" t="str">
        <f>IF('3.Plan de Estudios'!N121=0,"-",'3.Plan de Estudios'!N121)</f>
        <v>-</v>
      </c>
      <c r="J100" s="320" t="str">
        <f>IF('3.Plan de Estudios'!O121=0,"-",'3.Plan de Estudios'!O121)</f>
        <v>-</v>
      </c>
      <c r="K100" s="321">
        <f>IF('3.Plan de Estudios'!P121=0,"-",'3.Plan de Estudios'!P121)</f>
        <v>6</v>
      </c>
      <c r="L100" s="294" t="str">
        <f>IF('7.Sumillas'!G101=0,"",'7.Sumillas'!G101)</f>
        <v>Práctica Preprofesional Intensiva, es una asignatura de formación especializada y de naturaleza teórico-práctico. Tributa a la competencia de Desarrollo de Educativa. Establece relaciones entre las concepciones de administración, economía, marketing y aspectos legales como fundamentos básicos para el desarrollo de una buena gestión educativa. Comprende el desarrollo de los siguientes ejes temáticos: la metodología y estrategias para el aprendizaje de las diferentes áreas curriculares,  la exposición de situaciones reales y elaboración de sesiones de clase, de acuerdo con el contexto educativo. El producto acreditable es un portafolio con la planificación y observación de sesiones de aprendizajes de sus centros de prácticas.</v>
      </c>
      <c r="M100" s="298"/>
      <c r="N100" s="298"/>
      <c r="O100" s="294" t="str">
        <f>CONCATENATE(CHAR(10),CONCATENATE('3.Plan de Estudios'!AA121,CHAR(10),'3.Plan de Estudios'!AC121,CHAR(10),'3.Plan de Estudios'!AE121,CHAR(10),'3.Plan de Estudios'!AG121,CHAR(10),'3.Plan de Estudios'!AI121))</f>
        <v xml:space="preserve">
CP2: Desarrollo de gestión educativa:N3 Establece relaciones entre las concepciones de administración, economía, marketing y aspectos legales como fundamentos básicos para el desarrollo de una buena gestión educativa.
</v>
      </c>
      <c r="P100" s="298"/>
      <c r="Q100" s="298"/>
      <c r="R100" s="298"/>
      <c r="S100" s="336" t="str">
        <f t="shared" si="1"/>
        <v>No Aplica</v>
      </c>
    </row>
    <row r="101" spans="1:19" ht="72">
      <c r="A101" s="292">
        <f>IF('3.Plan de Estudios'!B122="","",'3.Plan de Estudios'!B122)</f>
        <v>10</v>
      </c>
      <c r="B101" s="292" t="str">
        <f>IF('3.Plan de Estudios'!C122="","",'3.Plan de Estudios'!C122)</f>
        <v/>
      </c>
      <c r="C101" s="292" t="str">
        <f>IF('3.Plan de Estudios'!E122="","",'3.Plan de Estudios'!E122)</f>
        <v>ELECTIVO 4</v>
      </c>
      <c r="D101" s="293" t="str">
        <f>'3.Plan de Estudios'!I122</f>
        <v>Presencial</v>
      </c>
      <c r="E101" s="293">
        <f>IF('3.Plan de Estudios'!J122=0,"-",'3.Plan de Estudios'!J122)</f>
        <v>64</v>
      </c>
      <c r="F101" s="319" t="str">
        <f>IF('3.Plan de Estudios'!K122=0,"-",'3.Plan de Estudios'!K122)</f>
        <v>-</v>
      </c>
      <c r="G101" s="319" t="str">
        <f>IF('3.Plan de Estudios'!L122=0,"-",'3.Plan de Estudios'!L122)</f>
        <v>-</v>
      </c>
      <c r="H101" s="319" t="str">
        <f>IF('3.Plan de Estudios'!M122=0,"-",'3.Plan de Estudios'!M122)</f>
        <v>-</v>
      </c>
      <c r="I101" s="319" t="str">
        <f>IF('3.Plan de Estudios'!N122=0,"-",'3.Plan de Estudios'!N122)</f>
        <v>-</v>
      </c>
      <c r="J101" s="320" t="str">
        <f>IF('3.Plan de Estudios'!O122=0,"-",'3.Plan de Estudios'!O122)</f>
        <v>-</v>
      </c>
      <c r="K101" s="321">
        <f>IF('3.Plan de Estudios'!P122=0,"-",'3.Plan de Estudios'!P122)</f>
        <v>4</v>
      </c>
      <c r="L101" s="294" t="str">
        <f>IF('7.Sumillas'!G102=0,"",'7.Sumillas'!G102)</f>
        <v/>
      </c>
      <c r="M101" s="298"/>
      <c r="N101" s="298"/>
      <c r="O101" s="294" t="str">
        <f>CONCATENATE(CHAR(10),CONCATENATE('3.Plan de Estudios'!AA122,CHAR(10),'3.Plan de Estudios'!AC122,CHAR(10),'3.Plan de Estudios'!AE122,CHAR(10),'3.Plan de Estudios'!AG122,CHAR(10),'3.Plan de Estudios'!AI122))</f>
        <v xml:space="preserve">
</v>
      </c>
      <c r="P101" s="298"/>
      <c r="Q101" s="298"/>
      <c r="R101" s="298"/>
      <c r="S101" s="336" t="str">
        <f t="shared" si="1"/>
        <v>No Aplica</v>
      </c>
    </row>
    <row r="102" spans="1:19" ht="72">
      <c r="A102" s="292">
        <f>IF('3.Plan de Estudios'!B123="","",'3.Plan de Estudios'!B123)</f>
        <v>10</v>
      </c>
      <c r="B102" s="292" t="str">
        <f>IF('3.Plan de Estudios'!C123="","",'3.Plan de Estudios'!C123)</f>
        <v/>
      </c>
      <c r="C102" s="292" t="str">
        <f>IF('3.Plan de Estudios'!E123="","",'3.Plan de Estudios'!E123)</f>
        <v/>
      </c>
      <c r="D102" s="293" t="str">
        <f>'3.Plan de Estudios'!I123</f>
        <v/>
      </c>
      <c r="E102" s="293" t="str">
        <f>IF('3.Plan de Estudios'!J123=0,"-",'3.Plan de Estudios'!J123)</f>
        <v>-</v>
      </c>
      <c r="F102" s="319" t="str">
        <f>IF('3.Plan de Estudios'!K123=0,"-",'3.Plan de Estudios'!K123)</f>
        <v>-</v>
      </c>
      <c r="G102" s="319" t="str">
        <f>IF('3.Plan de Estudios'!L123=0,"-",'3.Plan de Estudios'!L123)</f>
        <v>-</v>
      </c>
      <c r="H102" s="319" t="str">
        <f>IF('3.Plan de Estudios'!M123=0,"-",'3.Plan de Estudios'!M123)</f>
        <v>-</v>
      </c>
      <c r="I102" s="319" t="str">
        <f>IF('3.Plan de Estudios'!N123=0,"-",'3.Plan de Estudios'!N123)</f>
        <v>-</v>
      </c>
      <c r="J102" s="320" t="str">
        <f>IF('3.Plan de Estudios'!O123=0,"-",'3.Plan de Estudios'!O123)</f>
        <v>-</v>
      </c>
      <c r="K102" s="321" t="str">
        <f>IF('3.Plan de Estudios'!P123=0,"-",'3.Plan de Estudios'!P123)</f>
        <v>-</v>
      </c>
      <c r="L102" s="294" t="str">
        <f>IF('7.Sumillas'!G103=0,"",'7.Sumillas'!G103)</f>
        <v/>
      </c>
      <c r="M102" s="298"/>
      <c r="N102" s="298"/>
      <c r="O102" s="294" t="str">
        <f>CONCATENATE(CHAR(10),CONCATENATE('3.Plan de Estudios'!AA123,CHAR(10),'3.Plan de Estudios'!AC123,CHAR(10),'3.Plan de Estudios'!AE123,CHAR(10),'3.Plan de Estudios'!AG123,CHAR(10),'3.Plan de Estudios'!AI123))</f>
        <v xml:space="preserve">
</v>
      </c>
      <c r="P102" s="298"/>
      <c r="Q102" s="298"/>
      <c r="R102" s="298"/>
      <c r="S102" s="336" t="str">
        <f t="shared" si="1"/>
        <v>No Aplica</v>
      </c>
    </row>
    <row r="103" spans="1:19" ht="72">
      <c r="A103" s="292">
        <f>IF('3.Plan de Estudios'!B124="","",'3.Plan de Estudios'!B124)</f>
        <v>10</v>
      </c>
      <c r="B103" s="292" t="str">
        <f>IF('3.Plan de Estudios'!C124="","",'3.Plan de Estudios'!C124)</f>
        <v/>
      </c>
      <c r="C103" s="292" t="str">
        <f>IF('3.Plan de Estudios'!E124="","",'3.Plan de Estudios'!E124)</f>
        <v/>
      </c>
      <c r="D103" s="293" t="str">
        <f>'3.Plan de Estudios'!I124</f>
        <v/>
      </c>
      <c r="E103" s="293" t="str">
        <f>IF('3.Plan de Estudios'!J124=0,"-",'3.Plan de Estudios'!J124)</f>
        <v>-</v>
      </c>
      <c r="F103" s="319" t="str">
        <f>IF('3.Plan de Estudios'!K124=0,"-",'3.Plan de Estudios'!K124)</f>
        <v>-</v>
      </c>
      <c r="G103" s="319" t="str">
        <f>IF('3.Plan de Estudios'!L124=0,"-",'3.Plan de Estudios'!L124)</f>
        <v>-</v>
      </c>
      <c r="H103" s="319" t="str">
        <f>IF('3.Plan de Estudios'!M124=0,"-",'3.Plan de Estudios'!M124)</f>
        <v>-</v>
      </c>
      <c r="I103" s="319" t="str">
        <f>IF('3.Plan de Estudios'!N124=0,"-",'3.Plan de Estudios'!N124)</f>
        <v>-</v>
      </c>
      <c r="J103" s="320" t="str">
        <f>IF('3.Plan de Estudios'!O124=0,"-",'3.Plan de Estudios'!O124)</f>
        <v>-</v>
      </c>
      <c r="K103" s="321" t="str">
        <f>IF('3.Plan de Estudios'!P124=0,"-",'3.Plan de Estudios'!P124)</f>
        <v>-</v>
      </c>
      <c r="L103" s="294" t="str">
        <f>IF('7.Sumillas'!G104=0,"",'7.Sumillas'!G104)</f>
        <v/>
      </c>
      <c r="M103" s="298"/>
      <c r="N103" s="298"/>
      <c r="O103" s="294" t="str">
        <f>CONCATENATE(CHAR(10),CONCATENATE('3.Plan de Estudios'!AA124,CHAR(10),'3.Plan de Estudios'!AC124,CHAR(10),'3.Plan de Estudios'!AE124,CHAR(10),'3.Plan de Estudios'!AG124,CHAR(10),'3.Plan de Estudios'!AI124))</f>
        <v xml:space="preserve">
</v>
      </c>
      <c r="P103" s="298"/>
      <c r="Q103" s="298"/>
      <c r="R103" s="298"/>
      <c r="S103" s="336" t="str">
        <f t="shared" si="1"/>
        <v>No Aplica</v>
      </c>
    </row>
    <row r="104" spans="1:19" ht="72">
      <c r="A104" s="292">
        <f>IF('3.Plan de Estudios'!B125="","",'3.Plan de Estudios'!B125)</f>
        <v>10</v>
      </c>
      <c r="B104" s="292" t="str">
        <f>IF('3.Plan de Estudios'!C125="","",'3.Plan de Estudios'!C125)</f>
        <v/>
      </c>
      <c r="C104" s="292" t="str">
        <f>IF('3.Plan de Estudios'!E125="","",'3.Plan de Estudios'!E125)</f>
        <v/>
      </c>
      <c r="D104" s="293" t="str">
        <f>'3.Plan de Estudios'!I125</f>
        <v/>
      </c>
      <c r="E104" s="293" t="str">
        <f>IF('3.Plan de Estudios'!J125=0,"-",'3.Plan de Estudios'!J125)</f>
        <v>-</v>
      </c>
      <c r="F104" s="319" t="str">
        <f>IF('3.Plan de Estudios'!K125=0,"-",'3.Plan de Estudios'!K125)</f>
        <v>-</v>
      </c>
      <c r="G104" s="319" t="str">
        <f>IF('3.Plan de Estudios'!L125=0,"-",'3.Plan de Estudios'!L125)</f>
        <v>-</v>
      </c>
      <c r="H104" s="319" t="str">
        <f>IF('3.Plan de Estudios'!M125=0,"-",'3.Plan de Estudios'!M125)</f>
        <v>-</v>
      </c>
      <c r="I104" s="319" t="str">
        <f>IF('3.Plan de Estudios'!N125=0,"-",'3.Plan de Estudios'!N125)</f>
        <v>-</v>
      </c>
      <c r="J104" s="320" t="str">
        <f>IF('3.Plan de Estudios'!O125=0,"-",'3.Plan de Estudios'!O125)</f>
        <v>-</v>
      </c>
      <c r="K104" s="321" t="str">
        <f>IF('3.Plan de Estudios'!P125=0,"-",'3.Plan de Estudios'!P125)</f>
        <v>-</v>
      </c>
      <c r="L104" s="294" t="str">
        <f>IF('7.Sumillas'!G105=0,"",'7.Sumillas'!G105)</f>
        <v/>
      </c>
      <c r="M104" s="298"/>
      <c r="N104" s="298"/>
      <c r="O104" s="294" t="str">
        <f>CONCATENATE(CHAR(10),CONCATENATE('3.Plan de Estudios'!AA125,CHAR(10),'3.Plan de Estudios'!AC125,CHAR(10),'3.Plan de Estudios'!AE125,CHAR(10),'3.Plan de Estudios'!AG125,CHAR(10),'3.Plan de Estudios'!AI125))</f>
        <v xml:space="preserve">
</v>
      </c>
      <c r="P104" s="298"/>
      <c r="Q104" s="298"/>
      <c r="R104" s="298"/>
      <c r="S104" s="336" t="str">
        <f t="shared" si="1"/>
        <v>No Aplica</v>
      </c>
    </row>
    <row r="105" spans="1:19" ht="72">
      <c r="A105" s="292">
        <f>IF('3.Plan de Estudios'!B126="","",'3.Plan de Estudios'!B126)</f>
        <v>10</v>
      </c>
      <c r="B105" s="292" t="str">
        <f>IF('3.Plan de Estudios'!C126="","",'3.Plan de Estudios'!C126)</f>
        <v/>
      </c>
      <c r="C105" s="292" t="str">
        <f>IF('3.Plan de Estudios'!E126="","",'3.Plan de Estudios'!E126)</f>
        <v/>
      </c>
      <c r="D105" s="293" t="str">
        <f>'3.Plan de Estudios'!I126</f>
        <v/>
      </c>
      <c r="E105" s="293" t="str">
        <f>IF('3.Plan de Estudios'!J126=0,"-",'3.Plan de Estudios'!J126)</f>
        <v>-</v>
      </c>
      <c r="F105" s="319" t="str">
        <f>IF('3.Plan de Estudios'!K126=0,"-",'3.Plan de Estudios'!K126)</f>
        <v>-</v>
      </c>
      <c r="G105" s="319" t="str">
        <f>IF('3.Plan de Estudios'!L126=0,"-",'3.Plan de Estudios'!L126)</f>
        <v>-</v>
      </c>
      <c r="H105" s="319" t="str">
        <f>IF('3.Plan de Estudios'!M126=0,"-",'3.Plan de Estudios'!M126)</f>
        <v>-</v>
      </c>
      <c r="I105" s="319" t="str">
        <f>IF('3.Plan de Estudios'!N126=0,"-",'3.Plan de Estudios'!N126)</f>
        <v>-</v>
      </c>
      <c r="J105" s="320" t="str">
        <f>IF('3.Plan de Estudios'!O126=0,"-",'3.Plan de Estudios'!O126)</f>
        <v>-</v>
      </c>
      <c r="K105" s="321" t="str">
        <f>IF('3.Plan de Estudios'!P126=0,"-",'3.Plan de Estudios'!P126)</f>
        <v>-</v>
      </c>
      <c r="L105" s="294" t="str">
        <f>IF('7.Sumillas'!G106=0,"",'7.Sumillas'!G106)</f>
        <v/>
      </c>
      <c r="M105" s="298"/>
      <c r="N105" s="298"/>
      <c r="O105" s="294" t="str">
        <f>CONCATENATE(CHAR(10),CONCATENATE('3.Plan de Estudios'!AA126,CHAR(10),'3.Plan de Estudios'!AC126,CHAR(10),'3.Plan de Estudios'!AE126,CHAR(10),'3.Plan de Estudios'!AG126,CHAR(10),'3.Plan de Estudios'!AI126))</f>
        <v xml:space="preserve">
</v>
      </c>
      <c r="P105" s="298"/>
      <c r="Q105" s="298"/>
      <c r="R105" s="298"/>
      <c r="S105" s="336" t="str">
        <f t="shared" si="1"/>
        <v>No Aplica</v>
      </c>
    </row>
    <row r="106" spans="1:19" ht="72">
      <c r="A106" s="292">
        <f>IF('3.Plan de Estudios'!B127="","",'3.Plan de Estudios'!B127)</f>
        <v>10</v>
      </c>
      <c r="B106" s="292" t="str">
        <f>IF('3.Plan de Estudios'!C127="","",'3.Plan de Estudios'!C127)</f>
        <v/>
      </c>
      <c r="C106" s="292" t="str">
        <f>IF('3.Plan de Estudios'!E127="","",'3.Plan de Estudios'!E127)</f>
        <v/>
      </c>
      <c r="D106" s="293" t="str">
        <f>'3.Plan de Estudios'!I127</f>
        <v/>
      </c>
      <c r="E106" s="293" t="str">
        <f>IF('3.Plan de Estudios'!J127=0,"-",'3.Plan de Estudios'!J127)</f>
        <v>-</v>
      </c>
      <c r="F106" s="319" t="str">
        <f>IF('3.Plan de Estudios'!K127=0,"-",'3.Plan de Estudios'!K127)</f>
        <v>-</v>
      </c>
      <c r="G106" s="319" t="str">
        <f>IF('3.Plan de Estudios'!L127=0,"-",'3.Plan de Estudios'!L127)</f>
        <v>-</v>
      </c>
      <c r="H106" s="319" t="str">
        <f>IF('3.Plan de Estudios'!M127=0,"-",'3.Plan de Estudios'!M127)</f>
        <v>-</v>
      </c>
      <c r="I106" s="319" t="str">
        <f>IF('3.Plan de Estudios'!N127=0,"-",'3.Plan de Estudios'!N127)</f>
        <v>-</v>
      </c>
      <c r="J106" s="320" t="str">
        <f>IF('3.Plan de Estudios'!O127=0,"-",'3.Plan de Estudios'!O127)</f>
        <v>-</v>
      </c>
      <c r="K106" s="321" t="str">
        <f>IF('3.Plan de Estudios'!P127=0,"-",'3.Plan de Estudios'!P127)</f>
        <v>-</v>
      </c>
      <c r="L106" s="294" t="str">
        <f>IF('7.Sumillas'!G107=0,"",'7.Sumillas'!G107)</f>
        <v/>
      </c>
      <c r="M106" s="298"/>
      <c r="N106" s="298"/>
      <c r="O106" s="294" t="str">
        <f>CONCATENATE(CHAR(10),CONCATENATE('3.Plan de Estudios'!AA127,CHAR(10),'3.Plan de Estudios'!AC127,CHAR(10),'3.Plan de Estudios'!AE127,CHAR(10),'3.Plan de Estudios'!AG127,CHAR(10),'3.Plan de Estudios'!AI127))</f>
        <v xml:space="preserve">
</v>
      </c>
      <c r="P106" s="298"/>
      <c r="Q106" s="298"/>
      <c r="R106" s="298"/>
      <c r="S106" s="336" t="str">
        <f t="shared" si="1"/>
        <v>No Aplica</v>
      </c>
    </row>
    <row r="107" spans="1:19" ht="72">
      <c r="A107" s="292">
        <f>IF('3.Plan de Estudios'!B129="","",'3.Plan de Estudios'!B129)</f>
        <v>11</v>
      </c>
      <c r="B107" s="292" t="str">
        <f>IF('3.Plan de Estudios'!C129="","",'3.Plan de Estudios'!C129)</f>
        <v/>
      </c>
      <c r="C107" s="292" t="str">
        <f>IF('3.Plan de Estudios'!E129="","",'3.Plan de Estudios'!E129)</f>
        <v/>
      </c>
      <c r="D107" s="293" t="str">
        <f>'3.Plan de Estudios'!I129</f>
        <v/>
      </c>
      <c r="E107" s="293" t="str">
        <f>IF('3.Plan de Estudios'!J129=0,"-",'3.Plan de Estudios'!J129)</f>
        <v>-</v>
      </c>
      <c r="F107" s="319" t="str">
        <f>IF('3.Plan de Estudios'!K129=0,"-",'3.Plan de Estudios'!K129)</f>
        <v>-</v>
      </c>
      <c r="G107" s="319" t="str">
        <f>IF('3.Plan de Estudios'!L129=0,"-",'3.Plan de Estudios'!L129)</f>
        <v>-</v>
      </c>
      <c r="H107" s="319" t="str">
        <f>IF('3.Plan de Estudios'!M129=0,"-",'3.Plan de Estudios'!M129)</f>
        <v>-</v>
      </c>
      <c r="I107" s="319" t="str">
        <f>IF('3.Plan de Estudios'!N129=0,"-",'3.Plan de Estudios'!N129)</f>
        <v>-</v>
      </c>
      <c r="J107" s="320" t="str">
        <f>IF('3.Plan de Estudios'!O129=0,"-",'3.Plan de Estudios'!O129)</f>
        <v>-</v>
      </c>
      <c r="K107" s="321" t="str">
        <f>IF('3.Plan de Estudios'!P129=0,"-",'3.Plan de Estudios'!P129)</f>
        <v>-</v>
      </c>
      <c r="L107" s="294" t="str">
        <f>IF('7.Sumillas'!G108=0,"",'7.Sumillas'!G108)</f>
        <v/>
      </c>
      <c r="M107" s="298"/>
      <c r="N107" s="298"/>
      <c r="O107" s="294" t="str">
        <f>CONCATENATE(CHAR(10),CONCATENATE('3.Plan de Estudios'!AA129,CHAR(10),'3.Plan de Estudios'!AC129,CHAR(10),'3.Plan de Estudios'!AE129,CHAR(10),'3.Plan de Estudios'!AG129,CHAR(10),'3.Plan de Estudios'!AI129))</f>
        <v xml:space="preserve">
</v>
      </c>
      <c r="P107" s="298"/>
      <c r="Q107" s="298"/>
      <c r="R107" s="298"/>
      <c r="S107" s="336" t="str">
        <f t="shared" si="1"/>
        <v>No Aplica</v>
      </c>
    </row>
    <row r="108" spans="1:19" ht="72">
      <c r="A108" s="292">
        <f>IF('3.Plan de Estudios'!B130="","",'3.Plan de Estudios'!B130)</f>
        <v>11</v>
      </c>
      <c r="B108" s="292" t="str">
        <f>IF('3.Plan de Estudios'!C130="","",'3.Plan de Estudios'!C130)</f>
        <v/>
      </c>
      <c r="C108" s="292" t="str">
        <f>IF('3.Plan de Estudios'!E130="","",'3.Plan de Estudios'!E130)</f>
        <v/>
      </c>
      <c r="D108" s="293" t="str">
        <f>'3.Plan de Estudios'!I130</f>
        <v/>
      </c>
      <c r="E108" s="293" t="str">
        <f>IF('3.Plan de Estudios'!J130=0,"-",'3.Plan de Estudios'!J130)</f>
        <v>-</v>
      </c>
      <c r="F108" s="319" t="str">
        <f>IF('3.Plan de Estudios'!K130=0,"-",'3.Plan de Estudios'!K130)</f>
        <v>-</v>
      </c>
      <c r="G108" s="319" t="str">
        <f>IF('3.Plan de Estudios'!L130=0,"-",'3.Plan de Estudios'!L130)</f>
        <v>-</v>
      </c>
      <c r="H108" s="319" t="str">
        <f>IF('3.Plan de Estudios'!M130=0,"-",'3.Plan de Estudios'!M130)</f>
        <v>-</v>
      </c>
      <c r="I108" s="319" t="str">
        <f>IF('3.Plan de Estudios'!N130=0,"-",'3.Plan de Estudios'!N130)</f>
        <v>-</v>
      </c>
      <c r="J108" s="320" t="str">
        <f>IF('3.Plan de Estudios'!O130=0,"-",'3.Plan de Estudios'!O130)</f>
        <v>-</v>
      </c>
      <c r="K108" s="321" t="str">
        <f>IF('3.Plan de Estudios'!P130=0,"-",'3.Plan de Estudios'!P130)</f>
        <v>-</v>
      </c>
      <c r="L108" s="294" t="str">
        <f>IF('7.Sumillas'!G109=0,"",'7.Sumillas'!G109)</f>
        <v/>
      </c>
      <c r="M108" s="298"/>
      <c r="N108" s="298"/>
      <c r="O108" s="294" t="str">
        <f>CONCATENATE(CHAR(10),CONCATENATE('3.Plan de Estudios'!AA130,CHAR(10),'3.Plan de Estudios'!AC130,CHAR(10),'3.Plan de Estudios'!AE130,CHAR(10),'3.Plan de Estudios'!AG130,CHAR(10),'3.Plan de Estudios'!AI130))</f>
        <v xml:space="preserve">
</v>
      </c>
      <c r="P108" s="298"/>
      <c r="Q108" s="298"/>
      <c r="R108" s="298"/>
      <c r="S108" s="336" t="str">
        <f t="shared" si="1"/>
        <v>No Aplica</v>
      </c>
    </row>
    <row r="109" spans="1:19" ht="72">
      <c r="A109" s="292">
        <f>IF('3.Plan de Estudios'!B131="","",'3.Plan de Estudios'!B131)</f>
        <v>11</v>
      </c>
      <c r="B109" s="292" t="str">
        <f>IF('3.Plan de Estudios'!C131="","",'3.Plan de Estudios'!C131)</f>
        <v/>
      </c>
      <c r="C109" s="292" t="str">
        <f>IF('3.Plan de Estudios'!E131="","",'3.Plan de Estudios'!E131)</f>
        <v/>
      </c>
      <c r="D109" s="293" t="str">
        <f>'3.Plan de Estudios'!I131</f>
        <v/>
      </c>
      <c r="E109" s="293" t="str">
        <f>IF('3.Plan de Estudios'!J131=0,"-",'3.Plan de Estudios'!J131)</f>
        <v>-</v>
      </c>
      <c r="F109" s="319" t="str">
        <f>IF('3.Plan de Estudios'!K131=0,"-",'3.Plan de Estudios'!K131)</f>
        <v>-</v>
      </c>
      <c r="G109" s="319" t="str">
        <f>IF('3.Plan de Estudios'!L131=0,"-",'3.Plan de Estudios'!L131)</f>
        <v>-</v>
      </c>
      <c r="H109" s="319" t="str">
        <f>IF('3.Plan de Estudios'!M131=0,"-",'3.Plan de Estudios'!M131)</f>
        <v>-</v>
      </c>
      <c r="I109" s="319" t="str">
        <f>IF('3.Plan de Estudios'!N131=0,"-",'3.Plan de Estudios'!N131)</f>
        <v>-</v>
      </c>
      <c r="J109" s="320" t="str">
        <f>IF('3.Plan de Estudios'!O131=0,"-",'3.Plan de Estudios'!O131)</f>
        <v>-</v>
      </c>
      <c r="K109" s="321" t="str">
        <f>IF('3.Plan de Estudios'!P131=0,"-",'3.Plan de Estudios'!P131)</f>
        <v>-</v>
      </c>
      <c r="L109" s="294" t="str">
        <f>IF('7.Sumillas'!G110=0,"",'7.Sumillas'!G110)</f>
        <v/>
      </c>
      <c r="M109" s="298"/>
      <c r="N109" s="298"/>
      <c r="O109" s="294" t="str">
        <f>CONCATENATE(CHAR(10),CONCATENATE('3.Plan de Estudios'!AA131,CHAR(10),'3.Plan de Estudios'!AC131,CHAR(10),'3.Plan de Estudios'!AE131,CHAR(10),'3.Plan de Estudios'!AG131,CHAR(10),'3.Plan de Estudios'!AI131))</f>
        <v xml:space="preserve">
</v>
      </c>
      <c r="P109" s="298"/>
      <c r="Q109" s="298"/>
      <c r="R109" s="298"/>
      <c r="S109" s="336" t="str">
        <f t="shared" si="1"/>
        <v>No Aplica</v>
      </c>
    </row>
    <row r="110" spans="1:19" ht="72">
      <c r="A110" s="292">
        <f>IF('3.Plan de Estudios'!B132="","",'3.Plan de Estudios'!B132)</f>
        <v>11</v>
      </c>
      <c r="B110" s="292" t="str">
        <f>IF('3.Plan de Estudios'!C132="","",'3.Plan de Estudios'!C132)</f>
        <v/>
      </c>
      <c r="C110" s="292" t="str">
        <f>IF('3.Plan de Estudios'!E132="","",'3.Plan de Estudios'!E132)</f>
        <v/>
      </c>
      <c r="D110" s="293" t="str">
        <f>'3.Plan de Estudios'!I132</f>
        <v/>
      </c>
      <c r="E110" s="293" t="str">
        <f>IF('3.Plan de Estudios'!J132=0,"-",'3.Plan de Estudios'!J132)</f>
        <v>-</v>
      </c>
      <c r="F110" s="319" t="str">
        <f>IF('3.Plan de Estudios'!K132=0,"-",'3.Plan de Estudios'!K132)</f>
        <v>-</v>
      </c>
      <c r="G110" s="319" t="str">
        <f>IF('3.Plan de Estudios'!L132=0,"-",'3.Plan de Estudios'!L132)</f>
        <v>-</v>
      </c>
      <c r="H110" s="319" t="str">
        <f>IF('3.Plan de Estudios'!M132=0,"-",'3.Plan de Estudios'!M132)</f>
        <v>-</v>
      </c>
      <c r="I110" s="319" t="str">
        <f>IF('3.Plan de Estudios'!N132=0,"-",'3.Plan de Estudios'!N132)</f>
        <v>-</v>
      </c>
      <c r="J110" s="320" t="str">
        <f>IF('3.Plan de Estudios'!O132=0,"-",'3.Plan de Estudios'!O132)</f>
        <v>-</v>
      </c>
      <c r="K110" s="321" t="str">
        <f>IF('3.Plan de Estudios'!P132=0,"-",'3.Plan de Estudios'!P132)</f>
        <v>-</v>
      </c>
      <c r="L110" s="294" t="str">
        <f>IF('7.Sumillas'!G111=0,"",'7.Sumillas'!G111)</f>
        <v/>
      </c>
      <c r="M110" s="298"/>
      <c r="N110" s="298"/>
      <c r="O110" s="294" t="str">
        <f>CONCATENATE(CHAR(10),CONCATENATE('3.Plan de Estudios'!AA132,CHAR(10),'3.Plan de Estudios'!AC132,CHAR(10),'3.Plan de Estudios'!AE132,CHAR(10),'3.Plan de Estudios'!AG132,CHAR(10),'3.Plan de Estudios'!AI132))</f>
        <v xml:space="preserve">
</v>
      </c>
      <c r="P110" s="298"/>
      <c r="Q110" s="298"/>
      <c r="R110" s="298"/>
      <c r="S110" s="336" t="str">
        <f t="shared" si="1"/>
        <v>No Aplica</v>
      </c>
    </row>
    <row r="111" spans="1:19" ht="72">
      <c r="A111" s="292">
        <f>IF('3.Plan de Estudios'!B133="","",'3.Plan de Estudios'!B133)</f>
        <v>11</v>
      </c>
      <c r="B111" s="292" t="str">
        <f>IF('3.Plan de Estudios'!C133="","",'3.Plan de Estudios'!C133)</f>
        <v/>
      </c>
      <c r="C111" s="292" t="str">
        <f>IF('3.Plan de Estudios'!E133="","",'3.Plan de Estudios'!E133)</f>
        <v/>
      </c>
      <c r="D111" s="293" t="str">
        <f>'3.Plan de Estudios'!I133</f>
        <v/>
      </c>
      <c r="E111" s="293" t="str">
        <f>IF('3.Plan de Estudios'!J133=0,"-",'3.Plan de Estudios'!J133)</f>
        <v>-</v>
      </c>
      <c r="F111" s="319" t="str">
        <f>IF('3.Plan de Estudios'!K133=0,"-",'3.Plan de Estudios'!K133)</f>
        <v>-</v>
      </c>
      <c r="G111" s="319" t="str">
        <f>IF('3.Plan de Estudios'!L133=0,"-",'3.Plan de Estudios'!L133)</f>
        <v>-</v>
      </c>
      <c r="H111" s="319" t="str">
        <f>IF('3.Plan de Estudios'!M133=0,"-",'3.Plan de Estudios'!M133)</f>
        <v>-</v>
      </c>
      <c r="I111" s="319" t="str">
        <f>IF('3.Plan de Estudios'!N133=0,"-",'3.Plan de Estudios'!N133)</f>
        <v>-</v>
      </c>
      <c r="J111" s="320" t="str">
        <f>IF('3.Plan de Estudios'!O133=0,"-",'3.Plan de Estudios'!O133)</f>
        <v>-</v>
      </c>
      <c r="K111" s="321" t="str">
        <f>IF('3.Plan de Estudios'!P133=0,"-",'3.Plan de Estudios'!P133)</f>
        <v>-</v>
      </c>
      <c r="L111" s="294" t="str">
        <f>IF('7.Sumillas'!G112=0,"",'7.Sumillas'!G112)</f>
        <v/>
      </c>
      <c r="M111" s="298"/>
      <c r="N111" s="298"/>
      <c r="O111" s="294" t="str">
        <f>CONCATENATE(CHAR(10),CONCATENATE('3.Plan de Estudios'!AA133,CHAR(10),'3.Plan de Estudios'!AC133,CHAR(10),'3.Plan de Estudios'!AE133,CHAR(10),'3.Plan de Estudios'!AG133,CHAR(10),'3.Plan de Estudios'!AI133))</f>
        <v xml:space="preserve">
</v>
      </c>
      <c r="P111" s="298"/>
      <c r="Q111" s="298"/>
      <c r="R111" s="298"/>
      <c r="S111" s="336" t="str">
        <f t="shared" si="1"/>
        <v>No Aplica</v>
      </c>
    </row>
    <row r="112" spans="1:19" ht="72">
      <c r="A112" s="292">
        <f>IF('3.Plan de Estudios'!B134="","",'3.Plan de Estudios'!B134)</f>
        <v>11</v>
      </c>
      <c r="B112" s="292" t="str">
        <f>IF('3.Plan de Estudios'!C134="","",'3.Plan de Estudios'!C134)</f>
        <v/>
      </c>
      <c r="C112" s="292" t="str">
        <f>IF('3.Plan de Estudios'!E134="","",'3.Plan de Estudios'!E134)</f>
        <v/>
      </c>
      <c r="D112" s="293" t="str">
        <f>'3.Plan de Estudios'!I134</f>
        <v/>
      </c>
      <c r="E112" s="293" t="str">
        <f>IF('3.Plan de Estudios'!J134=0,"-",'3.Plan de Estudios'!J134)</f>
        <v>-</v>
      </c>
      <c r="F112" s="319" t="str">
        <f>IF('3.Plan de Estudios'!K134=0,"-",'3.Plan de Estudios'!K134)</f>
        <v>-</v>
      </c>
      <c r="G112" s="319" t="str">
        <f>IF('3.Plan de Estudios'!L134=0,"-",'3.Plan de Estudios'!L134)</f>
        <v>-</v>
      </c>
      <c r="H112" s="319" t="str">
        <f>IF('3.Plan de Estudios'!M134=0,"-",'3.Plan de Estudios'!M134)</f>
        <v>-</v>
      </c>
      <c r="I112" s="319" t="str">
        <f>IF('3.Plan de Estudios'!N134=0,"-",'3.Plan de Estudios'!N134)</f>
        <v>-</v>
      </c>
      <c r="J112" s="320" t="str">
        <f>IF('3.Plan de Estudios'!O134=0,"-",'3.Plan de Estudios'!O134)</f>
        <v>-</v>
      </c>
      <c r="K112" s="321" t="str">
        <f>IF('3.Plan de Estudios'!P134=0,"-",'3.Plan de Estudios'!P134)</f>
        <v>-</v>
      </c>
      <c r="L112" s="294" t="str">
        <f>IF('7.Sumillas'!G113=0,"",'7.Sumillas'!G113)</f>
        <v/>
      </c>
      <c r="M112" s="298"/>
      <c r="N112" s="298"/>
      <c r="O112" s="294" t="str">
        <f>CONCATENATE(CHAR(10),CONCATENATE('3.Plan de Estudios'!AA134,CHAR(10),'3.Plan de Estudios'!AC134,CHAR(10),'3.Plan de Estudios'!AE134,CHAR(10),'3.Plan de Estudios'!AG134,CHAR(10),'3.Plan de Estudios'!AI134))</f>
        <v xml:space="preserve">
</v>
      </c>
      <c r="P112" s="298"/>
      <c r="Q112" s="298"/>
      <c r="R112" s="298"/>
      <c r="S112" s="336" t="str">
        <f t="shared" si="1"/>
        <v>No Aplica</v>
      </c>
    </row>
    <row r="113" spans="1:19" ht="72">
      <c r="A113" s="292">
        <f>IF('3.Plan de Estudios'!B135="","",'3.Plan de Estudios'!B135)</f>
        <v>11</v>
      </c>
      <c r="B113" s="292" t="str">
        <f>IF('3.Plan de Estudios'!C135="","",'3.Plan de Estudios'!C135)</f>
        <v/>
      </c>
      <c r="C113" s="292" t="str">
        <f>IF('3.Plan de Estudios'!E135="","",'3.Plan de Estudios'!E135)</f>
        <v/>
      </c>
      <c r="D113" s="293" t="str">
        <f>'3.Plan de Estudios'!I135</f>
        <v/>
      </c>
      <c r="E113" s="293" t="str">
        <f>IF('3.Plan de Estudios'!J135=0,"-",'3.Plan de Estudios'!J135)</f>
        <v>-</v>
      </c>
      <c r="F113" s="319" t="str">
        <f>IF('3.Plan de Estudios'!K135=0,"-",'3.Plan de Estudios'!K135)</f>
        <v>-</v>
      </c>
      <c r="G113" s="319" t="str">
        <f>IF('3.Plan de Estudios'!L135=0,"-",'3.Plan de Estudios'!L135)</f>
        <v>-</v>
      </c>
      <c r="H113" s="319" t="str">
        <f>IF('3.Plan de Estudios'!M135=0,"-",'3.Plan de Estudios'!M135)</f>
        <v>-</v>
      </c>
      <c r="I113" s="319" t="str">
        <f>IF('3.Plan de Estudios'!N135=0,"-",'3.Plan de Estudios'!N135)</f>
        <v>-</v>
      </c>
      <c r="J113" s="320" t="str">
        <f>IF('3.Plan de Estudios'!O135=0,"-",'3.Plan de Estudios'!O135)</f>
        <v>-</v>
      </c>
      <c r="K113" s="321" t="str">
        <f>IF('3.Plan de Estudios'!P135=0,"-",'3.Plan de Estudios'!P135)</f>
        <v>-</v>
      </c>
      <c r="L113" s="294" t="str">
        <f>IF('7.Sumillas'!G114=0,"",'7.Sumillas'!G114)</f>
        <v/>
      </c>
      <c r="M113" s="298"/>
      <c r="N113" s="298"/>
      <c r="O113" s="294" t="str">
        <f>CONCATENATE(CHAR(10),CONCATENATE('3.Plan de Estudios'!AA135,CHAR(10),'3.Plan de Estudios'!AC135,CHAR(10),'3.Plan de Estudios'!AE135,CHAR(10),'3.Plan de Estudios'!AG135,CHAR(10),'3.Plan de Estudios'!AI135))</f>
        <v xml:space="preserve">
</v>
      </c>
      <c r="P113" s="298"/>
      <c r="Q113" s="298"/>
      <c r="R113" s="298"/>
      <c r="S113" s="336" t="str">
        <f t="shared" si="1"/>
        <v>No Aplica</v>
      </c>
    </row>
    <row r="114" spans="1:19" ht="72">
      <c r="A114" s="292">
        <f>IF('3.Plan de Estudios'!B136="","",'3.Plan de Estudios'!B136)</f>
        <v>11</v>
      </c>
      <c r="B114" s="292" t="str">
        <f>IF('3.Plan de Estudios'!C136="","",'3.Plan de Estudios'!C136)</f>
        <v/>
      </c>
      <c r="C114" s="292" t="str">
        <f>IF('3.Plan de Estudios'!E136="","",'3.Plan de Estudios'!E136)</f>
        <v/>
      </c>
      <c r="D114" s="293" t="str">
        <f>'3.Plan de Estudios'!I136</f>
        <v/>
      </c>
      <c r="E114" s="293" t="str">
        <f>IF('3.Plan de Estudios'!J136=0,"-",'3.Plan de Estudios'!J136)</f>
        <v>-</v>
      </c>
      <c r="F114" s="319" t="str">
        <f>IF('3.Plan de Estudios'!K136=0,"-",'3.Plan de Estudios'!K136)</f>
        <v>-</v>
      </c>
      <c r="G114" s="319" t="str">
        <f>IF('3.Plan de Estudios'!L136=0,"-",'3.Plan de Estudios'!L136)</f>
        <v>-</v>
      </c>
      <c r="H114" s="319" t="str">
        <f>IF('3.Plan de Estudios'!M136=0,"-",'3.Plan de Estudios'!M136)</f>
        <v>-</v>
      </c>
      <c r="I114" s="319" t="str">
        <f>IF('3.Plan de Estudios'!N136=0,"-",'3.Plan de Estudios'!N136)</f>
        <v>-</v>
      </c>
      <c r="J114" s="320" t="str">
        <f>IF('3.Plan de Estudios'!O136=0,"-",'3.Plan de Estudios'!O136)</f>
        <v>-</v>
      </c>
      <c r="K114" s="321" t="str">
        <f>IF('3.Plan de Estudios'!P136=0,"-",'3.Plan de Estudios'!P136)</f>
        <v>-</v>
      </c>
      <c r="L114" s="294" t="str">
        <f>IF('7.Sumillas'!G115=0,"",'7.Sumillas'!G115)</f>
        <v/>
      </c>
      <c r="M114" s="298"/>
      <c r="N114" s="298"/>
      <c r="O114" s="294" t="str">
        <f>CONCATENATE(CHAR(10),CONCATENATE('3.Plan de Estudios'!AA136,CHAR(10),'3.Plan de Estudios'!AC136,CHAR(10),'3.Plan de Estudios'!AE136,CHAR(10),'3.Plan de Estudios'!AG136,CHAR(10),'3.Plan de Estudios'!AI136))</f>
        <v xml:space="preserve">
</v>
      </c>
      <c r="P114" s="298"/>
      <c r="Q114" s="298"/>
      <c r="R114" s="298"/>
      <c r="S114" s="336" t="str">
        <f t="shared" si="1"/>
        <v>No Aplica</v>
      </c>
    </row>
    <row r="115" spans="1:19" ht="72">
      <c r="A115" s="292">
        <f>IF('3.Plan de Estudios'!B137="","",'3.Plan de Estudios'!B137)</f>
        <v>11</v>
      </c>
      <c r="B115" s="292" t="str">
        <f>IF('3.Plan de Estudios'!C137="","",'3.Plan de Estudios'!C137)</f>
        <v/>
      </c>
      <c r="C115" s="292" t="str">
        <f>IF('3.Plan de Estudios'!E137="","",'3.Plan de Estudios'!E137)</f>
        <v/>
      </c>
      <c r="D115" s="293" t="str">
        <f>'3.Plan de Estudios'!I137</f>
        <v/>
      </c>
      <c r="E115" s="293" t="str">
        <f>IF('3.Plan de Estudios'!J137=0,"-",'3.Plan de Estudios'!J137)</f>
        <v>-</v>
      </c>
      <c r="F115" s="319" t="str">
        <f>IF('3.Plan de Estudios'!K137=0,"-",'3.Plan de Estudios'!K137)</f>
        <v>-</v>
      </c>
      <c r="G115" s="319" t="str">
        <f>IF('3.Plan de Estudios'!L137=0,"-",'3.Plan de Estudios'!L137)</f>
        <v>-</v>
      </c>
      <c r="H115" s="319" t="str">
        <f>IF('3.Plan de Estudios'!M137=0,"-",'3.Plan de Estudios'!M137)</f>
        <v>-</v>
      </c>
      <c r="I115" s="319" t="str">
        <f>IF('3.Plan de Estudios'!N137=0,"-",'3.Plan de Estudios'!N137)</f>
        <v>-</v>
      </c>
      <c r="J115" s="320" t="str">
        <f>IF('3.Plan de Estudios'!O137=0,"-",'3.Plan de Estudios'!O137)</f>
        <v>-</v>
      </c>
      <c r="K115" s="321" t="str">
        <f>IF('3.Plan de Estudios'!P137=0,"-",'3.Plan de Estudios'!P137)</f>
        <v>-</v>
      </c>
      <c r="L115" s="294" t="str">
        <f>IF('7.Sumillas'!G116=0,"",'7.Sumillas'!G116)</f>
        <v/>
      </c>
      <c r="M115" s="298"/>
      <c r="N115" s="298"/>
      <c r="O115" s="294" t="str">
        <f>CONCATENATE(CHAR(10),CONCATENATE('3.Plan de Estudios'!AA137,CHAR(10),'3.Plan de Estudios'!AC137,CHAR(10),'3.Plan de Estudios'!AE137,CHAR(10),'3.Plan de Estudios'!AG137,CHAR(10),'3.Plan de Estudios'!AI137))</f>
        <v xml:space="preserve">
</v>
      </c>
      <c r="P115" s="298"/>
      <c r="Q115" s="298"/>
      <c r="R115" s="298"/>
      <c r="S115" s="336" t="str">
        <f t="shared" si="1"/>
        <v>No Aplica</v>
      </c>
    </row>
    <row r="116" spans="1:19" ht="72">
      <c r="A116" s="292">
        <f>IF('3.Plan de Estudios'!B138="","",'3.Plan de Estudios'!B138)</f>
        <v>11</v>
      </c>
      <c r="B116" s="292" t="str">
        <f>IF('3.Plan de Estudios'!C138="","",'3.Plan de Estudios'!C138)</f>
        <v/>
      </c>
      <c r="C116" s="292" t="str">
        <f>IF('3.Plan de Estudios'!E138="","",'3.Plan de Estudios'!E138)</f>
        <v/>
      </c>
      <c r="D116" s="293" t="str">
        <f>'3.Plan de Estudios'!I138</f>
        <v/>
      </c>
      <c r="E116" s="293" t="str">
        <f>IF('3.Plan de Estudios'!J138=0,"-",'3.Plan de Estudios'!J138)</f>
        <v>-</v>
      </c>
      <c r="F116" s="319" t="str">
        <f>IF('3.Plan de Estudios'!K138=0,"-",'3.Plan de Estudios'!K138)</f>
        <v>-</v>
      </c>
      <c r="G116" s="319" t="str">
        <f>IF('3.Plan de Estudios'!L138=0,"-",'3.Plan de Estudios'!L138)</f>
        <v>-</v>
      </c>
      <c r="H116" s="319" t="str">
        <f>IF('3.Plan de Estudios'!M138=0,"-",'3.Plan de Estudios'!M138)</f>
        <v>-</v>
      </c>
      <c r="I116" s="319" t="str">
        <f>IF('3.Plan de Estudios'!N138=0,"-",'3.Plan de Estudios'!N138)</f>
        <v>-</v>
      </c>
      <c r="J116" s="320" t="str">
        <f>IF('3.Plan de Estudios'!O138=0,"-",'3.Plan de Estudios'!O138)</f>
        <v>-</v>
      </c>
      <c r="K116" s="321" t="str">
        <f>IF('3.Plan de Estudios'!P138=0,"-",'3.Plan de Estudios'!P138)</f>
        <v>-</v>
      </c>
      <c r="L116" s="294" t="str">
        <f>IF('7.Sumillas'!G117=0,"",'7.Sumillas'!G117)</f>
        <v/>
      </c>
      <c r="M116" s="298"/>
      <c r="N116" s="298"/>
      <c r="O116" s="294" t="str">
        <f>CONCATENATE(CHAR(10),CONCATENATE('3.Plan de Estudios'!AA138,CHAR(10),'3.Plan de Estudios'!AC138,CHAR(10),'3.Plan de Estudios'!AE138,CHAR(10),'3.Plan de Estudios'!AG138,CHAR(10),'3.Plan de Estudios'!AI138))</f>
        <v xml:space="preserve">
</v>
      </c>
      <c r="P116" s="298"/>
      <c r="Q116" s="298"/>
      <c r="R116" s="298"/>
      <c r="S116" s="336" t="str">
        <f t="shared" si="1"/>
        <v>No Aplica</v>
      </c>
    </row>
    <row r="117" spans="1:19" ht="72">
      <c r="A117" s="292">
        <f>IF('3.Plan de Estudios'!B140="","",'3.Plan de Estudios'!B140)</f>
        <v>12</v>
      </c>
      <c r="B117" s="292" t="str">
        <f>IF('3.Plan de Estudios'!C140="","",'3.Plan de Estudios'!C140)</f>
        <v/>
      </c>
      <c r="C117" s="292" t="str">
        <f>IF('3.Plan de Estudios'!E140="","",'3.Plan de Estudios'!E140)</f>
        <v/>
      </c>
      <c r="D117" s="293" t="str">
        <f>'3.Plan de Estudios'!I140</f>
        <v/>
      </c>
      <c r="E117" s="293" t="str">
        <f>IF('3.Plan de Estudios'!J140=0,"-",'3.Plan de Estudios'!J140)</f>
        <v>-</v>
      </c>
      <c r="F117" s="319" t="str">
        <f>IF('3.Plan de Estudios'!K140=0,"-",'3.Plan de Estudios'!K140)</f>
        <v>-</v>
      </c>
      <c r="G117" s="319" t="str">
        <f>IF('3.Plan de Estudios'!L140=0,"-",'3.Plan de Estudios'!L140)</f>
        <v>-</v>
      </c>
      <c r="H117" s="319" t="str">
        <f>IF('3.Plan de Estudios'!M140=0,"-",'3.Plan de Estudios'!M140)</f>
        <v>-</v>
      </c>
      <c r="I117" s="319" t="str">
        <f>IF('3.Plan de Estudios'!N140=0,"-",'3.Plan de Estudios'!N140)</f>
        <v>-</v>
      </c>
      <c r="J117" s="320" t="str">
        <f>IF('3.Plan de Estudios'!O140=0,"-",'3.Plan de Estudios'!O140)</f>
        <v>-</v>
      </c>
      <c r="K117" s="321" t="str">
        <f>IF('3.Plan de Estudios'!P140=0,"-",'3.Plan de Estudios'!P140)</f>
        <v>-</v>
      </c>
      <c r="L117" s="294" t="str">
        <f>IF('7.Sumillas'!G118=0,"",'7.Sumillas'!G118)</f>
        <v/>
      </c>
      <c r="M117" s="298"/>
      <c r="N117" s="298"/>
      <c r="O117" s="294" t="str">
        <f>CONCATENATE(CHAR(10),CONCATENATE('3.Plan de Estudios'!AA140,CHAR(10),'3.Plan de Estudios'!AC140,CHAR(10),'3.Plan de Estudios'!AE140,CHAR(10),'3.Plan de Estudios'!AG140,CHAR(10),'3.Plan de Estudios'!AI140))</f>
        <v xml:space="preserve">
</v>
      </c>
      <c r="P117" s="298"/>
      <c r="Q117" s="298"/>
      <c r="R117" s="298"/>
      <c r="S117" s="336" t="str">
        <f t="shared" si="1"/>
        <v>No Aplica</v>
      </c>
    </row>
    <row r="118" spans="1:19" ht="72">
      <c r="A118" s="292">
        <f>IF('3.Plan de Estudios'!B141="","",'3.Plan de Estudios'!B141)</f>
        <v>12</v>
      </c>
      <c r="B118" s="292" t="str">
        <f>IF('3.Plan de Estudios'!C141="","",'3.Plan de Estudios'!C141)</f>
        <v/>
      </c>
      <c r="C118" s="292" t="str">
        <f>IF('3.Plan de Estudios'!E141="","",'3.Plan de Estudios'!E141)</f>
        <v/>
      </c>
      <c r="D118" s="293" t="str">
        <f>'3.Plan de Estudios'!I141</f>
        <v/>
      </c>
      <c r="E118" s="293" t="str">
        <f>IF('3.Plan de Estudios'!J141=0,"-",'3.Plan de Estudios'!J141)</f>
        <v>-</v>
      </c>
      <c r="F118" s="319" t="str">
        <f>IF('3.Plan de Estudios'!K141=0,"-",'3.Plan de Estudios'!K141)</f>
        <v>-</v>
      </c>
      <c r="G118" s="319" t="str">
        <f>IF('3.Plan de Estudios'!L141=0,"-",'3.Plan de Estudios'!L141)</f>
        <v>-</v>
      </c>
      <c r="H118" s="319" t="str">
        <f>IF('3.Plan de Estudios'!M141=0,"-",'3.Plan de Estudios'!M141)</f>
        <v>-</v>
      </c>
      <c r="I118" s="319" t="str">
        <f>IF('3.Plan de Estudios'!N141=0,"-",'3.Plan de Estudios'!N141)</f>
        <v>-</v>
      </c>
      <c r="J118" s="320" t="str">
        <f>IF('3.Plan de Estudios'!O141=0,"-",'3.Plan de Estudios'!O141)</f>
        <v>-</v>
      </c>
      <c r="K118" s="321" t="str">
        <f>IF('3.Plan de Estudios'!P141=0,"-",'3.Plan de Estudios'!P141)</f>
        <v>-</v>
      </c>
      <c r="L118" s="294" t="str">
        <f>IF('7.Sumillas'!G119=0,"",'7.Sumillas'!G119)</f>
        <v/>
      </c>
      <c r="M118" s="298"/>
      <c r="N118" s="298"/>
      <c r="O118" s="294" t="str">
        <f>CONCATENATE(CHAR(10),CONCATENATE('3.Plan de Estudios'!AA141,CHAR(10),'3.Plan de Estudios'!AC141,CHAR(10),'3.Plan de Estudios'!AE141,CHAR(10),'3.Plan de Estudios'!AG141,CHAR(10),'3.Plan de Estudios'!AI141))</f>
        <v xml:space="preserve">
</v>
      </c>
      <c r="P118" s="298"/>
      <c r="Q118" s="298"/>
      <c r="R118" s="298"/>
      <c r="S118" s="336" t="str">
        <f t="shared" si="1"/>
        <v>No Aplica</v>
      </c>
    </row>
    <row r="119" spans="1:19" ht="72">
      <c r="A119" s="292">
        <f>IF('3.Plan de Estudios'!B142="","",'3.Plan de Estudios'!B142)</f>
        <v>12</v>
      </c>
      <c r="B119" s="292" t="str">
        <f>IF('3.Plan de Estudios'!C142="","",'3.Plan de Estudios'!C142)</f>
        <v/>
      </c>
      <c r="C119" s="292" t="str">
        <f>IF('3.Plan de Estudios'!E142="","",'3.Plan de Estudios'!E142)</f>
        <v/>
      </c>
      <c r="D119" s="293" t="str">
        <f>'3.Plan de Estudios'!I142</f>
        <v/>
      </c>
      <c r="E119" s="293" t="str">
        <f>IF('3.Plan de Estudios'!J142=0,"-",'3.Plan de Estudios'!J142)</f>
        <v>-</v>
      </c>
      <c r="F119" s="319" t="str">
        <f>IF('3.Plan de Estudios'!K142=0,"-",'3.Plan de Estudios'!K142)</f>
        <v>-</v>
      </c>
      <c r="G119" s="319" t="str">
        <f>IF('3.Plan de Estudios'!L142=0,"-",'3.Plan de Estudios'!L142)</f>
        <v>-</v>
      </c>
      <c r="H119" s="319" t="str">
        <f>IF('3.Plan de Estudios'!M142=0,"-",'3.Plan de Estudios'!M142)</f>
        <v>-</v>
      </c>
      <c r="I119" s="319" t="str">
        <f>IF('3.Plan de Estudios'!N142=0,"-",'3.Plan de Estudios'!N142)</f>
        <v>-</v>
      </c>
      <c r="J119" s="320" t="str">
        <f>IF('3.Plan de Estudios'!O142=0,"-",'3.Plan de Estudios'!O142)</f>
        <v>-</v>
      </c>
      <c r="K119" s="321" t="str">
        <f>IF('3.Plan de Estudios'!P142=0,"-",'3.Plan de Estudios'!P142)</f>
        <v>-</v>
      </c>
      <c r="L119" s="294" t="str">
        <f>IF('7.Sumillas'!G120=0,"",'7.Sumillas'!G120)</f>
        <v/>
      </c>
      <c r="M119" s="298"/>
      <c r="N119" s="298"/>
      <c r="O119" s="294" t="str">
        <f>CONCATENATE(CHAR(10),CONCATENATE('3.Plan de Estudios'!AA142,CHAR(10),'3.Plan de Estudios'!AC142,CHAR(10),'3.Plan de Estudios'!AE142,CHAR(10),'3.Plan de Estudios'!AG142,CHAR(10),'3.Plan de Estudios'!AI142))</f>
        <v xml:space="preserve">
</v>
      </c>
      <c r="P119" s="298"/>
      <c r="Q119" s="298"/>
      <c r="R119" s="298"/>
      <c r="S119" s="336" t="str">
        <f t="shared" si="1"/>
        <v>No Aplica</v>
      </c>
    </row>
    <row r="120" spans="1:19" ht="72">
      <c r="A120" s="292">
        <f>IF('3.Plan de Estudios'!B143="","",'3.Plan de Estudios'!B143)</f>
        <v>12</v>
      </c>
      <c r="B120" s="292" t="str">
        <f>IF('3.Plan de Estudios'!C143="","",'3.Plan de Estudios'!C143)</f>
        <v/>
      </c>
      <c r="C120" s="292" t="str">
        <f>IF('3.Plan de Estudios'!E143="","",'3.Plan de Estudios'!E143)</f>
        <v/>
      </c>
      <c r="D120" s="293" t="str">
        <f>'3.Plan de Estudios'!I143</f>
        <v/>
      </c>
      <c r="E120" s="293" t="str">
        <f>IF('3.Plan de Estudios'!J143=0,"-",'3.Plan de Estudios'!J143)</f>
        <v>-</v>
      </c>
      <c r="F120" s="319" t="str">
        <f>IF('3.Plan de Estudios'!K143=0,"-",'3.Plan de Estudios'!K143)</f>
        <v>-</v>
      </c>
      <c r="G120" s="319" t="str">
        <f>IF('3.Plan de Estudios'!L143=0,"-",'3.Plan de Estudios'!L143)</f>
        <v>-</v>
      </c>
      <c r="H120" s="319" t="str">
        <f>IF('3.Plan de Estudios'!M143=0,"-",'3.Plan de Estudios'!M143)</f>
        <v>-</v>
      </c>
      <c r="I120" s="319" t="str">
        <f>IF('3.Plan de Estudios'!N143=0,"-",'3.Plan de Estudios'!N143)</f>
        <v>-</v>
      </c>
      <c r="J120" s="320" t="str">
        <f>IF('3.Plan de Estudios'!O143=0,"-",'3.Plan de Estudios'!O143)</f>
        <v>-</v>
      </c>
      <c r="K120" s="321" t="str">
        <f>IF('3.Plan de Estudios'!P143=0,"-",'3.Plan de Estudios'!P143)</f>
        <v>-</v>
      </c>
      <c r="L120" s="294" t="str">
        <f>IF('7.Sumillas'!G121=0,"",'7.Sumillas'!G121)</f>
        <v/>
      </c>
      <c r="M120" s="298"/>
      <c r="N120" s="298"/>
      <c r="O120" s="294" t="str">
        <f>CONCATENATE(CHAR(10),CONCATENATE('3.Plan de Estudios'!AA143,CHAR(10),'3.Plan de Estudios'!AC143,CHAR(10),'3.Plan de Estudios'!AE143,CHAR(10),'3.Plan de Estudios'!AG143,CHAR(10),'3.Plan de Estudios'!AI143))</f>
        <v xml:space="preserve">
</v>
      </c>
      <c r="P120" s="298"/>
      <c r="Q120" s="298"/>
      <c r="R120" s="298"/>
      <c r="S120" s="336" t="str">
        <f t="shared" si="1"/>
        <v>No Aplica</v>
      </c>
    </row>
    <row r="121" spans="1:19" ht="72">
      <c r="A121" s="292">
        <f>IF('3.Plan de Estudios'!B144="","",'3.Plan de Estudios'!B144)</f>
        <v>12</v>
      </c>
      <c r="B121" s="292" t="str">
        <f>IF('3.Plan de Estudios'!C144="","",'3.Plan de Estudios'!C144)</f>
        <v/>
      </c>
      <c r="C121" s="292" t="str">
        <f>IF('3.Plan de Estudios'!E144="","",'3.Plan de Estudios'!E144)</f>
        <v/>
      </c>
      <c r="D121" s="293" t="str">
        <f>'3.Plan de Estudios'!I144</f>
        <v/>
      </c>
      <c r="E121" s="293" t="str">
        <f>IF('3.Plan de Estudios'!J144=0,"-",'3.Plan de Estudios'!J144)</f>
        <v>-</v>
      </c>
      <c r="F121" s="319" t="str">
        <f>IF('3.Plan de Estudios'!K144=0,"-",'3.Plan de Estudios'!K144)</f>
        <v>-</v>
      </c>
      <c r="G121" s="319" t="str">
        <f>IF('3.Plan de Estudios'!L144=0,"-",'3.Plan de Estudios'!L144)</f>
        <v>-</v>
      </c>
      <c r="H121" s="319" t="str">
        <f>IF('3.Plan de Estudios'!M144=0,"-",'3.Plan de Estudios'!M144)</f>
        <v>-</v>
      </c>
      <c r="I121" s="319" t="str">
        <f>IF('3.Plan de Estudios'!N144=0,"-",'3.Plan de Estudios'!N144)</f>
        <v>-</v>
      </c>
      <c r="J121" s="320" t="str">
        <f>IF('3.Plan de Estudios'!O144=0,"-",'3.Plan de Estudios'!O144)</f>
        <v>-</v>
      </c>
      <c r="K121" s="321" t="str">
        <f>IF('3.Plan de Estudios'!P144=0,"-",'3.Plan de Estudios'!P144)</f>
        <v>-</v>
      </c>
      <c r="L121" s="294" t="str">
        <f>IF('7.Sumillas'!G122=0,"",'7.Sumillas'!G122)</f>
        <v/>
      </c>
      <c r="M121" s="298"/>
      <c r="N121" s="298"/>
      <c r="O121" s="294" t="str">
        <f>CONCATENATE(CHAR(10),CONCATENATE('3.Plan de Estudios'!AA144,CHAR(10),'3.Plan de Estudios'!AC144,CHAR(10),'3.Plan de Estudios'!AE144,CHAR(10),'3.Plan de Estudios'!AG144,CHAR(10),'3.Plan de Estudios'!AI144))</f>
        <v xml:space="preserve">
</v>
      </c>
      <c r="P121" s="298"/>
      <c r="Q121" s="298"/>
      <c r="R121" s="298"/>
      <c r="S121" s="336" t="str">
        <f t="shared" si="1"/>
        <v>No Aplica</v>
      </c>
    </row>
    <row r="122" spans="1:19" ht="72">
      <c r="A122" s="292">
        <f>IF('3.Plan de Estudios'!B145="","",'3.Plan de Estudios'!B145)</f>
        <v>12</v>
      </c>
      <c r="B122" s="292" t="str">
        <f>IF('3.Plan de Estudios'!C145="","",'3.Plan de Estudios'!C145)</f>
        <v/>
      </c>
      <c r="C122" s="292" t="str">
        <f>IF('3.Plan de Estudios'!E145="","",'3.Plan de Estudios'!E145)</f>
        <v/>
      </c>
      <c r="D122" s="293" t="str">
        <f>'3.Plan de Estudios'!I145</f>
        <v/>
      </c>
      <c r="E122" s="293" t="str">
        <f>IF('3.Plan de Estudios'!J145=0,"-",'3.Plan de Estudios'!J145)</f>
        <v>-</v>
      </c>
      <c r="F122" s="319" t="str">
        <f>IF('3.Plan de Estudios'!K145=0,"-",'3.Plan de Estudios'!K145)</f>
        <v>-</v>
      </c>
      <c r="G122" s="319" t="str">
        <f>IF('3.Plan de Estudios'!L145=0,"-",'3.Plan de Estudios'!L145)</f>
        <v>-</v>
      </c>
      <c r="H122" s="319" t="str">
        <f>IF('3.Plan de Estudios'!M145=0,"-",'3.Plan de Estudios'!M145)</f>
        <v>-</v>
      </c>
      <c r="I122" s="319" t="str">
        <f>IF('3.Plan de Estudios'!N145=0,"-",'3.Plan de Estudios'!N145)</f>
        <v>-</v>
      </c>
      <c r="J122" s="320" t="str">
        <f>IF('3.Plan de Estudios'!O145=0,"-",'3.Plan de Estudios'!O145)</f>
        <v>-</v>
      </c>
      <c r="K122" s="321" t="str">
        <f>IF('3.Plan de Estudios'!P145=0,"-",'3.Plan de Estudios'!P145)</f>
        <v>-</v>
      </c>
      <c r="L122" s="294" t="str">
        <f>IF('7.Sumillas'!G123=0,"",'7.Sumillas'!G123)</f>
        <v/>
      </c>
      <c r="M122" s="298"/>
      <c r="N122" s="298"/>
      <c r="O122" s="294" t="str">
        <f>CONCATENATE(CHAR(10),CONCATENATE('3.Plan de Estudios'!AA145,CHAR(10),'3.Plan de Estudios'!AC145,CHAR(10),'3.Plan de Estudios'!AE145,CHAR(10),'3.Plan de Estudios'!AG145,CHAR(10),'3.Plan de Estudios'!AI145))</f>
        <v xml:space="preserve">
</v>
      </c>
      <c r="P122" s="298"/>
      <c r="Q122" s="298"/>
      <c r="R122" s="298"/>
      <c r="S122" s="336" t="str">
        <f t="shared" si="1"/>
        <v>No Aplica</v>
      </c>
    </row>
    <row r="123" spans="1:19" ht="72">
      <c r="A123" s="292">
        <f>IF('3.Plan de Estudios'!B146="","",'3.Plan de Estudios'!B146)</f>
        <v>12</v>
      </c>
      <c r="B123" s="292" t="str">
        <f>IF('3.Plan de Estudios'!C146="","",'3.Plan de Estudios'!C146)</f>
        <v/>
      </c>
      <c r="C123" s="292" t="str">
        <f>IF('3.Plan de Estudios'!E146="","",'3.Plan de Estudios'!E146)</f>
        <v/>
      </c>
      <c r="D123" s="293" t="str">
        <f>'3.Plan de Estudios'!I146</f>
        <v/>
      </c>
      <c r="E123" s="293" t="str">
        <f>IF('3.Plan de Estudios'!J146=0,"-",'3.Plan de Estudios'!J146)</f>
        <v>-</v>
      </c>
      <c r="F123" s="319" t="str">
        <f>IF('3.Plan de Estudios'!K146=0,"-",'3.Plan de Estudios'!K146)</f>
        <v>-</v>
      </c>
      <c r="G123" s="319" t="str">
        <f>IF('3.Plan de Estudios'!L146=0,"-",'3.Plan de Estudios'!L146)</f>
        <v>-</v>
      </c>
      <c r="H123" s="319" t="str">
        <f>IF('3.Plan de Estudios'!M146=0,"-",'3.Plan de Estudios'!M146)</f>
        <v>-</v>
      </c>
      <c r="I123" s="319" t="str">
        <f>IF('3.Plan de Estudios'!N146=0,"-",'3.Plan de Estudios'!N146)</f>
        <v>-</v>
      </c>
      <c r="J123" s="320" t="str">
        <f>IF('3.Plan de Estudios'!O146=0,"-",'3.Plan de Estudios'!O146)</f>
        <v>-</v>
      </c>
      <c r="K123" s="321" t="str">
        <f>IF('3.Plan de Estudios'!P146=0,"-",'3.Plan de Estudios'!P146)</f>
        <v>-</v>
      </c>
      <c r="L123" s="294" t="str">
        <f>IF('7.Sumillas'!G124=0,"",'7.Sumillas'!G124)</f>
        <v/>
      </c>
      <c r="M123" s="298"/>
      <c r="N123" s="298"/>
      <c r="O123" s="294" t="str">
        <f>CONCATENATE(CHAR(10),CONCATENATE('3.Plan de Estudios'!AA146,CHAR(10),'3.Plan de Estudios'!AC146,CHAR(10),'3.Plan de Estudios'!AE146,CHAR(10),'3.Plan de Estudios'!AG146,CHAR(10),'3.Plan de Estudios'!AI146))</f>
        <v xml:space="preserve">
</v>
      </c>
      <c r="P123" s="298"/>
      <c r="Q123" s="298"/>
      <c r="R123" s="298"/>
      <c r="S123" s="336" t="str">
        <f t="shared" si="1"/>
        <v>No Aplica</v>
      </c>
    </row>
    <row r="124" spans="1:19" ht="72">
      <c r="A124" s="292">
        <f>IF('3.Plan de Estudios'!B147="","",'3.Plan de Estudios'!B147)</f>
        <v>12</v>
      </c>
      <c r="B124" s="292" t="str">
        <f>IF('3.Plan de Estudios'!C147="","",'3.Plan de Estudios'!C147)</f>
        <v/>
      </c>
      <c r="C124" s="292" t="str">
        <f>IF('3.Plan de Estudios'!E147="","",'3.Plan de Estudios'!E147)</f>
        <v/>
      </c>
      <c r="D124" s="293" t="str">
        <f>'3.Plan de Estudios'!I147</f>
        <v/>
      </c>
      <c r="E124" s="293" t="str">
        <f>IF('3.Plan de Estudios'!J147=0,"-",'3.Plan de Estudios'!J147)</f>
        <v>-</v>
      </c>
      <c r="F124" s="319" t="str">
        <f>IF('3.Plan de Estudios'!K147=0,"-",'3.Plan de Estudios'!K147)</f>
        <v>-</v>
      </c>
      <c r="G124" s="319" t="str">
        <f>IF('3.Plan de Estudios'!L147=0,"-",'3.Plan de Estudios'!L147)</f>
        <v>-</v>
      </c>
      <c r="H124" s="319" t="str">
        <f>IF('3.Plan de Estudios'!M147=0,"-",'3.Plan de Estudios'!M147)</f>
        <v>-</v>
      </c>
      <c r="I124" s="319" t="str">
        <f>IF('3.Plan de Estudios'!N147=0,"-",'3.Plan de Estudios'!N147)</f>
        <v>-</v>
      </c>
      <c r="J124" s="320" t="str">
        <f>IF('3.Plan de Estudios'!O147=0,"-",'3.Plan de Estudios'!O147)</f>
        <v>-</v>
      </c>
      <c r="K124" s="321" t="str">
        <f>IF('3.Plan de Estudios'!P147=0,"-",'3.Plan de Estudios'!P147)</f>
        <v>-</v>
      </c>
      <c r="L124" s="294" t="str">
        <f>IF('7.Sumillas'!G125=0,"",'7.Sumillas'!G125)</f>
        <v/>
      </c>
      <c r="M124" s="298"/>
      <c r="N124" s="298"/>
      <c r="O124" s="294" t="str">
        <f>CONCATENATE(CHAR(10),CONCATENATE('3.Plan de Estudios'!AA147,CHAR(10),'3.Plan de Estudios'!AC147,CHAR(10),'3.Plan de Estudios'!AE147,CHAR(10),'3.Plan de Estudios'!AG147,CHAR(10),'3.Plan de Estudios'!AI147))</f>
        <v xml:space="preserve">
</v>
      </c>
      <c r="P124" s="298"/>
      <c r="Q124" s="298"/>
      <c r="R124" s="298"/>
      <c r="S124" s="336" t="str">
        <f t="shared" si="1"/>
        <v>No Aplica</v>
      </c>
    </row>
    <row r="125" spans="1:19" ht="72">
      <c r="A125" s="292">
        <f>IF('3.Plan de Estudios'!B148="","",'3.Plan de Estudios'!B148)</f>
        <v>12</v>
      </c>
      <c r="B125" s="292" t="str">
        <f>IF('3.Plan de Estudios'!C148="","",'3.Plan de Estudios'!C148)</f>
        <v/>
      </c>
      <c r="C125" s="292" t="str">
        <f>IF('3.Plan de Estudios'!E148="","",'3.Plan de Estudios'!E148)</f>
        <v/>
      </c>
      <c r="D125" s="293" t="str">
        <f>'3.Plan de Estudios'!I148</f>
        <v/>
      </c>
      <c r="E125" s="293" t="str">
        <f>IF('3.Plan de Estudios'!J148=0,"-",'3.Plan de Estudios'!J148)</f>
        <v>-</v>
      </c>
      <c r="F125" s="319" t="str">
        <f>IF('3.Plan de Estudios'!K148=0,"-",'3.Plan de Estudios'!K148)</f>
        <v>-</v>
      </c>
      <c r="G125" s="319" t="str">
        <f>IF('3.Plan de Estudios'!L148=0,"-",'3.Plan de Estudios'!L148)</f>
        <v>-</v>
      </c>
      <c r="H125" s="319" t="str">
        <f>IF('3.Plan de Estudios'!M148=0,"-",'3.Plan de Estudios'!M148)</f>
        <v>-</v>
      </c>
      <c r="I125" s="319" t="str">
        <f>IF('3.Plan de Estudios'!N148=0,"-",'3.Plan de Estudios'!N148)</f>
        <v>-</v>
      </c>
      <c r="J125" s="320" t="str">
        <f>IF('3.Plan de Estudios'!O148=0,"-",'3.Plan de Estudios'!O148)</f>
        <v>-</v>
      </c>
      <c r="K125" s="321" t="str">
        <f>IF('3.Plan de Estudios'!P148=0,"-",'3.Plan de Estudios'!P148)</f>
        <v>-</v>
      </c>
      <c r="L125" s="294" t="str">
        <f>IF('7.Sumillas'!G126=0,"",'7.Sumillas'!G126)</f>
        <v/>
      </c>
      <c r="M125" s="298"/>
      <c r="N125" s="298"/>
      <c r="O125" s="294" t="str">
        <f>CONCATENATE(CHAR(10),CONCATENATE('3.Plan de Estudios'!AA148,CHAR(10),'3.Plan de Estudios'!AC148,CHAR(10),'3.Plan de Estudios'!AE148,CHAR(10),'3.Plan de Estudios'!AG148,CHAR(10),'3.Plan de Estudios'!AI148))</f>
        <v xml:space="preserve">
</v>
      </c>
      <c r="P125" s="298"/>
      <c r="Q125" s="298"/>
      <c r="R125" s="298"/>
      <c r="S125" s="336" t="str">
        <f t="shared" si="1"/>
        <v>No Aplica</v>
      </c>
    </row>
    <row r="126" spans="1:19" ht="72">
      <c r="A126" s="292">
        <f>IF('3.Plan de Estudios'!B149="","",'3.Plan de Estudios'!B149)</f>
        <v>12</v>
      </c>
      <c r="B126" s="292" t="str">
        <f>IF('3.Plan de Estudios'!C149="","",'3.Plan de Estudios'!C149)</f>
        <v/>
      </c>
      <c r="C126" s="292" t="str">
        <f>IF('3.Plan de Estudios'!E149="","",'3.Plan de Estudios'!E149)</f>
        <v/>
      </c>
      <c r="D126" s="293" t="str">
        <f>'3.Plan de Estudios'!I149</f>
        <v/>
      </c>
      <c r="E126" s="293" t="str">
        <f>IF('3.Plan de Estudios'!J149=0,"-",'3.Plan de Estudios'!J149)</f>
        <v>-</v>
      </c>
      <c r="F126" s="319" t="str">
        <f>IF('3.Plan de Estudios'!K149=0,"-",'3.Plan de Estudios'!K149)</f>
        <v>-</v>
      </c>
      <c r="G126" s="319" t="str">
        <f>IF('3.Plan de Estudios'!L149=0,"-",'3.Plan de Estudios'!L149)</f>
        <v>-</v>
      </c>
      <c r="H126" s="319" t="str">
        <f>IF('3.Plan de Estudios'!M149=0,"-",'3.Plan de Estudios'!M149)</f>
        <v>-</v>
      </c>
      <c r="I126" s="319" t="str">
        <f>IF('3.Plan de Estudios'!N149=0,"-",'3.Plan de Estudios'!N149)</f>
        <v>-</v>
      </c>
      <c r="J126" s="320" t="str">
        <f>IF('3.Plan de Estudios'!O149=0,"-",'3.Plan de Estudios'!O149)</f>
        <v>-</v>
      </c>
      <c r="K126" s="321" t="str">
        <f>IF('3.Plan de Estudios'!P149=0,"-",'3.Plan de Estudios'!P149)</f>
        <v>-</v>
      </c>
      <c r="L126" s="294" t="str">
        <f>IF('7.Sumillas'!G127=0,"",'7.Sumillas'!G127)</f>
        <v/>
      </c>
      <c r="M126" s="298"/>
      <c r="N126" s="298"/>
      <c r="O126" s="294" t="str">
        <f>CONCATENATE(CHAR(10),CONCATENATE('3.Plan de Estudios'!AA149,CHAR(10),'3.Plan de Estudios'!AC149,CHAR(10),'3.Plan de Estudios'!AE149,CHAR(10),'3.Plan de Estudios'!AG149,CHAR(10),'3.Plan de Estudios'!AI149))</f>
        <v xml:space="preserve">
</v>
      </c>
      <c r="P126" s="298"/>
      <c r="Q126" s="298"/>
      <c r="R126" s="298"/>
      <c r="S126" s="336" t="str">
        <f t="shared" si="1"/>
        <v>No Aplica</v>
      </c>
    </row>
    <row r="127" spans="1:19" ht="72">
      <c r="A127" s="292">
        <f>IF('3.Plan de Estudios'!B151="","",'3.Plan de Estudios'!B151)</f>
        <v>13</v>
      </c>
      <c r="B127" s="292" t="str">
        <f>IF('3.Plan de Estudios'!C151="","",'3.Plan de Estudios'!C151)</f>
        <v/>
      </c>
      <c r="C127" s="292" t="str">
        <f>IF('3.Plan de Estudios'!E151="","",'3.Plan de Estudios'!E151)</f>
        <v/>
      </c>
      <c r="D127" s="293" t="str">
        <f>'3.Plan de Estudios'!I151</f>
        <v/>
      </c>
      <c r="E127" s="293" t="str">
        <f>IF('3.Plan de Estudios'!J151=0,"-",'3.Plan de Estudios'!J151)</f>
        <v>-</v>
      </c>
      <c r="F127" s="319" t="str">
        <f>IF('3.Plan de Estudios'!K151=0,"-",'3.Plan de Estudios'!K151)</f>
        <v>-</v>
      </c>
      <c r="G127" s="319" t="str">
        <f>IF('3.Plan de Estudios'!L151=0,"-",'3.Plan de Estudios'!L151)</f>
        <v>-</v>
      </c>
      <c r="H127" s="319" t="str">
        <f>IF('3.Plan de Estudios'!M151=0,"-",'3.Plan de Estudios'!M151)</f>
        <v>-</v>
      </c>
      <c r="I127" s="319" t="str">
        <f>IF('3.Plan de Estudios'!N151=0,"-",'3.Plan de Estudios'!N151)</f>
        <v>-</v>
      </c>
      <c r="J127" s="320" t="str">
        <f>IF('3.Plan de Estudios'!O151=0,"-",'3.Plan de Estudios'!O151)</f>
        <v>-</v>
      </c>
      <c r="K127" s="321" t="str">
        <f>IF('3.Plan de Estudios'!P151=0,"-",'3.Plan de Estudios'!P151)</f>
        <v>-</v>
      </c>
      <c r="L127" s="294" t="str">
        <f>IF('7.Sumillas'!G128=0,"",'7.Sumillas'!G128)</f>
        <v/>
      </c>
      <c r="M127" s="298"/>
      <c r="N127" s="298"/>
      <c r="O127" s="294" t="str">
        <f>CONCATENATE(CHAR(10),CONCATENATE('3.Plan de Estudios'!AA151,CHAR(10),'3.Plan de Estudios'!AC151,CHAR(10),'3.Plan de Estudios'!AE151,CHAR(10),'3.Plan de Estudios'!AG151,CHAR(10),'3.Plan de Estudios'!AI151))</f>
        <v xml:space="preserve">
</v>
      </c>
      <c r="P127" s="298"/>
      <c r="Q127" s="298"/>
      <c r="R127" s="298"/>
      <c r="S127" s="336" t="str">
        <f t="shared" si="1"/>
        <v>No Aplica</v>
      </c>
    </row>
    <row r="128" spans="1:19" ht="72">
      <c r="A128" s="292">
        <f>IF('3.Plan de Estudios'!B152="","",'3.Plan de Estudios'!B152)</f>
        <v>13</v>
      </c>
      <c r="B128" s="292" t="str">
        <f>IF('3.Plan de Estudios'!C152="","",'3.Plan de Estudios'!C152)</f>
        <v/>
      </c>
      <c r="C128" s="292" t="str">
        <f>IF('3.Plan de Estudios'!E152="","",'3.Plan de Estudios'!E152)</f>
        <v/>
      </c>
      <c r="D128" s="293" t="str">
        <f>'3.Plan de Estudios'!I152</f>
        <v/>
      </c>
      <c r="E128" s="293" t="str">
        <f>IF('3.Plan de Estudios'!J152=0,"-",'3.Plan de Estudios'!J152)</f>
        <v>-</v>
      </c>
      <c r="F128" s="319" t="str">
        <f>IF('3.Plan de Estudios'!K152=0,"-",'3.Plan de Estudios'!K152)</f>
        <v>-</v>
      </c>
      <c r="G128" s="319" t="str">
        <f>IF('3.Plan de Estudios'!L152=0,"-",'3.Plan de Estudios'!L152)</f>
        <v>-</v>
      </c>
      <c r="H128" s="319" t="str">
        <f>IF('3.Plan de Estudios'!M152=0,"-",'3.Plan de Estudios'!M152)</f>
        <v>-</v>
      </c>
      <c r="I128" s="319" t="str">
        <f>IF('3.Plan de Estudios'!N152=0,"-",'3.Plan de Estudios'!N152)</f>
        <v>-</v>
      </c>
      <c r="J128" s="320" t="str">
        <f>IF('3.Plan de Estudios'!O152=0,"-",'3.Plan de Estudios'!O152)</f>
        <v>-</v>
      </c>
      <c r="K128" s="321" t="str">
        <f>IF('3.Plan de Estudios'!P152=0,"-",'3.Plan de Estudios'!P152)</f>
        <v>-</v>
      </c>
      <c r="L128" s="294" t="str">
        <f>IF('7.Sumillas'!G129=0,"",'7.Sumillas'!G129)</f>
        <v/>
      </c>
      <c r="M128" s="298"/>
      <c r="N128" s="298"/>
      <c r="O128" s="294" t="str">
        <f>CONCATENATE(CHAR(10),CONCATENATE('3.Plan de Estudios'!AA152,CHAR(10),'3.Plan de Estudios'!AC152,CHAR(10),'3.Plan de Estudios'!AE152,CHAR(10),'3.Plan de Estudios'!AG152,CHAR(10),'3.Plan de Estudios'!AI152))</f>
        <v xml:space="preserve">
</v>
      </c>
      <c r="P128" s="298"/>
      <c r="Q128" s="298"/>
      <c r="R128" s="298"/>
      <c r="S128" s="336" t="str">
        <f t="shared" si="1"/>
        <v>No Aplica</v>
      </c>
    </row>
    <row r="129" spans="1:19" ht="72">
      <c r="A129" s="292">
        <f>IF('3.Plan de Estudios'!B153="","",'3.Plan de Estudios'!B153)</f>
        <v>13</v>
      </c>
      <c r="B129" s="292" t="str">
        <f>IF('3.Plan de Estudios'!C153="","",'3.Plan de Estudios'!C153)</f>
        <v/>
      </c>
      <c r="C129" s="292" t="str">
        <f>IF('3.Plan de Estudios'!E153="","",'3.Plan de Estudios'!E153)</f>
        <v/>
      </c>
      <c r="D129" s="293" t="str">
        <f>'3.Plan de Estudios'!I153</f>
        <v/>
      </c>
      <c r="E129" s="293" t="str">
        <f>IF('3.Plan de Estudios'!J153=0,"-",'3.Plan de Estudios'!J153)</f>
        <v>-</v>
      </c>
      <c r="F129" s="319" t="str">
        <f>IF('3.Plan de Estudios'!K153=0,"-",'3.Plan de Estudios'!K153)</f>
        <v>-</v>
      </c>
      <c r="G129" s="319" t="str">
        <f>IF('3.Plan de Estudios'!L153=0,"-",'3.Plan de Estudios'!L153)</f>
        <v>-</v>
      </c>
      <c r="H129" s="319" t="str">
        <f>IF('3.Plan de Estudios'!M153=0,"-",'3.Plan de Estudios'!M153)</f>
        <v>-</v>
      </c>
      <c r="I129" s="319" t="str">
        <f>IF('3.Plan de Estudios'!N153=0,"-",'3.Plan de Estudios'!N153)</f>
        <v>-</v>
      </c>
      <c r="J129" s="320" t="str">
        <f>IF('3.Plan de Estudios'!O153=0,"-",'3.Plan de Estudios'!O153)</f>
        <v>-</v>
      </c>
      <c r="K129" s="321" t="str">
        <f>IF('3.Plan de Estudios'!P153=0,"-",'3.Plan de Estudios'!P153)</f>
        <v>-</v>
      </c>
      <c r="L129" s="294" t="str">
        <f>IF('7.Sumillas'!G130=0,"",'7.Sumillas'!G130)</f>
        <v/>
      </c>
      <c r="M129" s="298"/>
      <c r="N129" s="298"/>
      <c r="O129" s="294" t="str">
        <f>CONCATENATE(CHAR(10),CONCATENATE('3.Plan de Estudios'!AA153,CHAR(10),'3.Plan de Estudios'!AC153,CHAR(10),'3.Plan de Estudios'!AE153,CHAR(10),'3.Plan de Estudios'!AG153,CHAR(10),'3.Plan de Estudios'!AI153))</f>
        <v xml:space="preserve">
</v>
      </c>
      <c r="P129" s="298"/>
      <c r="Q129" s="298"/>
      <c r="R129" s="298"/>
      <c r="S129" s="336" t="str">
        <f t="shared" si="1"/>
        <v>No Aplica</v>
      </c>
    </row>
    <row r="130" spans="1:19" ht="72">
      <c r="A130" s="292">
        <f>IF('3.Plan de Estudios'!B154="","",'3.Plan de Estudios'!B154)</f>
        <v>13</v>
      </c>
      <c r="B130" s="292" t="str">
        <f>IF('3.Plan de Estudios'!C154="","",'3.Plan de Estudios'!C154)</f>
        <v/>
      </c>
      <c r="C130" s="292" t="str">
        <f>IF('3.Plan de Estudios'!E154="","",'3.Plan de Estudios'!E154)</f>
        <v/>
      </c>
      <c r="D130" s="293" t="str">
        <f>'3.Plan de Estudios'!I154</f>
        <v/>
      </c>
      <c r="E130" s="293" t="str">
        <f>IF('3.Plan de Estudios'!J154=0,"-",'3.Plan de Estudios'!J154)</f>
        <v>-</v>
      </c>
      <c r="F130" s="319" t="str">
        <f>IF('3.Plan de Estudios'!K154=0,"-",'3.Plan de Estudios'!K154)</f>
        <v>-</v>
      </c>
      <c r="G130" s="319" t="str">
        <f>IF('3.Plan de Estudios'!L154=0,"-",'3.Plan de Estudios'!L154)</f>
        <v>-</v>
      </c>
      <c r="H130" s="319" t="str">
        <f>IF('3.Plan de Estudios'!M154=0,"-",'3.Plan de Estudios'!M154)</f>
        <v>-</v>
      </c>
      <c r="I130" s="319" t="str">
        <f>IF('3.Plan de Estudios'!N154=0,"-",'3.Plan de Estudios'!N154)</f>
        <v>-</v>
      </c>
      <c r="J130" s="320" t="str">
        <f>IF('3.Plan de Estudios'!O154=0,"-",'3.Plan de Estudios'!O154)</f>
        <v>-</v>
      </c>
      <c r="K130" s="321" t="str">
        <f>IF('3.Plan de Estudios'!P154=0,"-",'3.Plan de Estudios'!P154)</f>
        <v>-</v>
      </c>
      <c r="L130" s="294" t="str">
        <f>IF('7.Sumillas'!G131=0,"",'7.Sumillas'!G131)</f>
        <v/>
      </c>
      <c r="M130" s="298"/>
      <c r="N130" s="298"/>
      <c r="O130" s="294" t="str">
        <f>CONCATENATE(CHAR(10),CONCATENATE('3.Plan de Estudios'!AA154,CHAR(10),'3.Plan de Estudios'!AC154,CHAR(10),'3.Plan de Estudios'!AE154,CHAR(10),'3.Plan de Estudios'!AG154,CHAR(10),'3.Plan de Estudios'!AI154))</f>
        <v xml:space="preserve">
</v>
      </c>
      <c r="P130" s="298"/>
      <c r="Q130" s="298"/>
      <c r="R130" s="298"/>
      <c r="S130" s="336" t="str">
        <f t="shared" si="1"/>
        <v>No Aplica</v>
      </c>
    </row>
    <row r="131" spans="1:19" ht="72">
      <c r="A131" s="292">
        <f>IF('3.Plan de Estudios'!B155="","",'3.Plan de Estudios'!B155)</f>
        <v>13</v>
      </c>
      <c r="B131" s="292" t="str">
        <f>IF('3.Plan de Estudios'!C155="","",'3.Plan de Estudios'!C155)</f>
        <v/>
      </c>
      <c r="C131" s="292" t="str">
        <f>IF('3.Plan de Estudios'!E155="","",'3.Plan de Estudios'!E155)</f>
        <v/>
      </c>
      <c r="D131" s="293" t="str">
        <f>'3.Plan de Estudios'!I155</f>
        <v/>
      </c>
      <c r="E131" s="293" t="str">
        <f>IF('3.Plan de Estudios'!J155=0,"-",'3.Plan de Estudios'!J155)</f>
        <v>-</v>
      </c>
      <c r="F131" s="319" t="str">
        <f>IF('3.Plan de Estudios'!K155=0,"-",'3.Plan de Estudios'!K155)</f>
        <v>-</v>
      </c>
      <c r="G131" s="319" t="str">
        <f>IF('3.Plan de Estudios'!L155=0,"-",'3.Plan de Estudios'!L155)</f>
        <v>-</v>
      </c>
      <c r="H131" s="319" t="str">
        <f>IF('3.Plan de Estudios'!M155=0,"-",'3.Plan de Estudios'!M155)</f>
        <v>-</v>
      </c>
      <c r="I131" s="319" t="str">
        <f>IF('3.Plan de Estudios'!N155=0,"-",'3.Plan de Estudios'!N155)</f>
        <v>-</v>
      </c>
      <c r="J131" s="320" t="str">
        <f>IF('3.Plan de Estudios'!O155=0,"-",'3.Plan de Estudios'!O155)</f>
        <v>-</v>
      </c>
      <c r="K131" s="321" t="str">
        <f>IF('3.Plan de Estudios'!P155=0,"-",'3.Plan de Estudios'!P155)</f>
        <v>-</v>
      </c>
      <c r="L131" s="294" t="str">
        <f>IF('7.Sumillas'!G132=0,"",'7.Sumillas'!G132)</f>
        <v/>
      </c>
      <c r="M131" s="298"/>
      <c r="N131" s="298"/>
      <c r="O131" s="294" t="str">
        <f>CONCATENATE(CHAR(10),CONCATENATE('3.Plan de Estudios'!AA155,CHAR(10),'3.Plan de Estudios'!AC155,CHAR(10),'3.Plan de Estudios'!AE155,CHAR(10),'3.Plan de Estudios'!AG155,CHAR(10),'3.Plan de Estudios'!AI155))</f>
        <v xml:space="preserve">
</v>
      </c>
      <c r="P131" s="298"/>
      <c r="Q131" s="298"/>
      <c r="R131" s="298"/>
      <c r="S131" s="336" t="str">
        <f t="shared" si="1"/>
        <v>No Aplica</v>
      </c>
    </row>
    <row r="132" spans="1:19" ht="72">
      <c r="A132" s="292">
        <f>IF('3.Plan de Estudios'!B156="","",'3.Plan de Estudios'!B156)</f>
        <v>13</v>
      </c>
      <c r="B132" s="292" t="str">
        <f>IF('3.Plan de Estudios'!C156="","",'3.Plan de Estudios'!C156)</f>
        <v/>
      </c>
      <c r="C132" s="292" t="str">
        <f>IF('3.Plan de Estudios'!E156="","",'3.Plan de Estudios'!E156)</f>
        <v/>
      </c>
      <c r="D132" s="293" t="str">
        <f>'3.Plan de Estudios'!I156</f>
        <v/>
      </c>
      <c r="E132" s="293" t="str">
        <f>IF('3.Plan de Estudios'!J156=0,"-",'3.Plan de Estudios'!J156)</f>
        <v>-</v>
      </c>
      <c r="F132" s="319" t="str">
        <f>IF('3.Plan de Estudios'!K156=0,"-",'3.Plan de Estudios'!K156)</f>
        <v>-</v>
      </c>
      <c r="G132" s="319" t="str">
        <f>IF('3.Plan de Estudios'!L156=0,"-",'3.Plan de Estudios'!L156)</f>
        <v>-</v>
      </c>
      <c r="H132" s="319" t="str">
        <f>IF('3.Plan de Estudios'!M156=0,"-",'3.Plan de Estudios'!M156)</f>
        <v>-</v>
      </c>
      <c r="I132" s="319" t="str">
        <f>IF('3.Plan de Estudios'!N156=0,"-",'3.Plan de Estudios'!N156)</f>
        <v>-</v>
      </c>
      <c r="J132" s="320" t="str">
        <f>IF('3.Plan de Estudios'!O156=0,"-",'3.Plan de Estudios'!O156)</f>
        <v>-</v>
      </c>
      <c r="K132" s="321" t="str">
        <f>IF('3.Plan de Estudios'!P156=0,"-",'3.Plan de Estudios'!P156)</f>
        <v>-</v>
      </c>
      <c r="L132" s="294" t="str">
        <f>IF('7.Sumillas'!G133=0,"",'7.Sumillas'!G133)</f>
        <v/>
      </c>
      <c r="M132" s="298"/>
      <c r="N132" s="298"/>
      <c r="O132" s="294" t="str">
        <f>CONCATENATE(CHAR(10),CONCATENATE('3.Plan de Estudios'!AA156,CHAR(10),'3.Plan de Estudios'!AC156,CHAR(10),'3.Plan de Estudios'!AE156,CHAR(10),'3.Plan de Estudios'!AG156,CHAR(10),'3.Plan de Estudios'!AI156))</f>
        <v xml:space="preserve">
</v>
      </c>
      <c r="P132" s="298"/>
      <c r="Q132" s="298"/>
      <c r="R132" s="298"/>
      <c r="S132" s="336" t="str">
        <f t="shared" si="1"/>
        <v>No Aplica</v>
      </c>
    </row>
    <row r="133" spans="1:19" ht="72">
      <c r="A133" s="292">
        <f>IF('3.Plan de Estudios'!B157="","",'3.Plan de Estudios'!B157)</f>
        <v>13</v>
      </c>
      <c r="B133" s="292" t="str">
        <f>IF('3.Plan de Estudios'!C157="","",'3.Plan de Estudios'!C157)</f>
        <v/>
      </c>
      <c r="C133" s="292" t="str">
        <f>IF('3.Plan de Estudios'!E157="","",'3.Plan de Estudios'!E157)</f>
        <v/>
      </c>
      <c r="D133" s="293" t="str">
        <f>'3.Plan de Estudios'!I157</f>
        <v/>
      </c>
      <c r="E133" s="293" t="str">
        <f>IF('3.Plan de Estudios'!J157=0,"-",'3.Plan de Estudios'!J157)</f>
        <v>-</v>
      </c>
      <c r="F133" s="319" t="str">
        <f>IF('3.Plan de Estudios'!K157=0,"-",'3.Plan de Estudios'!K157)</f>
        <v>-</v>
      </c>
      <c r="G133" s="319" t="str">
        <f>IF('3.Plan de Estudios'!L157=0,"-",'3.Plan de Estudios'!L157)</f>
        <v>-</v>
      </c>
      <c r="H133" s="319" t="str">
        <f>IF('3.Plan de Estudios'!M157=0,"-",'3.Plan de Estudios'!M157)</f>
        <v>-</v>
      </c>
      <c r="I133" s="319" t="str">
        <f>IF('3.Plan de Estudios'!N157=0,"-",'3.Plan de Estudios'!N157)</f>
        <v>-</v>
      </c>
      <c r="J133" s="320" t="str">
        <f>IF('3.Plan de Estudios'!O157=0,"-",'3.Plan de Estudios'!O157)</f>
        <v>-</v>
      </c>
      <c r="K133" s="321" t="str">
        <f>IF('3.Plan de Estudios'!P157=0,"-",'3.Plan de Estudios'!P157)</f>
        <v>-</v>
      </c>
      <c r="L133" s="294" t="str">
        <f>IF('7.Sumillas'!G134=0,"",'7.Sumillas'!G134)</f>
        <v/>
      </c>
      <c r="M133" s="298"/>
      <c r="N133" s="298"/>
      <c r="O133" s="294" t="str">
        <f>CONCATENATE(CHAR(10),CONCATENATE('3.Plan de Estudios'!AA157,CHAR(10),'3.Plan de Estudios'!AC157,CHAR(10),'3.Plan de Estudios'!AE157,CHAR(10),'3.Plan de Estudios'!AG157,CHAR(10),'3.Plan de Estudios'!AI157))</f>
        <v xml:space="preserve">
</v>
      </c>
      <c r="P133" s="298"/>
      <c r="Q133" s="298"/>
      <c r="R133" s="298"/>
      <c r="S133" s="336" t="str">
        <f t="shared" si="1"/>
        <v>No Aplica</v>
      </c>
    </row>
    <row r="134" spans="1:19" ht="72">
      <c r="A134" s="292">
        <f>IF('3.Plan de Estudios'!B158="","",'3.Plan de Estudios'!B158)</f>
        <v>13</v>
      </c>
      <c r="B134" s="292" t="str">
        <f>IF('3.Plan de Estudios'!C158="","",'3.Plan de Estudios'!C158)</f>
        <v/>
      </c>
      <c r="C134" s="292" t="str">
        <f>IF('3.Plan de Estudios'!E158="","",'3.Plan de Estudios'!E158)</f>
        <v/>
      </c>
      <c r="D134" s="293" t="str">
        <f>'3.Plan de Estudios'!I158</f>
        <v/>
      </c>
      <c r="E134" s="293" t="str">
        <f>IF('3.Plan de Estudios'!J158=0,"-",'3.Plan de Estudios'!J158)</f>
        <v>-</v>
      </c>
      <c r="F134" s="319" t="str">
        <f>IF('3.Plan de Estudios'!K158=0,"-",'3.Plan de Estudios'!K158)</f>
        <v>-</v>
      </c>
      <c r="G134" s="319" t="str">
        <f>IF('3.Plan de Estudios'!L158=0,"-",'3.Plan de Estudios'!L158)</f>
        <v>-</v>
      </c>
      <c r="H134" s="319" t="str">
        <f>IF('3.Plan de Estudios'!M158=0,"-",'3.Plan de Estudios'!M158)</f>
        <v>-</v>
      </c>
      <c r="I134" s="319" t="str">
        <f>IF('3.Plan de Estudios'!N158=0,"-",'3.Plan de Estudios'!N158)</f>
        <v>-</v>
      </c>
      <c r="J134" s="320" t="str">
        <f>IF('3.Plan de Estudios'!O158=0,"-",'3.Plan de Estudios'!O158)</f>
        <v>-</v>
      </c>
      <c r="K134" s="321" t="str">
        <f>IF('3.Plan de Estudios'!P158=0,"-",'3.Plan de Estudios'!P158)</f>
        <v>-</v>
      </c>
      <c r="L134" s="294" t="str">
        <f>IF('7.Sumillas'!G135=0,"",'7.Sumillas'!G135)</f>
        <v/>
      </c>
      <c r="M134" s="298"/>
      <c r="N134" s="298"/>
      <c r="O134" s="294" t="str">
        <f>CONCATENATE(CHAR(10),CONCATENATE('3.Plan de Estudios'!AA158,CHAR(10),'3.Plan de Estudios'!AC158,CHAR(10),'3.Plan de Estudios'!AE158,CHAR(10),'3.Plan de Estudios'!AG158,CHAR(10),'3.Plan de Estudios'!AI158))</f>
        <v xml:space="preserve">
</v>
      </c>
      <c r="P134" s="298"/>
      <c r="Q134" s="298"/>
      <c r="R134" s="298"/>
      <c r="S134" s="336" t="str">
        <f t="shared" si="1"/>
        <v>No Aplica</v>
      </c>
    </row>
    <row r="135" spans="1:19" ht="72">
      <c r="A135" s="292">
        <f>IF('3.Plan de Estudios'!B159="","",'3.Plan de Estudios'!B159)</f>
        <v>13</v>
      </c>
      <c r="B135" s="292" t="str">
        <f>IF('3.Plan de Estudios'!C159="","",'3.Plan de Estudios'!C159)</f>
        <v/>
      </c>
      <c r="C135" s="292" t="str">
        <f>IF('3.Plan de Estudios'!E159="","",'3.Plan de Estudios'!E159)</f>
        <v/>
      </c>
      <c r="D135" s="293" t="str">
        <f>'3.Plan de Estudios'!I159</f>
        <v/>
      </c>
      <c r="E135" s="293" t="str">
        <f>IF('3.Plan de Estudios'!J159=0,"-",'3.Plan de Estudios'!J159)</f>
        <v>-</v>
      </c>
      <c r="F135" s="319" t="str">
        <f>IF('3.Plan de Estudios'!K159=0,"-",'3.Plan de Estudios'!K159)</f>
        <v>-</v>
      </c>
      <c r="G135" s="319" t="str">
        <f>IF('3.Plan de Estudios'!L159=0,"-",'3.Plan de Estudios'!L159)</f>
        <v>-</v>
      </c>
      <c r="H135" s="319" t="str">
        <f>IF('3.Plan de Estudios'!M159=0,"-",'3.Plan de Estudios'!M159)</f>
        <v>-</v>
      </c>
      <c r="I135" s="319" t="str">
        <f>IF('3.Plan de Estudios'!N159=0,"-",'3.Plan de Estudios'!N159)</f>
        <v>-</v>
      </c>
      <c r="J135" s="320" t="str">
        <f>IF('3.Plan de Estudios'!O159=0,"-",'3.Plan de Estudios'!O159)</f>
        <v>-</v>
      </c>
      <c r="K135" s="321" t="str">
        <f>IF('3.Plan de Estudios'!P159=0,"-",'3.Plan de Estudios'!P159)</f>
        <v>-</v>
      </c>
      <c r="L135" s="294" t="str">
        <f>IF('7.Sumillas'!G136=0,"",'7.Sumillas'!G136)</f>
        <v/>
      </c>
      <c r="M135" s="298"/>
      <c r="N135" s="298"/>
      <c r="O135" s="294" t="str">
        <f>CONCATENATE(CHAR(10),CONCATENATE('3.Plan de Estudios'!AA159,CHAR(10),'3.Plan de Estudios'!AC159,CHAR(10),'3.Plan de Estudios'!AE159,CHAR(10),'3.Plan de Estudios'!AG159,CHAR(10),'3.Plan de Estudios'!AI159))</f>
        <v xml:space="preserve">
</v>
      </c>
      <c r="P135" s="298"/>
      <c r="Q135" s="298"/>
      <c r="R135" s="298"/>
      <c r="S135" s="336" t="str">
        <f t="shared" si="1"/>
        <v>No Aplica</v>
      </c>
    </row>
    <row r="136" spans="1:19" ht="72">
      <c r="A136" s="292">
        <f>IF('3.Plan de Estudios'!B160="","",'3.Plan de Estudios'!B160)</f>
        <v>13</v>
      </c>
      <c r="B136" s="292" t="str">
        <f>IF('3.Plan de Estudios'!C160="","",'3.Plan de Estudios'!C160)</f>
        <v/>
      </c>
      <c r="C136" s="292" t="str">
        <f>IF('3.Plan de Estudios'!E160="","",'3.Plan de Estudios'!E160)</f>
        <v/>
      </c>
      <c r="D136" s="293" t="str">
        <f>'3.Plan de Estudios'!I160</f>
        <v/>
      </c>
      <c r="E136" s="293" t="str">
        <f>IF('3.Plan de Estudios'!J160=0,"-",'3.Plan de Estudios'!J160)</f>
        <v>-</v>
      </c>
      <c r="F136" s="319" t="str">
        <f>IF('3.Plan de Estudios'!K160=0,"-",'3.Plan de Estudios'!K160)</f>
        <v>-</v>
      </c>
      <c r="G136" s="319" t="str">
        <f>IF('3.Plan de Estudios'!L160=0,"-",'3.Plan de Estudios'!L160)</f>
        <v>-</v>
      </c>
      <c r="H136" s="319" t="str">
        <f>IF('3.Plan de Estudios'!M160=0,"-",'3.Plan de Estudios'!M160)</f>
        <v>-</v>
      </c>
      <c r="I136" s="319" t="str">
        <f>IF('3.Plan de Estudios'!N160=0,"-",'3.Plan de Estudios'!N160)</f>
        <v>-</v>
      </c>
      <c r="J136" s="320" t="str">
        <f>IF('3.Plan de Estudios'!O160=0,"-",'3.Plan de Estudios'!O160)</f>
        <v>-</v>
      </c>
      <c r="K136" s="321" t="str">
        <f>IF('3.Plan de Estudios'!P160=0,"-",'3.Plan de Estudios'!P160)</f>
        <v>-</v>
      </c>
      <c r="L136" s="294" t="str">
        <f>IF('7.Sumillas'!G137=0,"",'7.Sumillas'!G137)</f>
        <v/>
      </c>
      <c r="M136" s="298"/>
      <c r="N136" s="298"/>
      <c r="O136" s="294" t="str">
        <f>CONCATENATE(CHAR(10),CONCATENATE('3.Plan de Estudios'!AA160,CHAR(10),'3.Plan de Estudios'!AC160,CHAR(10),'3.Plan de Estudios'!AE160,CHAR(10),'3.Plan de Estudios'!AG160,CHAR(10),'3.Plan de Estudios'!AI160))</f>
        <v xml:space="preserve">
</v>
      </c>
      <c r="P136" s="298"/>
      <c r="Q136" s="298"/>
      <c r="R136" s="298"/>
      <c r="S136" s="336" t="str">
        <f t="shared" ref="S136:S146" si="2">IF(H136&lt;&gt;"-","","No Aplica")</f>
        <v>No Aplica</v>
      </c>
    </row>
    <row r="137" spans="1:19" ht="72">
      <c r="A137" s="292">
        <f>IF('3.Plan de Estudios'!B162="","",'3.Plan de Estudios'!B162)</f>
        <v>14</v>
      </c>
      <c r="B137" s="292" t="str">
        <f>IF('3.Plan de Estudios'!C162="","",'3.Plan de Estudios'!C162)</f>
        <v/>
      </c>
      <c r="C137" s="292" t="str">
        <f>IF('3.Plan de Estudios'!E162="","",'3.Plan de Estudios'!E162)</f>
        <v/>
      </c>
      <c r="D137" s="293" t="str">
        <f>'3.Plan de Estudios'!I162</f>
        <v/>
      </c>
      <c r="E137" s="293" t="str">
        <f>IF('3.Plan de Estudios'!J162=0,"-",'3.Plan de Estudios'!J162)</f>
        <v>-</v>
      </c>
      <c r="F137" s="319" t="str">
        <f>IF('3.Plan de Estudios'!K162=0,"-",'3.Plan de Estudios'!K162)</f>
        <v>-</v>
      </c>
      <c r="G137" s="319" t="str">
        <f>IF('3.Plan de Estudios'!L162=0,"-",'3.Plan de Estudios'!L162)</f>
        <v>-</v>
      </c>
      <c r="H137" s="319" t="str">
        <f>IF('3.Plan de Estudios'!M162=0,"-",'3.Plan de Estudios'!M162)</f>
        <v>-</v>
      </c>
      <c r="I137" s="319" t="str">
        <f>IF('3.Plan de Estudios'!N162=0,"-",'3.Plan de Estudios'!N162)</f>
        <v>-</v>
      </c>
      <c r="J137" s="320" t="str">
        <f>IF('3.Plan de Estudios'!O162=0,"-",'3.Plan de Estudios'!O162)</f>
        <v>-</v>
      </c>
      <c r="K137" s="321" t="str">
        <f>IF('3.Plan de Estudios'!P162=0,"-",'3.Plan de Estudios'!P162)</f>
        <v>-</v>
      </c>
      <c r="L137" s="294" t="str">
        <f>IF('7.Sumillas'!G138=0,"",'7.Sumillas'!G138)</f>
        <v/>
      </c>
      <c r="M137" s="298"/>
      <c r="N137" s="298"/>
      <c r="O137" s="294" t="str">
        <f>CONCATENATE(CHAR(10),CONCATENATE('3.Plan de Estudios'!AA162,CHAR(10),'3.Plan de Estudios'!AC162,CHAR(10),'3.Plan de Estudios'!AE162,CHAR(10),'3.Plan de Estudios'!AG162,CHAR(10),'3.Plan de Estudios'!AI162))</f>
        <v xml:space="preserve">
</v>
      </c>
      <c r="P137" s="298"/>
      <c r="Q137" s="298"/>
      <c r="R137" s="298"/>
      <c r="S137" s="336" t="str">
        <f t="shared" si="2"/>
        <v>No Aplica</v>
      </c>
    </row>
    <row r="138" spans="1:19" ht="72">
      <c r="A138" s="292">
        <f>IF('3.Plan de Estudios'!B163="","",'3.Plan de Estudios'!B163)</f>
        <v>14</v>
      </c>
      <c r="B138" s="292" t="str">
        <f>IF('3.Plan de Estudios'!C163="","",'3.Plan de Estudios'!C163)</f>
        <v/>
      </c>
      <c r="C138" s="292" t="str">
        <f>IF('3.Plan de Estudios'!E163="","",'3.Plan de Estudios'!E163)</f>
        <v/>
      </c>
      <c r="D138" s="293" t="str">
        <f>'3.Plan de Estudios'!I163</f>
        <v/>
      </c>
      <c r="E138" s="293" t="str">
        <f>IF('3.Plan de Estudios'!J163=0,"-",'3.Plan de Estudios'!J163)</f>
        <v>-</v>
      </c>
      <c r="F138" s="319" t="str">
        <f>IF('3.Plan de Estudios'!K163=0,"-",'3.Plan de Estudios'!K163)</f>
        <v>-</v>
      </c>
      <c r="G138" s="319" t="str">
        <f>IF('3.Plan de Estudios'!L163=0,"-",'3.Plan de Estudios'!L163)</f>
        <v>-</v>
      </c>
      <c r="H138" s="319" t="str">
        <f>IF('3.Plan de Estudios'!M163=0,"-",'3.Plan de Estudios'!M163)</f>
        <v>-</v>
      </c>
      <c r="I138" s="319" t="str">
        <f>IF('3.Plan de Estudios'!N163=0,"-",'3.Plan de Estudios'!N163)</f>
        <v>-</v>
      </c>
      <c r="J138" s="320" t="str">
        <f>IF('3.Plan de Estudios'!O163=0,"-",'3.Plan de Estudios'!O163)</f>
        <v>-</v>
      </c>
      <c r="K138" s="321" t="str">
        <f>IF('3.Plan de Estudios'!P163=0,"-",'3.Plan de Estudios'!P163)</f>
        <v>-</v>
      </c>
      <c r="L138" s="294" t="str">
        <f>IF('7.Sumillas'!G139=0,"",'7.Sumillas'!G139)</f>
        <v/>
      </c>
      <c r="M138" s="298"/>
      <c r="N138" s="298"/>
      <c r="O138" s="294" t="str">
        <f>CONCATENATE(CHAR(10),CONCATENATE('3.Plan de Estudios'!AA163,CHAR(10),'3.Plan de Estudios'!AC163,CHAR(10),'3.Plan de Estudios'!AE163,CHAR(10),'3.Plan de Estudios'!AG163,CHAR(10),'3.Plan de Estudios'!AI163))</f>
        <v xml:space="preserve">
</v>
      </c>
      <c r="P138" s="298"/>
      <c r="Q138" s="298"/>
      <c r="R138" s="298"/>
      <c r="S138" s="336" t="str">
        <f t="shared" si="2"/>
        <v>No Aplica</v>
      </c>
    </row>
    <row r="139" spans="1:19" ht="72">
      <c r="A139" s="292">
        <f>IF('3.Plan de Estudios'!B164="","",'3.Plan de Estudios'!B164)</f>
        <v>14</v>
      </c>
      <c r="B139" s="292" t="str">
        <f>IF('3.Plan de Estudios'!C164="","",'3.Plan de Estudios'!C164)</f>
        <v/>
      </c>
      <c r="C139" s="292" t="str">
        <f>IF('3.Plan de Estudios'!E164="","",'3.Plan de Estudios'!E164)</f>
        <v/>
      </c>
      <c r="D139" s="293" t="str">
        <f>'3.Plan de Estudios'!I164</f>
        <v/>
      </c>
      <c r="E139" s="293" t="str">
        <f>IF('3.Plan de Estudios'!J164=0,"-",'3.Plan de Estudios'!J164)</f>
        <v>-</v>
      </c>
      <c r="F139" s="319" t="str">
        <f>IF('3.Plan de Estudios'!K164=0,"-",'3.Plan de Estudios'!K164)</f>
        <v>-</v>
      </c>
      <c r="G139" s="319" t="str">
        <f>IF('3.Plan de Estudios'!L164=0,"-",'3.Plan de Estudios'!L164)</f>
        <v>-</v>
      </c>
      <c r="H139" s="319" t="str">
        <f>IF('3.Plan de Estudios'!M164=0,"-",'3.Plan de Estudios'!M164)</f>
        <v>-</v>
      </c>
      <c r="I139" s="319" t="str">
        <f>IF('3.Plan de Estudios'!N164=0,"-",'3.Plan de Estudios'!N164)</f>
        <v>-</v>
      </c>
      <c r="J139" s="320" t="str">
        <f>IF('3.Plan de Estudios'!O164=0,"-",'3.Plan de Estudios'!O164)</f>
        <v>-</v>
      </c>
      <c r="K139" s="321" t="str">
        <f>IF('3.Plan de Estudios'!P164=0,"-",'3.Plan de Estudios'!P164)</f>
        <v>-</v>
      </c>
      <c r="L139" s="294" t="str">
        <f>IF('7.Sumillas'!G140=0,"",'7.Sumillas'!G140)</f>
        <v/>
      </c>
      <c r="M139" s="298"/>
      <c r="N139" s="298"/>
      <c r="O139" s="294" t="str">
        <f>CONCATENATE(CHAR(10),CONCATENATE('3.Plan de Estudios'!AA164,CHAR(10),'3.Plan de Estudios'!AC164,CHAR(10),'3.Plan de Estudios'!AE164,CHAR(10),'3.Plan de Estudios'!AG164,CHAR(10),'3.Plan de Estudios'!AI164))</f>
        <v xml:space="preserve">
</v>
      </c>
      <c r="P139" s="298"/>
      <c r="Q139" s="298"/>
      <c r="R139" s="298"/>
      <c r="S139" s="336" t="str">
        <f t="shared" si="2"/>
        <v>No Aplica</v>
      </c>
    </row>
    <row r="140" spans="1:19" ht="72">
      <c r="A140" s="292">
        <f>IF('3.Plan de Estudios'!B165="","",'3.Plan de Estudios'!B165)</f>
        <v>14</v>
      </c>
      <c r="B140" s="292" t="str">
        <f>IF('3.Plan de Estudios'!C165="","",'3.Plan de Estudios'!C165)</f>
        <v/>
      </c>
      <c r="C140" s="292" t="str">
        <f>IF('3.Plan de Estudios'!E165="","",'3.Plan de Estudios'!E165)</f>
        <v/>
      </c>
      <c r="D140" s="293" t="str">
        <f>'3.Plan de Estudios'!I165</f>
        <v/>
      </c>
      <c r="E140" s="293" t="str">
        <f>IF('3.Plan de Estudios'!J165=0,"-",'3.Plan de Estudios'!J165)</f>
        <v>-</v>
      </c>
      <c r="F140" s="319" t="str">
        <f>IF('3.Plan de Estudios'!K165=0,"-",'3.Plan de Estudios'!K165)</f>
        <v>-</v>
      </c>
      <c r="G140" s="319" t="str">
        <f>IF('3.Plan de Estudios'!L165=0,"-",'3.Plan de Estudios'!L165)</f>
        <v>-</v>
      </c>
      <c r="H140" s="319" t="str">
        <f>IF('3.Plan de Estudios'!M165=0,"-",'3.Plan de Estudios'!M165)</f>
        <v>-</v>
      </c>
      <c r="I140" s="319" t="str">
        <f>IF('3.Plan de Estudios'!N165=0,"-",'3.Plan de Estudios'!N165)</f>
        <v>-</v>
      </c>
      <c r="J140" s="320" t="str">
        <f>IF('3.Plan de Estudios'!O165=0,"-",'3.Plan de Estudios'!O165)</f>
        <v>-</v>
      </c>
      <c r="K140" s="321" t="str">
        <f>IF('3.Plan de Estudios'!P165=0,"-",'3.Plan de Estudios'!P165)</f>
        <v>-</v>
      </c>
      <c r="L140" s="294" t="str">
        <f>IF('7.Sumillas'!G141=0,"",'7.Sumillas'!G141)</f>
        <v/>
      </c>
      <c r="M140" s="298"/>
      <c r="N140" s="298"/>
      <c r="O140" s="294" t="str">
        <f>CONCATENATE(CHAR(10),CONCATENATE('3.Plan de Estudios'!AA165,CHAR(10),'3.Plan de Estudios'!AC165,CHAR(10),'3.Plan de Estudios'!AE165,CHAR(10),'3.Plan de Estudios'!AG165,CHAR(10),'3.Plan de Estudios'!AI165))</f>
        <v xml:space="preserve">
</v>
      </c>
      <c r="P140" s="298"/>
      <c r="Q140" s="298"/>
      <c r="R140" s="298"/>
      <c r="S140" s="336" t="str">
        <f t="shared" si="2"/>
        <v>No Aplica</v>
      </c>
    </row>
    <row r="141" spans="1:19" ht="72">
      <c r="A141" s="292">
        <f>IF('3.Plan de Estudios'!B166="","",'3.Plan de Estudios'!B166)</f>
        <v>14</v>
      </c>
      <c r="B141" s="292" t="str">
        <f>IF('3.Plan de Estudios'!C166="","",'3.Plan de Estudios'!C166)</f>
        <v/>
      </c>
      <c r="C141" s="292" t="str">
        <f>IF('3.Plan de Estudios'!E166="","",'3.Plan de Estudios'!E166)</f>
        <v/>
      </c>
      <c r="D141" s="293" t="str">
        <f>'3.Plan de Estudios'!I166</f>
        <v/>
      </c>
      <c r="E141" s="293" t="str">
        <f>IF('3.Plan de Estudios'!J166=0,"-",'3.Plan de Estudios'!J166)</f>
        <v>-</v>
      </c>
      <c r="F141" s="319" t="str">
        <f>IF('3.Plan de Estudios'!K166=0,"-",'3.Plan de Estudios'!K166)</f>
        <v>-</v>
      </c>
      <c r="G141" s="319" t="str">
        <f>IF('3.Plan de Estudios'!L166=0,"-",'3.Plan de Estudios'!L166)</f>
        <v>-</v>
      </c>
      <c r="H141" s="319" t="str">
        <f>IF('3.Plan de Estudios'!M166=0,"-",'3.Plan de Estudios'!M166)</f>
        <v>-</v>
      </c>
      <c r="I141" s="319" t="str">
        <f>IF('3.Plan de Estudios'!N166=0,"-",'3.Plan de Estudios'!N166)</f>
        <v>-</v>
      </c>
      <c r="J141" s="320" t="str">
        <f>IF('3.Plan de Estudios'!O166=0,"-",'3.Plan de Estudios'!O166)</f>
        <v>-</v>
      </c>
      <c r="K141" s="321" t="str">
        <f>IF('3.Plan de Estudios'!P166=0,"-",'3.Plan de Estudios'!P166)</f>
        <v>-</v>
      </c>
      <c r="L141" s="294" t="str">
        <f>IF('7.Sumillas'!G142=0,"",'7.Sumillas'!G142)</f>
        <v/>
      </c>
      <c r="M141" s="298"/>
      <c r="N141" s="298"/>
      <c r="O141" s="294" t="str">
        <f>CONCATENATE(CHAR(10),CONCATENATE('3.Plan de Estudios'!AA166,CHAR(10),'3.Plan de Estudios'!AC166,CHAR(10),'3.Plan de Estudios'!AE166,CHAR(10),'3.Plan de Estudios'!AG166,CHAR(10),'3.Plan de Estudios'!AI166))</f>
        <v xml:space="preserve">
</v>
      </c>
      <c r="P141" s="298"/>
      <c r="Q141" s="298"/>
      <c r="R141" s="298"/>
      <c r="S141" s="336" t="str">
        <f t="shared" si="2"/>
        <v>No Aplica</v>
      </c>
    </row>
    <row r="142" spans="1:19" ht="72">
      <c r="A142" s="292">
        <f>IF('3.Plan de Estudios'!B167="","",'3.Plan de Estudios'!B167)</f>
        <v>14</v>
      </c>
      <c r="B142" s="292" t="str">
        <f>IF('3.Plan de Estudios'!C167="","",'3.Plan de Estudios'!C167)</f>
        <v/>
      </c>
      <c r="C142" s="292" t="str">
        <f>IF('3.Plan de Estudios'!E167="","",'3.Plan de Estudios'!E167)</f>
        <v/>
      </c>
      <c r="D142" s="293" t="str">
        <f>'3.Plan de Estudios'!I167</f>
        <v/>
      </c>
      <c r="E142" s="293" t="str">
        <f>IF('3.Plan de Estudios'!J167=0,"-",'3.Plan de Estudios'!J167)</f>
        <v>-</v>
      </c>
      <c r="F142" s="319" t="str">
        <f>IF('3.Plan de Estudios'!K167=0,"-",'3.Plan de Estudios'!K167)</f>
        <v>-</v>
      </c>
      <c r="G142" s="319" t="str">
        <f>IF('3.Plan de Estudios'!L167=0,"-",'3.Plan de Estudios'!L167)</f>
        <v>-</v>
      </c>
      <c r="H142" s="319" t="str">
        <f>IF('3.Plan de Estudios'!M167=0,"-",'3.Plan de Estudios'!M167)</f>
        <v>-</v>
      </c>
      <c r="I142" s="319" t="str">
        <f>IF('3.Plan de Estudios'!N167=0,"-",'3.Plan de Estudios'!N167)</f>
        <v>-</v>
      </c>
      <c r="J142" s="320" t="str">
        <f>IF('3.Plan de Estudios'!O167=0,"-",'3.Plan de Estudios'!O167)</f>
        <v>-</v>
      </c>
      <c r="K142" s="321" t="str">
        <f>IF('3.Plan de Estudios'!P167=0,"-",'3.Plan de Estudios'!P167)</f>
        <v>-</v>
      </c>
      <c r="L142" s="294" t="str">
        <f>IF('7.Sumillas'!G143=0,"",'7.Sumillas'!G143)</f>
        <v/>
      </c>
      <c r="M142" s="298"/>
      <c r="N142" s="298"/>
      <c r="O142" s="294" t="str">
        <f>CONCATENATE(CHAR(10),CONCATENATE('3.Plan de Estudios'!AA167,CHAR(10),'3.Plan de Estudios'!AC167,CHAR(10),'3.Plan de Estudios'!AE167,CHAR(10),'3.Plan de Estudios'!AG167,CHAR(10),'3.Plan de Estudios'!AI167))</f>
        <v xml:space="preserve">
</v>
      </c>
      <c r="P142" s="298"/>
      <c r="Q142" s="298"/>
      <c r="R142" s="298"/>
      <c r="S142" s="336" t="str">
        <f t="shared" si="2"/>
        <v>No Aplica</v>
      </c>
    </row>
    <row r="143" spans="1:19" ht="72">
      <c r="A143" s="292">
        <f>IF('3.Plan de Estudios'!B168="","",'3.Plan de Estudios'!B168)</f>
        <v>14</v>
      </c>
      <c r="B143" s="292" t="str">
        <f>IF('3.Plan de Estudios'!C168="","",'3.Plan de Estudios'!C168)</f>
        <v/>
      </c>
      <c r="C143" s="292" t="str">
        <f>IF('3.Plan de Estudios'!E168="","",'3.Plan de Estudios'!E168)</f>
        <v/>
      </c>
      <c r="D143" s="293" t="str">
        <f>'3.Plan de Estudios'!I168</f>
        <v/>
      </c>
      <c r="E143" s="293" t="str">
        <f>IF('3.Plan de Estudios'!J168=0,"-",'3.Plan de Estudios'!J168)</f>
        <v>-</v>
      </c>
      <c r="F143" s="319" t="str">
        <f>IF('3.Plan de Estudios'!K168=0,"-",'3.Plan de Estudios'!K168)</f>
        <v>-</v>
      </c>
      <c r="G143" s="319" t="str">
        <f>IF('3.Plan de Estudios'!L168=0,"-",'3.Plan de Estudios'!L168)</f>
        <v>-</v>
      </c>
      <c r="H143" s="319" t="str">
        <f>IF('3.Plan de Estudios'!M168=0,"-",'3.Plan de Estudios'!M168)</f>
        <v>-</v>
      </c>
      <c r="I143" s="319" t="str">
        <f>IF('3.Plan de Estudios'!N168=0,"-",'3.Plan de Estudios'!N168)</f>
        <v>-</v>
      </c>
      <c r="J143" s="320" t="str">
        <f>IF('3.Plan de Estudios'!O168=0,"-",'3.Plan de Estudios'!O168)</f>
        <v>-</v>
      </c>
      <c r="K143" s="321" t="str">
        <f>IF('3.Plan de Estudios'!P168=0,"-",'3.Plan de Estudios'!P168)</f>
        <v>-</v>
      </c>
      <c r="L143" s="294" t="str">
        <f>IF('7.Sumillas'!G144=0,"",'7.Sumillas'!G144)</f>
        <v/>
      </c>
      <c r="M143" s="298"/>
      <c r="N143" s="298"/>
      <c r="O143" s="294" t="str">
        <f>CONCATENATE(CHAR(10),CONCATENATE('3.Plan de Estudios'!AA168,CHAR(10),'3.Plan de Estudios'!AC168,CHAR(10),'3.Plan de Estudios'!AE168,CHAR(10),'3.Plan de Estudios'!AG168,CHAR(10),'3.Plan de Estudios'!AI168))</f>
        <v xml:space="preserve">
</v>
      </c>
      <c r="P143" s="298"/>
      <c r="Q143" s="298"/>
      <c r="R143" s="298"/>
      <c r="S143" s="336" t="str">
        <f t="shared" si="2"/>
        <v>No Aplica</v>
      </c>
    </row>
    <row r="144" spans="1:19" ht="72">
      <c r="A144" s="292">
        <f>IF('3.Plan de Estudios'!B169="","",'3.Plan de Estudios'!B169)</f>
        <v>14</v>
      </c>
      <c r="B144" s="292" t="str">
        <f>IF('3.Plan de Estudios'!C169="","",'3.Plan de Estudios'!C169)</f>
        <v/>
      </c>
      <c r="C144" s="292" t="str">
        <f>IF('3.Plan de Estudios'!E169="","",'3.Plan de Estudios'!E169)</f>
        <v/>
      </c>
      <c r="D144" s="293" t="str">
        <f>'3.Plan de Estudios'!I169</f>
        <v/>
      </c>
      <c r="E144" s="293" t="str">
        <f>IF('3.Plan de Estudios'!J169=0,"-",'3.Plan de Estudios'!J169)</f>
        <v>-</v>
      </c>
      <c r="F144" s="319" t="str">
        <f>IF('3.Plan de Estudios'!K169=0,"-",'3.Plan de Estudios'!K169)</f>
        <v>-</v>
      </c>
      <c r="G144" s="319" t="str">
        <f>IF('3.Plan de Estudios'!L169=0,"-",'3.Plan de Estudios'!L169)</f>
        <v>-</v>
      </c>
      <c r="H144" s="319" t="str">
        <f>IF('3.Plan de Estudios'!M169=0,"-",'3.Plan de Estudios'!M169)</f>
        <v>-</v>
      </c>
      <c r="I144" s="319" t="str">
        <f>IF('3.Plan de Estudios'!N169=0,"-",'3.Plan de Estudios'!N169)</f>
        <v>-</v>
      </c>
      <c r="J144" s="320" t="str">
        <f>IF('3.Plan de Estudios'!O169=0,"-",'3.Plan de Estudios'!O169)</f>
        <v>-</v>
      </c>
      <c r="K144" s="321" t="str">
        <f>IF('3.Plan de Estudios'!P169=0,"-",'3.Plan de Estudios'!P169)</f>
        <v>-</v>
      </c>
      <c r="L144" s="294" t="str">
        <f>IF('7.Sumillas'!G145=0,"",'7.Sumillas'!G145)</f>
        <v/>
      </c>
      <c r="M144" s="298"/>
      <c r="N144" s="298"/>
      <c r="O144" s="294" t="str">
        <f>CONCATENATE(CHAR(10),CONCATENATE('3.Plan de Estudios'!AA169,CHAR(10),'3.Plan de Estudios'!AC169,CHAR(10),'3.Plan de Estudios'!AE169,CHAR(10),'3.Plan de Estudios'!AG169,CHAR(10),'3.Plan de Estudios'!AI169))</f>
        <v xml:space="preserve">
</v>
      </c>
      <c r="P144" s="298"/>
      <c r="Q144" s="298"/>
      <c r="R144" s="298"/>
      <c r="S144" s="336" t="str">
        <f t="shared" si="2"/>
        <v>No Aplica</v>
      </c>
    </row>
    <row r="145" spans="1:21" ht="72">
      <c r="A145" s="292">
        <f>IF('3.Plan de Estudios'!B170="","",'3.Plan de Estudios'!B170)</f>
        <v>14</v>
      </c>
      <c r="B145" s="292" t="str">
        <f>IF('3.Plan de Estudios'!C170="","",'3.Plan de Estudios'!C170)</f>
        <v/>
      </c>
      <c r="C145" s="292" t="str">
        <f>IF('3.Plan de Estudios'!E170="","",'3.Plan de Estudios'!E170)</f>
        <v/>
      </c>
      <c r="D145" s="293" t="str">
        <f>'3.Plan de Estudios'!I170</f>
        <v/>
      </c>
      <c r="E145" s="293" t="str">
        <f>IF('3.Plan de Estudios'!J170=0,"-",'3.Plan de Estudios'!J170)</f>
        <v>-</v>
      </c>
      <c r="F145" s="319" t="str">
        <f>IF('3.Plan de Estudios'!K170=0,"-",'3.Plan de Estudios'!K170)</f>
        <v>-</v>
      </c>
      <c r="G145" s="319" t="str">
        <f>IF('3.Plan de Estudios'!L170=0,"-",'3.Plan de Estudios'!L170)</f>
        <v>-</v>
      </c>
      <c r="H145" s="319" t="str">
        <f>IF('3.Plan de Estudios'!M170=0,"-",'3.Plan de Estudios'!M170)</f>
        <v>-</v>
      </c>
      <c r="I145" s="319" t="str">
        <f>IF('3.Plan de Estudios'!N170=0,"-",'3.Plan de Estudios'!N170)</f>
        <v>-</v>
      </c>
      <c r="J145" s="320" t="str">
        <f>IF('3.Plan de Estudios'!O170=0,"-",'3.Plan de Estudios'!O170)</f>
        <v>-</v>
      </c>
      <c r="K145" s="321" t="str">
        <f>IF('3.Plan de Estudios'!P170=0,"-",'3.Plan de Estudios'!P170)</f>
        <v>-</v>
      </c>
      <c r="L145" s="294" t="str">
        <f>IF('7.Sumillas'!G146=0,"",'7.Sumillas'!G146)</f>
        <v/>
      </c>
      <c r="M145" s="298"/>
      <c r="N145" s="298"/>
      <c r="O145" s="294" t="str">
        <f>CONCATENATE(CHAR(10),CONCATENATE('3.Plan de Estudios'!AA170,CHAR(10),'3.Plan de Estudios'!AC170,CHAR(10),'3.Plan de Estudios'!AE170,CHAR(10),'3.Plan de Estudios'!AG170,CHAR(10),'3.Plan de Estudios'!AI170))</f>
        <v xml:space="preserve">
</v>
      </c>
      <c r="P145" s="298"/>
      <c r="Q145" s="298"/>
      <c r="R145" s="298"/>
      <c r="S145" s="336" t="str">
        <f t="shared" si="2"/>
        <v>No Aplica</v>
      </c>
    </row>
    <row r="146" spans="1:21" ht="72">
      <c r="A146" s="292">
        <f>IF('3.Plan de Estudios'!B171="","",'3.Plan de Estudios'!B171)</f>
        <v>14</v>
      </c>
      <c r="B146" s="292" t="str">
        <f>IF('3.Plan de Estudios'!C171="","",'3.Plan de Estudios'!C171)</f>
        <v/>
      </c>
      <c r="C146" s="292" t="str">
        <f>IF('3.Plan de Estudios'!E171="","",'3.Plan de Estudios'!E171)</f>
        <v/>
      </c>
      <c r="D146" s="293" t="str">
        <f>'3.Plan de Estudios'!I171</f>
        <v/>
      </c>
      <c r="E146" s="293" t="str">
        <f>IF('3.Plan de Estudios'!J171=0,"-",'3.Plan de Estudios'!J171)</f>
        <v>-</v>
      </c>
      <c r="F146" s="319" t="str">
        <f>IF('3.Plan de Estudios'!K171=0,"-",'3.Plan de Estudios'!K171)</f>
        <v>-</v>
      </c>
      <c r="G146" s="319" t="str">
        <f>IF('3.Plan de Estudios'!L171=0,"-",'3.Plan de Estudios'!L171)</f>
        <v>-</v>
      </c>
      <c r="H146" s="319" t="str">
        <f>IF('3.Plan de Estudios'!M171=0,"-",'3.Plan de Estudios'!M171)</f>
        <v>-</v>
      </c>
      <c r="I146" s="319" t="str">
        <f>IF('3.Plan de Estudios'!N171=0,"-",'3.Plan de Estudios'!N171)</f>
        <v>-</v>
      </c>
      <c r="J146" s="320" t="str">
        <f>IF('3.Plan de Estudios'!O171=0,"-",'3.Plan de Estudios'!O171)</f>
        <v>-</v>
      </c>
      <c r="K146" s="321" t="str">
        <f>IF('3.Plan de Estudios'!P171=0,"-",'3.Plan de Estudios'!P171)</f>
        <v>-</v>
      </c>
      <c r="L146" s="294" t="str">
        <f>IF('7.Sumillas'!G147=0,"",'7.Sumillas'!G147)</f>
        <v/>
      </c>
      <c r="M146" s="298"/>
      <c r="N146" s="298"/>
      <c r="O146" s="294" t="str">
        <f>CONCATENATE(CHAR(10),CONCATENATE('3.Plan de Estudios'!AA171,CHAR(10),'3.Plan de Estudios'!AC171,CHAR(10),'3.Plan de Estudios'!AE171,CHAR(10),'3.Plan de Estudios'!AG171,CHAR(10),'3.Plan de Estudios'!AI171))</f>
        <v xml:space="preserve">
</v>
      </c>
      <c r="P146" s="298"/>
      <c r="Q146" s="298"/>
      <c r="R146" s="298"/>
      <c r="S146" s="336" t="str">
        <f t="shared" si="2"/>
        <v>No Aplica</v>
      </c>
    </row>
    <row r="147" spans="1:21" s="8" customFormat="1">
      <c r="M147" s="5"/>
      <c r="N147" s="5"/>
      <c r="P147" s="5"/>
      <c r="Q147" s="5"/>
      <c r="R147" s="5"/>
      <c r="S147" s="318"/>
    </row>
    <row r="148" spans="1:21" s="8" customFormat="1">
      <c r="M148" s="5"/>
      <c r="N148" s="5"/>
      <c r="P148" s="5"/>
      <c r="Q148" s="5"/>
      <c r="R148" s="5"/>
      <c r="S148" s="318"/>
    </row>
    <row r="149" spans="1:21" s="8" customFormat="1">
      <c r="M149" s="5"/>
      <c r="N149" s="5"/>
      <c r="P149" s="5"/>
      <c r="Q149" s="5"/>
      <c r="R149" s="5"/>
      <c r="S149" s="318"/>
    </row>
    <row r="150" spans="1:21" s="8" customFormat="1" ht="21">
      <c r="A150" s="317" t="s">
        <v>1190</v>
      </c>
      <c r="M150" s="5"/>
      <c r="N150" s="5"/>
      <c r="P150" s="5"/>
      <c r="Q150" s="5"/>
      <c r="R150" s="5"/>
      <c r="S150" s="318"/>
    </row>
    <row r="151" spans="1:21" s="8" customFormat="1">
      <c r="M151" s="5"/>
      <c r="N151" s="5"/>
      <c r="P151" s="5"/>
      <c r="Q151" s="5"/>
      <c r="R151" s="5"/>
      <c r="S151" s="318"/>
    </row>
    <row r="152" spans="1:21" s="68" customFormat="1" ht="27.75" customHeight="1">
      <c r="A152" s="896" t="s">
        <v>224</v>
      </c>
      <c r="B152" s="291"/>
      <c r="C152" s="897" t="s">
        <v>227</v>
      </c>
      <c r="D152" s="897" t="s">
        <v>1108</v>
      </c>
      <c r="E152" s="898" t="s">
        <v>366</v>
      </c>
      <c r="F152" s="898"/>
      <c r="G152" s="898" t="s">
        <v>367</v>
      </c>
      <c r="H152" s="898"/>
      <c r="I152" s="898" t="s">
        <v>1109</v>
      </c>
      <c r="J152" s="898"/>
      <c r="K152" s="897" t="s">
        <v>233</v>
      </c>
      <c r="L152" s="900" t="s">
        <v>1024</v>
      </c>
      <c r="M152" s="900" t="s">
        <v>1110</v>
      </c>
      <c r="N152" s="901" t="s">
        <v>1111</v>
      </c>
      <c r="O152" s="895" t="s">
        <v>456</v>
      </c>
      <c r="P152" s="895" t="s">
        <v>1119</v>
      </c>
      <c r="Q152" s="895" t="s">
        <v>1113</v>
      </c>
      <c r="R152" s="895" t="s">
        <v>1114</v>
      </c>
      <c r="S152" s="895" t="s">
        <v>1115</v>
      </c>
    </row>
    <row r="153" spans="1:21" s="68" customFormat="1" ht="27.75" customHeight="1">
      <c r="A153" s="896"/>
      <c r="B153" s="291" t="s">
        <v>1107</v>
      </c>
      <c r="C153" s="897"/>
      <c r="D153" s="897"/>
      <c r="E153" s="898"/>
      <c r="F153" s="898"/>
      <c r="G153" s="898"/>
      <c r="H153" s="898"/>
      <c r="I153" s="898"/>
      <c r="J153" s="898"/>
      <c r="K153" s="897"/>
      <c r="L153" s="900"/>
      <c r="M153" s="900"/>
      <c r="N153" s="901"/>
      <c r="O153" s="895"/>
      <c r="P153" s="895"/>
      <c r="Q153" s="895"/>
      <c r="R153" s="895"/>
      <c r="S153" s="895"/>
    </row>
    <row r="154" spans="1:21" s="68" customFormat="1" ht="27.75" customHeight="1">
      <c r="A154" s="896"/>
      <c r="B154" s="291"/>
      <c r="C154" s="897"/>
      <c r="D154" s="897"/>
      <c r="E154" s="289" t="s">
        <v>243</v>
      </c>
      <c r="F154" s="295" t="s">
        <v>365</v>
      </c>
      <c r="G154" s="289" t="s">
        <v>243</v>
      </c>
      <c r="H154" s="290" t="s">
        <v>365</v>
      </c>
      <c r="I154" s="289" t="s">
        <v>243</v>
      </c>
      <c r="J154" s="290" t="s">
        <v>365</v>
      </c>
      <c r="K154" s="897"/>
      <c r="L154" s="900"/>
      <c r="M154" s="900"/>
      <c r="N154" s="901"/>
      <c r="O154" s="895"/>
      <c r="P154" s="895"/>
      <c r="Q154" s="895"/>
      <c r="R154" s="895"/>
      <c r="S154" s="895"/>
    </row>
    <row r="155" spans="1:21" ht="72">
      <c r="A155" s="292">
        <f>'4.Electivos'!B9</f>
        <v>5</v>
      </c>
      <c r="B155" s="292" t="str">
        <f>IF('4.Electivos'!C9="","",'4.Electivos'!C9)</f>
        <v/>
      </c>
      <c r="C155" s="292" t="str">
        <f>IF('4.Electivos'!E9="","",'4.Electivos'!E9)</f>
        <v/>
      </c>
      <c r="D155" s="293" t="str">
        <f>'4.Electivos'!I9</f>
        <v/>
      </c>
      <c r="E155" s="293" t="str">
        <f>IF('4.Electivos'!J9=0,"-",'4.Electivos'!J9)</f>
        <v>-</v>
      </c>
      <c r="F155" s="319" t="str">
        <f>IF('4.Electivos'!K9=0,"-",'4.Electivos'!K9)</f>
        <v>-</v>
      </c>
      <c r="G155" s="319" t="str">
        <f>IF('4.Electivos'!L9=0,"-",'4.Electivos'!L9)</f>
        <v>-</v>
      </c>
      <c r="H155" s="319" t="str">
        <f>IF('4.Electivos'!M9=0,"-",'4.Electivos'!M9)</f>
        <v>-</v>
      </c>
      <c r="I155" s="319" t="str">
        <f>IF('4.Electivos'!N9=0,"-",'4.Electivos'!N9)</f>
        <v>-</v>
      </c>
      <c r="J155" s="320" t="str">
        <f>IF('4.Electivos'!O9=0,"-",'4.Electivos'!O9)</f>
        <v>-</v>
      </c>
      <c r="K155" s="321" t="str">
        <f>IF('4.Electivos'!P9=0,"-",'4.Electivos'!P9)</f>
        <v>-</v>
      </c>
      <c r="L155" s="294" t="str">
        <f>IF('7.Sumillas'!G151=0,"",'7.Sumillas'!G151)</f>
        <v/>
      </c>
      <c r="M155" s="298"/>
      <c r="N155" s="298"/>
      <c r="O155" s="294" t="str">
        <f>CONCATENATE(CHAR(10),CONCATENATE('4.Electivos'!Y9,CHAR(10),'4.Electivos'!Z9,CHAR(10),'4.Electivos'!AA9,CHAR(10),'4.Electivos'!AB9,CHAR(10),'4.Electivos'!AC9))</f>
        <v xml:space="preserve">
</v>
      </c>
      <c r="P155" s="298"/>
      <c r="Q155" s="298"/>
      <c r="R155" s="298"/>
      <c r="S155" s="322" t="str">
        <f>IF(H155&lt;&gt;"-","","No Aplica")</f>
        <v>No Aplica</v>
      </c>
      <c r="U155" s="296"/>
    </row>
    <row r="156" spans="1:21" ht="72">
      <c r="A156" s="292">
        <f>'4.Electivos'!B10</f>
        <v>5</v>
      </c>
      <c r="B156" s="292" t="str">
        <f>IF('4.Electivos'!C10="","",'4.Electivos'!C10)</f>
        <v/>
      </c>
      <c r="C156" s="292" t="str">
        <f>IF('4.Electivos'!E10="","",'4.Electivos'!E10)</f>
        <v/>
      </c>
      <c r="D156" s="293" t="str">
        <f>'4.Electivos'!I10</f>
        <v/>
      </c>
      <c r="E156" s="293" t="str">
        <f>IF('4.Electivos'!J10=0,"-",'4.Electivos'!J10)</f>
        <v>-</v>
      </c>
      <c r="F156" s="319" t="str">
        <f>IF('4.Electivos'!K10=0,"-",'4.Electivos'!K10)</f>
        <v>-</v>
      </c>
      <c r="G156" s="319" t="str">
        <f>IF('4.Electivos'!L10=0,"-",'4.Electivos'!L10)</f>
        <v>-</v>
      </c>
      <c r="H156" s="319" t="str">
        <f>IF('4.Electivos'!M10=0,"-",'4.Electivos'!M10)</f>
        <v>-</v>
      </c>
      <c r="I156" s="319" t="str">
        <f>IF('4.Electivos'!N10=0,"-",'4.Electivos'!N10)</f>
        <v>-</v>
      </c>
      <c r="J156" s="320" t="str">
        <f>IF('4.Electivos'!O10=0,"-",'4.Electivos'!O10)</f>
        <v>-</v>
      </c>
      <c r="K156" s="321" t="str">
        <f>IF('4.Electivos'!P10=0,"-",'4.Electivos'!P10)</f>
        <v>-</v>
      </c>
      <c r="L156" s="294" t="str">
        <f>IF('7.Sumillas'!G152=0,"",'7.Sumillas'!G152)</f>
        <v/>
      </c>
      <c r="M156" s="298"/>
      <c r="N156" s="298"/>
      <c r="O156" s="294" t="str">
        <f>CONCATENATE(CHAR(10),CONCATENATE('4.Electivos'!Y10,CHAR(10),'4.Electivos'!Z10,CHAR(10),'4.Electivos'!AA10,CHAR(10),'4.Electivos'!AB10,CHAR(10),'4.Electivos'!AC10))</f>
        <v xml:space="preserve">
</v>
      </c>
      <c r="P156" s="298"/>
      <c r="Q156" s="298"/>
      <c r="R156" s="298"/>
      <c r="S156" s="322" t="str">
        <f t="shared" ref="S156:S219" si="3">IF(H156&lt;&gt;"-","","No Aplica")</f>
        <v>No Aplica</v>
      </c>
      <c r="U156" s="296"/>
    </row>
    <row r="157" spans="1:21" ht="72">
      <c r="A157" s="292">
        <f>'4.Electivos'!B11</f>
        <v>5</v>
      </c>
      <c r="B157" s="292" t="str">
        <f>IF('4.Electivos'!C11="","",'4.Electivos'!C11)</f>
        <v/>
      </c>
      <c r="C157" s="292" t="str">
        <f>IF('4.Electivos'!E11="","",'4.Electivos'!E11)</f>
        <v/>
      </c>
      <c r="D157" s="293" t="str">
        <f>'4.Electivos'!I11</f>
        <v/>
      </c>
      <c r="E157" s="293" t="str">
        <f>IF('4.Electivos'!J11=0,"-",'4.Electivos'!J11)</f>
        <v>-</v>
      </c>
      <c r="F157" s="319" t="str">
        <f>IF('4.Electivos'!K11=0,"-",'4.Electivos'!K11)</f>
        <v>-</v>
      </c>
      <c r="G157" s="319" t="str">
        <f>IF('4.Electivos'!L11=0,"-",'4.Electivos'!L11)</f>
        <v>-</v>
      </c>
      <c r="H157" s="319" t="str">
        <f>IF('4.Electivos'!M11=0,"-",'4.Electivos'!M11)</f>
        <v>-</v>
      </c>
      <c r="I157" s="319" t="str">
        <f>IF('4.Electivos'!N11=0,"-",'4.Electivos'!N11)</f>
        <v>-</v>
      </c>
      <c r="J157" s="320" t="str">
        <f>IF('4.Electivos'!O11=0,"-",'4.Electivos'!O11)</f>
        <v>-</v>
      </c>
      <c r="K157" s="321" t="str">
        <f>IF('4.Electivos'!P11=0,"-",'4.Electivos'!P11)</f>
        <v>-</v>
      </c>
      <c r="L157" s="294" t="str">
        <f>IF('7.Sumillas'!G153=0,"",'7.Sumillas'!G153)</f>
        <v/>
      </c>
      <c r="M157" s="298"/>
      <c r="N157" s="298"/>
      <c r="O157" s="294" t="str">
        <f>CONCATENATE(CHAR(10),CONCATENATE('4.Electivos'!Y11,CHAR(10),'4.Electivos'!Z11,CHAR(10),'4.Electivos'!AA11,CHAR(10),'4.Electivos'!AB11,CHAR(10),'4.Electivos'!AC11))</f>
        <v xml:space="preserve">
</v>
      </c>
      <c r="P157" s="298"/>
      <c r="Q157" s="298"/>
      <c r="R157" s="298"/>
      <c r="S157" s="322" t="str">
        <f t="shared" si="3"/>
        <v>No Aplica</v>
      </c>
      <c r="U157" s="296"/>
    </row>
    <row r="158" spans="1:21" ht="72">
      <c r="A158" s="292">
        <f>'4.Electivos'!B12</f>
        <v>5</v>
      </c>
      <c r="B158" s="292" t="str">
        <f>IF('4.Electivos'!C12="","",'4.Electivos'!C12)</f>
        <v/>
      </c>
      <c r="C158" s="292" t="str">
        <f>IF('4.Electivos'!E12="","",'4.Electivos'!E12)</f>
        <v/>
      </c>
      <c r="D158" s="293" t="str">
        <f>'4.Electivos'!I12</f>
        <v/>
      </c>
      <c r="E158" s="293" t="str">
        <f>IF('4.Electivos'!J12=0,"-",'4.Electivos'!J12)</f>
        <v>-</v>
      </c>
      <c r="F158" s="319" t="str">
        <f>IF('4.Electivos'!K12=0,"-",'4.Electivos'!K12)</f>
        <v>-</v>
      </c>
      <c r="G158" s="319" t="str">
        <f>IF('4.Electivos'!L12=0,"-",'4.Electivos'!L12)</f>
        <v>-</v>
      </c>
      <c r="H158" s="319" t="str">
        <f>IF('4.Electivos'!M12=0,"-",'4.Electivos'!M12)</f>
        <v>-</v>
      </c>
      <c r="I158" s="319" t="str">
        <f>IF('4.Electivos'!N12=0,"-",'4.Electivos'!N12)</f>
        <v>-</v>
      </c>
      <c r="J158" s="320" t="str">
        <f>IF('4.Electivos'!O12=0,"-",'4.Electivos'!O12)</f>
        <v>-</v>
      </c>
      <c r="K158" s="321" t="str">
        <f>IF('4.Electivos'!P12=0,"-",'4.Electivos'!P12)</f>
        <v>-</v>
      </c>
      <c r="L158" s="294" t="str">
        <f>IF('7.Sumillas'!G154=0,"",'7.Sumillas'!G154)</f>
        <v/>
      </c>
      <c r="M158" s="298"/>
      <c r="N158" s="298"/>
      <c r="O158" s="294" t="str">
        <f>CONCATENATE(CHAR(10),CONCATENATE('4.Electivos'!Y12,CHAR(10),'4.Electivos'!Z12,CHAR(10),'4.Electivos'!AA12,CHAR(10),'4.Electivos'!AB12,CHAR(10),'4.Electivos'!AC12))</f>
        <v xml:space="preserve">
</v>
      </c>
      <c r="P158" s="298"/>
      <c r="Q158" s="298"/>
      <c r="R158" s="298"/>
      <c r="S158" s="322" t="str">
        <f t="shared" si="3"/>
        <v>No Aplica</v>
      </c>
      <c r="U158" s="296"/>
    </row>
    <row r="159" spans="1:21" ht="72">
      <c r="A159" s="292">
        <f>'4.Electivos'!B13</f>
        <v>5</v>
      </c>
      <c r="B159" s="292" t="str">
        <f>IF('4.Electivos'!C13="","",'4.Electivos'!C13)</f>
        <v/>
      </c>
      <c r="C159" s="292" t="str">
        <f>IF('4.Electivos'!E13="","",'4.Electivos'!E13)</f>
        <v/>
      </c>
      <c r="D159" s="293" t="str">
        <f>'4.Electivos'!I13</f>
        <v/>
      </c>
      <c r="E159" s="293" t="str">
        <f>IF('4.Electivos'!J13=0,"-",'4.Electivos'!J13)</f>
        <v>-</v>
      </c>
      <c r="F159" s="319" t="str">
        <f>IF('4.Electivos'!K13=0,"-",'4.Electivos'!K13)</f>
        <v>-</v>
      </c>
      <c r="G159" s="319" t="str">
        <f>IF('4.Electivos'!L13=0,"-",'4.Electivos'!L13)</f>
        <v>-</v>
      </c>
      <c r="H159" s="319" t="str">
        <f>IF('4.Electivos'!M13=0,"-",'4.Electivos'!M13)</f>
        <v>-</v>
      </c>
      <c r="I159" s="319" t="str">
        <f>IF('4.Electivos'!N13=0,"-",'4.Electivos'!N13)</f>
        <v>-</v>
      </c>
      <c r="J159" s="320" t="str">
        <f>IF('4.Electivos'!O13=0,"-",'4.Electivos'!O13)</f>
        <v>-</v>
      </c>
      <c r="K159" s="321" t="str">
        <f>IF('4.Electivos'!P13=0,"-",'4.Electivos'!P13)</f>
        <v>-</v>
      </c>
      <c r="L159" s="294" t="str">
        <f>IF('7.Sumillas'!G155=0,"",'7.Sumillas'!G155)</f>
        <v/>
      </c>
      <c r="M159" s="298"/>
      <c r="N159" s="298"/>
      <c r="O159" s="294" t="str">
        <f>CONCATENATE(CHAR(10),CONCATENATE('4.Electivos'!Y13,CHAR(10),'4.Electivos'!Z13,CHAR(10),'4.Electivos'!AA13,CHAR(10),'4.Electivos'!AB13,CHAR(10),'4.Electivos'!AC13))</f>
        <v xml:space="preserve">
</v>
      </c>
      <c r="P159" s="298"/>
      <c r="Q159" s="298"/>
      <c r="R159" s="298"/>
      <c r="S159" s="322" t="str">
        <f t="shared" si="3"/>
        <v>No Aplica</v>
      </c>
      <c r="U159" s="296"/>
    </row>
    <row r="160" spans="1:21" ht="72">
      <c r="A160" s="292">
        <f>'4.Electivos'!B14</f>
        <v>5</v>
      </c>
      <c r="B160" s="292" t="str">
        <f>IF('4.Electivos'!C14="","",'4.Electivos'!C14)</f>
        <v/>
      </c>
      <c r="C160" s="292" t="str">
        <f>IF('4.Electivos'!E14="","",'4.Electivos'!E14)</f>
        <v/>
      </c>
      <c r="D160" s="293" t="str">
        <f>'4.Electivos'!I14</f>
        <v/>
      </c>
      <c r="E160" s="293" t="str">
        <f>IF('4.Electivos'!J14=0,"-",'4.Electivos'!J14)</f>
        <v>-</v>
      </c>
      <c r="F160" s="319" t="str">
        <f>IF('4.Electivos'!K14=0,"-",'4.Electivos'!K14)</f>
        <v>-</v>
      </c>
      <c r="G160" s="319" t="str">
        <f>IF('4.Electivos'!L14=0,"-",'4.Electivos'!L14)</f>
        <v>-</v>
      </c>
      <c r="H160" s="319" t="str">
        <f>IF('4.Electivos'!M14=0,"-",'4.Electivos'!M14)</f>
        <v>-</v>
      </c>
      <c r="I160" s="319" t="str">
        <f>IF('4.Electivos'!N14=0,"-",'4.Electivos'!N14)</f>
        <v>-</v>
      </c>
      <c r="J160" s="320" t="str">
        <f>IF('4.Electivos'!O14=0,"-",'4.Electivos'!O14)</f>
        <v>-</v>
      </c>
      <c r="K160" s="321" t="str">
        <f>IF('4.Electivos'!P14=0,"-",'4.Electivos'!P14)</f>
        <v>-</v>
      </c>
      <c r="L160" s="294" t="str">
        <f>IF('7.Sumillas'!G156=0,"",'7.Sumillas'!G156)</f>
        <v/>
      </c>
      <c r="M160" s="298"/>
      <c r="N160" s="298"/>
      <c r="O160" s="294" t="str">
        <f>CONCATENATE(CHAR(10),CONCATENATE('4.Electivos'!Y14,CHAR(10),'4.Electivos'!Z14,CHAR(10),'4.Electivos'!AA14,CHAR(10),'4.Electivos'!AB14,CHAR(10),'4.Electivos'!AC14))</f>
        <v xml:space="preserve">
</v>
      </c>
      <c r="P160" s="298"/>
      <c r="Q160" s="298"/>
      <c r="R160" s="298"/>
      <c r="S160" s="322" t="str">
        <f t="shared" si="3"/>
        <v>No Aplica</v>
      </c>
      <c r="U160" s="296"/>
    </row>
    <row r="161" spans="1:21" ht="72">
      <c r="A161" s="292">
        <f>'4.Electivos'!B15</f>
        <v>5</v>
      </c>
      <c r="B161" s="292" t="str">
        <f>IF('4.Electivos'!C15="","",'4.Electivos'!C15)</f>
        <v/>
      </c>
      <c r="C161" s="292" t="str">
        <f>IF('4.Electivos'!E15="","",'4.Electivos'!E15)</f>
        <v/>
      </c>
      <c r="D161" s="293" t="str">
        <f>'4.Electivos'!I15</f>
        <v/>
      </c>
      <c r="E161" s="293" t="str">
        <f>IF('4.Electivos'!J15=0,"-",'4.Electivos'!J15)</f>
        <v>-</v>
      </c>
      <c r="F161" s="319" t="str">
        <f>IF('4.Electivos'!K15=0,"-",'4.Electivos'!K15)</f>
        <v>-</v>
      </c>
      <c r="G161" s="319" t="str">
        <f>IF('4.Electivos'!L15=0,"-",'4.Electivos'!L15)</f>
        <v>-</v>
      </c>
      <c r="H161" s="319" t="str">
        <f>IF('4.Electivos'!M15=0,"-",'4.Electivos'!M15)</f>
        <v>-</v>
      </c>
      <c r="I161" s="319" t="str">
        <f>IF('4.Electivos'!N15=0,"-",'4.Electivos'!N15)</f>
        <v>-</v>
      </c>
      <c r="J161" s="320" t="str">
        <f>IF('4.Electivos'!O15=0,"-",'4.Electivos'!O15)</f>
        <v>-</v>
      </c>
      <c r="K161" s="321" t="str">
        <f>IF('4.Electivos'!P15=0,"-",'4.Electivos'!P15)</f>
        <v>-</v>
      </c>
      <c r="L161" s="294" t="str">
        <f>IF('7.Sumillas'!G157=0,"",'7.Sumillas'!G157)</f>
        <v/>
      </c>
      <c r="M161" s="298"/>
      <c r="N161" s="298"/>
      <c r="O161" s="294" t="str">
        <f>CONCATENATE(CHAR(10),CONCATENATE('4.Electivos'!Y15,CHAR(10),'4.Electivos'!Z15,CHAR(10),'4.Electivos'!AA15,CHAR(10),'4.Electivos'!AB15,CHAR(10),'4.Electivos'!AC15))</f>
        <v xml:space="preserve">
</v>
      </c>
      <c r="P161" s="298"/>
      <c r="Q161" s="298"/>
      <c r="R161" s="298"/>
      <c r="S161" s="322" t="str">
        <f t="shared" si="3"/>
        <v>No Aplica</v>
      </c>
      <c r="U161" s="296"/>
    </row>
    <row r="162" spans="1:21" ht="72">
      <c r="A162" s="292">
        <f>'4.Electivos'!B16</f>
        <v>5</v>
      </c>
      <c r="B162" s="292" t="str">
        <f>IF('4.Electivos'!C16="","",'4.Electivos'!C16)</f>
        <v/>
      </c>
      <c r="C162" s="292" t="str">
        <f>IF('4.Electivos'!E16="","",'4.Electivos'!E16)</f>
        <v/>
      </c>
      <c r="D162" s="293" t="str">
        <f>'4.Electivos'!I16</f>
        <v/>
      </c>
      <c r="E162" s="293" t="str">
        <f>IF('4.Electivos'!J16=0,"-",'4.Electivos'!J16)</f>
        <v>-</v>
      </c>
      <c r="F162" s="319" t="str">
        <f>IF('4.Electivos'!K16=0,"-",'4.Electivos'!K16)</f>
        <v>-</v>
      </c>
      <c r="G162" s="319" t="str">
        <f>IF('4.Electivos'!L16=0,"-",'4.Electivos'!L16)</f>
        <v>-</v>
      </c>
      <c r="H162" s="319" t="str">
        <f>IF('4.Electivos'!M16=0,"-",'4.Electivos'!M16)</f>
        <v>-</v>
      </c>
      <c r="I162" s="319" t="str">
        <f>IF('4.Electivos'!N16=0,"-",'4.Electivos'!N16)</f>
        <v>-</v>
      </c>
      <c r="J162" s="320" t="str">
        <f>IF('4.Electivos'!O16=0,"-",'4.Electivos'!O16)</f>
        <v>-</v>
      </c>
      <c r="K162" s="321" t="str">
        <f>IF('4.Electivos'!P16=0,"-",'4.Electivos'!P16)</f>
        <v>-</v>
      </c>
      <c r="L162" s="294" t="str">
        <f>IF('7.Sumillas'!G158=0,"",'7.Sumillas'!G158)</f>
        <v/>
      </c>
      <c r="M162" s="298"/>
      <c r="N162" s="298"/>
      <c r="O162" s="294" t="str">
        <f>CONCATENATE(CHAR(10),CONCATENATE('4.Electivos'!Y16,CHAR(10),'4.Electivos'!Z16,CHAR(10),'4.Electivos'!AA16,CHAR(10),'4.Electivos'!AB16,CHAR(10),'4.Electivos'!AC16))</f>
        <v xml:space="preserve">
</v>
      </c>
      <c r="P162" s="298"/>
      <c r="Q162" s="298"/>
      <c r="R162" s="298"/>
      <c r="S162" s="322" t="str">
        <f t="shared" si="3"/>
        <v>No Aplica</v>
      </c>
      <c r="U162" s="296"/>
    </row>
    <row r="163" spans="1:21" ht="72">
      <c r="A163" s="292">
        <f>'4.Electivos'!B17</f>
        <v>5</v>
      </c>
      <c r="B163" s="292" t="str">
        <f>IF('4.Electivos'!C17="","",'4.Electivos'!C17)</f>
        <v/>
      </c>
      <c r="C163" s="292" t="str">
        <f>IF('4.Electivos'!E17="","",'4.Electivos'!E17)</f>
        <v/>
      </c>
      <c r="D163" s="293" t="str">
        <f>'4.Electivos'!I17</f>
        <v/>
      </c>
      <c r="E163" s="293" t="str">
        <f>IF('4.Electivos'!J17=0,"-",'4.Electivos'!J17)</f>
        <v>-</v>
      </c>
      <c r="F163" s="319" t="str">
        <f>IF('4.Electivos'!K17=0,"-",'4.Electivos'!K17)</f>
        <v>-</v>
      </c>
      <c r="G163" s="319" t="str">
        <f>IF('4.Electivos'!L17=0,"-",'4.Electivos'!L17)</f>
        <v>-</v>
      </c>
      <c r="H163" s="319" t="str">
        <f>IF('4.Electivos'!M17=0,"-",'4.Electivos'!M17)</f>
        <v>-</v>
      </c>
      <c r="I163" s="319" t="str">
        <f>IF('4.Electivos'!N17=0,"-",'4.Electivos'!N17)</f>
        <v>-</v>
      </c>
      <c r="J163" s="320" t="str">
        <f>IF('4.Electivos'!O17=0,"-",'4.Electivos'!O17)</f>
        <v>-</v>
      </c>
      <c r="K163" s="321" t="str">
        <f>IF('4.Electivos'!P17=0,"-",'4.Electivos'!P17)</f>
        <v>-</v>
      </c>
      <c r="L163" s="294" t="str">
        <f>IF('7.Sumillas'!G159=0,"",'7.Sumillas'!G159)</f>
        <v/>
      </c>
      <c r="M163" s="298"/>
      <c r="N163" s="298"/>
      <c r="O163" s="294" t="str">
        <f>CONCATENATE(CHAR(10),CONCATENATE('4.Electivos'!Y17,CHAR(10),'4.Electivos'!Z17,CHAR(10),'4.Electivos'!AA17,CHAR(10),'4.Electivos'!AB17,CHAR(10),'4.Electivos'!AC17))</f>
        <v xml:space="preserve">
</v>
      </c>
      <c r="P163" s="298"/>
      <c r="Q163" s="298"/>
      <c r="R163" s="298"/>
      <c r="S163" s="322" t="str">
        <f t="shared" si="3"/>
        <v>No Aplica</v>
      </c>
      <c r="U163" s="296"/>
    </row>
    <row r="164" spans="1:21" ht="72">
      <c r="A164" s="292">
        <f>'4.Electivos'!B18</f>
        <v>5</v>
      </c>
      <c r="B164" s="292" t="str">
        <f>IF('4.Electivos'!C18="","",'4.Electivos'!C18)</f>
        <v/>
      </c>
      <c r="C164" s="292" t="str">
        <f>IF('4.Electivos'!E18="","",'4.Electivos'!E18)</f>
        <v/>
      </c>
      <c r="D164" s="293" t="str">
        <f>'4.Electivos'!I18</f>
        <v/>
      </c>
      <c r="E164" s="293" t="str">
        <f>IF('4.Electivos'!J18=0,"-",'4.Electivos'!J18)</f>
        <v>-</v>
      </c>
      <c r="F164" s="319" t="str">
        <f>IF('4.Electivos'!K18=0,"-",'4.Electivos'!K18)</f>
        <v>-</v>
      </c>
      <c r="G164" s="319" t="str">
        <f>IF('4.Electivos'!L18=0,"-",'4.Electivos'!L18)</f>
        <v>-</v>
      </c>
      <c r="H164" s="319" t="str">
        <f>IF('4.Electivos'!M18=0,"-",'4.Electivos'!M18)</f>
        <v>-</v>
      </c>
      <c r="I164" s="319" t="str">
        <f>IF('4.Electivos'!N18=0,"-",'4.Electivos'!N18)</f>
        <v>-</v>
      </c>
      <c r="J164" s="320" t="str">
        <f>IF('4.Electivos'!O18=0,"-",'4.Electivos'!O18)</f>
        <v>-</v>
      </c>
      <c r="K164" s="321" t="str">
        <f>IF('4.Electivos'!P18=0,"-",'4.Electivos'!P18)</f>
        <v>-</v>
      </c>
      <c r="L164" s="294" t="str">
        <f>IF('7.Sumillas'!G160=0,"",'7.Sumillas'!G160)</f>
        <v/>
      </c>
      <c r="M164" s="298"/>
      <c r="N164" s="298"/>
      <c r="O164" s="294" t="str">
        <f>CONCATENATE(CHAR(10),CONCATENATE('4.Electivos'!Y18,CHAR(10),'4.Electivos'!Z18,CHAR(10),'4.Electivos'!AA18,CHAR(10),'4.Electivos'!AB18,CHAR(10),'4.Electivos'!AC18))</f>
        <v xml:space="preserve">
</v>
      </c>
      <c r="P164" s="298"/>
      <c r="Q164" s="298"/>
      <c r="R164" s="298"/>
      <c r="S164" s="322" t="str">
        <f t="shared" si="3"/>
        <v>No Aplica</v>
      </c>
      <c r="U164" s="296"/>
    </row>
    <row r="165" spans="1:21" ht="72">
      <c r="A165" s="292">
        <f>'4.Electivos'!B19</f>
        <v>6</v>
      </c>
      <c r="B165" s="292" t="str">
        <f>IF('4.Electivos'!C19="","",'4.Electivos'!C19)</f>
        <v/>
      </c>
      <c r="C165" s="292" t="str">
        <f>IF('4.Electivos'!E19="","",'4.Electivos'!E19)</f>
        <v/>
      </c>
      <c r="D165" s="293" t="str">
        <f>'4.Electivos'!I19</f>
        <v/>
      </c>
      <c r="E165" s="293" t="str">
        <f>IF('4.Electivos'!J19=0,"-",'4.Electivos'!J19)</f>
        <v>-</v>
      </c>
      <c r="F165" s="319" t="str">
        <f>IF('4.Electivos'!K19=0,"-",'4.Electivos'!K19)</f>
        <v>-</v>
      </c>
      <c r="G165" s="319" t="str">
        <f>IF('4.Electivos'!L19=0,"-",'4.Electivos'!L19)</f>
        <v>-</v>
      </c>
      <c r="H165" s="319" t="str">
        <f>IF('4.Electivos'!M19=0,"-",'4.Electivos'!M19)</f>
        <v>-</v>
      </c>
      <c r="I165" s="319" t="str">
        <f>IF('4.Electivos'!N19=0,"-",'4.Electivos'!N19)</f>
        <v>-</v>
      </c>
      <c r="J165" s="320" t="str">
        <f>IF('4.Electivos'!O19=0,"-",'4.Electivos'!O19)</f>
        <v>-</v>
      </c>
      <c r="K165" s="321" t="str">
        <f>IF('4.Electivos'!P19=0,"-",'4.Electivos'!P19)</f>
        <v>-</v>
      </c>
      <c r="L165" s="294" t="str">
        <f>IF('7.Sumillas'!G161=0,"",'7.Sumillas'!G161)</f>
        <v/>
      </c>
      <c r="M165" s="298"/>
      <c r="N165" s="298"/>
      <c r="O165" s="294" t="str">
        <f>CONCATENATE(CHAR(10),CONCATENATE('4.Electivos'!Y19,CHAR(10),'4.Electivos'!Z19,CHAR(10),'4.Electivos'!AA19,CHAR(10),'4.Electivos'!AB19,CHAR(10),'4.Electivos'!AC19))</f>
        <v xml:space="preserve">
</v>
      </c>
      <c r="P165" s="298"/>
      <c r="Q165" s="298"/>
      <c r="R165" s="298"/>
      <c r="S165" s="322" t="str">
        <f t="shared" si="3"/>
        <v>No Aplica</v>
      </c>
      <c r="U165" s="296"/>
    </row>
    <row r="166" spans="1:21" ht="72">
      <c r="A166" s="292">
        <f>'4.Electivos'!B20</f>
        <v>6</v>
      </c>
      <c r="B166" s="292" t="str">
        <f>IF('4.Electivos'!C20="","",'4.Electivos'!C20)</f>
        <v/>
      </c>
      <c r="C166" s="292" t="str">
        <f>IF('4.Electivos'!E20="","",'4.Electivos'!E20)</f>
        <v/>
      </c>
      <c r="D166" s="293" t="str">
        <f>'4.Electivos'!I20</f>
        <v/>
      </c>
      <c r="E166" s="293" t="str">
        <f>IF('4.Electivos'!J20=0,"-",'4.Electivos'!J20)</f>
        <v>-</v>
      </c>
      <c r="F166" s="319" t="str">
        <f>IF('4.Electivos'!K20=0,"-",'4.Electivos'!K20)</f>
        <v>-</v>
      </c>
      <c r="G166" s="319" t="str">
        <f>IF('4.Electivos'!L20=0,"-",'4.Electivos'!L20)</f>
        <v>-</v>
      </c>
      <c r="H166" s="319" t="str">
        <f>IF('4.Electivos'!M20=0,"-",'4.Electivos'!M20)</f>
        <v>-</v>
      </c>
      <c r="I166" s="319" t="str">
        <f>IF('4.Electivos'!N20=0,"-",'4.Electivos'!N20)</f>
        <v>-</v>
      </c>
      <c r="J166" s="320" t="str">
        <f>IF('4.Electivos'!O20=0,"-",'4.Electivos'!O20)</f>
        <v>-</v>
      </c>
      <c r="K166" s="321" t="str">
        <f>IF('4.Electivos'!P20=0,"-",'4.Electivos'!P20)</f>
        <v>-</v>
      </c>
      <c r="L166" s="294" t="str">
        <f>IF('7.Sumillas'!G162=0,"",'7.Sumillas'!G162)</f>
        <v/>
      </c>
      <c r="M166" s="298"/>
      <c r="N166" s="298"/>
      <c r="O166" s="294" t="str">
        <f>CONCATENATE(CHAR(10),CONCATENATE('4.Electivos'!Y20,CHAR(10),'4.Electivos'!Z20,CHAR(10),'4.Electivos'!AA20,CHAR(10),'4.Electivos'!AB20,CHAR(10),'4.Electivos'!AC20))</f>
        <v xml:space="preserve">
</v>
      </c>
      <c r="P166" s="298"/>
      <c r="Q166" s="298"/>
      <c r="R166" s="298"/>
      <c r="S166" s="322" t="str">
        <f t="shared" si="3"/>
        <v>No Aplica</v>
      </c>
      <c r="U166" s="296"/>
    </row>
    <row r="167" spans="1:21" ht="72">
      <c r="A167" s="292">
        <f>'4.Electivos'!B21</f>
        <v>6</v>
      </c>
      <c r="B167" s="292" t="str">
        <f>IF('4.Electivos'!C21="","",'4.Electivos'!C21)</f>
        <v/>
      </c>
      <c r="C167" s="292" t="str">
        <f>IF('4.Electivos'!E21="","",'4.Electivos'!E21)</f>
        <v/>
      </c>
      <c r="D167" s="293" t="str">
        <f>'4.Electivos'!I21</f>
        <v/>
      </c>
      <c r="E167" s="293" t="str">
        <f>IF('4.Electivos'!J21=0,"-",'4.Electivos'!J21)</f>
        <v>-</v>
      </c>
      <c r="F167" s="319" t="str">
        <f>IF('4.Electivos'!K21=0,"-",'4.Electivos'!K21)</f>
        <v>-</v>
      </c>
      <c r="G167" s="319" t="str">
        <f>IF('4.Electivos'!L21=0,"-",'4.Electivos'!L21)</f>
        <v>-</v>
      </c>
      <c r="H167" s="319" t="str">
        <f>IF('4.Electivos'!M21=0,"-",'4.Electivos'!M21)</f>
        <v>-</v>
      </c>
      <c r="I167" s="319" t="str">
        <f>IF('4.Electivos'!N21=0,"-",'4.Electivos'!N21)</f>
        <v>-</v>
      </c>
      <c r="J167" s="320" t="str">
        <f>IF('4.Electivos'!O21=0,"-",'4.Electivos'!O21)</f>
        <v>-</v>
      </c>
      <c r="K167" s="321" t="str">
        <f>IF('4.Electivos'!P21=0,"-",'4.Electivos'!P21)</f>
        <v>-</v>
      </c>
      <c r="L167" s="294" t="str">
        <f>IF('7.Sumillas'!G163=0,"",'7.Sumillas'!G163)</f>
        <v/>
      </c>
      <c r="M167" s="298"/>
      <c r="N167" s="298"/>
      <c r="O167" s="294" t="str">
        <f>CONCATENATE(CHAR(10),CONCATENATE('4.Electivos'!Y21,CHAR(10),'4.Electivos'!Z21,CHAR(10),'4.Electivos'!AA21,CHAR(10),'4.Electivos'!AB21,CHAR(10),'4.Electivos'!AC21))</f>
        <v xml:space="preserve">
</v>
      </c>
      <c r="P167" s="298"/>
      <c r="Q167" s="298"/>
      <c r="R167" s="298"/>
      <c r="S167" s="322" t="str">
        <f t="shared" si="3"/>
        <v>No Aplica</v>
      </c>
      <c r="U167" s="296"/>
    </row>
    <row r="168" spans="1:21" ht="72">
      <c r="A168" s="292">
        <f>'4.Electivos'!B22</f>
        <v>6</v>
      </c>
      <c r="B168" s="292" t="str">
        <f>IF('4.Electivos'!C22="","",'4.Electivos'!C22)</f>
        <v/>
      </c>
      <c r="C168" s="292" t="str">
        <f>IF('4.Electivos'!E22="","",'4.Electivos'!E22)</f>
        <v/>
      </c>
      <c r="D168" s="293" t="str">
        <f>'4.Electivos'!I22</f>
        <v/>
      </c>
      <c r="E168" s="293" t="str">
        <f>IF('4.Electivos'!J22=0,"-",'4.Electivos'!J22)</f>
        <v>-</v>
      </c>
      <c r="F168" s="319" t="str">
        <f>IF('4.Electivos'!K22=0,"-",'4.Electivos'!K22)</f>
        <v>-</v>
      </c>
      <c r="G168" s="319" t="str">
        <f>IF('4.Electivos'!L22=0,"-",'4.Electivos'!L22)</f>
        <v>-</v>
      </c>
      <c r="H168" s="319" t="str">
        <f>IF('4.Electivos'!M22=0,"-",'4.Electivos'!M22)</f>
        <v>-</v>
      </c>
      <c r="I168" s="319" t="str">
        <f>IF('4.Electivos'!N22=0,"-",'4.Electivos'!N22)</f>
        <v>-</v>
      </c>
      <c r="J168" s="320" t="str">
        <f>IF('4.Electivos'!O22=0,"-",'4.Electivos'!O22)</f>
        <v>-</v>
      </c>
      <c r="K168" s="321" t="str">
        <f>IF('4.Electivos'!P22=0,"-",'4.Electivos'!P22)</f>
        <v>-</v>
      </c>
      <c r="L168" s="294" t="str">
        <f>IF('7.Sumillas'!G164=0,"",'7.Sumillas'!G164)</f>
        <v/>
      </c>
      <c r="M168" s="298"/>
      <c r="N168" s="298"/>
      <c r="O168" s="294" t="str">
        <f>CONCATENATE(CHAR(10),CONCATENATE('4.Electivos'!Y22,CHAR(10),'4.Electivos'!Z22,CHAR(10),'4.Electivos'!AA22,CHAR(10),'4.Electivos'!AB22,CHAR(10),'4.Electivos'!AC22))</f>
        <v xml:space="preserve">
</v>
      </c>
      <c r="P168" s="298"/>
      <c r="Q168" s="298"/>
      <c r="R168" s="298"/>
      <c r="S168" s="322" t="str">
        <f t="shared" si="3"/>
        <v>No Aplica</v>
      </c>
      <c r="U168" s="296"/>
    </row>
    <row r="169" spans="1:21" ht="72">
      <c r="A169" s="292">
        <f>'4.Electivos'!B23</f>
        <v>6</v>
      </c>
      <c r="B169" s="292" t="str">
        <f>IF('4.Electivos'!C23="","",'4.Electivos'!C23)</f>
        <v/>
      </c>
      <c r="C169" s="292" t="str">
        <f>IF('4.Electivos'!E23="","",'4.Electivos'!E23)</f>
        <v/>
      </c>
      <c r="D169" s="293" t="str">
        <f>'4.Electivos'!I23</f>
        <v/>
      </c>
      <c r="E169" s="293" t="str">
        <f>IF('4.Electivos'!J23=0,"-",'4.Electivos'!J23)</f>
        <v>-</v>
      </c>
      <c r="F169" s="319" t="str">
        <f>IF('4.Electivos'!K23=0,"-",'4.Electivos'!K23)</f>
        <v>-</v>
      </c>
      <c r="G169" s="319" t="str">
        <f>IF('4.Electivos'!L23=0,"-",'4.Electivos'!L23)</f>
        <v>-</v>
      </c>
      <c r="H169" s="319" t="str">
        <f>IF('4.Electivos'!M23=0,"-",'4.Electivos'!M23)</f>
        <v>-</v>
      </c>
      <c r="I169" s="319" t="str">
        <f>IF('4.Electivos'!N23=0,"-",'4.Electivos'!N23)</f>
        <v>-</v>
      </c>
      <c r="J169" s="320" t="str">
        <f>IF('4.Electivos'!O23=0,"-",'4.Electivos'!O23)</f>
        <v>-</v>
      </c>
      <c r="K169" s="321" t="str">
        <f>IF('4.Electivos'!P23=0,"-",'4.Electivos'!P23)</f>
        <v>-</v>
      </c>
      <c r="L169" s="294" t="str">
        <f>IF('7.Sumillas'!G165=0,"",'7.Sumillas'!G165)</f>
        <v/>
      </c>
      <c r="M169" s="298"/>
      <c r="N169" s="298"/>
      <c r="O169" s="294" t="str">
        <f>CONCATENATE(CHAR(10),CONCATENATE('4.Electivos'!Y23,CHAR(10),'4.Electivos'!Z23,CHAR(10),'4.Electivos'!AA23,CHAR(10),'4.Electivos'!AB23,CHAR(10),'4.Electivos'!AC23))</f>
        <v xml:space="preserve">
</v>
      </c>
      <c r="P169" s="298"/>
      <c r="Q169" s="298"/>
      <c r="R169" s="298"/>
      <c r="S169" s="322" t="str">
        <f t="shared" si="3"/>
        <v>No Aplica</v>
      </c>
      <c r="U169" s="296"/>
    </row>
    <row r="170" spans="1:21" ht="72">
      <c r="A170" s="292">
        <f>'4.Electivos'!B24</f>
        <v>6</v>
      </c>
      <c r="B170" s="292" t="str">
        <f>IF('4.Electivos'!C24="","",'4.Electivos'!C24)</f>
        <v/>
      </c>
      <c r="C170" s="292" t="str">
        <f>IF('4.Electivos'!E24="","",'4.Electivos'!E24)</f>
        <v/>
      </c>
      <c r="D170" s="293" t="str">
        <f>'4.Electivos'!I24</f>
        <v/>
      </c>
      <c r="E170" s="293" t="str">
        <f>IF('4.Electivos'!J24=0,"-",'4.Electivos'!J24)</f>
        <v>-</v>
      </c>
      <c r="F170" s="319" t="str">
        <f>IF('4.Electivos'!K24=0,"-",'4.Electivos'!K24)</f>
        <v>-</v>
      </c>
      <c r="G170" s="319" t="str">
        <f>IF('4.Electivos'!L24=0,"-",'4.Electivos'!L24)</f>
        <v>-</v>
      </c>
      <c r="H170" s="319" t="str">
        <f>IF('4.Electivos'!M24=0,"-",'4.Electivos'!M24)</f>
        <v>-</v>
      </c>
      <c r="I170" s="319" t="str">
        <f>IF('4.Electivos'!N24=0,"-",'4.Electivos'!N24)</f>
        <v>-</v>
      </c>
      <c r="J170" s="320" t="str">
        <f>IF('4.Electivos'!O24=0,"-",'4.Electivos'!O24)</f>
        <v>-</v>
      </c>
      <c r="K170" s="321" t="str">
        <f>IF('4.Electivos'!P24=0,"-",'4.Electivos'!P24)</f>
        <v>-</v>
      </c>
      <c r="L170" s="294" t="str">
        <f>IF('7.Sumillas'!G166=0,"",'7.Sumillas'!G166)</f>
        <v/>
      </c>
      <c r="M170" s="298"/>
      <c r="N170" s="298"/>
      <c r="O170" s="294" t="str">
        <f>CONCATENATE(CHAR(10),CONCATENATE('4.Electivos'!Y24,CHAR(10),'4.Electivos'!Z24,CHAR(10),'4.Electivos'!AA24,CHAR(10),'4.Electivos'!AB24,CHAR(10),'4.Electivos'!AC24))</f>
        <v xml:space="preserve">
</v>
      </c>
      <c r="P170" s="298"/>
      <c r="Q170" s="298"/>
      <c r="R170" s="298"/>
      <c r="S170" s="322" t="str">
        <f t="shared" si="3"/>
        <v>No Aplica</v>
      </c>
      <c r="U170" s="296"/>
    </row>
    <row r="171" spans="1:21" ht="72">
      <c r="A171" s="292">
        <f>'4.Electivos'!B25</f>
        <v>6</v>
      </c>
      <c r="B171" s="292" t="str">
        <f>IF('4.Electivos'!C25="","",'4.Electivos'!C25)</f>
        <v/>
      </c>
      <c r="C171" s="292" t="str">
        <f>IF('4.Electivos'!E25="","",'4.Electivos'!E25)</f>
        <v/>
      </c>
      <c r="D171" s="293" t="str">
        <f>'4.Electivos'!I25</f>
        <v/>
      </c>
      <c r="E171" s="293" t="str">
        <f>IF('4.Electivos'!J25=0,"-",'4.Electivos'!J25)</f>
        <v>-</v>
      </c>
      <c r="F171" s="319" t="str">
        <f>IF('4.Electivos'!K25=0,"-",'4.Electivos'!K25)</f>
        <v>-</v>
      </c>
      <c r="G171" s="319" t="str">
        <f>IF('4.Electivos'!L25=0,"-",'4.Electivos'!L25)</f>
        <v>-</v>
      </c>
      <c r="H171" s="319" t="str">
        <f>IF('4.Electivos'!M25=0,"-",'4.Electivos'!M25)</f>
        <v>-</v>
      </c>
      <c r="I171" s="319" t="str">
        <f>IF('4.Electivos'!N25=0,"-",'4.Electivos'!N25)</f>
        <v>-</v>
      </c>
      <c r="J171" s="320" t="str">
        <f>IF('4.Electivos'!O25=0,"-",'4.Electivos'!O25)</f>
        <v>-</v>
      </c>
      <c r="K171" s="321" t="str">
        <f>IF('4.Electivos'!P25=0,"-",'4.Electivos'!P25)</f>
        <v>-</v>
      </c>
      <c r="L171" s="294" t="str">
        <f>IF('7.Sumillas'!G167=0,"",'7.Sumillas'!G167)</f>
        <v/>
      </c>
      <c r="M171" s="298"/>
      <c r="N171" s="298"/>
      <c r="O171" s="294" t="str">
        <f>CONCATENATE(CHAR(10),CONCATENATE('4.Electivos'!Y25,CHAR(10),'4.Electivos'!Z25,CHAR(10),'4.Electivos'!AA25,CHAR(10),'4.Electivos'!AB25,CHAR(10),'4.Electivos'!AC25))</f>
        <v xml:space="preserve">
</v>
      </c>
      <c r="P171" s="298"/>
      <c r="Q171" s="298"/>
      <c r="R171" s="298"/>
      <c r="S171" s="322" t="str">
        <f t="shared" si="3"/>
        <v>No Aplica</v>
      </c>
      <c r="U171" s="296"/>
    </row>
    <row r="172" spans="1:21" ht="72">
      <c r="A172" s="292">
        <f>'4.Electivos'!B26</f>
        <v>6</v>
      </c>
      <c r="B172" s="292" t="str">
        <f>IF('4.Electivos'!C26="","",'4.Electivos'!C26)</f>
        <v/>
      </c>
      <c r="C172" s="292" t="str">
        <f>IF('4.Electivos'!E26="","",'4.Electivos'!E26)</f>
        <v/>
      </c>
      <c r="D172" s="293" t="str">
        <f>'4.Electivos'!I26</f>
        <v/>
      </c>
      <c r="E172" s="293" t="str">
        <f>IF('4.Electivos'!J26=0,"-",'4.Electivos'!J26)</f>
        <v>-</v>
      </c>
      <c r="F172" s="319" t="str">
        <f>IF('4.Electivos'!K26=0,"-",'4.Electivos'!K26)</f>
        <v>-</v>
      </c>
      <c r="G172" s="319" t="str">
        <f>IF('4.Electivos'!L26=0,"-",'4.Electivos'!L26)</f>
        <v>-</v>
      </c>
      <c r="H172" s="319" t="str">
        <f>IF('4.Electivos'!M26=0,"-",'4.Electivos'!M26)</f>
        <v>-</v>
      </c>
      <c r="I172" s="319" t="str">
        <f>IF('4.Electivos'!N26=0,"-",'4.Electivos'!N26)</f>
        <v>-</v>
      </c>
      <c r="J172" s="320" t="str">
        <f>IF('4.Electivos'!O26=0,"-",'4.Electivos'!O26)</f>
        <v>-</v>
      </c>
      <c r="K172" s="321" t="str">
        <f>IF('4.Electivos'!P26=0,"-",'4.Electivos'!P26)</f>
        <v>-</v>
      </c>
      <c r="L172" s="294" t="str">
        <f>IF('7.Sumillas'!G168=0,"",'7.Sumillas'!G168)</f>
        <v/>
      </c>
      <c r="M172" s="298"/>
      <c r="N172" s="298"/>
      <c r="O172" s="294" t="str">
        <f>CONCATENATE(CHAR(10),CONCATENATE('4.Electivos'!Y26,CHAR(10),'4.Electivos'!Z26,CHAR(10),'4.Electivos'!AA26,CHAR(10),'4.Electivos'!AB26,CHAR(10),'4.Electivos'!AC26))</f>
        <v xml:space="preserve">
</v>
      </c>
      <c r="P172" s="298"/>
      <c r="Q172" s="298"/>
      <c r="R172" s="298"/>
      <c r="S172" s="322" t="str">
        <f t="shared" si="3"/>
        <v>No Aplica</v>
      </c>
      <c r="U172" s="296"/>
    </row>
    <row r="173" spans="1:21" ht="72">
      <c r="A173" s="292">
        <f>'4.Electivos'!B27</f>
        <v>6</v>
      </c>
      <c r="B173" s="292" t="str">
        <f>IF('4.Electivos'!C27="","",'4.Electivos'!C27)</f>
        <v/>
      </c>
      <c r="C173" s="292" t="str">
        <f>IF('4.Electivos'!E27="","",'4.Electivos'!E27)</f>
        <v/>
      </c>
      <c r="D173" s="293" t="str">
        <f>'4.Electivos'!I27</f>
        <v/>
      </c>
      <c r="E173" s="293" t="str">
        <f>IF('4.Electivos'!J27=0,"-",'4.Electivos'!J27)</f>
        <v>-</v>
      </c>
      <c r="F173" s="319" t="str">
        <f>IF('4.Electivos'!K27=0,"-",'4.Electivos'!K27)</f>
        <v>-</v>
      </c>
      <c r="G173" s="319" t="str">
        <f>IF('4.Electivos'!L27=0,"-",'4.Electivos'!L27)</f>
        <v>-</v>
      </c>
      <c r="H173" s="319" t="str">
        <f>IF('4.Electivos'!M27=0,"-",'4.Electivos'!M27)</f>
        <v>-</v>
      </c>
      <c r="I173" s="319" t="str">
        <f>IF('4.Electivos'!N27=0,"-",'4.Electivos'!N27)</f>
        <v>-</v>
      </c>
      <c r="J173" s="320" t="str">
        <f>IF('4.Electivos'!O27=0,"-",'4.Electivos'!O27)</f>
        <v>-</v>
      </c>
      <c r="K173" s="321" t="str">
        <f>IF('4.Electivos'!P27=0,"-",'4.Electivos'!P27)</f>
        <v>-</v>
      </c>
      <c r="L173" s="294" t="str">
        <f>IF('7.Sumillas'!G169=0,"",'7.Sumillas'!G169)</f>
        <v/>
      </c>
      <c r="M173" s="298"/>
      <c r="N173" s="298"/>
      <c r="O173" s="294" t="str">
        <f>CONCATENATE(CHAR(10),CONCATENATE('4.Electivos'!Y27,CHAR(10),'4.Electivos'!Z27,CHAR(10),'4.Electivos'!AA27,CHAR(10),'4.Electivos'!AB27,CHAR(10),'4.Electivos'!AC27))</f>
        <v xml:space="preserve">
</v>
      </c>
      <c r="P173" s="298"/>
      <c r="Q173" s="298"/>
      <c r="R173" s="298"/>
      <c r="S173" s="322" t="str">
        <f t="shared" si="3"/>
        <v>No Aplica</v>
      </c>
      <c r="U173" s="296"/>
    </row>
    <row r="174" spans="1:21" ht="72">
      <c r="A174" s="292">
        <f>'4.Electivos'!B28</f>
        <v>6</v>
      </c>
      <c r="B174" s="292" t="str">
        <f>IF('4.Electivos'!C28="","",'4.Electivos'!C28)</f>
        <v/>
      </c>
      <c r="C174" s="292" t="str">
        <f>IF('4.Electivos'!E28="","",'4.Electivos'!E28)</f>
        <v/>
      </c>
      <c r="D174" s="293" t="str">
        <f>'4.Electivos'!I28</f>
        <v/>
      </c>
      <c r="E174" s="293" t="str">
        <f>IF('4.Electivos'!J28=0,"-",'4.Electivos'!J28)</f>
        <v>-</v>
      </c>
      <c r="F174" s="319" t="str">
        <f>IF('4.Electivos'!K28=0,"-",'4.Electivos'!K28)</f>
        <v>-</v>
      </c>
      <c r="G174" s="319" t="str">
        <f>IF('4.Electivos'!L28=0,"-",'4.Electivos'!L28)</f>
        <v>-</v>
      </c>
      <c r="H174" s="319" t="str">
        <f>IF('4.Electivos'!M28=0,"-",'4.Electivos'!M28)</f>
        <v>-</v>
      </c>
      <c r="I174" s="319" t="str">
        <f>IF('4.Electivos'!N28=0,"-",'4.Electivos'!N28)</f>
        <v>-</v>
      </c>
      <c r="J174" s="320" t="str">
        <f>IF('4.Electivos'!O28=0,"-",'4.Electivos'!O28)</f>
        <v>-</v>
      </c>
      <c r="K174" s="321" t="str">
        <f>IF('4.Electivos'!P28=0,"-",'4.Electivos'!P28)</f>
        <v>-</v>
      </c>
      <c r="L174" s="294" t="str">
        <f>IF('7.Sumillas'!G170=0,"",'7.Sumillas'!G170)</f>
        <v/>
      </c>
      <c r="M174" s="298"/>
      <c r="N174" s="298"/>
      <c r="O174" s="294" t="str">
        <f>CONCATENATE(CHAR(10),CONCATENATE('4.Electivos'!Y28,CHAR(10),'4.Electivos'!Z28,CHAR(10),'4.Electivos'!AA28,CHAR(10),'4.Electivos'!AB28,CHAR(10),'4.Electivos'!AC28))</f>
        <v xml:space="preserve">
</v>
      </c>
      <c r="P174" s="298"/>
      <c r="Q174" s="298"/>
      <c r="R174" s="298"/>
      <c r="S174" s="322" t="str">
        <f t="shared" si="3"/>
        <v>No Aplica</v>
      </c>
      <c r="U174" s="296"/>
    </row>
    <row r="175" spans="1:21" ht="96">
      <c r="A175" s="292">
        <f>'4.Electivos'!B29</f>
        <v>7</v>
      </c>
      <c r="B175" s="292" t="str">
        <f>IF('4.Electivos'!C29="","",'4.Electivos'!C29)</f>
        <v>SDE51002</v>
      </c>
      <c r="C175" s="292" t="str">
        <f>IF('4.Electivos'!E29="","",'4.Electivos'!E29)</f>
        <v>FUNDAMENTOS DE LA TUTORÍA</v>
      </c>
      <c r="D175" s="293" t="str">
        <f>'4.Electivos'!I29</f>
        <v>Presencial</v>
      </c>
      <c r="E175" s="293">
        <f>IF('4.Electivos'!J29=0,"-",'4.Electivos'!J29)</f>
        <v>64</v>
      </c>
      <c r="F175" s="319" t="str">
        <f>IF('4.Electivos'!K29=0,"-",'4.Electivos'!K29)</f>
        <v>-</v>
      </c>
      <c r="G175" s="319" t="str">
        <f>IF('4.Electivos'!L29=0,"-",'4.Electivos'!L29)</f>
        <v>-</v>
      </c>
      <c r="H175" s="319" t="str">
        <f>IF('4.Electivos'!M29=0,"-",'4.Electivos'!M29)</f>
        <v>-</v>
      </c>
      <c r="I175" s="319" t="str">
        <f>IF('4.Electivos'!N29=0,"-",'4.Electivos'!N29)</f>
        <v>-</v>
      </c>
      <c r="J175" s="320" t="str">
        <f>IF('4.Electivos'!O29=0,"-",'4.Electivos'!O29)</f>
        <v>-</v>
      </c>
      <c r="K175" s="321">
        <f>IF('4.Electivos'!P29=0,"-",'4.Electivos'!P29)</f>
        <v>4</v>
      </c>
      <c r="L175" s="294" t="str">
        <f>IF('7.Sumillas'!G171=0,"",'7.Sumillas'!G171)</f>
        <v>El curso Fundamentos de la Tutoría, es de naturaleza teórica y atributa a la competencia de Orientación Educativa. Asimismo. Brinda al estudiante oportunidades para desarrollar sus habilidades cognoscitivas e interpersonales al diseñar, ejecutar y evaluar propuestas alternativas en el trabajo tutorial con la finalidad de ser aplicados en el nivel de educación secundario. Los ejes temáticos son: la bases teóricas de la Educación y la Tutoría. El producto acreditable de la asignatura es que los alumnos desarrollarán y diseñarán un mapa mental, infografía, exposición dialogada y elaborarán un resumen.</v>
      </c>
      <c r="M175" s="298"/>
      <c r="N175" s="298"/>
      <c r="O175" s="294" t="str">
        <f>CONCATENATE(CHAR(10),CONCATENATE('4.Electivos'!Y29,CHAR(10),'4.Electivos'!Z29,CHAR(10),'4.Electivos'!AA29,CHAR(10),'4.Electivos'!AB29,CHAR(10),'4.Electivos'!AC29))</f>
        <v xml:space="preserve">
CP1: Orientación educativa:N2 Concibe la observación educativa a nivel de la teoría, historia y psicología  para establecer las orientaciones básicas que permitan el desarrollo evolutivo.
</v>
      </c>
      <c r="P175" s="298"/>
      <c r="Q175" s="298"/>
      <c r="R175" s="298"/>
      <c r="S175" s="322" t="str">
        <f t="shared" si="3"/>
        <v>No Aplica</v>
      </c>
      <c r="U175" s="296"/>
    </row>
    <row r="176" spans="1:21" ht="108">
      <c r="A176" s="292">
        <f>'4.Electivos'!B30</f>
        <v>7</v>
      </c>
      <c r="B176" s="292" t="str">
        <f>IF('4.Electivos'!C30="","",'4.Electivos'!C30)</f>
        <v>EDG51007</v>
      </c>
      <c r="C176" s="292" t="str">
        <f>IF('4.Electivos'!E30="","",'4.Electivos'!E30)</f>
        <v>LA EVALUACIÓN DE LOS APRENDIZAJES EN EL PERÚ</v>
      </c>
      <c r="D176" s="293" t="str">
        <f>'4.Electivos'!I30</f>
        <v>Presencial</v>
      </c>
      <c r="E176" s="293">
        <f>IF('4.Electivos'!J30=0,"-",'4.Electivos'!J30)</f>
        <v>64</v>
      </c>
      <c r="F176" s="319" t="str">
        <f>IF('4.Electivos'!K30=0,"-",'4.Electivos'!K30)</f>
        <v>-</v>
      </c>
      <c r="G176" s="319" t="str">
        <f>IF('4.Electivos'!L30=0,"-",'4.Electivos'!L30)</f>
        <v>-</v>
      </c>
      <c r="H176" s="319" t="str">
        <f>IF('4.Electivos'!M30=0,"-",'4.Electivos'!M30)</f>
        <v>-</v>
      </c>
      <c r="I176" s="319" t="str">
        <f>IF('4.Electivos'!N30=0,"-",'4.Electivos'!N30)</f>
        <v>-</v>
      </c>
      <c r="J176" s="320" t="str">
        <f>IF('4.Electivos'!O30=0,"-",'4.Electivos'!O30)</f>
        <v>-</v>
      </c>
      <c r="K176" s="321">
        <f>IF('4.Electivos'!P30=0,"-",'4.Electivos'!P30)</f>
        <v>4</v>
      </c>
      <c r="L176" s="294" t="str">
        <f>IF('7.Sumillas'!G172=0,"",'7.Sumillas'!G172)</f>
        <v>Evaluación de los aprendizajes en el Perú, es del área especializada, de naturaleza teórica. Tributa  a la competencia del Desarrollo de gestión educativa. Asimismo, tiene como finalidad desarrollar la comprensión sobre el la evaluación de los aprendizajes en el sistema educativo peruano desde la segunda mitad del siglo XX a la actualidad. Los ejes temáticos en los cuales se centra el curso son: Los procesos evaluativos y metodología del aprendizaje. Pretende establecer un comparativo entre la evaluación por objetivos, capacidades y competencias, así como sus implicancias y beneficios a nivel del aprendizaje y la enseñanza. El producto acreditable es un trabajo sobre la evaluación del sistema educativo peruano.</v>
      </c>
      <c r="M176" s="298"/>
      <c r="N176" s="298"/>
      <c r="O176" s="294" t="str">
        <f>CONCATENATE(CHAR(10),CONCATENATE('4.Electivos'!Y30,CHAR(10),'4.Electivos'!Z30,CHAR(10),'4.Electivos'!AA30,CHAR(10),'4.Electivos'!AB30,CHAR(10),'4.Electivos'!AC30))</f>
        <v xml:space="preserve">
CP2: Desarrollo de gestión educativa:N2 Promueve la conformación de un conjunto de procesos organizados que permitan que las áreas de gestión educativa logren sus objetivos y metas. 
</v>
      </c>
      <c r="P176" s="298"/>
      <c r="Q176" s="298"/>
      <c r="R176" s="298"/>
      <c r="S176" s="322" t="str">
        <f t="shared" si="3"/>
        <v>No Aplica</v>
      </c>
      <c r="U176" s="296"/>
    </row>
    <row r="177" spans="1:21" ht="108">
      <c r="A177" s="292">
        <f>'4.Electivos'!B31</f>
        <v>7</v>
      </c>
      <c r="B177" s="292" t="str">
        <f>IF('4.Electivos'!C31="","",'4.Electivos'!C31)</f>
        <v>RSO61013</v>
      </c>
      <c r="C177" s="292" t="str">
        <f>IF('4.Electivos'!E31="","",'4.Electivos'!E31)</f>
        <v>BASES PARA LA GESTIÓN ESTRATÉGICA DE LA SOSTENIBILIDAD</v>
      </c>
      <c r="D177" s="293" t="str">
        <f>'4.Electivos'!I31</f>
        <v>Presencial</v>
      </c>
      <c r="E177" s="293">
        <f>IF('4.Electivos'!J31=0,"-",'4.Electivos'!J31)</f>
        <v>64</v>
      </c>
      <c r="F177" s="319" t="str">
        <f>IF('4.Electivos'!K31=0,"-",'4.Electivos'!K31)</f>
        <v>-</v>
      </c>
      <c r="G177" s="319" t="str">
        <f>IF('4.Electivos'!L31=0,"-",'4.Electivos'!L31)</f>
        <v>-</v>
      </c>
      <c r="H177" s="319" t="str">
        <f>IF('4.Electivos'!M31=0,"-",'4.Electivos'!M31)</f>
        <v>-</v>
      </c>
      <c r="I177" s="319" t="str">
        <f>IF('4.Electivos'!N31=0,"-",'4.Electivos'!N31)</f>
        <v>-</v>
      </c>
      <c r="J177" s="320" t="str">
        <f>IF('4.Electivos'!O31=0,"-",'4.Electivos'!O31)</f>
        <v>-</v>
      </c>
      <c r="K177" s="321">
        <f>IF('4.Electivos'!P31=0,"-",'4.Electivos'!P31)</f>
        <v>4</v>
      </c>
      <c r="L177" s="294" t="str">
        <f>IF('7.Sumillas'!G173=0,"",'7.Sumillas'!G173)</f>
        <v>Bases para la gestión estratégica de la sostenibilidad, es una asignatura de formación especializada, tiene carácter teórico y contribuye al desarrollo de la competencia de Desarrollo de gestión educativa. Tiene como propósito que el estudiante asuma una visión socialmente responsable y el enfoque de desarrollo sostenible para contribuir al bienestar de la sociedad. Comprende y relaciona temas como la ecología básica, el cambio climático, la gestión ambiental y sus impactos, las nuevas economías, el valor compartido y el marco legal general. El producto acreditable de la asignatura es un trabajo final que abordará los principales conceptos y como se interrelacionan entre ellos.</v>
      </c>
      <c r="M177" s="298"/>
      <c r="N177" s="298"/>
      <c r="O177" s="294" t="str">
        <f>CONCATENATE(CHAR(10),CONCATENATE('4.Electivos'!Y31,CHAR(10),'4.Electivos'!Z31,CHAR(10),'4.Electivos'!AA31,CHAR(10),'4.Electivos'!AB31,CHAR(10),'4.Electivos'!AC31))</f>
        <v xml:space="preserve">
CP2: Desarrollo de gestión educativa:N2 Promueve la conformación de un conjunto de procesos organizados que permitan que las áreas de gestión educativa logren sus objetivos y metas. 
</v>
      </c>
      <c r="P177" s="298"/>
      <c r="Q177" s="298"/>
      <c r="R177" s="298"/>
      <c r="S177" s="322" t="str">
        <f t="shared" si="3"/>
        <v>No Aplica</v>
      </c>
      <c r="U177" s="296"/>
    </row>
    <row r="178" spans="1:21" ht="180">
      <c r="A178" s="292">
        <f>'4.Electivos'!B32</f>
        <v>7</v>
      </c>
      <c r="B178" s="292" t="str">
        <f>IF('4.Electivos'!C32="","",'4.Electivos'!C32)</f>
        <v>GES61009</v>
      </c>
      <c r="C178" s="292" t="str">
        <f>IF('4.Electivos'!E32="","",'4.Electivos'!E32)</f>
        <v>C. M.: OPORTUNIDADES DE NEGOCIOS</v>
      </c>
      <c r="D178" s="293" t="str">
        <f>'4.Electivos'!I32</f>
        <v>Presencial</v>
      </c>
      <c r="E178" s="293">
        <f>IF('4.Electivos'!J32=0,"-",'4.Electivos'!J32)</f>
        <v>64</v>
      </c>
      <c r="F178" s="319" t="str">
        <f>IF('4.Electivos'!K32=0,"-",'4.Electivos'!K32)</f>
        <v>-</v>
      </c>
      <c r="G178" s="319" t="str">
        <f>IF('4.Electivos'!L32=0,"-",'4.Electivos'!L32)</f>
        <v>-</v>
      </c>
      <c r="H178" s="319" t="str">
        <f>IF('4.Electivos'!M32=0,"-",'4.Electivos'!M32)</f>
        <v>-</v>
      </c>
      <c r="I178" s="319" t="str">
        <f>IF('4.Electivos'!N32=0,"-",'4.Electivos'!N32)</f>
        <v>-</v>
      </c>
      <c r="J178" s="320" t="str">
        <f>IF('4.Electivos'!O32=0,"-",'4.Electivos'!O32)</f>
        <v>-</v>
      </c>
      <c r="K178" s="321">
        <f>IF('4.Electivos'!P32=0,"-",'4.Electivos'!P32)</f>
        <v>4</v>
      </c>
      <c r="L178" s="294" t="str">
        <f>IF('7.Sumillas'!G174=0,"",'7.Sumillas'!G174)</f>
        <v>Oportunidades de Negocio, es un asignatura de especialidad, tiene carácter teórico, contribuye al desarrollo de la competencia profesional Desarrollo de gestión educativa, mediante la elaboración de un modelo de negocio. Los ejes temáticos son: marco conceptual de emprendimiento y design thinking, herramientas blandas de emprendimiento para obtener el Producto Mínimo Viable, validación del área de Mercado del modelo de negocio Canvas y validación del área de Producción del modelo de negocio Canvas. Aplica conocimientos en el desarrollo de soluciones a situaciones problemáticas ampliando la visión de los participantes con el fin de detectar y desarrollar capacidades emprendedoras que les permitan ser competentes en identificar y validar oportunidades de negocio innovadoras en su entorno mediante la utilización de metodologías ágiles, buscando que el estudiante fortalezca sus habilidades blandas de Dirección, Sociales y Personales para mejorar su perfil y condiciones actitudinales hacia el emprendimiento empresarial. El producto acreditable es la presentación de un modelo de negocio Canvas aplicando el método Lean Startup.</v>
      </c>
      <c r="M178" s="298"/>
      <c r="N178" s="298"/>
      <c r="O178" s="294" t="str">
        <f>CONCATENATE(CHAR(10),CONCATENATE('4.Electivos'!Y32,CHAR(10),'4.Electivos'!Z32,CHAR(10),'4.Electivos'!AA32,CHAR(10),'4.Electivos'!AB32,CHAR(10),'4.Electivos'!AC32))</f>
        <v xml:space="preserve">
CP2: Desarrollo de gestión educativa:N2 Promueve la conformación de un conjunto de procesos organizados que permitan que las áreas de gestión educativa logren sus objetivos y metas. 
</v>
      </c>
      <c r="P178" s="298"/>
      <c r="Q178" s="298"/>
      <c r="R178" s="298"/>
      <c r="S178" s="322" t="str">
        <f t="shared" si="3"/>
        <v>No Aplica</v>
      </c>
      <c r="U178" s="296"/>
    </row>
    <row r="179" spans="1:21" ht="132">
      <c r="A179" s="292">
        <f>'4.Electivos'!B33</f>
        <v>7</v>
      </c>
      <c r="B179" s="292" t="str">
        <f>IF('4.Electivos'!C33="","",'4.Electivos'!C33)</f>
        <v>DRH65005</v>
      </c>
      <c r="C179" s="292" t="str">
        <f>IF('4.Electivos'!E33="","",'4.Electivos'!E33)</f>
        <v>CULTURAL TRANSFORMATION FOR DIGITAL TRANSFORMATION</v>
      </c>
      <c r="D179" s="293" t="str">
        <f>'4.Electivos'!I33</f>
        <v>Presencial</v>
      </c>
      <c r="E179" s="293">
        <f>IF('4.Electivos'!J33=0,"-",'4.Electivos'!J33)</f>
        <v>64</v>
      </c>
      <c r="F179" s="319" t="str">
        <f>IF('4.Electivos'!K33=0,"-",'4.Electivos'!K33)</f>
        <v>-</v>
      </c>
      <c r="G179" s="319" t="str">
        <f>IF('4.Electivos'!L33=0,"-",'4.Electivos'!L33)</f>
        <v>-</v>
      </c>
      <c r="H179" s="319" t="str">
        <f>IF('4.Electivos'!M33=0,"-",'4.Electivos'!M33)</f>
        <v>-</v>
      </c>
      <c r="I179" s="319" t="str">
        <f>IF('4.Electivos'!N33=0,"-",'4.Electivos'!N33)</f>
        <v>-</v>
      </c>
      <c r="J179" s="320" t="str">
        <f>IF('4.Electivos'!O33=0,"-",'4.Electivos'!O33)</f>
        <v>-</v>
      </c>
      <c r="K179" s="321">
        <f>IF('4.Electivos'!P33=0,"-",'4.Electivos'!P33)</f>
        <v>4</v>
      </c>
      <c r="L179" s="294" t="str">
        <f>IF('7.Sumillas'!G175=0,"",'7.Sumillas'!G175)</f>
        <v>Cultural Transformation for Digital Transformation es una asignatura que corresponde al área de estudios de especialidad. Es de naturaleza teórica. Tributa a la competencia profesional de Desarrollo de gestión educativa cuyo propósito es analizar y proponer procesos dentro de una organización o área funcional para iniciar una transformación cultural que logre transformar digitalmente a una empresa y le brinde al alumno herramientas de gestión que le permita implementar sus iniciativas empresariales en el futuro. El contenido del curso incluye cuatro ejes temáticos: Liderazgo y gestión del cambio, cultura organizacional y valores corporativos, capacitación y desarrollo de habilidades digitales y cambio de mentalidad y cultura de innovación. El producto acreditable de la asignatura es un "Plan de acción para la transformación digital de una empresa"</v>
      </c>
      <c r="M179" s="298"/>
      <c r="N179" s="298"/>
      <c r="O179" s="294" t="str">
        <f>CONCATENATE(CHAR(10),CONCATENATE('4.Electivos'!Y33,CHAR(10),'4.Electivos'!Z33,CHAR(10),'4.Electivos'!AA33,CHAR(10),'4.Electivos'!AB33,CHAR(10),'4.Electivos'!AC33))</f>
        <v xml:space="preserve">
CP2: Desarrollo de gestión educativa:N2 Promueve la conformación de un conjunto de procesos organizados que permitan que las áreas de gestión educativa logren sus objetivos y metas. 
</v>
      </c>
      <c r="P179" s="298"/>
      <c r="Q179" s="298"/>
      <c r="R179" s="298"/>
      <c r="S179" s="322" t="str">
        <f t="shared" si="3"/>
        <v>No Aplica</v>
      </c>
      <c r="U179" s="296"/>
    </row>
    <row r="180" spans="1:21" ht="120">
      <c r="A180" s="292">
        <f>'4.Electivos'!B34</f>
        <v>7</v>
      </c>
      <c r="B180" s="292" t="str">
        <f>IF('4.Electivos'!C34="","",'4.Electivos'!C34)</f>
        <v>UOR61002</v>
      </c>
      <c r="C180" s="292" t="str">
        <f>IF('4.Electivos'!E34="","",'4.Electivos'!E34)</f>
        <v>TECNOLOGÍAS EMERGENTES</v>
      </c>
      <c r="D180" s="293" t="str">
        <f>'4.Electivos'!I34</f>
        <v>Presencial</v>
      </c>
      <c r="E180" s="293">
        <f>IF('4.Electivos'!J34=0,"-",'4.Electivos'!J34)</f>
        <v>32</v>
      </c>
      <c r="F180" s="319" t="str">
        <f>IF('4.Electivos'!K34=0,"-",'4.Electivos'!K34)</f>
        <v>-</v>
      </c>
      <c r="G180" s="319">
        <f>IF('4.Electivos'!L34=0,"-",'4.Electivos'!L34)</f>
        <v>32</v>
      </c>
      <c r="H180" s="319" t="str">
        <f>IF('4.Electivos'!M34=0,"-",'4.Electivos'!M34)</f>
        <v>-</v>
      </c>
      <c r="I180" s="319">
        <f>IF('4.Electivos'!N34=0,"-",'4.Electivos'!N34)</f>
        <v>32</v>
      </c>
      <c r="J180" s="320" t="str">
        <f>IF('4.Electivos'!O34=0,"-",'4.Electivos'!O34)</f>
        <v>-</v>
      </c>
      <c r="K180" s="321">
        <f>IF('4.Electivos'!P34=0,"-",'4.Electivos'!P34)</f>
        <v>4</v>
      </c>
      <c r="L180" s="294" t="str">
        <f>IF('7.Sumillas'!G176=0,"",'7.Sumillas'!G176)</f>
        <v>Tecnologías emergentes, es una asignatura de formación especializada, tiene carácter teórico práctico y contribuye al desarrollo de la competencia Investigación Educativa, para ser capaz de desenvolverse en esta nueva cultura de innovación continua en una sociedad digital, considerando su impacto en el contexto de una industria específica, escenario empresarial o de toda la sociedad. El curso comprende el desarrollo de los siguientes ejes temáticos: madurez tecnológica empresarial, vigilancia tecnológica, ciclo de vida de las tecnologías emergentes, megatendencias en negocios digitales. El producto acreditable es un Infome donde los estudiantes describan  la aplicación de las tendencias de tecnologías emergentes.</v>
      </c>
      <c r="M180" s="298"/>
      <c r="N180" s="298"/>
      <c r="O180" s="294" t="str">
        <f>CONCATENATE(CHAR(10),CONCATENATE('4.Electivos'!Y34,CHAR(10),'4.Electivos'!Z34,CHAR(10),'4.Electivos'!AA34,CHAR(10),'4.Electivos'!AB34,CHAR(10),'4.Electivos'!AC34))</f>
        <v xml:space="preserve">
CP4: Investigación Educativa:N2 Realiza proyectos de investigación reflejando sustento sobre el campo metodológico y teórico para sustentar los productos acreditables.
</v>
      </c>
      <c r="P180" s="298"/>
      <c r="Q180" s="298"/>
      <c r="R180" s="298"/>
      <c r="S180" s="322" t="str">
        <f t="shared" si="3"/>
        <v>No Aplica</v>
      </c>
      <c r="U180" s="296"/>
    </row>
    <row r="181" spans="1:21" ht="72">
      <c r="A181" s="292">
        <f>'4.Electivos'!B35</f>
        <v>7</v>
      </c>
      <c r="B181" s="292" t="str">
        <f>IF('4.Electivos'!C35="","",'4.Electivos'!C35)</f>
        <v/>
      </c>
      <c r="C181" s="292" t="str">
        <f>IF('4.Electivos'!E35="","",'4.Electivos'!E35)</f>
        <v/>
      </c>
      <c r="D181" s="293" t="str">
        <f>'4.Electivos'!I35</f>
        <v/>
      </c>
      <c r="E181" s="293" t="str">
        <f>IF('4.Electivos'!J35=0,"-",'4.Electivos'!J35)</f>
        <v>-</v>
      </c>
      <c r="F181" s="319" t="str">
        <f>IF('4.Electivos'!K35=0,"-",'4.Electivos'!K35)</f>
        <v>-</v>
      </c>
      <c r="G181" s="319" t="str">
        <f>IF('4.Electivos'!L35=0,"-",'4.Electivos'!L35)</f>
        <v>-</v>
      </c>
      <c r="H181" s="319" t="str">
        <f>IF('4.Electivos'!M35=0,"-",'4.Electivos'!M35)</f>
        <v>-</v>
      </c>
      <c r="I181" s="319" t="str">
        <f>IF('4.Electivos'!N35=0,"-",'4.Electivos'!N35)</f>
        <v>-</v>
      </c>
      <c r="J181" s="320" t="str">
        <f>IF('4.Electivos'!O35=0,"-",'4.Electivos'!O35)</f>
        <v>-</v>
      </c>
      <c r="K181" s="321" t="str">
        <f>IF('4.Electivos'!P35=0,"-",'4.Electivos'!P35)</f>
        <v>-</v>
      </c>
      <c r="L181" s="294" t="str">
        <f>IF('7.Sumillas'!G177=0,"",'7.Sumillas'!G177)</f>
        <v/>
      </c>
      <c r="M181" s="298"/>
      <c r="N181" s="298"/>
      <c r="O181" s="294" t="str">
        <f>CONCATENATE(CHAR(10),CONCATENATE('4.Electivos'!Y35,CHAR(10),'4.Electivos'!Z35,CHAR(10),'4.Electivos'!AA35,CHAR(10),'4.Electivos'!AB35,CHAR(10),'4.Electivos'!AC35))</f>
        <v xml:space="preserve">
</v>
      </c>
      <c r="P181" s="298"/>
      <c r="Q181" s="298"/>
      <c r="R181" s="298"/>
      <c r="S181" s="322" t="str">
        <f t="shared" si="3"/>
        <v>No Aplica</v>
      </c>
      <c r="U181" s="296"/>
    </row>
    <row r="182" spans="1:21" ht="72">
      <c r="A182" s="292">
        <f>'4.Electivos'!B36</f>
        <v>7</v>
      </c>
      <c r="B182" s="292" t="str">
        <f>IF('4.Electivos'!C36="","",'4.Electivos'!C36)</f>
        <v/>
      </c>
      <c r="C182" s="292" t="str">
        <f>IF('4.Electivos'!E36="","",'4.Electivos'!E36)</f>
        <v/>
      </c>
      <c r="D182" s="293" t="str">
        <f>'4.Electivos'!I36</f>
        <v/>
      </c>
      <c r="E182" s="293" t="str">
        <f>IF('4.Electivos'!J36=0,"-",'4.Electivos'!J36)</f>
        <v>-</v>
      </c>
      <c r="F182" s="319" t="str">
        <f>IF('4.Electivos'!K36=0,"-",'4.Electivos'!K36)</f>
        <v>-</v>
      </c>
      <c r="G182" s="319" t="str">
        <f>IF('4.Electivos'!L36=0,"-",'4.Electivos'!L36)</f>
        <v>-</v>
      </c>
      <c r="H182" s="319" t="str">
        <f>IF('4.Electivos'!M36=0,"-",'4.Electivos'!M36)</f>
        <v>-</v>
      </c>
      <c r="I182" s="319" t="str">
        <f>IF('4.Electivos'!N36=0,"-",'4.Electivos'!N36)</f>
        <v>-</v>
      </c>
      <c r="J182" s="320" t="str">
        <f>IF('4.Electivos'!O36=0,"-",'4.Electivos'!O36)</f>
        <v>-</v>
      </c>
      <c r="K182" s="321" t="str">
        <f>IF('4.Electivos'!P36=0,"-",'4.Electivos'!P36)</f>
        <v>-</v>
      </c>
      <c r="L182" s="294" t="str">
        <f>IF('7.Sumillas'!G178=0,"",'7.Sumillas'!G178)</f>
        <v/>
      </c>
      <c r="M182" s="298"/>
      <c r="N182" s="298"/>
      <c r="O182" s="294" t="str">
        <f>CONCATENATE(CHAR(10),CONCATENATE('4.Electivos'!Y36,CHAR(10),'4.Electivos'!Z36,CHAR(10),'4.Electivos'!AA36,CHAR(10),'4.Electivos'!AB36,CHAR(10),'4.Electivos'!AC36))</f>
        <v xml:space="preserve">
</v>
      </c>
      <c r="P182" s="298"/>
      <c r="Q182" s="298"/>
      <c r="R182" s="298"/>
      <c r="S182" s="322" t="str">
        <f t="shared" si="3"/>
        <v>No Aplica</v>
      </c>
      <c r="U182" s="296"/>
    </row>
    <row r="183" spans="1:21" ht="72">
      <c r="A183" s="292">
        <f>'4.Electivos'!B37</f>
        <v>7</v>
      </c>
      <c r="B183" s="292" t="str">
        <f>IF('4.Electivos'!C37="","",'4.Electivos'!C37)</f>
        <v/>
      </c>
      <c r="C183" s="292" t="str">
        <f>IF('4.Electivos'!E37="","",'4.Electivos'!E37)</f>
        <v/>
      </c>
      <c r="D183" s="293" t="str">
        <f>'4.Electivos'!I37</f>
        <v/>
      </c>
      <c r="E183" s="293" t="str">
        <f>IF('4.Electivos'!J37=0,"-",'4.Electivos'!J37)</f>
        <v>-</v>
      </c>
      <c r="F183" s="319" t="str">
        <f>IF('4.Electivos'!K37=0,"-",'4.Electivos'!K37)</f>
        <v>-</v>
      </c>
      <c r="G183" s="319" t="str">
        <f>IF('4.Electivos'!L37=0,"-",'4.Electivos'!L37)</f>
        <v>-</v>
      </c>
      <c r="H183" s="319" t="str">
        <f>IF('4.Electivos'!M37=0,"-",'4.Electivos'!M37)</f>
        <v>-</v>
      </c>
      <c r="I183" s="319" t="str">
        <f>IF('4.Electivos'!N37=0,"-",'4.Electivos'!N37)</f>
        <v>-</v>
      </c>
      <c r="J183" s="320" t="str">
        <f>IF('4.Electivos'!O37=0,"-",'4.Electivos'!O37)</f>
        <v>-</v>
      </c>
      <c r="K183" s="321" t="str">
        <f>IF('4.Electivos'!P37=0,"-",'4.Electivos'!P37)</f>
        <v>-</v>
      </c>
      <c r="L183" s="294" t="str">
        <f>IF('7.Sumillas'!G179=0,"",'7.Sumillas'!G179)</f>
        <v/>
      </c>
      <c r="M183" s="298"/>
      <c r="N183" s="298"/>
      <c r="O183" s="294" t="str">
        <f>CONCATENATE(CHAR(10),CONCATENATE('4.Electivos'!Y37,CHAR(10),'4.Electivos'!Z37,CHAR(10),'4.Electivos'!AA37,CHAR(10),'4.Electivos'!AB37,CHAR(10),'4.Electivos'!AC37))</f>
        <v xml:space="preserve">
</v>
      </c>
      <c r="P183" s="298"/>
      <c r="Q183" s="298"/>
      <c r="R183" s="298"/>
      <c r="S183" s="322" t="str">
        <f t="shared" si="3"/>
        <v>No Aplica</v>
      </c>
      <c r="U183" s="296"/>
    </row>
    <row r="184" spans="1:21" ht="72">
      <c r="A184" s="292">
        <f>'4.Electivos'!B38</f>
        <v>7</v>
      </c>
      <c r="B184" s="292" t="str">
        <f>IF('4.Electivos'!C38="","",'4.Electivos'!C38)</f>
        <v/>
      </c>
      <c r="C184" s="292" t="str">
        <f>IF('4.Electivos'!E38="","",'4.Electivos'!E38)</f>
        <v/>
      </c>
      <c r="D184" s="293" t="str">
        <f>'4.Electivos'!I38</f>
        <v/>
      </c>
      <c r="E184" s="293" t="str">
        <f>IF('4.Electivos'!J38=0,"-",'4.Electivos'!J38)</f>
        <v>-</v>
      </c>
      <c r="F184" s="319" t="str">
        <f>IF('4.Electivos'!K38=0,"-",'4.Electivos'!K38)</f>
        <v>-</v>
      </c>
      <c r="G184" s="319" t="str">
        <f>IF('4.Electivos'!L38=0,"-",'4.Electivos'!L38)</f>
        <v>-</v>
      </c>
      <c r="H184" s="319" t="str">
        <f>IF('4.Electivos'!M38=0,"-",'4.Electivos'!M38)</f>
        <v>-</v>
      </c>
      <c r="I184" s="319" t="str">
        <f>IF('4.Electivos'!N38=0,"-",'4.Electivos'!N38)</f>
        <v>-</v>
      </c>
      <c r="J184" s="320" t="str">
        <f>IF('4.Electivos'!O38=0,"-",'4.Electivos'!O38)</f>
        <v>-</v>
      </c>
      <c r="K184" s="321" t="str">
        <f>IF('4.Electivos'!P38=0,"-",'4.Electivos'!P38)</f>
        <v>-</v>
      </c>
      <c r="L184" s="294" t="str">
        <f>IF('7.Sumillas'!G180=0,"",'7.Sumillas'!G180)</f>
        <v/>
      </c>
      <c r="M184" s="298"/>
      <c r="N184" s="298"/>
      <c r="O184" s="294" t="str">
        <f>CONCATENATE(CHAR(10),CONCATENATE('4.Electivos'!Y38,CHAR(10),'4.Electivos'!Z38,CHAR(10),'4.Electivos'!AA38,CHAR(10),'4.Electivos'!AB38,CHAR(10),'4.Electivos'!AC38))</f>
        <v xml:space="preserve">
</v>
      </c>
      <c r="P184" s="298"/>
      <c r="Q184" s="298"/>
      <c r="R184" s="298"/>
      <c r="S184" s="322" t="str">
        <f t="shared" si="3"/>
        <v>No Aplica</v>
      </c>
      <c r="U184" s="296"/>
    </row>
    <row r="185" spans="1:21" ht="132">
      <c r="A185" s="292">
        <f>'4.Electivos'!B39</f>
        <v>8</v>
      </c>
      <c r="B185" s="292" t="str">
        <f>IF('4.Electivos'!C39="","",'4.Electivos'!C39)</f>
        <v>EIC51007</v>
      </c>
      <c r="C185" s="292" t="str">
        <f>IF('4.Electivos'!E39="","",'4.Electivos'!E39)</f>
        <v>DESARROLLO Y DINÁMICA DE LOS GRUPOS HUMANOS</v>
      </c>
      <c r="D185" s="293" t="str">
        <f>'4.Electivos'!I39</f>
        <v>Presencial</v>
      </c>
      <c r="E185" s="293">
        <f>IF('4.Electivos'!J39=0,"-",'4.Electivos'!J39)</f>
        <v>65</v>
      </c>
      <c r="F185" s="319" t="str">
        <f>IF('4.Electivos'!K39=0,"-",'4.Electivos'!K39)</f>
        <v>-</v>
      </c>
      <c r="G185" s="319" t="str">
        <f>IF('4.Electivos'!L39=0,"-",'4.Electivos'!L39)</f>
        <v>-</v>
      </c>
      <c r="H185" s="319" t="str">
        <f>IF('4.Electivos'!M39=0,"-",'4.Electivos'!M39)</f>
        <v>-</v>
      </c>
      <c r="I185" s="319" t="str">
        <f>IF('4.Electivos'!N39=0,"-",'4.Electivos'!N39)</f>
        <v>-</v>
      </c>
      <c r="J185" s="320" t="str">
        <f>IF('4.Electivos'!O39=0,"-",'4.Electivos'!O39)</f>
        <v>-</v>
      </c>
      <c r="K185" s="321">
        <f>IF('4.Electivos'!P39=0,"-",'4.Electivos'!P39)</f>
        <v>4.0625</v>
      </c>
      <c r="L185" s="294" t="str">
        <f>IF('7.Sumillas'!G181=0,"",'7.Sumillas'!G181)</f>
        <v>Desarrollo y Dinámicas de los grupos humanos es un curso del área de especialidad,  de naturaleza teórico- práctica. Tributa a la competencia de Orientación Educativa con el fin de demostrar sensibilidad y disposición social en las interacciones de su vida académica, con asertividad y empatía, para afrontar de manera satisfactoria las exigencias sociales y profesionales.  Los ejes temáticos del curso son: Desarrollo de la Persona humana y gestión de los recursos humanos. Asimismo, cuenta con la finalidad de brindar al estudiante oportunidades para conocer las teorías, investigaciones y los conceptos básicos sobre el comportamiento de los individuos dentro de la dinámica de grupos a la luz de la psicología social. El producto acreditable, será la presentación de un trabajo que evidencia las estrategias de intervención en las dinámicas de un grupo humano.</v>
      </c>
      <c r="M185" s="298"/>
      <c r="N185" s="298"/>
      <c r="O185" s="294" t="str">
        <f>CONCATENATE(CHAR(10),CONCATENATE('4.Electivos'!Y39,CHAR(10),'4.Electivos'!Z39,CHAR(10),'4.Electivos'!AA39,CHAR(10),'4.Electivos'!AB39,CHAR(10),'4.Electivos'!AC39))</f>
        <v xml:space="preserve">
CP1: Orientación educativa:N3 Comprende el rigor científico de la teoría, la historia y la psicología aplicadas al ámbito educativo para establecer las orientaciones fundamentales del sentido educativo en los docentes y los alumnos.
</v>
      </c>
      <c r="P185" s="298"/>
      <c r="Q185" s="298"/>
      <c r="R185" s="298"/>
      <c r="S185" s="322" t="str">
        <f t="shared" si="3"/>
        <v>No Aplica</v>
      </c>
      <c r="U185" s="296"/>
    </row>
    <row r="186" spans="1:21" ht="96">
      <c r="A186" s="292">
        <f>'4.Electivos'!B40</f>
        <v>8</v>
      </c>
      <c r="B186" s="292" t="str">
        <f>IF('4.Electivos'!C40="","",'4.Electivos'!C40)</f>
        <v>EIC51008</v>
      </c>
      <c r="C186" s="292" t="str">
        <f>IF('4.Electivos'!E40="","",'4.Electivos'!E40)</f>
        <v>ESTRATEGIAS DE EVALUACIÓN DE LOS APRENDIZAJES</v>
      </c>
      <c r="D186" s="293" t="str">
        <f>'4.Electivos'!I40</f>
        <v>Presencial</v>
      </c>
      <c r="E186" s="293">
        <f>IF('4.Electivos'!J40=0,"-",'4.Electivos'!J40)</f>
        <v>64</v>
      </c>
      <c r="F186" s="319" t="str">
        <f>IF('4.Electivos'!K40=0,"-",'4.Electivos'!K40)</f>
        <v>-</v>
      </c>
      <c r="G186" s="319" t="str">
        <f>IF('4.Electivos'!L40=0,"-",'4.Electivos'!L40)</f>
        <v>-</v>
      </c>
      <c r="H186" s="319" t="str">
        <f>IF('4.Electivos'!M40=0,"-",'4.Electivos'!M40)</f>
        <v>-</v>
      </c>
      <c r="I186" s="319" t="str">
        <f>IF('4.Electivos'!N40=0,"-",'4.Electivos'!N40)</f>
        <v>-</v>
      </c>
      <c r="J186" s="320" t="str">
        <f>IF('4.Electivos'!O40=0,"-",'4.Electivos'!O40)</f>
        <v>-</v>
      </c>
      <c r="K186" s="321">
        <f>IF('4.Electivos'!P40=0,"-",'4.Electivos'!P40)</f>
        <v>4</v>
      </c>
      <c r="L186" s="294" t="str">
        <f>IF('7.Sumillas'!G182=0,"",'7.Sumillas'!G182)</f>
        <v>El curso Estrategias de Evaluación de los Aprendizajes, es de formación especializada y de naturaleza teórico – práctico. Esta asignatura atributa a la competencia de Desarrollo Enseñanza y Aprendizaje. Comprende el desarrollo de los siguientes ejes temáticos: la evaluación como procesos de aprendizaje, las estrategias de evaluación dentro del currículo por competencias, la comunicación del proceso de evaluación y la evaluación del proceso implementado. El producto acreditable es una propuesta disruptiva que cumpla con lo que requerido en el currículo nacional.</v>
      </c>
      <c r="M186" s="298"/>
      <c r="N186" s="298"/>
      <c r="O186" s="294" t="str">
        <f>CONCATENATE(CHAR(10),CONCATENATE('4.Electivos'!Y40,CHAR(10),'4.Electivos'!Z40,CHAR(10),'4.Electivos'!AA40,CHAR(10),'4.Electivos'!AB40,CHAR(10),'4.Electivos'!AC40))</f>
        <v xml:space="preserve">
CP3: Desarrollo enseñanza y aprendizaje:N3 Desempeñarse de manera eficiente en el desarrollo la enseñanza y de su desarrollo en su identidad docente para el buen aprendizaje de los estudiantes.
</v>
      </c>
      <c r="P186" s="298"/>
      <c r="Q186" s="298"/>
      <c r="R186" s="298"/>
      <c r="S186" s="322" t="str">
        <f t="shared" si="3"/>
        <v>No Aplica</v>
      </c>
      <c r="U186" s="296"/>
    </row>
    <row r="187" spans="1:21" ht="144">
      <c r="A187" s="292">
        <f>'4.Electivos'!B41</f>
        <v>8</v>
      </c>
      <c r="B187" s="292" t="str">
        <f>IF('4.Electivos'!C41="","",'4.Electivos'!C41)</f>
        <v>RSO61015</v>
      </c>
      <c r="C187" s="292" t="str">
        <f>IF('4.Electivos'!E41="","",'4.Electivos'!E41)</f>
        <v>GESTIÓN EMPRESARIAL SOSTENIBLE</v>
      </c>
      <c r="D187" s="293" t="str">
        <f>'4.Electivos'!I41</f>
        <v>Presencial</v>
      </c>
      <c r="E187" s="293">
        <f>IF('4.Electivos'!J41=0,"-",'4.Electivos'!J41)</f>
        <v>64</v>
      </c>
      <c r="F187" s="319" t="str">
        <f>IF('4.Electivos'!K41=0,"-",'4.Electivos'!K41)</f>
        <v>-</v>
      </c>
      <c r="G187" s="319" t="str">
        <f>IF('4.Electivos'!L41=0,"-",'4.Electivos'!L41)</f>
        <v>-</v>
      </c>
      <c r="H187" s="319" t="str">
        <f>IF('4.Electivos'!M41=0,"-",'4.Electivos'!M41)</f>
        <v>-</v>
      </c>
      <c r="I187" s="319" t="str">
        <f>IF('4.Electivos'!N41=0,"-",'4.Electivos'!N41)</f>
        <v>-</v>
      </c>
      <c r="J187" s="320" t="str">
        <f>IF('4.Electivos'!O41=0,"-",'4.Electivos'!O41)</f>
        <v>-</v>
      </c>
      <c r="K187" s="321">
        <f>IF('4.Electivos'!P41=0,"-",'4.Electivos'!P41)</f>
        <v>4</v>
      </c>
      <c r="L187" s="294" t="str">
        <f>IF('7.Sumillas'!G183=0,"",'7.Sumillas'!G183)</f>
        <v>Gestión empresarial sostenible, es una asignatura de formación especializada, tiene carácter teórico y contribuye al desarrollo de la competencia profesional de Desarrollo de Gestión Educativa. Tiene como propósito que el estudiante asuma una visión socialmente responsable y el enfoque de desarrollo sostenible para contribuir al bienestar de la sociedad. Comprende el desarrollo de los siguientes ejes temáticos: procesos y herramientas básicas que ayudan a las empresas privadas a alcanzar una sostenibilidad en el marco de los criterios ambientales, sociales y de gobernanza, con énfasis en el uso de herramientas de finanzas verdes como bonos de carbono y compensación de emisiones, así como también, instrumentos de reporte como el estándar GRI, ISO 26000 y certificaciones como Empresa B.  El producto acreditable de la asignatura es un trabajo final donde se aplicará los conceptos y herramientas presentadas.</v>
      </c>
      <c r="M187" s="298"/>
      <c r="N187" s="298"/>
      <c r="O187" s="294" t="str">
        <f>CONCATENATE(CHAR(10),CONCATENATE('4.Electivos'!Y41,CHAR(10),'4.Electivos'!Z41,CHAR(10),'4.Electivos'!AA41,CHAR(10),'4.Electivos'!AB41,CHAR(10),'4.Electivos'!AC41))</f>
        <v xml:space="preserve">
CP2: Desarrollo de gestión educativa:N3 Establece relaciones entre las concepciones de administración, economía, marketing y aspectos legales como fundamentos básicos para el desarrollo de una buena gestión educativa.
</v>
      </c>
      <c r="P187" s="298"/>
      <c r="Q187" s="298"/>
      <c r="R187" s="298"/>
      <c r="S187" s="322" t="str">
        <f t="shared" si="3"/>
        <v>No Aplica</v>
      </c>
      <c r="U187" s="296"/>
    </row>
    <row r="188" spans="1:21" ht="96">
      <c r="A188" s="292">
        <f>'4.Electivos'!B42</f>
        <v>8</v>
      </c>
      <c r="B188" s="292" t="str">
        <f>IF('4.Electivos'!C42="","",'4.Electivos'!C42)</f>
        <v>GES61010</v>
      </c>
      <c r="C188" s="292" t="str">
        <f>IF('4.Electivos'!E42="","",'4.Electivos'!E42)</f>
        <v>C. M.: PLAN DE NEGOCIOS</v>
      </c>
      <c r="D188" s="293" t="str">
        <f>'4.Electivos'!I42</f>
        <v>Presencial</v>
      </c>
      <c r="E188" s="293">
        <f>IF('4.Electivos'!J42=0,"-",'4.Electivos'!J42)</f>
        <v>64</v>
      </c>
      <c r="F188" s="319" t="str">
        <f>IF('4.Electivos'!K42=0,"-",'4.Electivos'!K42)</f>
        <v>-</v>
      </c>
      <c r="G188" s="319" t="str">
        <f>IF('4.Electivos'!L42=0,"-",'4.Electivos'!L42)</f>
        <v>-</v>
      </c>
      <c r="H188" s="319" t="str">
        <f>IF('4.Electivos'!M42=0,"-",'4.Electivos'!M42)</f>
        <v>-</v>
      </c>
      <c r="I188" s="319" t="str">
        <f>IF('4.Electivos'!N42=0,"-",'4.Electivos'!N42)</f>
        <v>-</v>
      </c>
      <c r="J188" s="320" t="str">
        <f>IF('4.Electivos'!O42=0,"-",'4.Electivos'!O42)</f>
        <v>-</v>
      </c>
      <c r="K188" s="321">
        <f>IF('4.Electivos'!P42=0,"-",'4.Electivos'!P42)</f>
        <v>4</v>
      </c>
      <c r="L188" s="294" t="str">
        <f>IF('7.Sumillas'!G184=0,"",'7.Sumillas'!G184)</f>
        <v>C.M.: Plan de Negocios es un asignatura de especialidad, de naturaleza teórico, contribuye a la competencia profesional de Desarrollo de Gestión Educativa, mediante la formulación de un Plan de Negocio como base para tomar la decisión de realizarlo, el cual se realizará a nivel de Estudio de Perfil. El contenido a desarrollar son los conceptos y aplicaciones, a nivel de perfil: estudio de mercado, estudio técnico, estudio legal, estudio organizacional, estudio ambiental, estudio de inversiones, costos e ingresos, estudio económico, y evaluación. El producto acreditable es la elaboración y sustentación de un plan de negocio a nivel de estudio de perfil.</v>
      </c>
      <c r="M188" s="298"/>
      <c r="N188" s="298"/>
      <c r="O188" s="294" t="str">
        <f>CONCATENATE(CHAR(10),CONCATENATE('4.Electivos'!Y42,CHAR(10),'4.Electivos'!Z42,CHAR(10),'4.Electivos'!AA42,CHAR(10),'4.Electivos'!AB42,CHAR(10),'4.Electivos'!AC42))</f>
        <v xml:space="preserve">
CP2: Desarrollo de gestión educativa:N3 Establece relaciones entre las concepciones de administración, economía, marketing y aspectos legales como fundamentos básicos para el desarrollo de una buena gestión educativa.
</v>
      </c>
      <c r="P188" s="298"/>
      <c r="Q188" s="298"/>
      <c r="R188" s="298"/>
      <c r="S188" s="322" t="str">
        <f t="shared" si="3"/>
        <v>No Aplica</v>
      </c>
      <c r="U188" s="296"/>
    </row>
    <row r="189" spans="1:21" ht="120">
      <c r="A189" s="292">
        <f>'4.Electivos'!B43</f>
        <v>8</v>
      </c>
      <c r="B189" s="292" t="str">
        <f>IF('4.Electivos'!C43="","",'4.Electivos'!C43)</f>
        <v>GES52024</v>
      </c>
      <c r="C189" s="292" t="str">
        <f>IF('4.Electivos'!E43="","",'4.Electivos'!E43)</f>
        <v>CLOUD BUSINESS</v>
      </c>
      <c r="D189" s="293" t="str">
        <f>'4.Electivos'!I43</f>
        <v>Presencial</v>
      </c>
      <c r="E189" s="293">
        <f>IF('4.Electivos'!J43=0,"-",'4.Electivos'!J43)</f>
        <v>64</v>
      </c>
      <c r="F189" s="319" t="str">
        <f>IF('4.Electivos'!K43=0,"-",'4.Electivos'!K43)</f>
        <v>-</v>
      </c>
      <c r="G189" s="319" t="str">
        <f>IF('4.Electivos'!L43=0,"-",'4.Electivos'!L43)</f>
        <v>-</v>
      </c>
      <c r="H189" s="319" t="str">
        <f>IF('4.Electivos'!M43=0,"-",'4.Electivos'!M43)</f>
        <v>-</v>
      </c>
      <c r="I189" s="319" t="str">
        <f>IF('4.Electivos'!N43=0,"-",'4.Electivos'!N43)</f>
        <v>-</v>
      </c>
      <c r="J189" s="320" t="str">
        <f>IF('4.Electivos'!O43=0,"-",'4.Electivos'!O43)</f>
        <v>-</v>
      </c>
      <c r="K189" s="321">
        <f>IF('4.Electivos'!P43=0,"-",'4.Electivos'!P43)</f>
        <v>4</v>
      </c>
      <c r="L189" s="294" t="str">
        <f>IF('7.Sumillas'!G185=0,"",'7.Sumillas'!G185)</f>
        <v>Cloud Business, es una asignatura que corresponde al área de estudios de especialidad, es de naturaleza teórica. Tributa a la competencia Desarrollo de Gestión Educativa cuyo propósito es utilizar eficientemente los recursos necesarios para el logro de las metas u objetivos fomentando los negocios en la nube y sus diferentes implicancias, brindando al estudiante conocimiento básico necesario para la implementación de iniciativas empresariales en el futuro.  El contenido del curso incluye cuatro ejes temáticos: Infraestructura de la nube (almacenamiento y red), gestión y optimización de recursos en la nube, seguridad y cumplimiento en la nube y gestión de servicios en la nube.  El producto acreditable de la asignatura es "Plan de migración a la nube de una organización".</v>
      </c>
      <c r="M189" s="298"/>
      <c r="N189" s="298"/>
      <c r="O189" s="294" t="str">
        <f>CONCATENATE(CHAR(10),CONCATENATE('4.Electivos'!Y43,CHAR(10),'4.Electivos'!Z43,CHAR(10),'4.Electivos'!AA43,CHAR(10),'4.Electivos'!AB43,CHAR(10),'4.Electivos'!AC43))</f>
        <v xml:space="preserve">
CP2: Desarrollo de gestión educativa:N3 Establece relaciones entre las concepciones de administración, economía, marketing y aspectos legales como fundamentos básicos para el desarrollo de una buena gestión educativa.
</v>
      </c>
      <c r="P189" s="298"/>
      <c r="Q189" s="298"/>
      <c r="R189" s="298"/>
      <c r="S189" s="322" t="str">
        <f t="shared" si="3"/>
        <v>No Aplica</v>
      </c>
      <c r="U189" s="296"/>
    </row>
    <row r="190" spans="1:21" ht="144">
      <c r="A190" s="292">
        <f>'4.Electivos'!B44</f>
        <v>8</v>
      </c>
      <c r="B190" s="292" t="str">
        <f>IF('4.Electivos'!C44="","",'4.Electivos'!C44)</f>
        <v>UOR61004</v>
      </c>
      <c r="C190" s="292" t="str">
        <f>IF('4.Electivos'!E44="","",'4.Electivos'!E44)</f>
        <v>INTELIGENCIA ARTIFICIAL GENERATIVA</v>
      </c>
      <c r="D190" s="293" t="str">
        <f>'4.Electivos'!I44</f>
        <v>Presencial</v>
      </c>
      <c r="E190" s="293">
        <f>IF('4.Electivos'!J44=0,"-",'4.Electivos'!J44)</f>
        <v>32</v>
      </c>
      <c r="F190" s="319" t="str">
        <f>IF('4.Electivos'!K44=0,"-",'4.Electivos'!K44)</f>
        <v>-</v>
      </c>
      <c r="G190" s="319">
        <f>IF('4.Electivos'!L44=0,"-",'4.Electivos'!L44)</f>
        <v>32</v>
      </c>
      <c r="H190" s="319" t="str">
        <f>IF('4.Electivos'!M44=0,"-",'4.Electivos'!M44)</f>
        <v>-</v>
      </c>
      <c r="I190" s="319">
        <f>IF('4.Electivos'!N44=0,"-",'4.Electivos'!N44)</f>
        <v>32</v>
      </c>
      <c r="J190" s="320" t="str">
        <f>IF('4.Electivos'!O44=0,"-",'4.Electivos'!O44)</f>
        <v>-</v>
      </c>
      <c r="K190" s="321">
        <f>IF('4.Electivos'!P44=0,"-",'4.Electivos'!P44)</f>
        <v>4</v>
      </c>
      <c r="L190" s="294" t="str">
        <f>IF('7.Sumillas'!G186=0,"",'7.Sumillas'!G186)</f>
        <v>Inteligencia Artificial Generativa, es una asignatura de formación especializada, tiene carácter teórico práctico, contribuye al desarrollo de la competencia Investigación Educativa permitiendo el desarrollo de habilidades en el uso de la IA generativa para resolver problemas prácticos, automatizar tareas rutinarias, analizar datos, crear contenido creativo de alta calidad, etc. comprendiendo que la IA generativa es una tecnología revolucionaria que está transformando el ámbito empresarial y su innovación. El curso comprende el desarrollo de los siguientes ejes temáticos: Introducción y fundamentos a la inteligencia artificial generativa, aspectos éticos en la sociedad, aplicaciones prácticas con herramientas para la creación de texto generativo, imágenes, música generativa, videos. El producto acreditable es la propuesta de solución a un problema de su entorno, aplicando las herramientas de IA generativa.</v>
      </c>
      <c r="M190" s="298"/>
      <c r="N190" s="298"/>
      <c r="O190" s="294" t="str">
        <f>CONCATENATE(CHAR(10),CONCATENATE('4.Electivos'!Y44,CHAR(10),'4.Electivos'!Z44,CHAR(10),'4.Electivos'!AA44,CHAR(10),'4.Electivos'!AB44,CHAR(10),'4.Electivos'!AC44))</f>
        <v xml:space="preserve">
CP4: Investigación Educativa:N3 Elabora el proyecto de investigación demostrando consistencia sobre todo en el marco teórico, diseño metodológico y validación de los instrumentos de investigación.
</v>
      </c>
      <c r="P190" s="298"/>
      <c r="Q190" s="298"/>
      <c r="R190" s="298"/>
      <c r="S190" s="322" t="str">
        <f t="shared" si="3"/>
        <v>No Aplica</v>
      </c>
      <c r="U190" s="296"/>
    </row>
    <row r="191" spans="1:21" ht="72">
      <c r="A191" s="292">
        <f>'4.Electivos'!B45</f>
        <v>8</v>
      </c>
      <c r="B191" s="292" t="str">
        <f>IF('4.Electivos'!C45="","",'4.Electivos'!C45)</f>
        <v/>
      </c>
      <c r="C191" s="292" t="str">
        <f>IF('4.Electivos'!E45="","",'4.Electivos'!E45)</f>
        <v/>
      </c>
      <c r="D191" s="293" t="str">
        <f>'4.Electivos'!I45</f>
        <v/>
      </c>
      <c r="E191" s="293" t="str">
        <f>IF('4.Electivos'!J45=0,"-",'4.Electivos'!J45)</f>
        <v>-</v>
      </c>
      <c r="F191" s="319" t="str">
        <f>IF('4.Electivos'!K45=0,"-",'4.Electivos'!K45)</f>
        <v>-</v>
      </c>
      <c r="G191" s="319" t="str">
        <f>IF('4.Electivos'!L45=0,"-",'4.Electivos'!L45)</f>
        <v>-</v>
      </c>
      <c r="H191" s="319" t="str">
        <f>IF('4.Electivos'!M45=0,"-",'4.Electivos'!M45)</f>
        <v>-</v>
      </c>
      <c r="I191" s="319" t="str">
        <f>IF('4.Electivos'!N45=0,"-",'4.Electivos'!N45)</f>
        <v>-</v>
      </c>
      <c r="J191" s="320" t="str">
        <f>IF('4.Electivos'!O45=0,"-",'4.Electivos'!O45)</f>
        <v>-</v>
      </c>
      <c r="K191" s="321" t="str">
        <f>IF('4.Electivos'!P45=0,"-",'4.Electivos'!P45)</f>
        <v>-</v>
      </c>
      <c r="L191" s="294" t="str">
        <f>IF('7.Sumillas'!G187=0,"",'7.Sumillas'!G187)</f>
        <v/>
      </c>
      <c r="M191" s="298"/>
      <c r="N191" s="298"/>
      <c r="O191" s="294" t="str">
        <f>CONCATENATE(CHAR(10),CONCATENATE('4.Electivos'!Y45,CHAR(10),'4.Electivos'!Z45,CHAR(10),'4.Electivos'!AA45,CHAR(10),'4.Electivos'!AB45,CHAR(10),'4.Electivos'!AC45))</f>
        <v xml:space="preserve">
</v>
      </c>
      <c r="P191" s="298"/>
      <c r="Q191" s="298"/>
      <c r="R191" s="298"/>
      <c r="S191" s="322" t="str">
        <f t="shared" si="3"/>
        <v>No Aplica</v>
      </c>
      <c r="U191" s="296"/>
    </row>
    <row r="192" spans="1:21" ht="72">
      <c r="A192" s="292">
        <f>'4.Electivos'!B46</f>
        <v>8</v>
      </c>
      <c r="B192" s="292" t="str">
        <f>IF('4.Electivos'!C46="","",'4.Electivos'!C46)</f>
        <v/>
      </c>
      <c r="C192" s="292" t="str">
        <f>IF('4.Electivos'!E46="","",'4.Electivos'!E46)</f>
        <v/>
      </c>
      <c r="D192" s="293" t="str">
        <f>'4.Electivos'!I46</f>
        <v/>
      </c>
      <c r="E192" s="293" t="str">
        <f>IF('4.Electivos'!J46=0,"-",'4.Electivos'!J46)</f>
        <v>-</v>
      </c>
      <c r="F192" s="319" t="str">
        <f>IF('4.Electivos'!K46=0,"-",'4.Electivos'!K46)</f>
        <v>-</v>
      </c>
      <c r="G192" s="319" t="str">
        <f>IF('4.Electivos'!L46=0,"-",'4.Electivos'!L46)</f>
        <v>-</v>
      </c>
      <c r="H192" s="319" t="str">
        <f>IF('4.Electivos'!M46=0,"-",'4.Electivos'!M46)</f>
        <v>-</v>
      </c>
      <c r="I192" s="319" t="str">
        <f>IF('4.Electivos'!N46=0,"-",'4.Electivos'!N46)</f>
        <v>-</v>
      </c>
      <c r="J192" s="320" t="str">
        <f>IF('4.Electivos'!O46=0,"-",'4.Electivos'!O46)</f>
        <v>-</v>
      </c>
      <c r="K192" s="321" t="str">
        <f>IF('4.Electivos'!P46=0,"-",'4.Electivos'!P46)</f>
        <v>-</v>
      </c>
      <c r="L192" s="294" t="str">
        <f>IF('7.Sumillas'!G188=0,"",'7.Sumillas'!G188)</f>
        <v/>
      </c>
      <c r="M192" s="298"/>
      <c r="N192" s="298"/>
      <c r="O192" s="294" t="str">
        <f>CONCATENATE(CHAR(10),CONCATENATE('4.Electivos'!Y46,CHAR(10),'4.Electivos'!Z46,CHAR(10),'4.Electivos'!AA46,CHAR(10),'4.Electivos'!AB46,CHAR(10),'4.Electivos'!AC46))</f>
        <v xml:space="preserve">
</v>
      </c>
      <c r="P192" s="298"/>
      <c r="Q192" s="298"/>
      <c r="R192" s="298"/>
      <c r="S192" s="322" t="str">
        <f t="shared" si="3"/>
        <v>No Aplica</v>
      </c>
      <c r="U192" s="296"/>
    </row>
    <row r="193" spans="1:21" ht="72">
      <c r="A193" s="292">
        <f>'4.Electivos'!B47</f>
        <v>8</v>
      </c>
      <c r="B193" s="292" t="str">
        <f>IF('4.Electivos'!C47="","",'4.Electivos'!C47)</f>
        <v/>
      </c>
      <c r="C193" s="292" t="str">
        <f>IF('4.Electivos'!E47="","",'4.Electivos'!E47)</f>
        <v/>
      </c>
      <c r="D193" s="293" t="str">
        <f>'4.Electivos'!I47</f>
        <v/>
      </c>
      <c r="E193" s="293" t="str">
        <f>IF('4.Electivos'!J47=0,"-",'4.Electivos'!J47)</f>
        <v>-</v>
      </c>
      <c r="F193" s="319" t="str">
        <f>IF('4.Electivos'!K47=0,"-",'4.Electivos'!K47)</f>
        <v>-</v>
      </c>
      <c r="G193" s="319" t="str">
        <f>IF('4.Electivos'!L47=0,"-",'4.Electivos'!L47)</f>
        <v>-</v>
      </c>
      <c r="H193" s="319" t="str">
        <f>IF('4.Electivos'!M47=0,"-",'4.Electivos'!M47)</f>
        <v>-</v>
      </c>
      <c r="I193" s="319" t="str">
        <f>IF('4.Electivos'!N47=0,"-",'4.Electivos'!N47)</f>
        <v>-</v>
      </c>
      <c r="J193" s="320" t="str">
        <f>IF('4.Electivos'!O47=0,"-",'4.Electivos'!O47)</f>
        <v>-</v>
      </c>
      <c r="K193" s="321" t="str">
        <f>IF('4.Electivos'!P47=0,"-",'4.Electivos'!P47)</f>
        <v>-</v>
      </c>
      <c r="L193" s="294" t="str">
        <f>IF('7.Sumillas'!G189=0,"",'7.Sumillas'!G189)</f>
        <v/>
      </c>
      <c r="M193" s="298"/>
      <c r="N193" s="298"/>
      <c r="O193" s="294" t="str">
        <f>CONCATENATE(CHAR(10),CONCATENATE('4.Electivos'!Y47,CHAR(10),'4.Electivos'!Z47,CHAR(10),'4.Electivos'!AA47,CHAR(10),'4.Electivos'!AB47,CHAR(10),'4.Electivos'!AC47))</f>
        <v xml:space="preserve">
</v>
      </c>
      <c r="P193" s="298"/>
      <c r="Q193" s="298"/>
      <c r="R193" s="298"/>
      <c r="S193" s="322" t="str">
        <f t="shared" si="3"/>
        <v>No Aplica</v>
      </c>
      <c r="U193" s="296"/>
    </row>
    <row r="194" spans="1:21" ht="72">
      <c r="A194" s="292">
        <f>'4.Electivos'!B48</f>
        <v>8</v>
      </c>
      <c r="B194" s="292" t="str">
        <f>IF('4.Electivos'!C48="","",'4.Electivos'!C48)</f>
        <v/>
      </c>
      <c r="C194" s="292" t="str">
        <f>IF('4.Electivos'!E48="","",'4.Electivos'!E48)</f>
        <v/>
      </c>
      <c r="D194" s="293" t="str">
        <f>'4.Electivos'!I48</f>
        <v/>
      </c>
      <c r="E194" s="293" t="str">
        <f>IF('4.Electivos'!J48=0,"-",'4.Electivos'!J48)</f>
        <v>-</v>
      </c>
      <c r="F194" s="319" t="str">
        <f>IF('4.Electivos'!K48=0,"-",'4.Electivos'!K48)</f>
        <v>-</v>
      </c>
      <c r="G194" s="319" t="str">
        <f>IF('4.Electivos'!L48=0,"-",'4.Electivos'!L48)</f>
        <v>-</v>
      </c>
      <c r="H194" s="319" t="str">
        <f>IF('4.Electivos'!M48=0,"-",'4.Electivos'!M48)</f>
        <v>-</v>
      </c>
      <c r="I194" s="319" t="str">
        <f>IF('4.Electivos'!N48=0,"-",'4.Electivos'!N48)</f>
        <v>-</v>
      </c>
      <c r="J194" s="320" t="str">
        <f>IF('4.Electivos'!O48=0,"-",'4.Electivos'!O48)</f>
        <v>-</v>
      </c>
      <c r="K194" s="321" t="str">
        <f>IF('4.Electivos'!P48=0,"-",'4.Electivos'!P48)</f>
        <v>-</v>
      </c>
      <c r="L194" s="294" t="str">
        <f>IF('7.Sumillas'!G190=0,"",'7.Sumillas'!G190)</f>
        <v/>
      </c>
      <c r="M194" s="298"/>
      <c r="N194" s="298"/>
      <c r="O194" s="294" t="str">
        <f>CONCATENATE(CHAR(10),CONCATENATE('4.Electivos'!Y48,CHAR(10),'4.Electivos'!Z48,CHAR(10),'4.Electivos'!AA48,CHAR(10),'4.Electivos'!AB48,CHAR(10),'4.Electivos'!AC48))</f>
        <v xml:space="preserve">
</v>
      </c>
      <c r="P194" s="298"/>
      <c r="Q194" s="298"/>
      <c r="R194" s="298"/>
      <c r="S194" s="322" t="str">
        <f t="shared" si="3"/>
        <v>No Aplica</v>
      </c>
      <c r="U194" s="296"/>
    </row>
    <row r="195" spans="1:21" ht="132">
      <c r="A195" s="292">
        <f>'4.Electivos'!B49</f>
        <v>9</v>
      </c>
      <c r="B195" s="292" t="str">
        <f>IF('4.Electivos'!C49="","",'4.Electivos'!C49)</f>
        <v>SDE51003</v>
      </c>
      <c r="C195" s="292" t="str">
        <f>IF('4.Electivos'!E49="","",'4.Electivos'!E49)</f>
        <v>DESARROLLO DE LAS ÁREAS DE TUTORÍA</v>
      </c>
      <c r="D195" s="293" t="str">
        <f>'4.Electivos'!I49</f>
        <v>Presencial</v>
      </c>
      <c r="E195" s="293">
        <f>IF('4.Electivos'!J49=0,"-",'4.Electivos'!J49)</f>
        <v>64</v>
      </c>
      <c r="F195" s="319" t="str">
        <f>IF('4.Electivos'!K49=0,"-",'4.Electivos'!K49)</f>
        <v>-</v>
      </c>
      <c r="G195" s="319" t="str">
        <f>IF('4.Electivos'!L49=0,"-",'4.Electivos'!L49)</f>
        <v>-</v>
      </c>
      <c r="H195" s="319" t="str">
        <f>IF('4.Electivos'!M49=0,"-",'4.Electivos'!M49)</f>
        <v>-</v>
      </c>
      <c r="I195" s="319" t="str">
        <f>IF('4.Electivos'!N49=0,"-",'4.Electivos'!N49)</f>
        <v>-</v>
      </c>
      <c r="J195" s="320" t="str">
        <f>IF('4.Electivos'!O49=0,"-",'4.Electivos'!O49)</f>
        <v>-</v>
      </c>
      <c r="K195" s="321">
        <f>IF('4.Electivos'!P49=0,"-",'4.Electivos'!P49)</f>
        <v>4</v>
      </c>
      <c r="L195" s="294" t="str">
        <f>IF('7.Sumillas'!G191=0,"",'7.Sumillas'!G191)</f>
        <v>Desarrollo de las áreas de tutoría, es de formación especializada de naturaleza teórica. Tributa a la competencia de  Orientación Educativa. Relaciona sus características personales, valores y capacidades a través del análisis de casos para interactuar de forma propositiva con su entorno social y comprende el rigor científico de la teoría, la historia y la psicología aplicadas al ámbito educativo con la finalidad de establecer las orientaciones fundamentales del sentido educativo. Los ejes temáticos de este curso son: Conocimiento del marco legal de la orientación y tutoría y las características del desarrollo integral del educando frente a la problemática de inclusión y de actividades de comportamiento. El producto acreditable de la asignatura es la elaboración de un mapa mental del desarrollo de la tutoría en base al contexto educativo.</v>
      </c>
      <c r="M195" s="298"/>
      <c r="N195" s="298"/>
      <c r="O195" s="294" t="str">
        <f>CONCATENATE(CHAR(10),CONCATENATE('4.Electivos'!Y49,CHAR(10),'4.Electivos'!Z49,CHAR(10),'4.Electivos'!AA49,CHAR(10),'4.Electivos'!AB49,CHAR(10),'4.Electivos'!AC49))</f>
        <v xml:space="preserve">
CP1: Orientación educativa:N3 Comprende el rigor científico de la teoría, la historia y la psicología aplicadas al ámbito educativo para establecer las orientaciones fundamentales del sentido educativo en los docentes y los alumnos.
</v>
      </c>
      <c r="P195" s="298"/>
      <c r="Q195" s="298"/>
      <c r="R195" s="298"/>
      <c r="S195" s="322" t="str">
        <f t="shared" si="3"/>
        <v>No Aplica</v>
      </c>
      <c r="U195" s="296"/>
    </row>
    <row r="196" spans="1:21" ht="144">
      <c r="A196" s="292">
        <f>'4.Electivos'!B50</f>
        <v>9</v>
      </c>
      <c r="B196" s="292" t="str">
        <f>IF('4.Electivos'!C50="","",'4.Electivos'!C50)</f>
        <v>EIC61003</v>
      </c>
      <c r="C196" s="292" t="str">
        <f>IF('4.Electivos'!E50="","",'4.Electivos'!E50)</f>
        <v>DISEÑO DE INSTRUMENTOS DE EVALUACIÓN</v>
      </c>
      <c r="D196" s="293" t="str">
        <f>'4.Electivos'!I50</f>
        <v>Presencial</v>
      </c>
      <c r="E196" s="293">
        <f>IF('4.Electivos'!J50=0,"-",'4.Electivos'!J50)</f>
        <v>64</v>
      </c>
      <c r="F196" s="319" t="str">
        <f>IF('4.Electivos'!K50=0,"-",'4.Electivos'!K50)</f>
        <v>-</v>
      </c>
      <c r="G196" s="319" t="str">
        <f>IF('4.Electivos'!L50=0,"-",'4.Electivos'!L50)</f>
        <v>-</v>
      </c>
      <c r="H196" s="319" t="str">
        <f>IF('4.Electivos'!M50=0,"-",'4.Electivos'!M50)</f>
        <v>-</v>
      </c>
      <c r="I196" s="319" t="str">
        <f>IF('4.Electivos'!N50=0,"-",'4.Electivos'!N50)</f>
        <v>-</v>
      </c>
      <c r="J196" s="320" t="str">
        <f>IF('4.Electivos'!O50=0,"-",'4.Electivos'!O50)</f>
        <v>-</v>
      </c>
      <c r="K196" s="321">
        <f>IF('4.Electivos'!P50=0,"-",'4.Electivos'!P50)</f>
        <v>4</v>
      </c>
      <c r="L196" s="294" t="str">
        <f>IF('7.Sumillas'!G192=0,"",'7.Sumillas'!G192)</f>
        <v>El curso de Diseño de Instrumentos de Evaluación es una asignatura de formación especializada, de naturaleza teórico. Contribuye al desarrollo de la competencia de Desarrollo de la Gestión Educativa. Su propósito es desarrollar la comprensión sobre la evaluación de los aprendizajes en el sistema educativo peruano desde la segunda mitad del siglo XX a la actualidad con la finalidad de establecer un comparativo entre la evaluación por objetivos, capacidades y competencias, así como sus implicancias y beneficios a nivel del aprendizaje y la enseñanza. El curso se desarrolla en 2 unidades: Caracterización de modelos evaluativos en el sistema educativo peruano, Análisis de modelo evaluativo vigente en  Educación Secundaria: reflexión y propuestas. El producto acreditable es un informe sobre la elaboración y presentación  de  instrumentos de evaluación pertinentes a una sesión y/o actividades de aprendizaje.</v>
      </c>
      <c r="M196" s="298"/>
      <c r="N196" s="298"/>
      <c r="O196" s="294" t="str">
        <f>CONCATENATE(CHAR(10),CONCATENATE('4.Electivos'!Y50,CHAR(10),'4.Electivos'!Z50,CHAR(10),'4.Electivos'!AA50,CHAR(10),'4.Electivos'!AB50,CHAR(10),'4.Electivos'!AC50))</f>
        <v xml:space="preserve">
CP2: Desarrollo de gestión educativa:N3 Establece relaciones entre las concepciones de administración, economía, marketing y aspectos legales como fundamentos básicos para el desarrollo de una buena gestión educativa.
</v>
      </c>
      <c r="P196" s="298"/>
      <c r="Q196" s="298"/>
      <c r="R196" s="298"/>
      <c r="S196" s="322" t="str">
        <f t="shared" si="3"/>
        <v>No Aplica</v>
      </c>
      <c r="U196" s="296"/>
    </row>
    <row r="197" spans="1:21" ht="120">
      <c r="A197" s="292">
        <f>'4.Electivos'!B51</f>
        <v>9</v>
      </c>
      <c r="B197" s="292" t="str">
        <f>IF('4.Electivos'!C51="","",'4.Electivos'!C51)</f>
        <v>RSO61014</v>
      </c>
      <c r="C197" s="292" t="str">
        <f>IF('4.Electivos'!E51="","",'4.Electivos'!E51)</f>
        <v>GESTIÓN DE EMPRENDIMIENTOS SOCIOAMBIENTALES</v>
      </c>
      <c r="D197" s="293" t="str">
        <f>'4.Electivos'!I51</f>
        <v>Presencial</v>
      </c>
      <c r="E197" s="293">
        <f>IF('4.Electivos'!J51=0,"-",'4.Electivos'!J51)</f>
        <v>64</v>
      </c>
      <c r="F197" s="319" t="str">
        <f>IF('4.Electivos'!K51=0,"-",'4.Electivos'!K51)</f>
        <v>-</v>
      </c>
      <c r="G197" s="319" t="str">
        <f>IF('4.Electivos'!L51=0,"-",'4.Electivos'!L51)</f>
        <v>-</v>
      </c>
      <c r="H197" s="319" t="str">
        <f>IF('4.Electivos'!M51=0,"-",'4.Electivos'!M51)</f>
        <v>-</v>
      </c>
      <c r="I197" s="319" t="str">
        <f>IF('4.Electivos'!N51=0,"-",'4.Electivos'!N51)</f>
        <v>-</v>
      </c>
      <c r="J197" s="320" t="str">
        <f>IF('4.Electivos'!O51=0,"-",'4.Electivos'!O51)</f>
        <v>-</v>
      </c>
      <c r="K197" s="321">
        <f>IF('4.Electivos'!P51=0,"-",'4.Electivos'!P51)</f>
        <v>4</v>
      </c>
      <c r="L197" s="294" t="str">
        <f>IF('7.Sumillas'!G193=0,"",'7.Sumillas'!G193)</f>
        <v>Gestión de emprendimientos socio ambientales, es una asignatura de formación especializada, tiene carácter teórico y contribuye al desarrollo de la competencia profesional de Desarrollo de gestión educativa. Tiene como propósito que el estudiante asuma una visión socialmente responsable y el enfoque de desarrollo sostenible para contribuir al bienestar de la sociedad.  Comprende los siguientes ejes temáticos: marco legal peruano de las sociedades BIC (beneficio e interés colectivo) y el alcance de las empresas socio ambientales y el ecosistema de emprendimientos; uso de herramientas como design thinking, business model canvas y el balance scorecard. El producto acreditable de la asignatura es un trabajo final que abordará los principales conceptos y herramientas revisadas.</v>
      </c>
      <c r="M197" s="298"/>
      <c r="N197" s="298"/>
      <c r="O197" s="294" t="str">
        <f>CONCATENATE(CHAR(10),CONCATENATE('4.Electivos'!Y51,CHAR(10),'4.Electivos'!Z51,CHAR(10),'4.Electivos'!AA51,CHAR(10),'4.Electivos'!AB51,CHAR(10),'4.Electivos'!AC51))</f>
        <v xml:space="preserve">
CP2: Desarrollo de gestión educativa:N3 Establece relaciones entre las concepciones de administración, economía, marketing y aspectos legales como fundamentos básicos para el desarrollo de una buena gestión educativa.
</v>
      </c>
      <c r="P197" s="298"/>
      <c r="Q197" s="298"/>
      <c r="R197" s="298"/>
      <c r="S197" s="322" t="str">
        <f t="shared" si="3"/>
        <v>No Aplica</v>
      </c>
      <c r="U197" s="296"/>
    </row>
    <row r="198" spans="1:21" ht="96">
      <c r="A198" s="292">
        <f>'4.Electivos'!B52</f>
        <v>9</v>
      </c>
      <c r="B198" s="292" t="str">
        <f>IF('4.Electivos'!C52="","",'4.Electivos'!C52)</f>
        <v>GES61007</v>
      </c>
      <c r="C198" s="292" t="str">
        <f>IF('4.Electivos'!E52="","",'4.Electivos'!E52)</f>
        <v>C. M.: INCUBACIÓN I</v>
      </c>
      <c r="D198" s="293" t="str">
        <f>'4.Electivos'!I52</f>
        <v>Presencial</v>
      </c>
      <c r="E198" s="293">
        <f>IF('4.Electivos'!J52=0,"-",'4.Electivos'!J52)</f>
        <v>64</v>
      </c>
      <c r="F198" s="319" t="str">
        <f>IF('4.Electivos'!K52=0,"-",'4.Electivos'!K52)</f>
        <v>-</v>
      </c>
      <c r="G198" s="319" t="str">
        <f>IF('4.Electivos'!L52=0,"-",'4.Electivos'!L52)</f>
        <v>-</v>
      </c>
      <c r="H198" s="319" t="str">
        <f>IF('4.Electivos'!M52=0,"-",'4.Electivos'!M52)</f>
        <v>-</v>
      </c>
      <c r="I198" s="319" t="str">
        <f>IF('4.Electivos'!N52=0,"-",'4.Electivos'!N52)</f>
        <v>-</v>
      </c>
      <c r="J198" s="320" t="str">
        <f>IF('4.Electivos'!O52=0,"-",'4.Electivos'!O52)</f>
        <v>-</v>
      </c>
      <c r="K198" s="321">
        <f>IF('4.Electivos'!P52=0,"-",'4.Electivos'!P52)</f>
        <v>4</v>
      </c>
      <c r="L198" s="294" t="str">
        <f>IF('7.Sumillas'!G194=0,"",'7.Sumillas'!G194)</f>
        <v>C. M.: Incubación I es una asignatura de especialidad, es de naturaleza teórica, contribuye al desarrollo de la competencia de Desarrollo de gestión educativa, mediante la elaboración de un informe final del flujo de caja financiero del proyecto. Comprende el desarrollo de los siguientes ejes temáticos: Financiamiento No Tradicional y Constitución de Empresas; Financiamiento bancario a corto, mediano y largo plazo; y Evaluación Económica. El producto acreditable de la asignatura es el informe final del flujo de caja financiero del proyecto.</v>
      </c>
      <c r="M198" s="298"/>
      <c r="N198" s="298"/>
      <c r="O198" s="294" t="str">
        <f>CONCATENATE(CHAR(10),CONCATENATE('4.Electivos'!Y52,CHAR(10),'4.Electivos'!Z52,CHAR(10),'4.Electivos'!AA52,CHAR(10),'4.Electivos'!AB52,CHAR(10),'4.Electivos'!AC52))</f>
        <v xml:space="preserve">
CP2: Desarrollo de gestión educativa:N3 Establece relaciones entre las concepciones de administración, economía, marketing y aspectos legales como fundamentos básicos para el desarrollo de una buena gestión educativa.
</v>
      </c>
      <c r="P198" s="298"/>
      <c r="Q198" s="298"/>
      <c r="R198" s="298"/>
      <c r="S198" s="322" t="str">
        <f t="shared" si="3"/>
        <v>No Aplica</v>
      </c>
      <c r="U198" s="296"/>
    </row>
    <row r="199" spans="1:21" ht="120">
      <c r="A199" s="292">
        <f>'4.Electivos'!B53</f>
        <v>9</v>
      </c>
      <c r="B199" s="292" t="str">
        <f>IF('4.Electivos'!C53="","",'4.Electivos'!C53)</f>
        <v>GSI61015</v>
      </c>
      <c r="C199" s="292" t="str">
        <f>IF('4.Electivos'!E53="","",'4.Electivos'!E53)</f>
        <v>BUSINESS AND INTERNET OF THINGS</v>
      </c>
      <c r="D199" s="293" t="str">
        <f>'4.Electivos'!I53</f>
        <v>Presencial</v>
      </c>
      <c r="E199" s="293">
        <f>IF('4.Electivos'!J53=0,"-",'4.Electivos'!J53)</f>
        <v>64</v>
      </c>
      <c r="F199" s="319" t="str">
        <f>IF('4.Electivos'!K53=0,"-",'4.Electivos'!K53)</f>
        <v>-</v>
      </c>
      <c r="G199" s="319" t="str">
        <f>IF('4.Electivos'!L53=0,"-",'4.Electivos'!L53)</f>
        <v>-</v>
      </c>
      <c r="H199" s="319" t="str">
        <f>IF('4.Electivos'!M53=0,"-",'4.Electivos'!M53)</f>
        <v>-</v>
      </c>
      <c r="I199" s="319" t="str">
        <f>IF('4.Electivos'!N53=0,"-",'4.Electivos'!N53)</f>
        <v>-</v>
      </c>
      <c r="J199" s="320" t="str">
        <f>IF('4.Electivos'!O53=0,"-",'4.Electivos'!O53)</f>
        <v>-</v>
      </c>
      <c r="K199" s="321">
        <f>IF('4.Electivos'!P53=0,"-",'4.Electivos'!P53)</f>
        <v>4</v>
      </c>
      <c r="L199" s="294" t="str">
        <f>IF('7.Sumillas'!G195=0,"",'7.Sumillas'!G195)</f>
        <v>Business and Internet of Things, es una asignatura que corresponde al área de estudios de especialidad. Es de naturaleza teórica. Tributa a la competencia Desarrollo de gestión educativa, cuyo propósito es liderar acciones que mejoren la cultura organizacional y decanten en una mejor toma de decisiones en la empresa brindando el conocimiento básico necesario para gestionar empresas “data-driven”.  El contenido del curso incluye cuatro ejes temáticos: Introducción a la Internet de las cosas (IoT) en el mundo empresarial, protocolos de comunicación y estándares de la IoT aplicados en los negocios, Análisis de datos y toma de decisiones en las empresas y la inteligencia en los negocios.  El producto acreditable de la asignatura es "Proyecto de implementación de IoT en un escenario empresarial".</v>
      </c>
      <c r="M199" s="298"/>
      <c r="N199" s="298"/>
      <c r="O199" s="294" t="str">
        <f>CONCATENATE(CHAR(10),CONCATENATE('4.Electivos'!Y53,CHAR(10),'4.Electivos'!Z53,CHAR(10),'4.Electivos'!AA53,CHAR(10),'4.Electivos'!AB53,CHAR(10),'4.Electivos'!AC53))</f>
        <v xml:space="preserve">
CP2: Desarrollo de gestión educativa:N3 Establece relaciones entre las concepciones de administración, economía, marketing y aspectos legales como fundamentos básicos para el desarrollo de una buena gestión educativa.
</v>
      </c>
      <c r="P199" s="298"/>
      <c r="Q199" s="298"/>
      <c r="R199" s="298"/>
      <c r="S199" s="322" t="str">
        <f t="shared" si="3"/>
        <v>No Aplica</v>
      </c>
      <c r="U199" s="296"/>
    </row>
    <row r="200" spans="1:21" ht="144">
      <c r="A200" s="292">
        <f>'4.Electivos'!B54</f>
        <v>9</v>
      </c>
      <c r="B200" s="292" t="str">
        <f>IF('4.Electivos'!C54="","",'4.Electivos'!C54)</f>
        <v>MSI64005</v>
      </c>
      <c r="C200" s="292" t="str">
        <f>IF('4.Electivos'!E54="","",'4.Electivos'!E54)</f>
        <v>PENSAMIENTO COMPUTACIONAL Y ANALÍTICA DE DATOS</v>
      </c>
      <c r="D200" s="293" t="str">
        <f>'4.Electivos'!I54</f>
        <v>Presencial</v>
      </c>
      <c r="E200" s="293">
        <f>IF('4.Electivos'!J54=0,"-",'4.Electivos'!J54)</f>
        <v>32</v>
      </c>
      <c r="F200" s="319" t="str">
        <f>IF('4.Electivos'!K54=0,"-",'4.Electivos'!K54)</f>
        <v>-</v>
      </c>
      <c r="G200" s="319">
        <f>IF('4.Electivos'!L54=0,"-",'4.Electivos'!L54)</f>
        <v>32</v>
      </c>
      <c r="H200" s="319" t="str">
        <f>IF('4.Electivos'!M54=0,"-",'4.Electivos'!M54)</f>
        <v>-</v>
      </c>
      <c r="I200" s="319">
        <f>IF('4.Electivos'!N54=0,"-",'4.Electivos'!N54)</f>
        <v>32</v>
      </c>
      <c r="J200" s="320" t="str">
        <f>IF('4.Electivos'!O54=0,"-",'4.Electivos'!O54)</f>
        <v>-</v>
      </c>
      <c r="K200" s="321">
        <f>IF('4.Electivos'!P54=0,"-",'4.Electivos'!P54)</f>
        <v>4</v>
      </c>
      <c r="L200" s="294" t="str">
        <f>IF('7.Sumillas'!G196=0,"",'7.Sumillas'!G196)</f>
        <v>Pensamiento computacional y Analítica de Datos, es una asignatura de formación especializada, tiene carácter teórico práctico, contribuye al desarrollo de la competencia de Investigación Educativa. El curso tiene por finalidad introducir al estudiante en al ámbito del pensamiento computacional y el estudio de modelos matemáticos que permitan la extracción y uso del conocimiento disponibles en repositorios de datos, se exponen los conceptos, las técnicas y las herramientas para el análisis de datos y el descubrimiento de conocimiento. El curso comprende el desarrollo de los siguientes ejes temáticos:  Fundamentos del pensamiento computacional, aplicaciones prácticas del pensamiento computacional, así mismo se verán los fundamentos de la analítica de datos y los modelos descriptivos. El producto acreditable es un informe que describa y fundamente la solución a un problema de analítica de datos a partir de una necesidad de su comunidad.</v>
      </c>
      <c r="M200" s="298"/>
      <c r="N200" s="298"/>
      <c r="O200" s="294" t="str">
        <f>CONCATENATE(CHAR(10),CONCATENATE('4.Electivos'!Y54,CHAR(10),'4.Electivos'!Z54,CHAR(10),'4.Electivos'!AA54,CHAR(10),'4.Electivos'!AB54,CHAR(10),'4.Electivos'!AC54))</f>
        <v xml:space="preserve">
CP4: Investigación Educativa:N3 Elabora el proyecto de investigación demostrando consistencia sobre todo en el marco teórico, diseño metodológico y validación de los instrumentos de investigación.
</v>
      </c>
      <c r="P200" s="298"/>
      <c r="Q200" s="298"/>
      <c r="R200" s="298"/>
      <c r="S200" s="322" t="str">
        <f t="shared" si="3"/>
        <v>No Aplica</v>
      </c>
      <c r="U200" s="296"/>
    </row>
    <row r="201" spans="1:21" ht="72">
      <c r="A201" s="292">
        <f>'4.Electivos'!B55</f>
        <v>9</v>
      </c>
      <c r="B201" s="292" t="str">
        <f>IF('4.Electivos'!C55="","",'4.Electivos'!C55)</f>
        <v/>
      </c>
      <c r="C201" s="292" t="str">
        <f>IF('4.Electivos'!E55="","",'4.Electivos'!E55)</f>
        <v/>
      </c>
      <c r="D201" s="293" t="str">
        <f>'4.Electivos'!I55</f>
        <v/>
      </c>
      <c r="E201" s="293" t="str">
        <f>IF('4.Electivos'!J55=0,"-",'4.Electivos'!J55)</f>
        <v>-</v>
      </c>
      <c r="F201" s="319" t="str">
        <f>IF('4.Electivos'!K55=0,"-",'4.Electivos'!K55)</f>
        <v>-</v>
      </c>
      <c r="G201" s="319" t="str">
        <f>IF('4.Electivos'!L55=0,"-",'4.Electivos'!L55)</f>
        <v>-</v>
      </c>
      <c r="H201" s="319" t="str">
        <f>IF('4.Electivos'!M55=0,"-",'4.Electivos'!M55)</f>
        <v>-</v>
      </c>
      <c r="I201" s="319" t="str">
        <f>IF('4.Electivos'!N55=0,"-",'4.Electivos'!N55)</f>
        <v>-</v>
      </c>
      <c r="J201" s="320" t="str">
        <f>IF('4.Electivos'!O55=0,"-",'4.Electivos'!O55)</f>
        <v>-</v>
      </c>
      <c r="K201" s="321" t="str">
        <f>IF('4.Electivos'!P55=0,"-",'4.Electivos'!P55)</f>
        <v>-</v>
      </c>
      <c r="L201" s="294" t="str">
        <f>IF('7.Sumillas'!G197=0,"",'7.Sumillas'!G197)</f>
        <v/>
      </c>
      <c r="M201" s="298"/>
      <c r="N201" s="298"/>
      <c r="O201" s="294" t="str">
        <f>CONCATENATE(CHAR(10),CONCATENATE('4.Electivos'!Y55,CHAR(10),'4.Electivos'!Z55,CHAR(10),'4.Electivos'!AA55,CHAR(10),'4.Electivos'!AB55,CHAR(10),'4.Electivos'!AC55))</f>
        <v xml:space="preserve">
</v>
      </c>
      <c r="P201" s="298"/>
      <c r="Q201" s="298"/>
      <c r="R201" s="298"/>
      <c r="S201" s="322" t="str">
        <f t="shared" si="3"/>
        <v>No Aplica</v>
      </c>
      <c r="U201" s="296"/>
    </row>
    <row r="202" spans="1:21" ht="72">
      <c r="A202" s="292">
        <f>'4.Electivos'!B56</f>
        <v>9</v>
      </c>
      <c r="B202" s="292" t="str">
        <f>IF('4.Electivos'!C56="","",'4.Electivos'!C56)</f>
        <v/>
      </c>
      <c r="C202" s="292" t="str">
        <f>IF('4.Electivos'!E56="","",'4.Electivos'!E56)</f>
        <v/>
      </c>
      <c r="D202" s="293" t="str">
        <f>'4.Electivos'!I56</f>
        <v/>
      </c>
      <c r="E202" s="293" t="str">
        <f>IF('4.Electivos'!J56=0,"-",'4.Electivos'!J56)</f>
        <v>-</v>
      </c>
      <c r="F202" s="319" t="str">
        <f>IF('4.Electivos'!K56=0,"-",'4.Electivos'!K56)</f>
        <v>-</v>
      </c>
      <c r="G202" s="319" t="str">
        <f>IF('4.Electivos'!L56=0,"-",'4.Electivos'!L56)</f>
        <v>-</v>
      </c>
      <c r="H202" s="319" t="str">
        <f>IF('4.Electivos'!M56=0,"-",'4.Electivos'!M56)</f>
        <v>-</v>
      </c>
      <c r="I202" s="319" t="str">
        <f>IF('4.Electivos'!N56=0,"-",'4.Electivos'!N56)</f>
        <v>-</v>
      </c>
      <c r="J202" s="320" t="str">
        <f>IF('4.Electivos'!O56=0,"-",'4.Electivos'!O56)</f>
        <v>-</v>
      </c>
      <c r="K202" s="321" t="str">
        <f>IF('4.Electivos'!P56=0,"-",'4.Electivos'!P56)</f>
        <v>-</v>
      </c>
      <c r="L202" s="294" t="str">
        <f>IF('7.Sumillas'!G198=0,"",'7.Sumillas'!G198)</f>
        <v/>
      </c>
      <c r="M202" s="298"/>
      <c r="N202" s="298"/>
      <c r="O202" s="294" t="str">
        <f>CONCATENATE(CHAR(10),CONCATENATE('4.Electivos'!Y56,CHAR(10),'4.Electivos'!Z56,CHAR(10),'4.Electivos'!AA56,CHAR(10),'4.Electivos'!AB56,CHAR(10),'4.Electivos'!AC56))</f>
        <v xml:space="preserve">
</v>
      </c>
      <c r="P202" s="298"/>
      <c r="Q202" s="298"/>
      <c r="R202" s="298"/>
      <c r="S202" s="322" t="str">
        <f t="shared" si="3"/>
        <v>No Aplica</v>
      </c>
      <c r="U202" s="296"/>
    </row>
    <row r="203" spans="1:21" ht="72">
      <c r="A203" s="292">
        <f>'4.Electivos'!B57</f>
        <v>9</v>
      </c>
      <c r="B203" s="292" t="str">
        <f>IF('4.Electivos'!C57="","",'4.Electivos'!C57)</f>
        <v/>
      </c>
      <c r="C203" s="292" t="str">
        <f>IF('4.Electivos'!E57="","",'4.Electivos'!E57)</f>
        <v/>
      </c>
      <c r="D203" s="293" t="str">
        <f>'4.Electivos'!I57</f>
        <v/>
      </c>
      <c r="E203" s="293" t="str">
        <f>IF('4.Electivos'!J57=0,"-",'4.Electivos'!J57)</f>
        <v>-</v>
      </c>
      <c r="F203" s="319" t="str">
        <f>IF('4.Electivos'!K57=0,"-",'4.Electivos'!K57)</f>
        <v>-</v>
      </c>
      <c r="G203" s="319" t="str">
        <f>IF('4.Electivos'!L57=0,"-",'4.Electivos'!L57)</f>
        <v>-</v>
      </c>
      <c r="H203" s="319" t="str">
        <f>IF('4.Electivos'!M57=0,"-",'4.Electivos'!M57)</f>
        <v>-</v>
      </c>
      <c r="I203" s="319" t="str">
        <f>IF('4.Electivos'!N57=0,"-",'4.Electivos'!N57)</f>
        <v>-</v>
      </c>
      <c r="J203" s="320" t="str">
        <f>IF('4.Electivos'!O57=0,"-",'4.Electivos'!O57)</f>
        <v>-</v>
      </c>
      <c r="K203" s="321" t="str">
        <f>IF('4.Electivos'!P57=0,"-",'4.Electivos'!P57)</f>
        <v>-</v>
      </c>
      <c r="L203" s="294" t="str">
        <f>IF('7.Sumillas'!G199=0,"",'7.Sumillas'!G199)</f>
        <v/>
      </c>
      <c r="M203" s="298"/>
      <c r="N203" s="298"/>
      <c r="O203" s="294" t="str">
        <f>CONCATENATE(CHAR(10),CONCATENATE('4.Electivos'!Y57,CHAR(10),'4.Electivos'!Z57,CHAR(10),'4.Electivos'!AA57,CHAR(10),'4.Electivos'!AB57,CHAR(10),'4.Electivos'!AC57))</f>
        <v xml:space="preserve">
</v>
      </c>
      <c r="P203" s="298"/>
      <c r="Q203" s="298"/>
      <c r="R203" s="298"/>
      <c r="S203" s="322" t="str">
        <f t="shared" si="3"/>
        <v>No Aplica</v>
      </c>
      <c r="U203" s="296"/>
    </row>
    <row r="204" spans="1:21" ht="72">
      <c r="A204" s="292">
        <f>'4.Electivos'!B58</f>
        <v>9</v>
      </c>
      <c r="B204" s="292" t="str">
        <f>IF('4.Electivos'!C58="","",'4.Electivos'!C58)</f>
        <v/>
      </c>
      <c r="C204" s="292" t="str">
        <f>IF('4.Electivos'!E58="","",'4.Electivos'!E58)</f>
        <v/>
      </c>
      <c r="D204" s="293" t="str">
        <f>'4.Electivos'!I58</f>
        <v/>
      </c>
      <c r="E204" s="293" t="str">
        <f>IF('4.Electivos'!J58=0,"-",'4.Electivos'!J58)</f>
        <v>-</v>
      </c>
      <c r="F204" s="319" t="str">
        <f>IF('4.Electivos'!K58=0,"-",'4.Electivos'!K58)</f>
        <v>-</v>
      </c>
      <c r="G204" s="319" t="str">
        <f>IF('4.Electivos'!L58=0,"-",'4.Electivos'!L58)</f>
        <v>-</v>
      </c>
      <c r="H204" s="319" t="str">
        <f>IF('4.Electivos'!M58=0,"-",'4.Electivos'!M58)</f>
        <v>-</v>
      </c>
      <c r="I204" s="319" t="str">
        <f>IF('4.Electivos'!N58=0,"-",'4.Electivos'!N58)</f>
        <v>-</v>
      </c>
      <c r="J204" s="320" t="str">
        <f>IF('4.Electivos'!O58=0,"-",'4.Electivos'!O58)</f>
        <v>-</v>
      </c>
      <c r="K204" s="321" t="str">
        <f>IF('4.Electivos'!P58=0,"-",'4.Electivos'!P58)</f>
        <v>-</v>
      </c>
      <c r="L204" s="294" t="str">
        <f>IF('7.Sumillas'!G200=0,"",'7.Sumillas'!G200)</f>
        <v/>
      </c>
      <c r="M204" s="298"/>
      <c r="N204" s="298"/>
      <c r="O204" s="294" t="str">
        <f>CONCATENATE(CHAR(10),CONCATENATE('4.Electivos'!Y58,CHAR(10),'4.Electivos'!Z58,CHAR(10),'4.Electivos'!AA58,CHAR(10),'4.Electivos'!AB58,CHAR(10),'4.Electivos'!AC58))</f>
        <v xml:space="preserve">
</v>
      </c>
      <c r="P204" s="298"/>
      <c r="Q204" s="298"/>
      <c r="R204" s="298"/>
      <c r="S204" s="322" t="str">
        <f t="shared" si="3"/>
        <v>No Aplica</v>
      </c>
      <c r="U204" s="296"/>
    </row>
    <row r="205" spans="1:21" ht="108">
      <c r="A205" s="292">
        <f>'4.Electivos'!B59</f>
        <v>10</v>
      </c>
      <c r="B205" s="292" t="str">
        <f>IF('4.Electivos'!C59="","",'4.Electivos'!C59)</f>
        <v>EIC61004</v>
      </c>
      <c r="C205" s="292" t="str">
        <f>IF('4.Electivos'!E59="","",'4.Electivos'!E59)</f>
        <v>ACTIVIDADES DE EVALUACIÓN DE LOS APRENDIZAJES</v>
      </c>
      <c r="D205" s="293" t="str">
        <f>'4.Electivos'!I59</f>
        <v>Presencial</v>
      </c>
      <c r="E205" s="293">
        <f>IF('4.Electivos'!J59=0,"-",'4.Electivos'!J59)</f>
        <v>64</v>
      </c>
      <c r="F205" s="319" t="str">
        <f>IF('4.Electivos'!K59=0,"-",'4.Electivos'!K59)</f>
        <v>-</v>
      </c>
      <c r="G205" s="319" t="str">
        <f>IF('4.Electivos'!L59=0,"-",'4.Electivos'!L59)</f>
        <v>-</v>
      </c>
      <c r="H205" s="319" t="str">
        <f>IF('4.Electivos'!M59=0,"-",'4.Electivos'!M59)</f>
        <v>-</v>
      </c>
      <c r="I205" s="319" t="str">
        <f>IF('4.Electivos'!N59=0,"-",'4.Electivos'!N59)</f>
        <v>-</v>
      </c>
      <c r="J205" s="320" t="str">
        <f>IF('4.Electivos'!O59=0,"-",'4.Electivos'!O59)</f>
        <v>-</v>
      </c>
      <c r="K205" s="321">
        <f>IF('4.Electivos'!P59=0,"-",'4.Electivos'!P59)</f>
        <v>4</v>
      </c>
      <c r="L205" s="294" t="str">
        <f>IF('7.Sumillas'!G201=0,"",'7.Sumillas'!G201)</f>
        <v>Actividades de evaluación de los aprendizajes, es una asignatura de formación especializada, de naturaleza teórico. Contribuye al desarrollo de la competencia de Desarrollo de enseñanza y aprendizaje. Tiene como finalidad formar a los estudiantes en la elaboración de criterios e indicadores de evaluación para que elaboren con pertinencia los instrumentos de evaluación de una sesión y/o actividades de aprendizaje. Comprende el desarrollo de los siguientes ejes temáticos: Criterios e indicadores de evaluación, técnicas e instrumentos de evaluación. El producto acreditable es un informe sobre la elaboración de instrumentos de evaluación articulados a sesiones y/o actividades de aprendizaje.</v>
      </c>
      <c r="M205" s="298"/>
      <c r="N205" s="298"/>
      <c r="O205" s="294" t="str">
        <f>CONCATENATE(CHAR(10),CONCATENATE('4.Electivos'!Y59,CHAR(10),'4.Electivos'!Z59,CHAR(10),'4.Electivos'!AA59,CHAR(10),'4.Electivos'!AB59,CHAR(10),'4.Electivos'!AC59))</f>
        <v xml:space="preserve">
CP3: Desarrollo enseñanza y aprendizaje:N3 Desempeñarse de manera eficiente en el desarrollo la enseñanza y de su desarrollo en su identidad docente para el buen aprendizaje de los estudiantes.
</v>
      </c>
      <c r="P205" s="298"/>
      <c r="Q205" s="298"/>
      <c r="R205" s="298"/>
      <c r="S205" s="322" t="str">
        <f t="shared" si="3"/>
        <v>No Aplica</v>
      </c>
      <c r="U205" s="296"/>
    </row>
    <row r="206" spans="1:21" ht="96">
      <c r="A206" s="292">
        <f>'4.Electivos'!B60</f>
        <v>10</v>
      </c>
      <c r="B206" s="292" t="str">
        <f>IF('4.Electivos'!C60="","",'4.Electivos'!C60)</f>
        <v>SDE51004</v>
      </c>
      <c r="C206" s="292" t="str">
        <f>IF('4.Electivos'!E60="","",'4.Electivos'!E60)</f>
        <v>PLAN DE TUTORÍA Y CONVIVENCIA ESCOLAR</v>
      </c>
      <c r="D206" s="293" t="str">
        <f>'4.Electivos'!I60</f>
        <v>Presencial</v>
      </c>
      <c r="E206" s="293">
        <f>IF('4.Electivos'!J60=0,"-",'4.Electivos'!J60)</f>
        <v>64</v>
      </c>
      <c r="F206" s="319" t="str">
        <f>IF('4.Electivos'!K60=0,"-",'4.Electivos'!K60)</f>
        <v>-</v>
      </c>
      <c r="G206" s="319" t="str">
        <f>IF('4.Electivos'!L60=0,"-",'4.Electivos'!L60)</f>
        <v>-</v>
      </c>
      <c r="H206" s="319" t="str">
        <f>IF('4.Electivos'!M60=0,"-",'4.Electivos'!M60)</f>
        <v>-</v>
      </c>
      <c r="I206" s="319" t="str">
        <f>IF('4.Electivos'!N60=0,"-",'4.Electivos'!N60)</f>
        <v>-</v>
      </c>
      <c r="J206" s="320" t="str">
        <f>IF('4.Electivos'!O60=0,"-",'4.Electivos'!O60)</f>
        <v>-</v>
      </c>
      <c r="K206" s="321">
        <f>IF('4.Electivos'!P60=0,"-",'4.Electivos'!P60)</f>
        <v>4</v>
      </c>
      <c r="L206" s="294" t="str">
        <f>IF('7.Sumillas'!G202=0,"",'7.Sumillas'!G202)</f>
        <v>Plan de Tutoría y Convivencia escolar, es una asignatura de formación especializada, de naturaleza teórico. Contribuye al desarrollo de la competencia de Orientación Educativa, que busca fortalecer la formación del docente en las estrategias que promuevan y fortalezcan la convivencia escolar. Comprende el desarrollo de los siguientes ejes temáticos: Convivencia escolar y salud emocional, aproximación a la diversidad, estrategias para el desarrollo de una buena convivencia escolar. El producto acreditable es una propuesta de un programa tutoría que integre la convivencia escolar.</v>
      </c>
      <c r="M206" s="298"/>
      <c r="N206" s="298"/>
      <c r="O206" s="294" t="str">
        <f>CONCATENATE(CHAR(10),CONCATENATE('4.Electivos'!Y60,CHAR(10),'4.Electivos'!Z60,CHAR(10),'4.Electivos'!AA60,CHAR(10),'4.Electivos'!AB60,CHAR(10),'4.Electivos'!AC60))</f>
        <v xml:space="preserve">
CP1: Orientación educativa:N3 Comprende el rigor científico de la teoría, la historia y la psicología aplicadas al ámbito educativo para establecer las orientaciones fundamentales del sentido educativo en los docentes y los alumnos.
</v>
      </c>
      <c r="P206" s="298"/>
      <c r="Q206" s="298"/>
      <c r="R206" s="298"/>
      <c r="S206" s="322" t="str">
        <f t="shared" si="3"/>
        <v>No Aplica</v>
      </c>
      <c r="U206" s="296"/>
    </row>
    <row r="207" spans="1:21" ht="144">
      <c r="A207" s="292">
        <f>'4.Electivos'!B61</f>
        <v>10</v>
      </c>
      <c r="B207" s="292" t="str">
        <f>IF('4.Electivos'!C61="","",'4.Electivos'!C61)</f>
        <v>RSO61016</v>
      </c>
      <c r="C207" s="292" t="str">
        <f>IF('4.Electivos'!E61="","",'4.Electivos'!E61)</f>
        <v>GESTIÓN DEL SECTOR PÚBLICO Y SOCIEDAD CIVIL PARA EL DESARROLLO SOSTENIBLE</v>
      </c>
      <c r="D207" s="293" t="str">
        <f>'4.Electivos'!I61</f>
        <v>Presencial</v>
      </c>
      <c r="E207" s="293">
        <f>IF('4.Electivos'!J61=0,"-",'4.Electivos'!J61)</f>
        <v>64</v>
      </c>
      <c r="F207" s="319" t="str">
        <f>IF('4.Electivos'!K61=0,"-",'4.Electivos'!K61)</f>
        <v>-</v>
      </c>
      <c r="G207" s="319" t="str">
        <f>IF('4.Electivos'!L61=0,"-",'4.Electivos'!L61)</f>
        <v>-</v>
      </c>
      <c r="H207" s="319" t="str">
        <f>IF('4.Electivos'!M61=0,"-",'4.Electivos'!M61)</f>
        <v>-</v>
      </c>
      <c r="I207" s="319" t="str">
        <f>IF('4.Electivos'!N61=0,"-",'4.Electivos'!N61)</f>
        <v>-</v>
      </c>
      <c r="J207" s="320" t="str">
        <f>IF('4.Electivos'!O61=0,"-",'4.Electivos'!O61)</f>
        <v>-</v>
      </c>
      <c r="K207" s="321">
        <f>IF('4.Electivos'!P61=0,"-",'4.Electivos'!P61)</f>
        <v>4</v>
      </c>
      <c r="L207" s="294" t="str">
        <f>IF('7.Sumillas'!G203=0,"",'7.Sumillas'!G203)</f>
        <v>Gestión del sector público y sociedad civil para el desarrollo sostenible, es una asignatura de formación especializada, tiene carácter teórico y contribuye al desarrollo de la competencia profesional de Desarrollo enseñanza y aprendizaje. Tiene como propósito que el estudiante asuma una visión socialmente responsable y el enfoque de desarrollo sostenible para contribuir al bienestar de la sociedad. Comprende el desarrollo de los siguientes ejes temáticos: marco de las políticas públicas de los diferentes sectores en el Estado; el sistema de cooperación internacional; las inversiones públicas, la recaudación de fondos y la movilización de recursos, uso de herramientas como el presupuesto participativo y obras por impuestos; y metodologías como el árbol de problemas y marco lógico. El producto acreditable de la asignatura es un trabajo final que abordará los principales conceptos y como se interrelacionan entre ellos.</v>
      </c>
      <c r="M207" s="298"/>
      <c r="N207" s="298"/>
      <c r="O207" s="294" t="str">
        <f>CONCATENATE(CHAR(10),CONCATENATE('4.Electivos'!Y61,CHAR(10),'4.Electivos'!Z61,CHAR(10),'4.Electivos'!AA61,CHAR(10),'4.Electivos'!AB61,CHAR(10),'4.Electivos'!AC61))</f>
        <v xml:space="preserve">
CP3: Desarrollo enseñanza y aprendizaje:N3 Desempeñarse de manera eficiente en el desarrollo la enseñanza y de su desarrollo en su identidad docente para el buen aprendizaje de los estudiantes.
</v>
      </c>
      <c r="P207" s="298"/>
      <c r="Q207" s="298"/>
      <c r="R207" s="298"/>
      <c r="S207" s="322" t="str">
        <f t="shared" si="3"/>
        <v>No Aplica</v>
      </c>
      <c r="U207" s="296"/>
    </row>
    <row r="208" spans="1:21" ht="96">
      <c r="A208" s="292">
        <f>'4.Electivos'!B62</f>
        <v>10</v>
      </c>
      <c r="B208" s="292" t="str">
        <f>IF('4.Electivos'!C62="","",'4.Electivos'!C62)</f>
        <v>GES61008</v>
      </c>
      <c r="C208" s="292" t="str">
        <f>IF('4.Electivos'!E62="","",'4.Electivos'!E62)</f>
        <v>C. M.: INCUBACIÓN II</v>
      </c>
      <c r="D208" s="293" t="str">
        <f>'4.Electivos'!I62</f>
        <v>Presencial</v>
      </c>
      <c r="E208" s="293">
        <f>IF('4.Electivos'!J62=0,"-",'4.Electivos'!J62)</f>
        <v>64</v>
      </c>
      <c r="F208" s="319" t="str">
        <f>IF('4.Electivos'!K62=0,"-",'4.Electivos'!K62)</f>
        <v>-</v>
      </c>
      <c r="G208" s="319" t="str">
        <f>IF('4.Electivos'!L62=0,"-",'4.Electivos'!L62)</f>
        <v>-</v>
      </c>
      <c r="H208" s="319" t="str">
        <f>IF('4.Electivos'!M62=0,"-",'4.Electivos'!M62)</f>
        <v>-</v>
      </c>
      <c r="I208" s="319" t="str">
        <f>IF('4.Electivos'!N62=0,"-",'4.Electivos'!N62)</f>
        <v>-</v>
      </c>
      <c r="J208" s="320" t="str">
        <f>IF('4.Electivos'!O62=0,"-",'4.Electivos'!O62)</f>
        <v>-</v>
      </c>
      <c r="K208" s="321">
        <f>IF('4.Electivos'!P62=0,"-",'4.Electivos'!P62)</f>
        <v>4</v>
      </c>
      <c r="L208" s="294" t="str">
        <f>IF('7.Sumillas'!G204=0,"",'7.Sumillas'!G204)</f>
        <v>C. M.: Incubación II es una asignatura de especialidad, es de naturaleza teórica, contribuye al desarrollo de la competencia de Desarrollo de Gestión Educativa, mediante la elaboración de un informe final del flujo de caja y diagrama de Gantt. Comprende el desarrollo de los siguientes ejes temáticos: Desarrollo de marca, Publicidad y promoción, Evaluación económica y diagrama de Gantt. El producto acreditable de la asignatura es el informe final del flujo de caja y diagrama de Gantt de las actividades de inicio del proyecto.</v>
      </c>
      <c r="M208" s="298"/>
      <c r="N208" s="298"/>
      <c r="O208" s="294" t="str">
        <f>CONCATENATE(CHAR(10),CONCATENATE('4.Electivos'!Y62,CHAR(10),'4.Electivos'!Z62,CHAR(10),'4.Electivos'!AA62,CHAR(10),'4.Electivos'!AB62,CHAR(10),'4.Electivos'!AC62))</f>
        <v xml:space="preserve">
CP2: Desarrollo de gestión educativa:N3 Establece relaciones entre las concepciones de administración, economía, marketing y aspectos legales como fundamentos básicos para el desarrollo de una buena gestión educativa.
</v>
      </c>
      <c r="P208" s="298"/>
      <c r="Q208" s="298"/>
      <c r="R208" s="298"/>
      <c r="S208" s="322" t="str">
        <f t="shared" si="3"/>
        <v>No Aplica</v>
      </c>
      <c r="U208" s="296"/>
    </row>
    <row r="209" spans="1:21" ht="132">
      <c r="A209" s="292">
        <f>'4.Electivos'!B63</f>
        <v>10</v>
      </c>
      <c r="B209" s="292" t="str">
        <f>IF('4.Electivos'!C63="","",'4.Electivos'!C63)</f>
        <v>GSI61017</v>
      </c>
      <c r="C209" s="292" t="str">
        <f>IF('4.Electivos'!E63="","",'4.Electivos'!E63)</f>
        <v>ARTIFICIAL INTELLIGENCE FOR BUSINESS</v>
      </c>
      <c r="D209" s="293" t="str">
        <f>'4.Electivos'!I63</f>
        <v>Presencial</v>
      </c>
      <c r="E209" s="293">
        <f>IF('4.Electivos'!J63=0,"-",'4.Electivos'!J63)</f>
        <v>64</v>
      </c>
      <c r="F209" s="319" t="str">
        <f>IF('4.Electivos'!K63=0,"-",'4.Electivos'!K63)</f>
        <v>-</v>
      </c>
      <c r="G209" s="319" t="str">
        <f>IF('4.Electivos'!L63=0,"-",'4.Electivos'!L63)</f>
        <v>-</v>
      </c>
      <c r="H209" s="319" t="str">
        <f>IF('4.Electivos'!M63=0,"-",'4.Electivos'!M63)</f>
        <v>-</v>
      </c>
      <c r="I209" s="319" t="str">
        <f>IF('4.Electivos'!N63=0,"-",'4.Electivos'!N63)</f>
        <v>-</v>
      </c>
      <c r="J209" s="320" t="str">
        <f>IF('4.Electivos'!O63=0,"-",'4.Electivos'!O63)</f>
        <v>-</v>
      </c>
      <c r="K209" s="321">
        <f>IF('4.Electivos'!P63=0,"-",'4.Electivos'!P63)</f>
        <v>4</v>
      </c>
      <c r="L209" s="294" t="str">
        <f>IF('7.Sumillas'!G205=0,"",'7.Sumillas'!G205)</f>
        <v>Artificial Intelligence for Business, es una asignatura que corresponde al área de estudios de especialidad. Es de naturaleza teórica. Tributa a la competencia Desarrollo de Gestión Educativa, cuyo propósito es comparar el desempeño real con el desempeño esperado de las organizaciones, en base al plan definido, brindando el conocimiento básico necesario para gestionar empresas aprovechando el avance rápido de la Inteligencia Artificial.  El contenido del curso incluye cuatro ejes temáticos: Introducción a la inteligencia Artifical (IA) en el ámbito empresarial,  tecnologías y herramientas de IA para negocios, ética y gobernanza de la IA empresarial e Implementación y gestión de proyectos de IA en empresas.  El producto acreditable de la asignatura es "Elaboración de un Plan Estratégico de Implementación de Inteligencia Artificial para una empresa ficticia o real"</v>
      </c>
      <c r="M209" s="298"/>
      <c r="N209" s="298"/>
      <c r="O209" s="294" t="str">
        <f>CONCATENATE(CHAR(10),CONCATENATE('4.Electivos'!Y63,CHAR(10),'4.Electivos'!Z63,CHAR(10),'4.Electivos'!AA63,CHAR(10),'4.Electivos'!AB63,CHAR(10),'4.Electivos'!AC63))</f>
        <v xml:space="preserve">
CP2: Desarrollo de gestión educativa:N3 Establece relaciones entre las concepciones de administración, economía, marketing y aspectos legales como fundamentos básicos para el desarrollo de una buena gestión educativa.
</v>
      </c>
      <c r="P209" s="298"/>
      <c r="Q209" s="298"/>
      <c r="R209" s="298"/>
      <c r="S209" s="322" t="str">
        <f t="shared" si="3"/>
        <v>No Aplica</v>
      </c>
      <c r="U209" s="296"/>
    </row>
    <row r="210" spans="1:21" ht="120">
      <c r="A210" s="292">
        <f>'4.Electivos'!B64</f>
        <v>10</v>
      </c>
      <c r="B210" s="292" t="str">
        <f>IF('4.Electivos'!C64="","",'4.Electivos'!C64)</f>
        <v>MSI64007</v>
      </c>
      <c r="C210" s="292" t="str">
        <f>IF('4.Electivos'!E64="","",'4.Electivos'!E64)</f>
        <v>ANÁLISIS Y VISUALIZACIÓN DE DATOS</v>
      </c>
      <c r="D210" s="293" t="str">
        <f>'4.Electivos'!I64</f>
        <v>Presencial</v>
      </c>
      <c r="E210" s="293">
        <f>IF('4.Electivos'!J64=0,"-",'4.Electivos'!J64)</f>
        <v>32</v>
      </c>
      <c r="F210" s="319" t="str">
        <f>IF('4.Electivos'!K64=0,"-",'4.Electivos'!K64)</f>
        <v>-</v>
      </c>
      <c r="G210" s="319">
        <f>IF('4.Electivos'!L64=0,"-",'4.Electivos'!L64)</f>
        <v>32</v>
      </c>
      <c r="H210" s="319" t="str">
        <f>IF('4.Electivos'!M64=0,"-",'4.Electivos'!M64)</f>
        <v>-</v>
      </c>
      <c r="I210" s="319">
        <f>IF('4.Electivos'!N64=0,"-",'4.Electivos'!N64)</f>
        <v>32</v>
      </c>
      <c r="J210" s="320" t="str">
        <f>IF('4.Electivos'!O64=0,"-",'4.Electivos'!O64)</f>
        <v>-</v>
      </c>
      <c r="K210" s="321">
        <f>IF('4.Electivos'!P64=0,"-",'4.Electivos'!P64)</f>
        <v>4</v>
      </c>
      <c r="L210" s="294" t="str">
        <f>IF('7.Sumillas'!G206=0,"",'7.Sumillas'!G206)</f>
        <v>Análisis y visualización de datos, es una asignatura de formación especializada, tiene carácter teórico práctico, contribuye al desarrollo de la competencia Investigación Educativa. El curso tiene por finalidad permitir al estudiante identificar patrones, tendencias y relaciones en conjuntos de datos, así como comunicar de manera efectiva los hallazgos a través de visualizaciones claras y significativas. El curso comprende el desarrollo de los siguientes ejes temáticos:  modelamiento predictivo, fundamentos de la visualización de datos, herramientas de visualización de datos, aplicaciones prácticas de análisis y visualización de datos. El producto acreditable es un informe de la solución a un problema de analítica y visualización de datos de un problema de su comunidad.</v>
      </c>
      <c r="M210" s="298"/>
      <c r="N210" s="298"/>
      <c r="O210" s="294" t="str">
        <f>CONCATENATE(CHAR(10),CONCATENATE('4.Electivos'!Y64,CHAR(10),'4.Electivos'!Z64,CHAR(10),'4.Electivos'!AA64,CHAR(10),'4.Electivos'!AB64,CHAR(10),'4.Electivos'!AC64))</f>
        <v xml:space="preserve">
CP4: Investigación Educativa:N3 Elabora el proyecto de investigación demostrando consistencia sobre todo en el marco teórico, diseño metodológico y validación de los instrumentos de investigación.
</v>
      </c>
      <c r="P210" s="298"/>
      <c r="Q210" s="298"/>
      <c r="R210" s="298"/>
      <c r="S210" s="322" t="str">
        <f t="shared" si="3"/>
        <v>No Aplica</v>
      </c>
      <c r="U210" s="296"/>
    </row>
    <row r="211" spans="1:21" ht="72">
      <c r="A211" s="292">
        <f>'4.Electivos'!B65</f>
        <v>10</v>
      </c>
      <c r="B211" s="292" t="str">
        <f>IF('4.Electivos'!C65="","",'4.Electivos'!C65)</f>
        <v/>
      </c>
      <c r="C211" s="292" t="str">
        <f>IF('4.Electivos'!E65="","",'4.Electivos'!E65)</f>
        <v/>
      </c>
      <c r="D211" s="293" t="str">
        <f>'4.Electivos'!I65</f>
        <v/>
      </c>
      <c r="E211" s="293" t="str">
        <f>IF('4.Electivos'!J65=0,"-",'4.Electivos'!J65)</f>
        <v>-</v>
      </c>
      <c r="F211" s="319" t="str">
        <f>IF('4.Electivos'!K65=0,"-",'4.Electivos'!K65)</f>
        <v>-</v>
      </c>
      <c r="G211" s="319" t="str">
        <f>IF('4.Electivos'!L65=0,"-",'4.Electivos'!L65)</f>
        <v>-</v>
      </c>
      <c r="H211" s="319" t="str">
        <f>IF('4.Electivos'!M65=0,"-",'4.Electivos'!M65)</f>
        <v>-</v>
      </c>
      <c r="I211" s="319" t="str">
        <f>IF('4.Electivos'!N65=0,"-",'4.Electivos'!N65)</f>
        <v>-</v>
      </c>
      <c r="J211" s="320" t="str">
        <f>IF('4.Electivos'!O65=0,"-",'4.Electivos'!O65)</f>
        <v>-</v>
      </c>
      <c r="K211" s="321" t="str">
        <f>IF('4.Electivos'!P65=0,"-",'4.Electivos'!P65)</f>
        <v>-</v>
      </c>
      <c r="L211" s="294" t="str">
        <f>IF('7.Sumillas'!G207=0,"",'7.Sumillas'!G207)</f>
        <v/>
      </c>
      <c r="M211" s="298"/>
      <c r="N211" s="298"/>
      <c r="O211" s="294" t="str">
        <f>CONCATENATE(CHAR(10),CONCATENATE('4.Electivos'!Y65,CHAR(10),'4.Electivos'!Z65,CHAR(10),'4.Electivos'!AA65,CHAR(10),'4.Electivos'!AB65,CHAR(10),'4.Electivos'!AC65))</f>
        <v xml:space="preserve">
</v>
      </c>
      <c r="P211" s="298"/>
      <c r="Q211" s="298"/>
      <c r="R211" s="298"/>
      <c r="S211" s="322" t="str">
        <f t="shared" si="3"/>
        <v>No Aplica</v>
      </c>
      <c r="U211" s="296"/>
    </row>
    <row r="212" spans="1:21" ht="72">
      <c r="A212" s="292">
        <f>'4.Electivos'!B66</f>
        <v>10</v>
      </c>
      <c r="B212" s="292" t="str">
        <f>IF('4.Electivos'!C66="","",'4.Electivos'!C66)</f>
        <v/>
      </c>
      <c r="C212" s="292" t="str">
        <f>IF('4.Electivos'!E66="","",'4.Electivos'!E66)</f>
        <v/>
      </c>
      <c r="D212" s="293" t="str">
        <f>'4.Electivos'!I66</f>
        <v/>
      </c>
      <c r="E212" s="293" t="str">
        <f>IF('4.Electivos'!J66=0,"-",'4.Electivos'!J66)</f>
        <v>-</v>
      </c>
      <c r="F212" s="319" t="str">
        <f>IF('4.Electivos'!K66=0,"-",'4.Electivos'!K66)</f>
        <v>-</v>
      </c>
      <c r="G212" s="319" t="str">
        <f>IF('4.Electivos'!L66=0,"-",'4.Electivos'!L66)</f>
        <v>-</v>
      </c>
      <c r="H212" s="319" t="str">
        <f>IF('4.Electivos'!M66=0,"-",'4.Electivos'!M66)</f>
        <v>-</v>
      </c>
      <c r="I212" s="319" t="str">
        <f>IF('4.Electivos'!N66=0,"-",'4.Electivos'!N66)</f>
        <v>-</v>
      </c>
      <c r="J212" s="320" t="str">
        <f>IF('4.Electivos'!O66=0,"-",'4.Electivos'!O66)</f>
        <v>-</v>
      </c>
      <c r="K212" s="321" t="str">
        <f>IF('4.Electivos'!P66=0,"-",'4.Electivos'!P66)</f>
        <v>-</v>
      </c>
      <c r="L212" s="294" t="str">
        <f>IF('7.Sumillas'!G208=0,"",'7.Sumillas'!G208)</f>
        <v/>
      </c>
      <c r="M212" s="298"/>
      <c r="N212" s="298"/>
      <c r="O212" s="294" t="str">
        <f>CONCATENATE(CHAR(10),CONCATENATE('4.Electivos'!Y66,CHAR(10),'4.Electivos'!Z66,CHAR(10),'4.Electivos'!AA66,CHAR(10),'4.Electivos'!AB66,CHAR(10),'4.Electivos'!AC66))</f>
        <v xml:space="preserve">
</v>
      </c>
      <c r="P212" s="298"/>
      <c r="Q212" s="298"/>
      <c r="R212" s="298"/>
      <c r="S212" s="322" t="str">
        <f t="shared" si="3"/>
        <v>No Aplica</v>
      </c>
      <c r="U212" s="296"/>
    </row>
    <row r="213" spans="1:21" ht="72">
      <c r="A213" s="292">
        <f>'4.Electivos'!B67</f>
        <v>10</v>
      </c>
      <c r="B213" s="292" t="str">
        <f>IF('4.Electivos'!C67="","",'4.Electivos'!C67)</f>
        <v/>
      </c>
      <c r="C213" s="292" t="str">
        <f>IF('4.Electivos'!E67="","",'4.Electivos'!E67)</f>
        <v/>
      </c>
      <c r="D213" s="293" t="str">
        <f>'4.Electivos'!I67</f>
        <v/>
      </c>
      <c r="E213" s="293" t="str">
        <f>IF('4.Electivos'!J67=0,"-",'4.Electivos'!J67)</f>
        <v>-</v>
      </c>
      <c r="F213" s="319" t="str">
        <f>IF('4.Electivos'!K67=0,"-",'4.Electivos'!K67)</f>
        <v>-</v>
      </c>
      <c r="G213" s="319" t="str">
        <f>IF('4.Electivos'!L67=0,"-",'4.Electivos'!L67)</f>
        <v>-</v>
      </c>
      <c r="H213" s="319" t="str">
        <f>IF('4.Electivos'!M67=0,"-",'4.Electivos'!M67)</f>
        <v>-</v>
      </c>
      <c r="I213" s="319" t="str">
        <f>IF('4.Electivos'!N67=0,"-",'4.Electivos'!N67)</f>
        <v>-</v>
      </c>
      <c r="J213" s="320" t="str">
        <f>IF('4.Electivos'!O67=0,"-",'4.Electivos'!O67)</f>
        <v>-</v>
      </c>
      <c r="K213" s="321" t="str">
        <f>IF('4.Electivos'!P67=0,"-",'4.Electivos'!P67)</f>
        <v>-</v>
      </c>
      <c r="L213" s="294" t="str">
        <f>IF('7.Sumillas'!G209=0,"",'7.Sumillas'!G209)</f>
        <v/>
      </c>
      <c r="M213" s="298"/>
      <c r="N213" s="298"/>
      <c r="O213" s="294" t="str">
        <f>CONCATENATE(CHAR(10),CONCATENATE('4.Electivos'!Y67,CHAR(10),'4.Electivos'!Z67,CHAR(10),'4.Electivos'!AA67,CHAR(10),'4.Electivos'!AB67,CHAR(10),'4.Electivos'!AC67))</f>
        <v xml:space="preserve">
</v>
      </c>
      <c r="P213" s="298"/>
      <c r="Q213" s="298"/>
      <c r="R213" s="298"/>
      <c r="S213" s="322" t="str">
        <f t="shared" si="3"/>
        <v>No Aplica</v>
      </c>
      <c r="U213" s="296"/>
    </row>
    <row r="214" spans="1:21" ht="72">
      <c r="A214" s="292">
        <f>'4.Electivos'!B68</f>
        <v>10</v>
      </c>
      <c r="B214" s="292" t="str">
        <f>IF('4.Electivos'!C68="","",'4.Electivos'!C68)</f>
        <v/>
      </c>
      <c r="C214" s="292" t="str">
        <f>IF('4.Electivos'!E68="","",'4.Electivos'!E68)</f>
        <v/>
      </c>
      <c r="D214" s="293" t="str">
        <f>'4.Electivos'!I68</f>
        <v/>
      </c>
      <c r="E214" s="293" t="str">
        <f>IF('4.Electivos'!J68=0,"-",'4.Electivos'!J68)</f>
        <v>-</v>
      </c>
      <c r="F214" s="319" t="str">
        <f>IF('4.Electivos'!K68=0,"-",'4.Electivos'!K68)</f>
        <v>-</v>
      </c>
      <c r="G214" s="319" t="str">
        <f>IF('4.Electivos'!L68=0,"-",'4.Electivos'!L68)</f>
        <v>-</v>
      </c>
      <c r="H214" s="319" t="str">
        <f>IF('4.Electivos'!M68=0,"-",'4.Electivos'!M68)</f>
        <v>-</v>
      </c>
      <c r="I214" s="319" t="str">
        <f>IF('4.Electivos'!N68=0,"-",'4.Electivos'!N68)</f>
        <v>-</v>
      </c>
      <c r="J214" s="320" t="str">
        <f>IF('4.Electivos'!O68=0,"-",'4.Electivos'!O68)</f>
        <v>-</v>
      </c>
      <c r="K214" s="321" t="str">
        <f>IF('4.Electivos'!P68=0,"-",'4.Electivos'!P68)</f>
        <v>-</v>
      </c>
      <c r="L214" s="294" t="str">
        <f>IF('7.Sumillas'!G210=0,"",'7.Sumillas'!G210)</f>
        <v/>
      </c>
      <c r="M214" s="298"/>
      <c r="N214" s="298"/>
      <c r="O214" s="294" t="str">
        <f>CONCATENATE(CHAR(10),CONCATENATE('4.Electivos'!Y68,CHAR(10),'4.Electivos'!Z68,CHAR(10),'4.Electivos'!AA68,CHAR(10),'4.Electivos'!AB68,CHAR(10),'4.Electivos'!AC68))</f>
        <v xml:space="preserve">
</v>
      </c>
      <c r="P214" s="298"/>
      <c r="Q214" s="298"/>
      <c r="R214" s="298"/>
      <c r="S214" s="322" t="str">
        <f t="shared" si="3"/>
        <v>No Aplica</v>
      </c>
      <c r="U214" s="296"/>
    </row>
    <row r="215" spans="1:21" ht="72" hidden="1">
      <c r="A215" s="292">
        <f>'4.Electivos'!B69</f>
        <v>11</v>
      </c>
      <c r="B215" s="292" t="str">
        <f>IF('4.Electivos'!C69="","",'4.Electivos'!C69)</f>
        <v/>
      </c>
      <c r="C215" s="292" t="str">
        <f>IF('4.Electivos'!E69="","",'4.Electivos'!E69)</f>
        <v/>
      </c>
      <c r="D215" s="293" t="str">
        <f>'4.Electivos'!I69</f>
        <v/>
      </c>
      <c r="E215" s="293" t="str">
        <f>IF('4.Electivos'!J69=0,"-",'4.Electivos'!J69)</f>
        <v>-</v>
      </c>
      <c r="F215" s="319" t="str">
        <f>IF('4.Electivos'!K69=0,"-",'4.Electivos'!K69)</f>
        <v>-</v>
      </c>
      <c r="G215" s="319" t="str">
        <f>IF('4.Electivos'!L69=0,"-",'4.Electivos'!L69)</f>
        <v>-</v>
      </c>
      <c r="H215" s="319" t="str">
        <f>IF('4.Electivos'!M69=0,"-",'4.Electivos'!M69)</f>
        <v>-</v>
      </c>
      <c r="I215" s="319" t="str">
        <f>IF('4.Electivos'!N69=0,"-",'4.Electivos'!N69)</f>
        <v>-</v>
      </c>
      <c r="J215" s="320" t="str">
        <f>IF('4.Electivos'!O69=0,"-",'4.Electivos'!O69)</f>
        <v>-</v>
      </c>
      <c r="K215" s="321" t="str">
        <f>IF('4.Electivos'!P69=0,"-",'4.Electivos'!P69)</f>
        <v>-</v>
      </c>
      <c r="L215" s="294" t="str">
        <f>IF('7.Sumillas'!G211=0,"",'7.Sumillas'!G211)</f>
        <v/>
      </c>
      <c r="M215" s="298"/>
      <c r="N215" s="298"/>
      <c r="O215" s="294" t="str">
        <f>CONCATENATE(CHAR(10),CONCATENATE('4.Electivos'!Y69,CHAR(10),'4.Electivos'!Z69,CHAR(10),'4.Electivos'!AA69,CHAR(10),'4.Electivos'!AB69,CHAR(10),'4.Electivos'!AC69))</f>
        <v xml:space="preserve">
</v>
      </c>
      <c r="P215" s="298"/>
      <c r="Q215" s="298"/>
      <c r="R215" s="298"/>
      <c r="S215" s="322" t="str">
        <f t="shared" si="3"/>
        <v>No Aplica</v>
      </c>
      <c r="U215" s="296"/>
    </row>
    <row r="216" spans="1:21" ht="72" hidden="1">
      <c r="A216" s="292">
        <f>'4.Electivos'!B70</f>
        <v>11</v>
      </c>
      <c r="B216" s="292" t="str">
        <f>IF('4.Electivos'!C70="","",'4.Electivos'!C70)</f>
        <v/>
      </c>
      <c r="C216" s="292" t="str">
        <f>IF('4.Electivos'!E70="","",'4.Electivos'!E70)</f>
        <v/>
      </c>
      <c r="D216" s="293" t="str">
        <f>'4.Electivos'!I70</f>
        <v/>
      </c>
      <c r="E216" s="293" t="str">
        <f>IF('4.Electivos'!J70=0,"-",'4.Electivos'!J70)</f>
        <v>-</v>
      </c>
      <c r="F216" s="319" t="str">
        <f>IF('4.Electivos'!K70=0,"-",'4.Electivos'!K70)</f>
        <v>-</v>
      </c>
      <c r="G216" s="319" t="str">
        <f>IF('4.Electivos'!L70=0,"-",'4.Electivos'!L70)</f>
        <v>-</v>
      </c>
      <c r="H216" s="319" t="str">
        <f>IF('4.Electivos'!M70=0,"-",'4.Electivos'!M70)</f>
        <v>-</v>
      </c>
      <c r="I216" s="319" t="str">
        <f>IF('4.Electivos'!N70=0,"-",'4.Electivos'!N70)</f>
        <v>-</v>
      </c>
      <c r="J216" s="320" t="str">
        <f>IF('4.Electivos'!O70=0,"-",'4.Electivos'!O70)</f>
        <v>-</v>
      </c>
      <c r="K216" s="321" t="str">
        <f>IF('4.Electivos'!P70=0,"-",'4.Electivos'!P70)</f>
        <v>-</v>
      </c>
      <c r="L216" s="294" t="str">
        <f>IF('7.Sumillas'!G212=0,"",'7.Sumillas'!G212)</f>
        <v/>
      </c>
      <c r="M216" s="298"/>
      <c r="N216" s="298"/>
      <c r="O216" s="294" t="str">
        <f>CONCATENATE(CHAR(10),CONCATENATE('4.Electivos'!Y70,CHAR(10),'4.Electivos'!Z70,CHAR(10),'4.Electivos'!AA70,CHAR(10),'4.Electivos'!AB70,CHAR(10),'4.Electivos'!AC70))</f>
        <v xml:space="preserve">
</v>
      </c>
      <c r="P216" s="298"/>
      <c r="Q216" s="298"/>
      <c r="R216" s="298"/>
      <c r="S216" s="322" t="str">
        <f t="shared" si="3"/>
        <v>No Aplica</v>
      </c>
      <c r="U216" s="296"/>
    </row>
    <row r="217" spans="1:21" ht="72" hidden="1">
      <c r="A217" s="292">
        <f>'4.Electivos'!B71</f>
        <v>11</v>
      </c>
      <c r="B217" s="292" t="str">
        <f>IF('4.Electivos'!C71="","",'4.Electivos'!C71)</f>
        <v/>
      </c>
      <c r="C217" s="292" t="str">
        <f>IF('4.Electivos'!E71="","",'4.Electivos'!E71)</f>
        <v/>
      </c>
      <c r="D217" s="293" t="str">
        <f>'4.Electivos'!I71</f>
        <v/>
      </c>
      <c r="E217" s="293" t="str">
        <f>IF('4.Electivos'!J71=0,"-",'4.Electivos'!J71)</f>
        <v>-</v>
      </c>
      <c r="F217" s="319" t="str">
        <f>IF('4.Electivos'!K71=0,"-",'4.Electivos'!K71)</f>
        <v>-</v>
      </c>
      <c r="G217" s="319" t="str">
        <f>IF('4.Electivos'!L71=0,"-",'4.Electivos'!L71)</f>
        <v>-</v>
      </c>
      <c r="H217" s="319" t="str">
        <f>IF('4.Electivos'!M71=0,"-",'4.Electivos'!M71)</f>
        <v>-</v>
      </c>
      <c r="I217" s="319" t="str">
        <f>IF('4.Electivos'!N71=0,"-",'4.Electivos'!N71)</f>
        <v>-</v>
      </c>
      <c r="J217" s="320" t="str">
        <f>IF('4.Electivos'!O71=0,"-",'4.Electivos'!O71)</f>
        <v>-</v>
      </c>
      <c r="K217" s="321" t="str">
        <f>IF('4.Electivos'!P71=0,"-",'4.Electivos'!P71)</f>
        <v>-</v>
      </c>
      <c r="L217" s="294" t="str">
        <f>IF('7.Sumillas'!G213=0,"",'7.Sumillas'!G213)</f>
        <v/>
      </c>
      <c r="M217" s="298"/>
      <c r="N217" s="298"/>
      <c r="O217" s="294" t="str">
        <f>CONCATENATE(CHAR(10),CONCATENATE('4.Electivos'!Y71,CHAR(10),'4.Electivos'!Z71,CHAR(10),'4.Electivos'!AA71,CHAR(10),'4.Electivos'!AB71,CHAR(10),'4.Electivos'!AC71))</f>
        <v xml:space="preserve">
</v>
      </c>
      <c r="P217" s="298"/>
      <c r="Q217" s="298"/>
      <c r="R217" s="298"/>
      <c r="S217" s="322" t="str">
        <f t="shared" si="3"/>
        <v>No Aplica</v>
      </c>
      <c r="U217" s="296"/>
    </row>
    <row r="218" spans="1:21" ht="72" hidden="1">
      <c r="A218" s="292">
        <f>'4.Electivos'!B72</f>
        <v>11</v>
      </c>
      <c r="B218" s="292" t="str">
        <f>IF('4.Electivos'!C72="","",'4.Electivos'!C72)</f>
        <v/>
      </c>
      <c r="C218" s="292" t="str">
        <f>IF('4.Electivos'!E72="","",'4.Electivos'!E72)</f>
        <v/>
      </c>
      <c r="D218" s="293" t="str">
        <f>'4.Electivos'!I72</f>
        <v/>
      </c>
      <c r="E218" s="293" t="str">
        <f>IF('4.Electivos'!J72=0,"-",'4.Electivos'!J72)</f>
        <v>-</v>
      </c>
      <c r="F218" s="319" t="str">
        <f>IF('4.Electivos'!K72=0,"-",'4.Electivos'!K72)</f>
        <v>-</v>
      </c>
      <c r="G218" s="319" t="str">
        <f>IF('4.Electivos'!L72=0,"-",'4.Electivos'!L72)</f>
        <v>-</v>
      </c>
      <c r="H218" s="319" t="str">
        <f>IF('4.Electivos'!M72=0,"-",'4.Electivos'!M72)</f>
        <v>-</v>
      </c>
      <c r="I218" s="319" t="str">
        <f>IF('4.Electivos'!N72=0,"-",'4.Electivos'!N72)</f>
        <v>-</v>
      </c>
      <c r="J218" s="320" t="str">
        <f>IF('4.Electivos'!O72=0,"-",'4.Electivos'!O72)</f>
        <v>-</v>
      </c>
      <c r="K218" s="321" t="str">
        <f>IF('4.Electivos'!P72=0,"-",'4.Electivos'!P72)</f>
        <v>-</v>
      </c>
      <c r="L218" s="294" t="str">
        <f>IF('7.Sumillas'!G214=0,"",'7.Sumillas'!G214)</f>
        <v/>
      </c>
      <c r="M218" s="298"/>
      <c r="N218" s="298"/>
      <c r="O218" s="294" t="str">
        <f>CONCATENATE(CHAR(10),CONCATENATE('4.Electivos'!Y72,CHAR(10),'4.Electivos'!Z72,CHAR(10),'4.Electivos'!AA72,CHAR(10),'4.Electivos'!AB72,CHAR(10),'4.Electivos'!AC72))</f>
        <v xml:space="preserve">
</v>
      </c>
      <c r="P218" s="298"/>
      <c r="Q218" s="298"/>
      <c r="R218" s="298"/>
      <c r="S218" s="322" t="str">
        <f t="shared" si="3"/>
        <v>No Aplica</v>
      </c>
      <c r="U218" s="296"/>
    </row>
    <row r="219" spans="1:21" ht="72" hidden="1">
      <c r="A219" s="292">
        <f>'4.Electivos'!B73</f>
        <v>11</v>
      </c>
      <c r="B219" s="292" t="str">
        <f>IF('4.Electivos'!C73="","",'4.Electivos'!C73)</f>
        <v/>
      </c>
      <c r="C219" s="292" t="str">
        <f>IF('4.Electivos'!E73="","",'4.Electivos'!E73)</f>
        <v/>
      </c>
      <c r="D219" s="293" t="str">
        <f>'4.Electivos'!I73</f>
        <v/>
      </c>
      <c r="E219" s="293" t="str">
        <f>IF('4.Electivos'!J73=0,"-",'4.Electivos'!J73)</f>
        <v>-</v>
      </c>
      <c r="F219" s="319" t="str">
        <f>IF('4.Electivos'!K73=0,"-",'4.Electivos'!K73)</f>
        <v>-</v>
      </c>
      <c r="G219" s="319" t="str">
        <f>IF('4.Electivos'!L73=0,"-",'4.Electivos'!L73)</f>
        <v>-</v>
      </c>
      <c r="H219" s="319" t="str">
        <f>IF('4.Electivos'!M73=0,"-",'4.Electivos'!M73)</f>
        <v>-</v>
      </c>
      <c r="I219" s="319" t="str">
        <f>IF('4.Electivos'!N73=0,"-",'4.Electivos'!N73)</f>
        <v>-</v>
      </c>
      <c r="J219" s="320" t="str">
        <f>IF('4.Electivos'!O73=0,"-",'4.Electivos'!O73)</f>
        <v>-</v>
      </c>
      <c r="K219" s="321" t="str">
        <f>IF('4.Electivos'!P73=0,"-",'4.Electivos'!P73)</f>
        <v>-</v>
      </c>
      <c r="L219" s="294" t="str">
        <f>IF('7.Sumillas'!G215=0,"",'7.Sumillas'!G215)</f>
        <v/>
      </c>
      <c r="M219" s="298"/>
      <c r="N219" s="298"/>
      <c r="O219" s="294" t="str">
        <f>CONCATENATE(CHAR(10),CONCATENATE('4.Electivos'!Y73,CHAR(10),'4.Electivos'!Z73,CHAR(10),'4.Electivos'!AA73,CHAR(10),'4.Electivos'!AB73,CHAR(10),'4.Electivos'!AC73))</f>
        <v xml:space="preserve">
</v>
      </c>
      <c r="P219" s="298"/>
      <c r="Q219" s="298"/>
      <c r="R219" s="298"/>
      <c r="S219" s="322" t="str">
        <f t="shared" si="3"/>
        <v>No Aplica</v>
      </c>
      <c r="U219" s="296"/>
    </row>
    <row r="220" spans="1:21" ht="72" hidden="1">
      <c r="A220" s="292">
        <f>'4.Electivos'!B74</f>
        <v>11</v>
      </c>
      <c r="B220" s="292" t="str">
        <f>IF('4.Electivos'!C74="","",'4.Electivos'!C74)</f>
        <v/>
      </c>
      <c r="C220" s="292" t="str">
        <f>IF('4.Electivos'!E74="","",'4.Electivos'!E74)</f>
        <v/>
      </c>
      <c r="D220" s="293" t="str">
        <f>'4.Electivos'!I74</f>
        <v/>
      </c>
      <c r="E220" s="293" t="str">
        <f>IF('4.Electivos'!J74=0,"-",'4.Electivos'!J74)</f>
        <v>-</v>
      </c>
      <c r="F220" s="319" t="str">
        <f>IF('4.Electivos'!K74=0,"-",'4.Electivos'!K74)</f>
        <v>-</v>
      </c>
      <c r="G220" s="319" t="str">
        <f>IF('4.Electivos'!L74=0,"-",'4.Electivos'!L74)</f>
        <v>-</v>
      </c>
      <c r="H220" s="319" t="str">
        <f>IF('4.Electivos'!M74=0,"-",'4.Electivos'!M74)</f>
        <v>-</v>
      </c>
      <c r="I220" s="319" t="str">
        <f>IF('4.Electivos'!N74=0,"-",'4.Electivos'!N74)</f>
        <v>-</v>
      </c>
      <c r="J220" s="320" t="str">
        <f>IF('4.Electivos'!O74=0,"-",'4.Electivos'!O74)</f>
        <v>-</v>
      </c>
      <c r="K220" s="321" t="str">
        <f>IF('4.Electivos'!P74=0,"-",'4.Electivos'!P74)</f>
        <v>-</v>
      </c>
      <c r="L220" s="294" t="str">
        <f>IF('7.Sumillas'!G216=0,"",'7.Sumillas'!G216)</f>
        <v/>
      </c>
      <c r="M220" s="298"/>
      <c r="N220" s="298"/>
      <c r="O220" s="294" t="str">
        <f>CONCATENATE(CHAR(10),CONCATENATE('4.Electivos'!Y74,CHAR(10),'4.Electivos'!Z74,CHAR(10),'4.Electivos'!AA74,CHAR(10),'4.Electivos'!AB74,CHAR(10),'4.Electivos'!AC74))</f>
        <v xml:space="preserve">
</v>
      </c>
      <c r="P220" s="298"/>
      <c r="Q220" s="298"/>
      <c r="R220" s="298"/>
      <c r="S220" s="322" t="str">
        <f t="shared" ref="S220:S254" si="4">IF(H220&lt;&gt;"-","","No Aplica")</f>
        <v>No Aplica</v>
      </c>
      <c r="U220" s="296"/>
    </row>
    <row r="221" spans="1:21" ht="72" hidden="1">
      <c r="A221" s="292">
        <f>'4.Electivos'!B75</f>
        <v>11</v>
      </c>
      <c r="B221" s="292" t="str">
        <f>IF('4.Electivos'!C75="","",'4.Electivos'!C75)</f>
        <v/>
      </c>
      <c r="C221" s="292" t="str">
        <f>IF('4.Electivos'!E75="","",'4.Electivos'!E75)</f>
        <v/>
      </c>
      <c r="D221" s="293" t="str">
        <f>'4.Electivos'!I75</f>
        <v/>
      </c>
      <c r="E221" s="293" t="str">
        <f>IF('4.Electivos'!J75=0,"-",'4.Electivos'!J75)</f>
        <v>-</v>
      </c>
      <c r="F221" s="319" t="str">
        <f>IF('4.Electivos'!K75=0,"-",'4.Electivos'!K75)</f>
        <v>-</v>
      </c>
      <c r="G221" s="319" t="str">
        <f>IF('4.Electivos'!L75=0,"-",'4.Electivos'!L75)</f>
        <v>-</v>
      </c>
      <c r="H221" s="319" t="str">
        <f>IF('4.Electivos'!M75=0,"-",'4.Electivos'!M75)</f>
        <v>-</v>
      </c>
      <c r="I221" s="319" t="str">
        <f>IF('4.Electivos'!N75=0,"-",'4.Electivos'!N75)</f>
        <v>-</v>
      </c>
      <c r="J221" s="320" t="str">
        <f>IF('4.Electivos'!O75=0,"-",'4.Electivos'!O75)</f>
        <v>-</v>
      </c>
      <c r="K221" s="321" t="str">
        <f>IF('4.Electivos'!P75=0,"-",'4.Electivos'!P75)</f>
        <v>-</v>
      </c>
      <c r="L221" s="294" t="str">
        <f>IF('7.Sumillas'!G217=0,"",'7.Sumillas'!G217)</f>
        <v/>
      </c>
      <c r="M221" s="298"/>
      <c r="N221" s="298"/>
      <c r="O221" s="294" t="str">
        <f>CONCATENATE(CHAR(10),CONCATENATE('4.Electivos'!Y75,CHAR(10),'4.Electivos'!Z75,CHAR(10),'4.Electivos'!AA75,CHAR(10),'4.Electivos'!AB75,CHAR(10),'4.Electivos'!AC75))</f>
        <v xml:space="preserve">
</v>
      </c>
      <c r="P221" s="298"/>
      <c r="Q221" s="298"/>
      <c r="R221" s="298"/>
      <c r="S221" s="322" t="str">
        <f t="shared" si="4"/>
        <v>No Aplica</v>
      </c>
      <c r="U221" s="296"/>
    </row>
    <row r="222" spans="1:21" ht="72" hidden="1">
      <c r="A222" s="292">
        <f>'4.Electivos'!B76</f>
        <v>11</v>
      </c>
      <c r="B222" s="292" t="str">
        <f>IF('4.Electivos'!C76="","",'4.Electivos'!C76)</f>
        <v/>
      </c>
      <c r="C222" s="292" t="str">
        <f>IF('4.Electivos'!E76="","",'4.Electivos'!E76)</f>
        <v/>
      </c>
      <c r="D222" s="293" t="str">
        <f>'4.Electivos'!I76</f>
        <v/>
      </c>
      <c r="E222" s="293" t="str">
        <f>IF('4.Electivos'!J76=0,"-",'4.Electivos'!J76)</f>
        <v>-</v>
      </c>
      <c r="F222" s="319" t="str">
        <f>IF('4.Electivos'!K76=0,"-",'4.Electivos'!K76)</f>
        <v>-</v>
      </c>
      <c r="G222" s="319" t="str">
        <f>IF('4.Electivos'!L76=0,"-",'4.Electivos'!L76)</f>
        <v>-</v>
      </c>
      <c r="H222" s="319" t="str">
        <f>IF('4.Electivos'!M76=0,"-",'4.Electivos'!M76)</f>
        <v>-</v>
      </c>
      <c r="I222" s="319" t="str">
        <f>IF('4.Electivos'!N76=0,"-",'4.Electivos'!N76)</f>
        <v>-</v>
      </c>
      <c r="J222" s="320" t="str">
        <f>IF('4.Electivos'!O76=0,"-",'4.Electivos'!O76)</f>
        <v>-</v>
      </c>
      <c r="K222" s="321" t="str">
        <f>IF('4.Electivos'!P76=0,"-",'4.Electivos'!P76)</f>
        <v>-</v>
      </c>
      <c r="L222" s="294" t="str">
        <f>IF('7.Sumillas'!G218=0,"",'7.Sumillas'!G218)</f>
        <v/>
      </c>
      <c r="M222" s="298"/>
      <c r="N222" s="298"/>
      <c r="O222" s="294" t="str">
        <f>CONCATENATE(CHAR(10),CONCATENATE('4.Electivos'!Y76,CHAR(10),'4.Electivos'!Z76,CHAR(10),'4.Electivos'!AA76,CHAR(10),'4.Electivos'!AB76,CHAR(10),'4.Electivos'!AC76))</f>
        <v xml:space="preserve">
</v>
      </c>
      <c r="P222" s="298"/>
      <c r="Q222" s="298"/>
      <c r="R222" s="298"/>
      <c r="S222" s="322" t="str">
        <f t="shared" si="4"/>
        <v>No Aplica</v>
      </c>
      <c r="U222" s="296"/>
    </row>
    <row r="223" spans="1:21" ht="72" hidden="1">
      <c r="A223" s="292">
        <f>'4.Electivos'!B77</f>
        <v>11</v>
      </c>
      <c r="B223" s="292" t="str">
        <f>IF('4.Electivos'!C77="","",'4.Electivos'!C77)</f>
        <v/>
      </c>
      <c r="C223" s="292" t="str">
        <f>IF('4.Electivos'!E77="","",'4.Electivos'!E77)</f>
        <v/>
      </c>
      <c r="D223" s="293" t="str">
        <f>'4.Electivos'!I77</f>
        <v/>
      </c>
      <c r="E223" s="293" t="str">
        <f>IF('4.Electivos'!J77=0,"-",'4.Electivos'!J77)</f>
        <v>-</v>
      </c>
      <c r="F223" s="319" t="str">
        <f>IF('4.Electivos'!K77=0,"-",'4.Electivos'!K77)</f>
        <v>-</v>
      </c>
      <c r="G223" s="319" t="str">
        <f>IF('4.Electivos'!L77=0,"-",'4.Electivos'!L77)</f>
        <v>-</v>
      </c>
      <c r="H223" s="319" t="str">
        <f>IF('4.Electivos'!M77=0,"-",'4.Electivos'!M77)</f>
        <v>-</v>
      </c>
      <c r="I223" s="319" t="str">
        <f>IF('4.Electivos'!N77=0,"-",'4.Electivos'!N77)</f>
        <v>-</v>
      </c>
      <c r="J223" s="320" t="str">
        <f>IF('4.Electivos'!O77=0,"-",'4.Electivos'!O77)</f>
        <v>-</v>
      </c>
      <c r="K223" s="321" t="str">
        <f>IF('4.Electivos'!P77=0,"-",'4.Electivos'!P77)</f>
        <v>-</v>
      </c>
      <c r="L223" s="294" t="str">
        <f>IF('7.Sumillas'!G219=0,"",'7.Sumillas'!G219)</f>
        <v/>
      </c>
      <c r="M223" s="298"/>
      <c r="N223" s="298"/>
      <c r="O223" s="294" t="str">
        <f>CONCATENATE(CHAR(10),CONCATENATE('4.Electivos'!Y77,CHAR(10),'4.Electivos'!Z77,CHAR(10),'4.Electivos'!AA77,CHAR(10),'4.Electivos'!AB77,CHAR(10),'4.Electivos'!AC77))</f>
        <v xml:space="preserve">
</v>
      </c>
      <c r="P223" s="298"/>
      <c r="Q223" s="298"/>
      <c r="R223" s="298"/>
      <c r="S223" s="322" t="str">
        <f t="shared" si="4"/>
        <v>No Aplica</v>
      </c>
      <c r="U223" s="296"/>
    </row>
    <row r="224" spans="1:21" ht="72" hidden="1">
      <c r="A224" s="292">
        <f>'4.Electivos'!B78</f>
        <v>11</v>
      </c>
      <c r="B224" s="292" t="str">
        <f>IF('4.Electivos'!C78="","",'4.Electivos'!C78)</f>
        <v/>
      </c>
      <c r="C224" s="292" t="str">
        <f>IF('4.Electivos'!E78="","",'4.Electivos'!E78)</f>
        <v/>
      </c>
      <c r="D224" s="293" t="str">
        <f>'4.Electivos'!I78</f>
        <v/>
      </c>
      <c r="E224" s="293" t="str">
        <f>IF('4.Electivos'!J78=0,"-",'4.Electivos'!J78)</f>
        <v>-</v>
      </c>
      <c r="F224" s="319" t="str">
        <f>IF('4.Electivos'!K78=0,"-",'4.Electivos'!K78)</f>
        <v>-</v>
      </c>
      <c r="G224" s="319" t="str">
        <f>IF('4.Electivos'!L78=0,"-",'4.Electivos'!L78)</f>
        <v>-</v>
      </c>
      <c r="H224" s="319" t="str">
        <f>IF('4.Electivos'!M78=0,"-",'4.Electivos'!M78)</f>
        <v>-</v>
      </c>
      <c r="I224" s="319" t="str">
        <f>IF('4.Electivos'!N78=0,"-",'4.Electivos'!N78)</f>
        <v>-</v>
      </c>
      <c r="J224" s="320" t="str">
        <f>IF('4.Electivos'!O78=0,"-",'4.Electivos'!O78)</f>
        <v>-</v>
      </c>
      <c r="K224" s="321" t="str">
        <f>IF('4.Electivos'!P78=0,"-",'4.Electivos'!P78)</f>
        <v>-</v>
      </c>
      <c r="L224" s="294" t="str">
        <f>IF('7.Sumillas'!G220=0,"",'7.Sumillas'!G220)</f>
        <v/>
      </c>
      <c r="M224" s="298"/>
      <c r="N224" s="298"/>
      <c r="O224" s="294" t="str">
        <f>CONCATENATE(CHAR(10),CONCATENATE('4.Electivos'!Y78,CHAR(10),'4.Electivos'!Z78,CHAR(10),'4.Electivos'!AA78,CHAR(10),'4.Electivos'!AB78,CHAR(10),'4.Electivos'!AC78))</f>
        <v xml:space="preserve">
</v>
      </c>
      <c r="P224" s="298"/>
      <c r="Q224" s="298"/>
      <c r="R224" s="298"/>
      <c r="S224" s="322" t="str">
        <f t="shared" si="4"/>
        <v>No Aplica</v>
      </c>
      <c r="U224" s="296"/>
    </row>
    <row r="225" spans="1:21" ht="72" hidden="1">
      <c r="A225" s="292">
        <f>'4.Electivos'!B79</f>
        <v>12</v>
      </c>
      <c r="B225" s="292" t="str">
        <f>IF('4.Electivos'!C79="","",'4.Electivos'!C79)</f>
        <v/>
      </c>
      <c r="C225" s="292" t="str">
        <f>IF('4.Electivos'!E79="","",'4.Electivos'!E79)</f>
        <v/>
      </c>
      <c r="D225" s="293" t="str">
        <f>'4.Electivos'!I79</f>
        <v/>
      </c>
      <c r="E225" s="293" t="str">
        <f>IF('4.Electivos'!J79=0,"-",'4.Electivos'!J79)</f>
        <v>-</v>
      </c>
      <c r="F225" s="319" t="str">
        <f>IF('4.Electivos'!K79=0,"-",'4.Electivos'!K79)</f>
        <v>-</v>
      </c>
      <c r="G225" s="319" t="str">
        <f>IF('4.Electivos'!L79=0,"-",'4.Electivos'!L79)</f>
        <v>-</v>
      </c>
      <c r="H225" s="319" t="str">
        <f>IF('4.Electivos'!M79=0,"-",'4.Electivos'!M79)</f>
        <v>-</v>
      </c>
      <c r="I225" s="319" t="str">
        <f>IF('4.Electivos'!N79=0,"-",'4.Electivos'!N79)</f>
        <v>-</v>
      </c>
      <c r="J225" s="320" t="str">
        <f>IF('4.Electivos'!O79=0,"-",'4.Electivos'!O79)</f>
        <v>-</v>
      </c>
      <c r="K225" s="321" t="str">
        <f>IF('4.Electivos'!P79=0,"-",'4.Electivos'!P79)</f>
        <v>-</v>
      </c>
      <c r="L225" s="294" t="str">
        <f>IF('7.Sumillas'!G221=0,"",'7.Sumillas'!G221)</f>
        <v/>
      </c>
      <c r="M225" s="298"/>
      <c r="N225" s="298"/>
      <c r="O225" s="294" t="str">
        <f>CONCATENATE(CHAR(10),CONCATENATE('4.Electivos'!Y79,CHAR(10),'4.Electivos'!Z79,CHAR(10),'4.Electivos'!AA79,CHAR(10),'4.Electivos'!AB79,CHAR(10),'4.Electivos'!AC79))</f>
        <v xml:space="preserve">
</v>
      </c>
      <c r="P225" s="298"/>
      <c r="Q225" s="298"/>
      <c r="R225" s="298"/>
      <c r="S225" s="322" t="str">
        <f t="shared" si="4"/>
        <v>No Aplica</v>
      </c>
      <c r="U225" s="296"/>
    </row>
    <row r="226" spans="1:21" ht="72" hidden="1">
      <c r="A226" s="292">
        <f>'4.Electivos'!B80</f>
        <v>12</v>
      </c>
      <c r="B226" s="292" t="str">
        <f>IF('4.Electivos'!C80="","",'4.Electivos'!C80)</f>
        <v/>
      </c>
      <c r="C226" s="292" t="str">
        <f>IF('4.Electivos'!E80="","",'4.Electivos'!E80)</f>
        <v/>
      </c>
      <c r="D226" s="293" t="str">
        <f>'4.Electivos'!I80</f>
        <v/>
      </c>
      <c r="E226" s="293" t="str">
        <f>IF('4.Electivos'!J80=0,"-",'4.Electivos'!J80)</f>
        <v>-</v>
      </c>
      <c r="F226" s="319" t="str">
        <f>IF('4.Electivos'!K80=0,"-",'4.Electivos'!K80)</f>
        <v>-</v>
      </c>
      <c r="G226" s="319" t="str">
        <f>IF('4.Electivos'!L80=0,"-",'4.Electivos'!L80)</f>
        <v>-</v>
      </c>
      <c r="H226" s="319" t="str">
        <f>IF('4.Electivos'!M80=0,"-",'4.Electivos'!M80)</f>
        <v>-</v>
      </c>
      <c r="I226" s="319" t="str">
        <f>IF('4.Electivos'!N80=0,"-",'4.Electivos'!N80)</f>
        <v>-</v>
      </c>
      <c r="J226" s="320" t="str">
        <f>IF('4.Electivos'!O80=0,"-",'4.Electivos'!O80)</f>
        <v>-</v>
      </c>
      <c r="K226" s="321" t="str">
        <f>IF('4.Electivos'!P80=0,"-",'4.Electivos'!P80)</f>
        <v>-</v>
      </c>
      <c r="L226" s="294" t="str">
        <f>IF('7.Sumillas'!G222=0,"",'7.Sumillas'!G222)</f>
        <v/>
      </c>
      <c r="M226" s="298"/>
      <c r="N226" s="298"/>
      <c r="O226" s="294" t="str">
        <f>CONCATENATE(CHAR(10),CONCATENATE('4.Electivos'!Y80,CHAR(10),'4.Electivos'!Z80,CHAR(10),'4.Electivos'!AA80,CHAR(10),'4.Electivos'!AB80,CHAR(10),'4.Electivos'!AC80))</f>
        <v xml:space="preserve">
</v>
      </c>
      <c r="P226" s="298"/>
      <c r="Q226" s="298"/>
      <c r="R226" s="298"/>
      <c r="S226" s="322" t="str">
        <f t="shared" si="4"/>
        <v>No Aplica</v>
      </c>
      <c r="U226" s="296"/>
    </row>
    <row r="227" spans="1:21" ht="72" hidden="1">
      <c r="A227" s="292">
        <f>'4.Electivos'!B81</f>
        <v>12</v>
      </c>
      <c r="B227" s="292" t="str">
        <f>IF('4.Electivos'!C81="","",'4.Electivos'!C81)</f>
        <v/>
      </c>
      <c r="C227" s="292" t="str">
        <f>IF('4.Electivos'!E81="","",'4.Electivos'!E81)</f>
        <v/>
      </c>
      <c r="D227" s="293" t="str">
        <f>'4.Electivos'!I81</f>
        <v/>
      </c>
      <c r="E227" s="293" t="str">
        <f>IF('4.Electivos'!J81=0,"-",'4.Electivos'!J81)</f>
        <v>-</v>
      </c>
      <c r="F227" s="319" t="str">
        <f>IF('4.Electivos'!K81=0,"-",'4.Electivos'!K81)</f>
        <v>-</v>
      </c>
      <c r="G227" s="319" t="str">
        <f>IF('4.Electivos'!L81=0,"-",'4.Electivos'!L81)</f>
        <v>-</v>
      </c>
      <c r="H227" s="319" t="str">
        <f>IF('4.Electivos'!M81=0,"-",'4.Electivos'!M81)</f>
        <v>-</v>
      </c>
      <c r="I227" s="319" t="str">
        <f>IF('4.Electivos'!N81=0,"-",'4.Electivos'!N81)</f>
        <v>-</v>
      </c>
      <c r="J227" s="320" t="str">
        <f>IF('4.Electivos'!O81=0,"-",'4.Electivos'!O81)</f>
        <v>-</v>
      </c>
      <c r="K227" s="321" t="str">
        <f>IF('4.Electivos'!P81=0,"-",'4.Electivos'!P81)</f>
        <v>-</v>
      </c>
      <c r="L227" s="294" t="str">
        <f>IF('7.Sumillas'!G223=0,"",'7.Sumillas'!G223)</f>
        <v/>
      </c>
      <c r="M227" s="298"/>
      <c r="N227" s="298"/>
      <c r="O227" s="294" t="str">
        <f>CONCATENATE(CHAR(10),CONCATENATE('4.Electivos'!Y81,CHAR(10),'4.Electivos'!Z81,CHAR(10),'4.Electivos'!AA81,CHAR(10),'4.Electivos'!AB81,CHAR(10),'4.Electivos'!AC81))</f>
        <v xml:space="preserve">
</v>
      </c>
      <c r="P227" s="298"/>
      <c r="Q227" s="298"/>
      <c r="R227" s="298"/>
      <c r="S227" s="322" t="str">
        <f t="shared" si="4"/>
        <v>No Aplica</v>
      </c>
      <c r="U227" s="296"/>
    </row>
    <row r="228" spans="1:21" ht="72" hidden="1">
      <c r="A228" s="292">
        <f>'4.Electivos'!B82</f>
        <v>12</v>
      </c>
      <c r="B228" s="292" t="str">
        <f>IF('4.Electivos'!C82="","",'4.Electivos'!C82)</f>
        <v/>
      </c>
      <c r="C228" s="292" t="str">
        <f>IF('4.Electivos'!E82="","",'4.Electivos'!E82)</f>
        <v/>
      </c>
      <c r="D228" s="293" t="str">
        <f>'4.Electivos'!I82</f>
        <v/>
      </c>
      <c r="E228" s="293" t="str">
        <f>IF('4.Electivos'!J82=0,"-",'4.Electivos'!J82)</f>
        <v>-</v>
      </c>
      <c r="F228" s="319" t="str">
        <f>IF('4.Electivos'!K82=0,"-",'4.Electivos'!K82)</f>
        <v>-</v>
      </c>
      <c r="G228" s="319" t="str">
        <f>IF('4.Electivos'!L82=0,"-",'4.Electivos'!L82)</f>
        <v>-</v>
      </c>
      <c r="H228" s="319" t="str">
        <f>IF('4.Electivos'!M82=0,"-",'4.Electivos'!M82)</f>
        <v>-</v>
      </c>
      <c r="I228" s="319" t="str">
        <f>IF('4.Electivos'!N82=0,"-",'4.Electivos'!N82)</f>
        <v>-</v>
      </c>
      <c r="J228" s="320" t="str">
        <f>IF('4.Electivos'!O82=0,"-",'4.Electivos'!O82)</f>
        <v>-</v>
      </c>
      <c r="K228" s="321" t="str">
        <f>IF('4.Electivos'!P82=0,"-",'4.Electivos'!P82)</f>
        <v>-</v>
      </c>
      <c r="L228" s="294" t="str">
        <f>IF('7.Sumillas'!G224=0,"",'7.Sumillas'!G224)</f>
        <v/>
      </c>
      <c r="M228" s="298"/>
      <c r="N228" s="298"/>
      <c r="O228" s="294" t="str">
        <f>CONCATENATE(CHAR(10),CONCATENATE('4.Electivos'!Y82,CHAR(10),'4.Electivos'!Z82,CHAR(10),'4.Electivos'!AA82,CHAR(10),'4.Electivos'!AB82,CHAR(10),'4.Electivos'!AC82))</f>
        <v xml:space="preserve">
</v>
      </c>
      <c r="P228" s="298"/>
      <c r="Q228" s="298"/>
      <c r="R228" s="298"/>
      <c r="S228" s="322" t="str">
        <f t="shared" si="4"/>
        <v>No Aplica</v>
      </c>
      <c r="U228" s="296"/>
    </row>
    <row r="229" spans="1:21" ht="72" hidden="1">
      <c r="A229" s="292">
        <f>'4.Electivos'!B83</f>
        <v>12</v>
      </c>
      <c r="B229" s="292" t="str">
        <f>IF('4.Electivos'!C83="","",'4.Electivos'!C83)</f>
        <v/>
      </c>
      <c r="C229" s="292" t="str">
        <f>IF('4.Electivos'!E83="","",'4.Electivos'!E83)</f>
        <v/>
      </c>
      <c r="D229" s="293" t="str">
        <f>'4.Electivos'!I83</f>
        <v/>
      </c>
      <c r="E229" s="293" t="str">
        <f>IF('4.Electivos'!J83=0,"-",'4.Electivos'!J83)</f>
        <v>-</v>
      </c>
      <c r="F229" s="319" t="str">
        <f>IF('4.Electivos'!K83=0,"-",'4.Electivos'!K83)</f>
        <v>-</v>
      </c>
      <c r="G229" s="319" t="str">
        <f>IF('4.Electivos'!L83=0,"-",'4.Electivos'!L83)</f>
        <v>-</v>
      </c>
      <c r="H229" s="319" t="str">
        <f>IF('4.Electivos'!M83=0,"-",'4.Electivos'!M83)</f>
        <v>-</v>
      </c>
      <c r="I229" s="319" t="str">
        <f>IF('4.Electivos'!N83=0,"-",'4.Electivos'!N83)</f>
        <v>-</v>
      </c>
      <c r="J229" s="320" t="str">
        <f>IF('4.Electivos'!O83=0,"-",'4.Electivos'!O83)</f>
        <v>-</v>
      </c>
      <c r="K229" s="321" t="str">
        <f>IF('4.Electivos'!P83=0,"-",'4.Electivos'!P83)</f>
        <v>-</v>
      </c>
      <c r="L229" s="294" t="str">
        <f>IF('7.Sumillas'!G225=0,"",'7.Sumillas'!G225)</f>
        <v/>
      </c>
      <c r="M229" s="298"/>
      <c r="N229" s="298"/>
      <c r="O229" s="294" t="str">
        <f>CONCATENATE(CHAR(10),CONCATENATE('4.Electivos'!Y83,CHAR(10),'4.Electivos'!Z83,CHAR(10),'4.Electivos'!AA83,CHAR(10),'4.Electivos'!AB83,CHAR(10),'4.Electivos'!AC83))</f>
        <v xml:space="preserve">
</v>
      </c>
      <c r="P229" s="298"/>
      <c r="Q229" s="298"/>
      <c r="R229" s="298"/>
      <c r="S229" s="322" t="str">
        <f t="shared" si="4"/>
        <v>No Aplica</v>
      </c>
      <c r="U229" s="296"/>
    </row>
    <row r="230" spans="1:21" ht="72" hidden="1">
      <c r="A230" s="292">
        <f>'4.Electivos'!B84</f>
        <v>12</v>
      </c>
      <c r="B230" s="292" t="str">
        <f>IF('4.Electivos'!C84="","",'4.Electivos'!C84)</f>
        <v/>
      </c>
      <c r="C230" s="292" t="str">
        <f>IF('4.Electivos'!E84="","",'4.Electivos'!E84)</f>
        <v/>
      </c>
      <c r="D230" s="293" t="str">
        <f>'4.Electivos'!I84</f>
        <v/>
      </c>
      <c r="E230" s="293" t="str">
        <f>IF('4.Electivos'!J84=0,"-",'4.Electivos'!J84)</f>
        <v>-</v>
      </c>
      <c r="F230" s="319" t="str">
        <f>IF('4.Electivos'!K84=0,"-",'4.Electivos'!K84)</f>
        <v>-</v>
      </c>
      <c r="G230" s="319" t="str">
        <f>IF('4.Electivos'!L84=0,"-",'4.Electivos'!L84)</f>
        <v>-</v>
      </c>
      <c r="H230" s="319" t="str">
        <f>IF('4.Electivos'!M84=0,"-",'4.Electivos'!M84)</f>
        <v>-</v>
      </c>
      <c r="I230" s="319" t="str">
        <f>IF('4.Electivos'!N84=0,"-",'4.Electivos'!N84)</f>
        <v>-</v>
      </c>
      <c r="J230" s="320" t="str">
        <f>IF('4.Electivos'!O84=0,"-",'4.Electivos'!O84)</f>
        <v>-</v>
      </c>
      <c r="K230" s="321" t="str">
        <f>IF('4.Electivos'!P84=0,"-",'4.Electivos'!P84)</f>
        <v>-</v>
      </c>
      <c r="L230" s="294" t="str">
        <f>IF('7.Sumillas'!G226=0,"",'7.Sumillas'!G226)</f>
        <v/>
      </c>
      <c r="M230" s="298"/>
      <c r="N230" s="298"/>
      <c r="O230" s="294" t="str">
        <f>CONCATENATE(CHAR(10),CONCATENATE('4.Electivos'!Y84,CHAR(10),'4.Electivos'!Z84,CHAR(10),'4.Electivos'!AA84,CHAR(10),'4.Electivos'!AB84,CHAR(10),'4.Electivos'!AC84))</f>
        <v xml:space="preserve">
</v>
      </c>
      <c r="P230" s="298"/>
      <c r="Q230" s="298"/>
      <c r="R230" s="298"/>
      <c r="S230" s="322" t="str">
        <f t="shared" si="4"/>
        <v>No Aplica</v>
      </c>
      <c r="U230" s="296"/>
    </row>
    <row r="231" spans="1:21" ht="72" hidden="1">
      <c r="A231" s="292">
        <f>'4.Electivos'!B85</f>
        <v>12</v>
      </c>
      <c r="B231" s="292" t="str">
        <f>IF('4.Electivos'!C85="","",'4.Electivos'!C85)</f>
        <v/>
      </c>
      <c r="C231" s="292" t="str">
        <f>IF('4.Electivos'!E85="","",'4.Electivos'!E85)</f>
        <v/>
      </c>
      <c r="D231" s="293" t="str">
        <f>'4.Electivos'!I85</f>
        <v/>
      </c>
      <c r="E231" s="293" t="str">
        <f>IF('4.Electivos'!J85=0,"-",'4.Electivos'!J85)</f>
        <v>-</v>
      </c>
      <c r="F231" s="319" t="str">
        <f>IF('4.Electivos'!K85=0,"-",'4.Electivos'!K85)</f>
        <v>-</v>
      </c>
      <c r="G231" s="319" t="str">
        <f>IF('4.Electivos'!L85=0,"-",'4.Electivos'!L85)</f>
        <v>-</v>
      </c>
      <c r="H231" s="319" t="str">
        <f>IF('4.Electivos'!M85=0,"-",'4.Electivos'!M85)</f>
        <v>-</v>
      </c>
      <c r="I231" s="319" t="str">
        <f>IF('4.Electivos'!N85=0,"-",'4.Electivos'!N85)</f>
        <v>-</v>
      </c>
      <c r="J231" s="320" t="str">
        <f>IF('4.Electivos'!O85=0,"-",'4.Electivos'!O85)</f>
        <v>-</v>
      </c>
      <c r="K231" s="321" t="str">
        <f>IF('4.Electivos'!P85=0,"-",'4.Electivos'!P85)</f>
        <v>-</v>
      </c>
      <c r="L231" s="294" t="str">
        <f>IF('7.Sumillas'!G227=0,"",'7.Sumillas'!G227)</f>
        <v/>
      </c>
      <c r="M231" s="298"/>
      <c r="N231" s="298"/>
      <c r="O231" s="294" t="str">
        <f>CONCATENATE(CHAR(10),CONCATENATE('4.Electivos'!Y85,CHAR(10),'4.Electivos'!Z85,CHAR(10),'4.Electivos'!AA85,CHAR(10),'4.Electivos'!AB85,CHAR(10),'4.Electivos'!AC85))</f>
        <v xml:space="preserve">
</v>
      </c>
      <c r="P231" s="298"/>
      <c r="Q231" s="298"/>
      <c r="R231" s="298"/>
      <c r="S231" s="322" t="str">
        <f t="shared" si="4"/>
        <v>No Aplica</v>
      </c>
      <c r="U231" s="296"/>
    </row>
    <row r="232" spans="1:21" ht="72" hidden="1">
      <c r="A232" s="292">
        <f>'4.Electivos'!B86</f>
        <v>12</v>
      </c>
      <c r="B232" s="292" t="str">
        <f>IF('4.Electivos'!C86="","",'4.Electivos'!C86)</f>
        <v/>
      </c>
      <c r="C232" s="292" t="str">
        <f>IF('4.Electivos'!E86="","",'4.Electivos'!E86)</f>
        <v/>
      </c>
      <c r="D232" s="293" t="str">
        <f>'4.Electivos'!I86</f>
        <v/>
      </c>
      <c r="E232" s="293" t="str">
        <f>IF('4.Electivos'!J86=0,"-",'4.Electivos'!J86)</f>
        <v>-</v>
      </c>
      <c r="F232" s="319" t="str">
        <f>IF('4.Electivos'!K86=0,"-",'4.Electivos'!K86)</f>
        <v>-</v>
      </c>
      <c r="G232" s="319" t="str">
        <f>IF('4.Electivos'!L86=0,"-",'4.Electivos'!L86)</f>
        <v>-</v>
      </c>
      <c r="H232" s="319" t="str">
        <f>IF('4.Electivos'!M86=0,"-",'4.Electivos'!M86)</f>
        <v>-</v>
      </c>
      <c r="I232" s="319" t="str">
        <f>IF('4.Electivos'!N86=0,"-",'4.Electivos'!N86)</f>
        <v>-</v>
      </c>
      <c r="J232" s="320" t="str">
        <f>IF('4.Electivos'!O86=0,"-",'4.Electivos'!O86)</f>
        <v>-</v>
      </c>
      <c r="K232" s="321" t="str">
        <f>IF('4.Electivos'!P86=0,"-",'4.Electivos'!P86)</f>
        <v>-</v>
      </c>
      <c r="L232" s="294" t="str">
        <f>IF('7.Sumillas'!G228=0,"",'7.Sumillas'!G228)</f>
        <v/>
      </c>
      <c r="M232" s="298"/>
      <c r="N232" s="298"/>
      <c r="O232" s="294" t="str">
        <f>CONCATENATE(CHAR(10),CONCATENATE('4.Electivos'!Y86,CHAR(10),'4.Electivos'!Z86,CHAR(10),'4.Electivos'!AA86,CHAR(10),'4.Electivos'!AB86,CHAR(10),'4.Electivos'!AC86))</f>
        <v xml:space="preserve">
</v>
      </c>
      <c r="P232" s="298"/>
      <c r="Q232" s="298"/>
      <c r="R232" s="298"/>
      <c r="S232" s="322" t="str">
        <f t="shared" si="4"/>
        <v>No Aplica</v>
      </c>
      <c r="U232" s="296"/>
    </row>
    <row r="233" spans="1:21" ht="72" hidden="1">
      <c r="A233" s="292">
        <f>'4.Electivos'!B87</f>
        <v>12</v>
      </c>
      <c r="B233" s="292" t="str">
        <f>IF('4.Electivos'!C87="","",'4.Electivos'!C87)</f>
        <v/>
      </c>
      <c r="C233" s="292" t="str">
        <f>IF('4.Electivos'!E87="","",'4.Electivos'!E87)</f>
        <v/>
      </c>
      <c r="D233" s="293" t="str">
        <f>'4.Electivos'!I87</f>
        <v/>
      </c>
      <c r="E233" s="293" t="str">
        <f>IF('4.Electivos'!J87=0,"-",'4.Electivos'!J87)</f>
        <v>-</v>
      </c>
      <c r="F233" s="319" t="str">
        <f>IF('4.Electivos'!K87=0,"-",'4.Electivos'!K87)</f>
        <v>-</v>
      </c>
      <c r="G233" s="319" t="str">
        <f>IF('4.Electivos'!L87=0,"-",'4.Electivos'!L87)</f>
        <v>-</v>
      </c>
      <c r="H233" s="319" t="str">
        <f>IF('4.Electivos'!M87=0,"-",'4.Electivos'!M87)</f>
        <v>-</v>
      </c>
      <c r="I233" s="319" t="str">
        <f>IF('4.Electivos'!N87=0,"-",'4.Electivos'!N87)</f>
        <v>-</v>
      </c>
      <c r="J233" s="320" t="str">
        <f>IF('4.Electivos'!O87=0,"-",'4.Electivos'!O87)</f>
        <v>-</v>
      </c>
      <c r="K233" s="321" t="str">
        <f>IF('4.Electivos'!P87=0,"-",'4.Electivos'!P87)</f>
        <v>-</v>
      </c>
      <c r="L233" s="294" t="str">
        <f>IF('7.Sumillas'!G229=0,"",'7.Sumillas'!G229)</f>
        <v/>
      </c>
      <c r="M233" s="298"/>
      <c r="N233" s="298"/>
      <c r="O233" s="294" t="str">
        <f>CONCATENATE(CHAR(10),CONCATENATE('4.Electivos'!Y87,CHAR(10),'4.Electivos'!Z87,CHAR(10),'4.Electivos'!AA87,CHAR(10),'4.Electivos'!AB87,CHAR(10),'4.Electivos'!AC87))</f>
        <v xml:space="preserve">
</v>
      </c>
      <c r="P233" s="298"/>
      <c r="Q233" s="298"/>
      <c r="R233" s="298"/>
      <c r="S233" s="322" t="str">
        <f t="shared" si="4"/>
        <v>No Aplica</v>
      </c>
      <c r="U233" s="296"/>
    </row>
    <row r="234" spans="1:21" ht="72" hidden="1">
      <c r="A234" s="292">
        <f>'4.Electivos'!B88</f>
        <v>12</v>
      </c>
      <c r="B234" s="292" t="str">
        <f>IF('4.Electivos'!C88="","",'4.Electivos'!C88)</f>
        <v/>
      </c>
      <c r="C234" s="292" t="str">
        <f>IF('4.Electivos'!E88="","",'4.Electivos'!E88)</f>
        <v/>
      </c>
      <c r="D234" s="293" t="str">
        <f>'4.Electivos'!I88</f>
        <v/>
      </c>
      <c r="E234" s="293" t="str">
        <f>IF('4.Electivos'!J88=0,"-",'4.Electivos'!J88)</f>
        <v>-</v>
      </c>
      <c r="F234" s="319" t="str">
        <f>IF('4.Electivos'!K88=0,"-",'4.Electivos'!K88)</f>
        <v>-</v>
      </c>
      <c r="G234" s="319" t="str">
        <f>IF('4.Electivos'!L88=0,"-",'4.Electivos'!L88)</f>
        <v>-</v>
      </c>
      <c r="H234" s="319" t="str">
        <f>IF('4.Electivos'!M88=0,"-",'4.Electivos'!M88)</f>
        <v>-</v>
      </c>
      <c r="I234" s="319" t="str">
        <f>IF('4.Electivos'!N88=0,"-",'4.Electivos'!N88)</f>
        <v>-</v>
      </c>
      <c r="J234" s="320" t="str">
        <f>IF('4.Electivos'!O88=0,"-",'4.Electivos'!O88)</f>
        <v>-</v>
      </c>
      <c r="K234" s="321" t="str">
        <f>IF('4.Electivos'!P88=0,"-",'4.Electivos'!P88)</f>
        <v>-</v>
      </c>
      <c r="L234" s="294" t="str">
        <f>IF('7.Sumillas'!G230=0,"",'7.Sumillas'!G230)</f>
        <v/>
      </c>
      <c r="M234" s="298"/>
      <c r="N234" s="298"/>
      <c r="O234" s="294" t="str">
        <f>CONCATENATE(CHAR(10),CONCATENATE('4.Electivos'!Y88,CHAR(10),'4.Electivos'!Z88,CHAR(10),'4.Electivos'!AA88,CHAR(10),'4.Electivos'!AB88,CHAR(10),'4.Electivos'!AC88))</f>
        <v xml:space="preserve">
</v>
      </c>
      <c r="P234" s="298"/>
      <c r="Q234" s="298"/>
      <c r="R234" s="298"/>
      <c r="S234" s="322" t="str">
        <f t="shared" si="4"/>
        <v>No Aplica</v>
      </c>
      <c r="U234" s="296"/>
    </row>
    <row r="235" spans="1:21" ht="72" hidden="1">
      <c r="A235" s="292">
        <f>'4.Electivos'!B89</f>
        <v>13</v>
      </c>
      <c r="B235" s="292" t="str">
        <f>IF('4.Electivos'!C89="","",'4.Electivos'!C89)</f>
        <v/>
      </c>
      <c r="C235" s="292" t="str">
        <f>IF('4.Electivos'!E89="","",'4.Electivos'!E89)</f>
        <v/>
      </c>
      <c r="D235" s="293" t="str">
        <f>'4.Electivos'!I89</f>
        <v/>
      </c>
      <c r="E235" s="293" t="str">
        <f>IF('4.Electivos'!J89=0,"-",'4.Electivos'!J89)</f>
        <v>-</v>
      </c>
      <c r="F235" s="319" t="str">
        <f>IF('4.Electivos'!K89=0,"-",'4.Electivos'!K89)</f>
        <v>-</v>
      </c>
      <c r="G235" s="319" t="str">
        <f>IF('4.Electivos'!L89=0,"-",'4.Electivos'!L89)</f>
        <v>-</v>
      </c>
      <c r="H235" s="319" t="str">
        <f>IF('4.Electivos'!M89=0,"-",'4.Electivos'!M89)</f>
        <v>-</v>
      </c>
      <c r="I235" s="319" t="str">
        <f>IF('4.Electivos'!N89=0,"-",'4.Electivos'!N89)</f>
        <v>-</v>
      </c>
      <c r="J235" s="320" t="str">
        <f>IF('4.Electivos'!O89=0,"-",'4.Electivos'!O89)</f>
        <v>-</v>
      </c>
      <c r="K235" s="321" t="str">
        <f>IF('4.Electivos'!P89=0,"-",'4.Electivos'!P89)</f>
        <v>-</v>
      </c>
      <c r="L235" s="294" t="str">
        <f>IF('7.Sumillas'!G231=0,"",'7.Sumillas'!G231)</f>
        <v/>
      </c>
      <c r="M235" s="298"/>
      <c r="N235" s="298"/>
      <c r="O235" s="294" t="str">
        <f>CONCATENATE(CHAR(10),CONCATENATE('4.Electivos'!Y89,CHAR(10),'4.Electivos'!Z89,CHAR(10),'4.Electivos'!AA89,CHAR(10),'4.Electivos'!AB89,CHAR(10),'4.Electivos'!AC89))</f>
        <v xml:space="preserve">
</v>
      </c>
      <c r="P235" s="298"/>
      <c r="Q235" s="298"/>
      <c r="R235" s="298"/>
      <c r="S235" s="322" t="str">
        <f t="shared" si="4"/>
        <v>No Aplica</v>
      </c>
      <c r="U235" s="296"/>
    </row>
    <row r="236" spans="1:21" ht="72" hidden="1">
      <c r="A236" s="292">
        <f>'4.Electivos'!B90</f>
        <v>13</v>
      </c>
      <c r="B236" s="292" t="str">
        <f>IF('4.Electivos'!C90="","",'4.Electivos'!C90)</f>
        <v/>
      </c>
      <c r="C236" s="292" t="str">
        <f>IF('4.Electivos'!E90="","",'4.Electivos'!E90)</f>
        <v/>
      </c>
      <c r="D236" s="293" t="str">
        <f>'4.Electivos'!I90</f>
        <v/>
      </c>
      <c r="E236" s="293" t="str">
        <f>IF('4.Electivos'!J90=0,"-",'4.Electivos'!J90)</f>
        <v>-</v>
      </c>
      <c r="F236" s="319" t="str">
        <f>IF('4.Electivos'!K90=0,"-",'4.Electivos'!K90)</f>
        <v>-</v>
      </c>
      <c r="G236" s="319" t="str">
        <f>IF('4.Electivos'!L90=0,"-",'4.Electivos'!L90)</f>
        <v>-</v>
      </c>
      <c r="H236" s="319" t="str">
        <f>IF('4.Electivos'!M90=0,"-",'4.Electivos'!M90)</f>
        <v>-</v>
      </c>
      <c r="I236" s="319" t="str">
        <f>IF('4.Electivos'!N90=0,"-",'4.Electivos'!N90)</f>
        <v>-</v>
      </c>
      <c r="J236" s="320" t="str">
        <f>IF('4.Electivos'!O90=0,"-",'4.Electivos'!O90)</f>
        <v>-</v>
      </c>
      <c r="K236" s="321" t="str">
        <f>IF('4.Electivos'!P90=0,"-",'4.Electivos'!P90)</f>
        <v>-</v>
      </c>
      <c r="L236" s="294" t="str">
        <f>IF('7.Sumillas'!G232=0,"",'7.Sumillas'!G232)</f>
        <v/>
      </c>
      <c r="M236" s="298"/>
      <c r="N236" s="298"/>
      <c r="O236" s="294" t="str">
        <f>CONCATENATE(CHAR(10),CONCATENATE('4.Electivos'!Y90,CHAR(10),'4.Electivos'!Z90,CHAR(10),'4.Electivos'!AA90,CHAR(10),'4.Electivos'!AB90,CHAR(10),'4.Electivos'!AC90))</f>
        <v xml:space="preserve">
</v>
      </c>
      <c r="P236" s="298"/>
      <c r="Q236" s="298"/>
      <c r="R236" s="298"/>
      <c r="S236" s="322" t="str">
        <f t="shared" si="4"/>
        <v>No Aplica</v>
      </c>
      <c r="U236" s="296"/>
    </row>
    <row r="237" spans="1:21" ht="72" hidden="1">
      <c r="A237" s="292">
        <f>'4.Electivos'!B91</f>
        <v>13</v>
      </c>
      <c r="B237" s="292" t="str">
        <f>IF('4.Electivos'!C91="","",'4.Electivos'!C91)</f>
        <v/>
      </c>
      <c r="C237" s="292" t="str">
        <f>IF('4.Electivos'!E91="","",'4.Electivos'!E91)</f>
        <v/>
      </c>
      <c r="D237" s="293" t="str">
        <f>'4.Electivos'!I91</f>
        <v/>
      </c>
      <c r="E237" s="293" t="str">
        <f>IF('4.Electivos'!J91=0,"-",'4.Electivos'!J91)</f>
        <v>-</v>
      </c>
      <c r="F237" s="319" t="str">
        <f>IF('4.Electivos'!K91=0,"-",'4.Electivos'!K91)</f>
        <v>-</v>
      </c>
      <c r="G237" s="319" t="str">
        <f>IF('4.Electivos'!L91=0,"-",'4.Electivos'!L91)</f>
        <v>-</v>
      </c>
      <c r="H237" s="319" t="str">
        <f>IF('4.Electivos'!M91=0,"-",'4.Electivos'!M91)</f>
        <v>-</v>
      </c>
      <c r="I237" s="319" t="str">
        <f>IF('4.Electivos'!N91=0,"-",'4.Electivos'!N91)</f>
        <v>-</v>
      </c>
      <c r="J237" s="320" t="str">
        <f>IF('4.Electivos'!O91=0,"-",'4.Electivos'!O91)</f>
        <v>-</v>
      </c>
      <c r="K237" s="321" t="str">
        <f>IF('4.Electivos'!P91=0,"-",'4.Electivos'!P91)</f>
        <v>-</v>
      </c>
      <c r="L237" s="294" t="str">
        <f>IF('7.Sumillas'!G233=0,"",'7.Sumillas'!G233)</f>
        <v/>
      </c>
      <c r="M237" s="298"/>
      <c r="N237" s="298"/>
      <c r="O237" s="294" t="str">
        <f>CONCATENATE(CHAR(10),CONCATENATE('4.Electivos'!Y91,CHAR(10),'4.Electivos'!Z91,CHAR(10),'4.Electivos'!AA91,CHAR(10),'4.Electivos'!AB91,CHAR(10),'4.Electivos'!AC91))</f>
        <v xml:space="preserve">
</v>
      </c>
      <c r="P237" s="298"/>
      <c r="Q237" s="298"/>
      <c r="R237" s="298"/>
      <c r="S237" s="322" t="str">
        <f t="shared" si="4"/>
        <v>No Aplica</v>
      </c>
      <c r="U237" s="296"/>
    </row>
    <row r="238" spans="1:21" ht="72" hidden="1">
      <c r="A238" s="292">
        <f>'4.Electivos'!B92</f>
        <v>13</v>
      </c>
      <c r="B238" s="292" t="str">
        <f>IF('4.Electivos'!C92="","",'4.Electivos'!C92)</f>
        <v/>
      </c>
      <c r="C238" s="292" t="str">
        <f>IF('4.Electivos'!E92="","",'4.Electivos'!E92)</f>
        <v/>
      </c>
      <c r="D238" s="293" t="str">
        <f>'4.Electivos'!I92</f>
        <v/>
      </c>
      <c r="E238" s="293" t="str">
        <f>IF('4.Electivos'!J92=0,"-",'4.Electivos'!J92)</f>
        <v>-</v>
      </c>
      <c r="F238" s="319" t="str">
        <f>IF('4.Electivos'!K92=0,"-",'4.Electivos'!K92)</f>
        <v>-</v>
      </c>
      <c r="G238" s="319" t="str">
        <f>IF('4.Electivos'!L92=0,"-",'4.Electivos'!L92)</f>
        <v>-</v>
      </c>
      <c r="H238" s="319" t="str">
        <f>IF('4.Electivos'!M92=0,"-",'4.Electivos'!M92)</f>
        <v>-</v>
      </c>
      <c r="I238" s="319" t="str">
        <f>IF('4.Electivos'!N92=0,"-",'4.Electivos'!N92)</f>
        <v>-</v>
      </c>
      <c r="J238" s="320" t="str">
        <f>IF('4.Electivos'!O92=0,"-",'4.Electivos'!O92)</f>
        <v>-</v>
      </c>
      <c r="K238" s="321" t="str">
        <f>IF('4.Electivos'!P92=0,"-",'4.Electivos'!P92)</f>
        <v>-</v>
      </c>
      <c r="L238" s="294" t="str">
        <f>IF('7.Sumillas'!G234=0,"",'7.Sumillas'!G234)</f>
        <v/>
      </c>
      <c r="M238" s="298"/>
      <c r="N238" s="298"/>
      <c r="O238" s="294" t="str">
        <f>CONCATENATE(CHAR(10),CONCATENATE('4.Electivos'!Y92,CHAR(10),'4.Electivos'!Z92,CHAR(10),'4.Electivos'!AA92,CHAR(10),'4.Electivos'!AB92,CHAR(10),'4.Electivos'!AC92))</f>
        <v xml:space="preserve">
</v>
      </c>
      <c r="P238" s="298"/>
      <c r="Q238" s="298"/>
      <c r="R238" s="298"/>
      <c r="S238" s="322" t="str">
        <f t="shared" si="4"/>
        <v>No Aplica</v>
      </c>
      <c r="U238" s="296"/>
    </row>
    <row r="239" spans="1:21" ht="72" hidden="1">
      <c r="A239" s="292">
        <f>'4.Electivos'!B93</f>
        <v>13</v>
      </c>
      <c r="B239" s="292" t="str">
        <f>IF('4.Electivos'!C93="","",'4.Electivos'!C93)</f>
        <v/>
      </c>
      <c r="C239" s="292" t="str">
        <f>IF('4.Electivos'!E93="","",'4.Electivos'!E93)</f>
        <v/>
      </c>
      <c r="D239" s="293" t="str">
        <f>'4.Electivos'!I93</f>
        <v/>
      </c>
      <c r="E239" s="293" t="str">
        <f>IF('4.Electivos'!J93=0,"-",'4.Electivos'!J93)</f>
        <v>-</v>
      </c>
      <c r="F239" s="319" t="str">
        <f>IF('4.Electivos'!K93=0,"-",'4.Electivos'!K93)</f>
        <v>-</v>
      </c>
      <c r="G239" s="319" t="str">
        <f>IF('4.Electivos'!L93=0,"-",'4.Electivos'!L93)</f>
        <v>-</v>
      </c>
      <c r="H239" s="319" t="str">
        <f>IF('4.Electivos'!M93=0,"-",'4.Electivos'!M93)</f>
        <v>-</v>
      </c>
      <c r="I239" s="319" t="str">
        <f>IF('4.Electivos'!N93=0,"-",'4.Electivos'!N93)</f>
        <v>-</v>
      </c>
      <c r="J239" s="320" t="str">
        <f>IF('4.Electivos'!O93=0,"-",'4.Electivos'!O93)</f>
        <v>-</v>
      </c>
      <c r="K239" s="321" t="str">
        <f>IF('4.Electivos'!P93=0,"-",'4.Electivos'!P93)</f>
        <v>-</v>
      </c>
      <c r="L239" s="294" t="str">
        <f>IF('7.Sumillas'!G235=0,"",'7.Sumillas'!G235)</f>
        <v/>
      </c>
      <c r="M239" s="298"/>
      <c r="N239" s="298"/>
      <c r="O239" s="294" t="str">
        <f>CONCATENATE(CHAR(10),CONCATENATE('4.Electivos'!Y93,CHAR(10),'4.Electivos'!Z93,CHAR(10),'4.Electivos'!AA93,CHAR(10),'4.Electivos'!AB93,CHAR(10),'4.Electivos'!AC93))</f>
        <v xml:space="preserve">
</v>
      </c>
      <c r="P239" s="298"/>
      <c r="Q239" s="298"/>
      <c r="R239" s="298"/>
      <c r="S239" s="322" t="str">
        <f t="shared" si="4"/>
        <v>No Aplica</v>
      </c>
      <c r="U239" s="296"/>
    </row>
    <row r="240" spans="1:21" ht="72" hidden="1">
      <c r="A240" s="292">
        <f>'4.Electivos'!B94</f>
        <v>13</v>
      </c>
      <c r="B240" s="292" t="str">
        <f>IF('4.Electivos'!C94="","",'4.Electivos'!C94)</f>
        <v/>
      </c>
      <c r="C240" s="292" t="str">
        <f>IF('4.Electivos'!E94="","",'4.Electivos'!E94)</f>
        <v/>
      </c>
      <c r="D240" s="293" t="str">
        <f>'4.Electivos'!I94</f>
        <v/>
      </c>
      <c r="E240" s="293" t="str">
        <f>IF('4.Electivos'!J94=0,"-",'4.Electivos'!J94)</f>
        <v>-</v>
      </c>
      <c r="F240" s="319" t="str">
        <f>IF('4.Electivos'!K94=0,"-",'4.Electivos'!K94)</f>
        <v>-</v>
      </c>
      <c r="G240" s="319" t="str">
        <f>IF('4.Electivos'!L94=0,"-",'4.Electivos'!L94)</f>
        <v>-</v>
      </c>
      <c r="H240" s="319" t="str">
        <f>IF('4.Electivos'!M94=0,"-",'4.Electivos'!M94)</f>
        <v>-</v>
      </c>
      <c r="I240" s="319" t="str">
        <f>IF('4.Electivos'!N94=0,"-",'4.Electivos'!N94)</f>
        <v>-</v>
      </c>
      <c r="J240" s="320" t="str">
        <f>IF('4.Electivos'!O94=0,"-",'4.Electivos'!O94)</f>
        <v>-</v>
      </c>
      <c r="K240" s="321" t="str">
        <f>IF('4.Electivos'!P94=0,"-",'4.Electivos'!P94)</f>
        <v>-</v>
      </c>
      <c r="L240" s="294" t="str">
        <f>IF('7.Sumillas'!G236=0,"",'7.Sumillas'!G236)</f>
        <v/>
      </c>
      <c r="M240" s="298"/>
      <c r="N240" s="298"/>
      <c r="O240" s="294" t="str">
        <f>CONCATENATE(CHAR(10),CONCATENATE('4.Electivos'!Y94,CHAR(10),'4.Electivos'!Z94,CHAR(10),'4.Electivos'!AA94,CHAR(10),'4.Electivos'!AB94,CHAR(10),'4.Electivos'!AC94))</f>
        <v xml:space="preserve">
</v>
      </c>
      <c r="P240" s="298"/>
      <c r="Q240" s="298"/>
      <c r="R240" s="298"/>
      <c r="S240" s="322" t="str">
        <f t="shared" si="4"/>
        <v>No Aplica</v>
      </c>
      <c r="U240" s="296"/>
    </row>
    <row r="241" spans="1:21" ht="72" hidden="1">
      <c r="A241" s="292">
        <f>'4.Electivos'!B95</f>
        <v>13</v>
      </c>
      <c r="B241" s="292" t="str">
        <f>IF('4.Electivos'!C95="","",'4.Electivos'!C95)</f>
        <v/>
      </c>
      <c r="C241" s="292" t="str">
        <f>IF('4.Electivos'!E95="","",'4.Electivos'!E95)</f>
        <v/>
      </c>
      <c r="D241" s="293" t="str">
        <f>'4.Electivos'!I95</f>
        <v/>
      </c>
      <c r="E241" s="293" t="str">
        <f>IF('4.Electivos'!J95=0,"-",'4.Electivos'!J95)</f>
        <v>-</v>
      </c>
      <c r="F241" s="319" t="str">
        <f>IF('4.Electivos'!K95=0,"-",'4.Electivos'!K95)</f>
        <v>-</v>
      </c>
      <c r="G241" s="319" t="str">
        <f>IF('4.Electivos'!L95=0,"-",'4.Electivos'!L95)</f>
        <v>-</v>
      </c>
      <c r="H241" s="319" t="str">
        <f>IF('4.Electivos'!M95=0,"-",'4.Electivos'!M95)</f>
        <v>-</v>
      </c>
      <c r="I241" s="319" t="str">
        <f>IF('4.Electivos'!N95=0,"-",'4.Electivos'!N95)</f>
        <v>-</v>
      </c>
      <c r="J241" s="320" t="str">
        <f>IF('4.Electivos'!O95=0,"-",'4.Electivos'!O95)</f>
        <v>-</v>
      </c>
      <c r="K241" s="321" t="str">
        <f>IF('4.Electivos'!P95=0,"-",'4.Electivos'!P95)</f>
        <v>-</v>
      </c>
      <c r="L241" s="294" t="str">
        <f>IF('7.Sumillas'!G237=0,"",'7.Sumillas'!G237)</f>
        <v/>
      </c>
      <c r="M241" s="298"/>
      <c r="N241" s="298"/>
      <c r="O241" s="294" t="str">
        <f>CONCATENATE(CHAR(10),CONCATENATE('4.Electivos'!Y95,CHAR(10),'4.Electivos'!Z95,CHAR(10),'4.Electivos'!AA95,CHAR(10),'4.Electivos'!AB95,CHAR(10),'4.Electivos'!AC95))</f>
        <v xml:space="preserve">
</v>
      </c>
      <c r="P241" s="298"/>
      <c r="Q241" s="298"/>
      <c r="R241" s="298"/>
      <c r="S241" s="322" t="str">
        <f t="shared" si="4"/>
        <v>No Aplica</v>
      </c>
      <c r="U241" s="296"/>
    </row>
    <row r="242" spans="1:21" ht="72" hidden="1">
      <c r="A242" s="292">
        <f>'4.Electivos'!B96</f>
        <v>13</v>
      </c>
      <c r="B242" s="292" t="str">
        <f>IF('4.Electivos'!C96="","",'4.Electivos'!C96)</f>
        <v/>
      </c>
      <c r="C242" s="292" t="str">
        <f>IF('4.Electivos'!E96="","",'4.Electivos'!E96)</f>
        <v/>
      </c>
      <c r="D242" s="293" t="str">
        <f>'4.Electivos'!I96</f>
        <v/>
      </c>
      <c r="E242" s="293" t="str">
        <f>IF('4.Electivos'!J96=0,"-",'4.Electivos'!J96)</f>
        <v>-</v>
      </c>
      <c r="F242" s="319" t="str">
        <f>IF('4.Electivos'!K96=0,"-",'4.Electivos'!K96)</f>
        <v>-</v>
      </c>
      <c r="G242" s="319" t="str">
        <f>IF('4.Electivos'!L96=0,"-",'4.Electivos'!L96)</f>
        <v>-</v>
      </c>
      <c r="H242" s="319" t="str">
        <f>IF('4.Electivos'!M96=0,"-",'4.Electivos'!M96)</f>
        <v>-</v>
      </c>
      <c r="I242" s="319" t="str">
        <f>IF('4.Electivos'!N96=0,"-",'4.Electivos'!N96)</f>
        <v>-</v>
      </c>
      <c r="J242" s="320" t="str">
        <f>IF('4.Electivos'!O96=0,"-",'4.Electivos'!O96)</f>
        <v>-</v>
      </c>
      <c r="K242" s="321" t="str">
        <f>IF('4.Electivos'!P96=0,"-",'4.Electivos'!P96)</f>
        <v>-</v>
      </c>
      <c r="L242" s="294" t="str">
        <f>IF('7.Sumillas'!G238=0,"",'7.Sumillas'!G238)</f>
        <v/>
      </c>
      <c r="M242" s="298"/>
      <c r="N242" s="298"/>
      <c r="O242" s="294" t="str">
        <f>CONCATENATE(CHAR(10),CONCATENATE('4.Electivos'!Y96,CHAR(10),'4.Electivos'!Z96,CHAR(10),'4.Electivos'!AA96,CHAR(10),'4.Electivos'!AB96,CHAR(10),'4.Electivos'!AC96))</f>
        <v xml:space="preserve">
</v>
      </c>
      <c r="P242" s="298"/>
      <c r="Q242" s="298"/>
      <c r="R242" s="298"/>
      <c r="S242" s="322" t="str">
        <f t="shared" si="4"/>
        <v>No Aplica</v>
      </c>
      <c r="U242" s="296"/>
    </row>
    <row r="243" spans="1:21" ht="72" hidden="1">
      <c r="A243" s="292">
        <f>'4.Electivos'!B97</f>
        <v>13</v>
      </c>
      <c r="B243" s="292" t="str">
        <f>IF('4.Electivos'!C97="","",'4.Electivos'!C97)</f>
        <v/>
      </c>
      <c r="C243" s="292" t="str">
        <f>IF('4.Electivos'!E97="","",'4.Electivos'!E97)</f>
        <v/>
      </c>
      <c r="D243" s="293" t="str">
        <f>'4.Electivos'!I97</f>
        <v/>
      </c>
      <c r="E243" s="293" t="str">
        <f>IF('4.Electivos'!J97=0,"-",'4.Electivos'!J97)</f>
        <v>-</v>
      </c>
      <c r="F243" s="319" t="str">
        <f>IF('4.Electivos'!K97=0,"-",'4.Electivos'!K97)</f>
        <v>-</v>
      </c>
      <c r="G243" s="319" t="str">
        <f>IF('4.Electivos'!L97=0,"-",'4.Electivos'!L97)</f>
        <v>-</v>
      </c>
      <c r="H243" s="319" t="str">
        <f>IF('4.Electivos'!M97=0,"-",'4.Electivos'!M97)</f>
        <v>-</v>
      </c>
      <c r="I243" s="319" t="str">
        <f>IF('4.Electivos'!N97=0,"-",'4.Electivos'!N97)</f>
        <v>-</v>
      </c>
      <c r="J243" s="320" t="str">
        <f>IF('4.Electivos'!O97=0,"-",'4.Electivos'!O97)</f>
        <v>-</v>
      </c>
      <c r="K243" s="321" t="str">
        <f>IF('4.Electivos'!P97=0,"-",'4.Electivos'!P97)</f>
        <v>-</v>
      </c>
      <c r="L243" s="294" t="str">
        <f>IF('7.Sumillas'!G239=0,"",'7.Sumillas'!G239)</f>
        <v/>
      </c>
      <c r="M243" s="298"/>
      <c r="N243" s="298"/>
      <c r="O243" s="294" t="str">
        <f>CONCATENATE(CHAR(10),CONCATENATE('4.Electivos'!Y97,CHAR(10),'4.Electivos'!Z97,CHAR(10),'4.Electivos'!AA97,CHAR(10),'4.Electivos'!AB97,CHAR(10),'4.Electivos'!AC97))</f>
        <v xml:space="preserve">
</v>
      </c>
      <c r="P243" s="298"/>
      <c r="Q243" s="298"/>
      <c r="R243" s="298"/>
      <c r="S243" s="322" t="str">
        <f t="shared" si="4"/>
        <v>No Aplica</v>
      </c>
      <c r="U243" s="296"/>
    </row>
    <row r="244" spans="1:21" ht="72" hidden="1">
      <c r="A244" s="292">
        <f>'4.Electivos'!B98</f>
        <v>13</v>
      </c>
      <c r="B244" s="292" t="str">
        <f>IF('4.Electivos'!C98="","",'4.Electivos'!C98)</f>
        <v/>
      </c>
      <c r="C244" s="292" t="str">
        <f>IF('4.Electivos'!E98="","",'4.Electivos'!E98)</f>
        <v/>
      </c>
      <c r="D244" s="293" t="str">
        <f>'4.Electivos'!I98</f>
        <v/>
      </c>
      <c r="E244" s="293" t="str">
        <f>IF('4.Electivos'!J98=0,"-",'4.Electivos'!J98)</f>
        <v>-</v>
      </c>
      <c r="F244" s="319" t="str">
        <f>IF('4.Electivos'!K98=0,"-",'4.Electivos'!K98)</f>
        <v>-</v>
      </c>
      <c r="G244" s="319" t="str">
        <f>IF('4.Electivos'!L98=0,"-",'4.Electivos'!L98)</f>
        <v>-</v>
      </c>
      <c r="H244" s="319" t="str">
        <f>IF('4.Electivos'!M98=0,"-",'4.Electivos'!M98)</f>
        <v>-</v>
      </c>
      <c r="I244" s="319" t="str">
        <f>IF('4.Electivos'!N98=0,"-",'4.Electivos'!N98)</f>
        <v>-</v>
      </c>
      <c r="J244" s="320" t="str">
        <f>IF('4.Electivos'!O98=0,"-",'4.Electivos'!O98)</f>
        <v>-</v>
      </c>
      <c r="K244" s="321" t="str">
        <f>IF('4.Electivos'!P98=0,"-",'4.Electivos'!P98)</f>
        <v>-</v>
      </c>
      <c r="L244" s="294" t="str">
        <f>IF('7.Sumillas'!G240=0,"",'7.Sumillas'!G240)</f>
        <v/>
      </c>
      <c r="M244" s="298"/>
      <c r="N244" s="298"/>
      <c r="O244" s="294" t="str">
        <f>CONCATENATE(CHAR(10),CONCATENATE('4.Electivos'!Y98,CHAR(10),'4.Electivos'!Z98,CHAR(10),'4.Electivos'!AA98,CHAR(10),'4.Electivos'!AB98,CHAR(10),'4.Electivos'!AC98))</f>
        <v xml:space="preserve">
</v>
      </c>
      <c r="P244" s="298"/>
      <c r="Q244" s="298"/>
      <c r="R244" s="298"/>
      <c r="S244" s="322" t="str">
        <f t="shared" si="4"/>
        <v>No Aplica</v>
      </c>
      <c r="U244" s="296"/>
    </row>
    <row r="245" spans="1:21" ht="72" hidden="1">
      <c r="A245" s="292">
        <f>'4.Electivos'!B99</f>
        <v>14</v>
      </c>
      <c r="B245" s="292" t="str">
        <f>IF('4.Electivos'!C99="","",'4.Electivos'!C99)</f>
        <v/>
      </c>
      <c r="C245" s="292" t="str">
        <f>IF('4.Electivos'!E99="","",'4.Electivos'!E99)</f>
        <v/>
      </c>
      <c r="D245" s="293" t="str">
        <f>'4.Electivos'!I99</f>
        <v/>
      </c>
      <c r="E245" s="293" t="str">
        <f>IF('4.Electivos'!J99=0,"-",'4.Electivos'!J99)</f>
        <v>-</v>
      </c>
      <c r="F245" s="319" t="str">
        <f>IF('4.Electivos'!K99=0,"-",'4.Electivos'!K99)</f>
        <v>-</v>
      </c>
      <c r="G245" s="319" t="str">
        <f>IF('4.Electivos'!L99=0,"-",'4.Electivos'!L99)</f>
        <v>-</v>
      </c>
      <c r="H245" s="319" t="str">
        <f>IF('4.Electivos'!M99=0,"-",'4.Electivos'!M99)</f>
        <v>-</v>
      </c>
      <c r="I245" s="319" t="str">
        <f>IF('4.Electivos'!N99=0,"-",'4.Electivos'!N99)</f>
        <v>-</v>
      </c>
      <c r="J245" s="320" t="str">
        <f>IF('4.Electivos'!O99=0,"-",'4.Electivos'!O99)</f>
        <v>-</v>
      </c>
      <c r="K245" s="321" t="str">
        <f>IF('4.Electivos'!P99=0,"-",'4.Electivos'!P99)</f>
        <v>-</v>
      </c>
      <c r="L245" s="294" t="str">
        <f>IF('7.Sumillas'!G241=0,"",'7.Sumillas'!G241)</f>
        <v/>
      </c>
      <c r="M245" s="298"/>
      <c r="N245" s="298"/>
      <c r="O245" s="294" t="str">
        <f>CONCATENATE(CHAR(10),CONCATENATE('4.Electivos'!Y99,CHAR(10),'4.Electivos'!Z99,CHAR(10),'4.Electivos'!AA99,CHAR(10),'4.Electivos'!AB99,CHAR(10),'4.Electivos'!AC99))</f>
        <v xml:space="preserve">
</v>
      </c>
      <c r="P245" s="298"/>
      <c r="Q245" s="298"/>
      <c r="R245" s="298"/>
      <c r="S245" s="322" t="str">
        <f t="shared" si="4"/>
        <v>No Aplica</v>
      </c>
      <c r="U245" s="296"/>
    </row>
    <row r="246" spans="1:21" ht="72" hidden="1">
      <c r="A246" s="292">
        <f>'4.Electivos'!B100</f>
        <v>14</v>
      </c>
      <c r="B246" s="292" t="str">
        <f>IF('4.Electivos'!C100="","",'4.Electivos'!C100)</f>
        <v/>
      </c>
      <c r="C246" s="292" t="str">
        <f>IF('4.Electivos'!E100="","",'4.Electivos'!E100)</f>
        <v/>
      </c>
      <c r="D246" s="293" t="str">
        <f>'4.Electivos'!I100</f>
        <v/>
      </c>
      <c r="E246" s="293" t="str">
        <f>IF('4.Electivos'!J100=0,"-",'4.Electivos'!J100)</f>
        <v>-</v>
      </c>
      <c r="F246" s="319" t="str">
        <f>IF('4.Electivos'!K100=0,"-",'4.Electivos'!K100)</f>
        <v>-</v>
      </c>
      <c r="G246" s="319" t="str">
        <f>IF('4.Electivos'!L100=0,"-",'4.Electivos'!L100)</f>
        <v>-</v>
      </c>
      <c r="H246" s="319" t="str">
        <f>IF('4.Electivos'!M100=0,"-",'4.Electivos'!M100)</f>
        <v>-</v>
      </c>
      <c r="I246" s="319" t="str">
        <f>IF('4.Electivos'!N100=0,"-",'4.Electivos'!N100)</f>
        <v>-</v>
      </c>
      <c r="J246" s="320" t="str">
        <f>IF('4.Electivos'!O100=0,"-",'4.Electivos'!O100)</f>
        <v>-</v>
      </c>
      <c r="K246" s="321" t="str">
        <f>IF('4.Electivos'!P100=0,"-",'4.Electivos'!P100)</f>
        <v>-</v>
      </c>
      <c r="L246" s="294" t="str">
        <f>IF('7.Sumillas'!G242=0,"",'7.Sumillas'!G242)</f>
        <v/>
      </c>
      <c r="M246" s="298"/>
      <c r="N246" s="298"/>
      <c r="O246" s="294" t="str">
        <f>CONCATENATE(CHAR(10),CONCATENATE('4.Electivos'!Y100,CHAR(10),'4.Electivos'!Z100,CHAR(10),'4.Electivos'!AA100,CHAR(10),'4.Electivos'!AB100,CHAR(10),'4.Electivos'!AC100))</f>
        <v xml:space="preserve">
</v>
      </c>
      <c r="P246" s="298"/>
      <c r="Q246" s="298"/>
      <c r="R246" s="298"/>
      <c r="S246" s="322" t="str">
        <f t="shared" si="4"/>
        <v>No Aplica</v>
      </c>
      <c r="U246" s="296"/>
    </row>
    <row r="247" spans="1:21" ht="72" hidden="1">
      <c r="A247" s="292">
        <f>'4.Electivos'!B101</f>
        <v>14</v>
      </c>
      <c r="B247" s="292" t="str">
        <f>IF('4.Electivos'!C101="","",'4.Electivos'!C101)</f>
        <v/>
      </c>
      <c r="C247" s="292" t="str">
        <f>IF('4.Electivos'!E101="","",'4.Electivos'!E101)</f>
        <v/>
      </c>
      <c r="D247" s="293" t="str">
        <f>'4.Electivos'!I101</f>
        <v/>
      </c>
      <c r="E247" s="293" t="str">
        <f>IF('4.Electivos'!J101=0,"-",'4.Electivos'!J101)</f>
        <v>-</v>
      </c>
      <c r="F247" s="319" t="str">
        <f>IF('4.Electivos'!K101=0,"-",'4.Electivos'!K101)</f>
        <v>-</v>
      </c>
      <c r="G247" s="319" t="str">
        <f>IF('4.Electivos'!L101=0,"-",'4.Electivos'!L101)</f>
        <v>-</v>
      </c>
      <c r="H247" s="319" t="str">
        <f>IF('4.Electivos'!M101=0,"-",'4.Electivos'!M101)</f>
        <v>-</v>
      </c>
      <c r="I247" s="319" t="str">
        <f>IF('4.Electivos'!N101=0,"-",'4.Electivos'!N101)</f>
        <v>-</v>
      </c>
      <c r="J247" s="320" t="str">
        <f>IF('4.Electivos'!O101=0,"-",'4.Electivos'!O101)</f>
        <v>-</v>
      </c>
      <c r="K247" s="321" t="str">
        <f>IF('4.Electivos'!P101=0,"-",'4.Electivos'!P101)</f>
        <v>-</v>
      </c>
      <c r="L247" s="294" t="str">
        <f>IF('7.Sumillas'!G243=0,"",'7.Sumillas'!G243)</f>
        <v/>
      </c>
      <c r="M247" s="298"/>
      <c r="N247" s="298"/>
      <c r="O247" s="294" t="str">
        <f>CONCATENATE(CHAR(10),CONCATENATE('4.Electivos'!Y101,CHAR(10),'4.Electivos'!Z101,CHAR(10),'4.Electivos'!AA101,CHAR(10),'4.Electivos'!AB101,CHAR(10),'4.Electivos'!AC101))</f>
        <v xml:space="preserve">
</v>
      </c>
      <c r="P247" s="298"/>
      <c r="Q247" s="298"/>
      <c r="R247" s="298"/>
      <c r="S247" s="322" t="str">
        <f t="shared" si="4"/>
        <v>No Aplica</v>
      </c>
      <c r="U247" s="296"/>
    </row>
    <row r="248" spans="1:21" ht="72" hidden="1">
      <c r="A248" s="292">
        <f>'4.Electivos'!B102</f>
        <v>14</v>
      </c>
      <c r="B248" s="292" t="str">
        <f>IF('4.Electivos'!C102="","",'4.Electivos'!C102)</f>
        <v/>
      </c>
      <c r="C248" s="292" t="str">
        <f>IF('4.Electivos'!E102="","",'4.Electivos'!E102)</f>
        <v/>
      </c>
      <c r="D248" s="293" t="str">
        <f>'4.Electivos'!I102</f>
        <v/>
      </c>
      <c r="E248" s="293" t="str">
        <f>IF('4.Electivos'!J102=0,"-",'4.Electivos'!J102)</f>
        <v>-</v>
      </c>
      <c r="F248" s="319" t="str">
        <f>IF('4.Electivos'!K102=0,"-",'4.Electivos'!K102)</f>
        <v>-</v>
      </c>
      <c r="G248" s="319" t="str">
        <f>IF('4.Electivos'!L102=0,"-",'4.Electivos'!L102)</f>
        <v>-</v>
      </c>
      <c r="H248" s="319" t="str">
        <f>IF('4.Electivos'!M102=0,"-",'4.Electivos'!M102)</f>
        <v>-</v>
      </c>
      <c r="I248" s="319" t="str">
        <f>IF('4.Electivos'!N102=0,"-",'4.Electivos'!N102)</f>
        <v>-</v>
      </c>
      <c r="J248" s="320" t="str">
        <f>IF('4.Electivos'!O102=0,"-",'4.Electivos'!O102)</f>
        <v>-</v>
      </c>
      <c r="K248" s="321" t="str">
        <f>IF('4.Electivos'!P102=0,"-",'4.Electivos'!P102)</f>
        <v>-</v>
      </c>
      <c r="L248" s="294" t="str">
        <f>IF('7.Sumillas'!G244=0,"",'7.Sumillas'!G244)</f>
        <v/>
      </c>
      <c r="M248" s="298"/>
      <c r="N248" s="298"/>
      <c r="O248" s="294" t="str">
        <f>CONCATENATE(CHAR(10),CONCATENATE('4.Electivos'!Y102,CHAR(10),'4.Electivos'!Z102,CHAR(10),'4.Electivos'!AA102,CHAR(10),'4.Electivos'!AB102,CHAR(10),'4.Electivos'!AC102))</f>
        <v xml:space="preserve">
</v>
      </c>
      <c r="P248" s="298"/>
      <c r="Q248" s="298"/>
      <c r="R248" s="298"/>
      <c r="S248" s="322" t="str">
        <f t="shared" si="4"/>
        <v>No Aplica</v>
      </c>
      <c r="U248" s="296"/>
    </row>
    <row r="249" spans="1:21" ht="72" hidden="1">
      <c r="A249" s="292">
        <f>'4.Electivos'!B103</f>
        <v>14</v>
      </c>
      <c r="B249" s="292" t="str">
        <f>IF('4.Electivos'!C103="","",'4.Electivos'!C103)</f>
        <v/>
      </c>
      <c r="C249" s="292" t="str">
        <f>IF('4.Electivos'!E103="","",'4.Electivos'!E103)</f>
        <v/>
      </c>
      <c r="D249" s="293" t="str">
        <f>'4.Electivos'!I103</f>
        <v/>
      </c>
      <c r="E249" s="293" t="str">
        <f>IF('4.Electivos'!J103=0,"-",'4.Electivos'!J103)</f>
        <v>-</v>
      </c>
      <c r="F249" s="319" t="str">
        <f>IF('4.Electivos'!K103=0,"-",'4.Electivos'!K103)</f>
        <v>-</v>
      </c>
      <c r="G249" s="319" t="str">
        <f>IF('4.Electivos'!L103=0,"-",'4.Electivos'!L103)</f>
        <v>-</v>
      </c>
      <c r="H249" s="319" t="str">
        <f>IF('4.Electivos'!M103=0,"-",'4.Electivos'!M103)</f>
        <v>-</v>
      </c>
      <c r="I249" s="319" t="str">
        <f>IF('4.Electivos'!N103=0,"-",'4.Electivos'!N103)</f>
        <v>-</v>
      </c>
      <c r="J249" s="320" t="str">
        <f>IF('4.Electivos'!O103=0,"-",'4.Electivos'!O103)</f>
        <v>-</v>
      </c>
      <c r="K249" s="321" t="str">
        <f>IF('4.Electivos'!P103=0,"-",'4.Electivos'!P103)</f>
        <v>-</v>
      </c>
      <c r="L249" s="294" t="str">
        <f>IF('7.Sumillas'!G245=0,"",'7.Sumillas'!G245)</f>
        <v/>
      </c>
      <c r="M249" s="298"/>
      <c r="N249" s="298"/>
      <c r="O249" s="294" t="str">
        <f>CONCATENATE(CHAR(10),CONCATENATE('4.Electivos'!Y103,CHAR(10),'4.Electivos'!Z103,CHAR(10),'4.Electivos'!AA103,CHAR(10),'4.Electivos'!AB103,CHAR(10),'4.Electivos'!AC103))</f>
        <v xml:space="preserve">
</v>
      </c>
      <c r="P249" s="298"/>
      <c r="Q249" s="298"/>
      <c r="R249" s="298"/>
      <c r="S249" s="322" t="str">
        <f t="shared" si="4"/>
        <v>No Aplica</v>
      </c>
      <c r="U249" s="296"/>
    </row>
    <row r="250" spans="1:21" ht="72" hidden="1">
      <c r="A250" s="292">
        <f>'4.Electivos'!B104</f>
        <v>14</v>
      </c>
      <c r="B250" s="292" t="str">
        <f>IF('4.Electivos'!C104="","",'4.Electivos'!C104)</f>
        <v/>
      </c>
      <c r="C250" s="292" t="str">
        <f>IF('4.Electivos'!E104="","",'4.Electivos'!E104)</f>
        <v/>
      </c>
      <c r="D250" s="293" t="str">
        <f>'4.Electivos'!I104</f>
        <v/>
      </c>
      <c r="E250" s="293" t="str">
        <f>IF('4.Electivos'!J104=0,"-",'4.Electivos'!J104)</f>
        <v>-</v>
      </c>
      <c r="F250" s="319" t="str">
        <f>IF('4.Electivos'!K104=0,"-",'4.Electivos'!K104)</f>
        <v>-</v>
      </c>
      <c r="G250" s="319" t="str">
        <f>IF('4.Electivos'!L104=0,"-",'4.Electivos'!L104)</f>
        <v>-</v>
      </c>
      <c r="H250" s="319" t="str">
        <f>IF('4.Electivos'!M104=0,"-",'4.Electivos'!M104)</f>
        <v>-</v>
      </c>
      <c r="I250" s="319" t="str">
        <f>IF('4.Electivos'!N104=0,"-",'4.Electivos'!N104)</f>
        <v>-</v>
      </c>
      <c r="J250" s="320" t="str">
        <f>IF('4.Electivos'!O104=0,"-",'4.Electivos'!O104)</f>
        <v>-</v>
      </c>
      <c r="K250" s="321" t="str">
        <f>IF('4.Electivos'!P104=0,"-",'4.Electivos'!P104)</f>
        <v>-</v>
      </c>
      <c r="L250" s="294" t="str">
        <f>IF('7.Sumillas'!G246=0,"",'7.Sumillas'!G246)</f>
        <v/>
      </c>
      <c r="M250" s="298"/>
      <c r="N250" s="298"/>
      <c r="O250" s="294" t="str">
        <f>CONCATENATE(CHAR(10),CONCATENATE('4.Electivos'!Y104,CHAR(10),'4.Electivos'!Z104,CHAR(10),'4.Electivos'!AA104,CHAR(10),'4.Electivos'!AB104,CHAR(10),'4.Electivos'!AC104))</f>
        <v xml:space="preserve">
</v>
      </c>
      <c r="P250" s="298"/>
      <c r="Q250" s="298"/>
      <c r="R250" s="298"/>
      <c r="S250" s="322" t="str">
        <f t="shared" si="4"/>
        <v>No Aplica</v>
      </c>
      <c r="U250" s="296"/>
    </row>
    <row r="251" spans="1:21" ht="72" hidden="1">
      <c r="A251" s="292">
        <f>'4.Electivos'!B105</f>
        <v>14</v>
      </c>
      <c r="B251" s="292" t="str">
        <f>IF('4.Electivos'!C105="","",'4.Electivos'!C105)</f>
        <v/>
      </c>
      <c r="C251" s="292" t="str">
        <f>IF('4.Electivos'!E105="","",'4.Electivos'!E105)</f>
        <v/>
      </c>
      <c r="D251" s="293" t="str">
        <f>'4.Electivos'!I105</f>
        <v/>
      </c>
      <c r="E251" s="293" t="str">
        <f>IF('4.Electivos'!J105=0,"-",'4.Electivos'!J105)</f>
        <v>-</v>
      </c>
      <c r="F251" s="319" t="str">
        <f>IF('4.Electivos'!K105=0,"-",'4.Electivos'!K105)</f>
        <v>-</v>
      </c>
      <c r="G251" s="319" t="str">
        <f>IF('4.Electivos'!L105=0,"-",'4.Electivos'!L105)</f>
        <v>-</v>
      </c>
      <c r="H251" s="319" t="str">
        <f>IF('4.Electivos'!M105=0,"-",'4.Electivos'!M105)</f>
        <v>-</v>
      </c>
      <c r="I251" s="319" t="str">
        <f>IF('4.Electivos'!N105=0,"-",'4.Electivos'!N105)</f>
        <v>-</v>
      </c>
      <c r="J251" s="320" t="str">
        <f>IF('4.Electivos'!O105=0,"-",'4.Electivos'!O105)</f>
        <v>-</v>
      </c>
      <c r="K251" s="321" t="str">
        <f>IF('4.Electivos'!P105=0,"-",'4.Electivos'!P105)</f>
        <v>-</v>
      </c>
      <c r="L251" s="294" t="str">
        <f>IF('7.Sumillas'!G247=0,"",'7.Sumillas'!G247)</f>
        <v/>
      </c>
      <c r="M251" s="298"/>
      <c r="N251" s="298"/>
      <c r="O251" s="294" t="str">
        <f>CONCATENATE(CHAR(10),CONCATENATE('4.Electivos'!Y105,CHAR(10),'4.Electivos'!Z105,CHAR(10),'4.Electivos'!AA105,CHAR(10),'4.Electivos'!AB105,CHAR(10),'4.Electivos'!AC105))</f>
        <v xml:space="preserve">
</v>
      </c>
      <c r="P251" s="298"/>
      <c r="Q251" s="298"/>
      <c r="R251" s="298"/>
      <c r="S251" s="322" t="str">
        <f t="shared" si="4"/>
        <v>No Aplica</v>
      </c>
      <c r="U251" s="296"/>
    </row>
    <row r="252" spans="1:21" ht="72" hidden="1">
      <c r="A252" s="292">
        <f>'4.Electivos'!B106</f>
        <v>14</v>
      </c>
      <c r="B252" s="292" t="str">
        <f>IF('4.Electivos'!C106="","",'4.Electivos'!C106)</f>
        <v/>
      </c>
      <c r="C252" s="292" t="str">
        <f>IF('4.Electivos'!E106="","",'4.Electivos'!E106)</f>
        <v/>
      </c>
      <c r="D252" s="293" t="str">
        <f>'4.Electivos'!I106</f>
        <v/>
      </c>
      <c r="E252" s="293" t="str">
        <f>IF('4.Electivos'!J106=0,"-",'4.Electivos'!J106)</f>
        <v>-</v>
      </c>
      <c r="F252" s="319" t="str">
        <f>IF('4.Electivos'!K106=0,"-",'4.Electivos'!K106)</f>
        <v>-</v>
      </c>
      <c r="G252" s="319" t="str">
        <f>IF('4.Electivos'!L106=0,"-",'4.Electivos'!L106)</f>
        <v>-</v>
      </c>
      <c r="H252" s="319" t="str">
        <f>IF('4.Electivos'!M106=0,"-",'4.Electivos'!M106)</f>
        <v>-</v>
      </c>
      <c r="I252" s="319" t="str">
        <f>IF('4.Electivos'!N106=0,"-",'4.Electivos'!N106)</f>
        <v>-</v>
      </c>
      <c r="J252" s="320" t="str">
        <f>IF('4.Electivos'!O106=0,"-",'4.Electivos'!O106)</f>
        <v>-</v>
      </c>
      <c r="K252" s="321" t="str">
        <f>IF('4.Electivos'!P106=0,"-",'4.Electivos'!P106)</f>
        <v>-</v>
      </c>
      <c r="L252" s="294" t="str">
        <f>IF('7.Sumillas'!G248=0,"",'7.Sumillas'!G248)</f>
        <v/>
      </c>
      <c r="M252" s="298"/>
      <c r="N252" s="298"/>
      <c r="O252" s="294" t="str">
        <f>CONCATENATE(CHAR(10),CONCATENATE('4.Electivos'!Y106,CHAR(10),'4.Electivos'!Z106,CHAR(10),'4.Electivos'!AA106,CHAR(10),'4.Electivos'!AB106,CHAR(10),'4.Electivos'!AC106))</f>
        <v xml:space="preserve">
</v>
      </c>
      <c r="P252" s="298"/>
      <c r="Q252" s="298"/>
      <c r="R252" s="298"/>
      <c r="S252" s="322" t="str">
        <f t="shared" si="4"/>
        <v>No Aplica</v>
      </c>
      <c r="U252" s="296"/>
    </row>
    <row r="253" spans="1:21" ht="72" hidden="1">
      <c r="A253" s="292">
        <f>'4.Electivos'!B107</f>
        <v>14</v>
      </c>
      <c r="B253" s="292" t="str">
        <f>IF('4.Electivos'!C107="","",'4.Electivos'!C107)</f>
        <v/>
      </c>
      <c r="C253" s="292" t="str">
        <f>IF('4.Electivos'!E107="","",'4.Electivos'!E107)</f>
        <v/>
      </c>
      <c r="D253" s="293" t="str">
        <f>'4.Electivos'!I107</f>
        <v/>
      </c>
      <c r="E253" s="293" t="str">
        <f>IF('4.Electivos'!J107=0,"-",'4.Electivos'!J107)</f>
        <v>-</v>
      </c>
      <c r="F253" s="319" t="str">
        <f>IF('4.Electivos'!K107=0,"-",'4.Electivos'!K107)</f>
        <v>-</v>
      </c>
      <c r="G253" s="319" t="str">
        <f>IF('4.Electivos'!L107=0,"-",'4.Electivos'!L107)</f>
        <v>-</v>
      </c>
      <c r="H253" s="319" t="str">
        <f>IF('4.Electivos'!M107=0,"-",'4.Electivos'!M107)</f>
        <v>-</v>
      </c>
      <c r="I253" s="319" t="str">
        <f>IF('4.Electivos'!N107=0,"-",'4.Electivos'!N107)</f>
        <v>-</v>
      </c>
      <c r="J253" s="320" t="str">
        <f>IF('4.Electivos'!O107=0,"-",'4.Electivos'!O107)</f>
        <v>-</v>
      </c>
      <c r="K253" s="321" t="str">
        <f>IF('4.Electivos'!P107=0,"-",'4.Electivos'!P107)</f>
        <v>-</v>
      </c>
      <c r="L253" s="294" t="str">
        <f>IF('7.Sumillas'!G249=0,"",'7.Sumillas'!G249)</f>
        <v/>
      </c>
      <c r="M253" s="298"/>
      <c r="N253" s="298"/>
      <c r="O253" s="294" t="str">
        <f>CONCATENATE(CHAR(10),CONCATENATE('4.Electivos'!Y107,CHAR(10),'4.Electivos'!Z107,CHAR(10),'4.Electivos'!AA107,CHAR(10),'4.Electivos'!AB107,CHAR(10),'4.Electivos'!AC107))</f>
        <v xml:space="preserve">
</v>
      </c>
      <c r="P253" s="298"/>
      <c r="Q253" s="298"/>
      <c r="R253" s="298"/>
      <c r="S253" s="322" t="str">
        <f t="shared" si="4"/>
        <v>No Aplica</v>
      </c>
      <c r="U253" s="296"/>
    </row>
    <row r="254" spans="1:21" ht="72" hidden="1">
      <c r="A254" s="292">
        <f>'4.Electivos'!B108</f>
        <v>14</v>
      </c>
      <c r="B254" s="292" t="str">
        <f>IF('4.Electivos'!C108="","",'4.Electivos'!C108)</f>
        <v/>
      </c>
      <c r="C254" s="292" t="str">
        <f>IF('4.Electivos'!E108="","",'4.Electivos'!E108)</f>
        <v/>
      </c>
      <c r="D254" s="293" t="str">
        <f>'4.Electivos'!I108</f>
        <v/>
      </c>
      <c r="E254" s="293" t="str">
        <f>IF('4.Electivos'!J108=0,"-",'4.Electivos'!J108)</f>
        <v>-</v>
      </c>
      <c r="F254" s="319" t="str">
        <f>IF('4.Electivos'!K108=0,"-",'4.Electivos'!K108)</f>
        <v>-</v>
      </c>
      <c r="G254" s="319" t="str">
        <f>IF('4.Electivos'!L108=0,"-",'4.Electivos'!L108)</f>
        <v>-</v>
      </c>
      <c r="H254" s="319" t="str">
        <f>IF('4.Electivos'!M108=0,"-",'4.Electivos'!M108)</f>
        <v>-</v>
      </c>
      <c r="I254" s="319" t="str">
        <f>IF('4.Electivos'!N108=0,"-",'4.Electivos'!N108)</f>
        <v>-</v>
      </c>
      <c r="J254" s="320" t="str">
        <f>IF('4.Electivos'!O108=0,"-",'4.Electivos'!O108)</f>
        <v>-</v>
      </c>
      <c r="K254" s="321" t="str">
        <f>IF('4.Electivos'!P108=0,"-",'4.Electivos'!P108)</f>
        <v>-</v>
      </c>
      <c r="L254" s="294" t="str">
        <f>IF('7.Sumillas'!G250=0,"",'7.Sumillas'!G250)</f>
        <v/>
      </c>
      <c r="M254" s="298"/>
      <c r="N254" s="298"/>
      <c r="O254" s="294" t="str">
        <f>CONCATENATE(CHAR(10),CONCATENATE('4.Electivos'!Y108,CHAR(10),'4.Electivos'!Z108,CHAR(10),'4.Electivos'!AA108,CHAR(10),'4.Electivos'!AB108,CHAR(10),'4.Electivos'!AC108))</f>
        <v xml:space="preserve">
</v>
      </c>
      <c r="P254" s="298"/>
      <c r="Q254" s="298"/>
      <c r="R254" s="298"/>
      <c r="S254" s="322" t="str">
        <f t="shared" si="4"/>
        <v>No Aplica</v>
      </c>
      <c r="U254" s="296"/>
    </row>
    <row r="255" spans="1:21" s="8" customFormat="1">
      <c r="M255" s="5"/>
      <c r="N255" s="5"/>
      <c r="P255" s="5"/>
      <c r="Q255" s="5"/>
      <c r="R255" s="5"/>
      <c r="S255" s="318"/>
    </row>
    <row r="256" spans="1:21" s="8" customFormat="1">
      <c r="M256" s="5"/>
      <c r="N256" s="5"/>
      <c r="P256" s="5"/>
      <c r="Q256" s="5"/>
      <c r="R256" s="5"/>
      <c r="S256" s="318"/>
    </row>
    <row r="257" spans="13:19" s="8" customFormat="1">
      <c r="M257" s="5"/>
      <c r="N257" s="5"/>
      <c r="P257" s="5"/>
      <c r="Q257" s="5"/>
      <c r="R257" s="5"/>
      <c r="S257" s="318"/>
    </row>
    <row r="258" spans="13:19" s="8" customFormat="1">
      <c r="M258" s="5"/>
      <c r="N258" s="5"/>
      <c r="P258" s="5"/>
      <c r="Q258" s="5"/>
      <c r="R258" s="5"/>
      <c r="S258" s="318"/>
    </row>
    <row r="259" spans="13:19" s="8" customFormat="1">
      <c r="M259" s="5"/>
      <c r="N259" s="5"/>
      <c r="P259" s="5"/>
      <c r="Q259" s="5"/>
      <c r="R259" s="5"/>
      <c r="S259" s="318"/>
    </row>
    <row r="260" spans="13:19" s="8" customFormat="1">
      <c r="M260" s="5"/>
      <c r="N260" s="5"/>
      <c r="P260" s="5"/>
      <c r="Q260" s="5"/>
      <c r="R260" s="5"/>
      <c r="S260" s="318"/>
    </row>
    <row r="261" spans="13:19" s="8" customFormat="1">
      <c r="M261" s="5"/>
      <c r="N261" s="5"/>
      <c r="P261" s="5"/>
      <c r="Q261" s="5"/>
      <c r="R261" s="5"/>
      <c r="S261" s="318"/>
    </row>
    <row r="262" spans="13:19" s="8" customFormat="1">
      <c r="M262" s="5"/>
      <c r="N262" s="5"/>
      <c r="P262" s="5"/>
      <c r="Q262" s="5"/>
      <c r="R262" s="5"/>
      <c r="S262" s="318"/>
    </row>
    <row r="263" spans="13:19" s="8" customFormat="1">
      <c r="M263" s="5"/>
      <c r="N263" s="5"/>
      <c r="P263" s="5"/>
      <c r="Q263" s="5"/>
      <c r="R263" s="5"/>
      <c r="S263" s="318"/>
    </row>
    <row r="264" spans="13:19" s="8" customFormat="1">
      <c r="M264" s="5"/>
      <c r="N264" s="5"/>
      <c r="P264" s="5"/>
      <c r="Q264" s="5"/>
      <c r="R264" s="5"/>
      <c r="S264" s="318"/>
    </row>
    <row r="265" spans="13:19" s="8" customFormat="1">
      <c r="M265" s="5"/>
      <c r="N265" s="5"/>
      <c r="P265" s="5"/>
      <c r="Q265" s="5"/>
      <c r="R265" s="5"/>
      <c r="S265" s="318"/>
    </row>
    <row r="266" spans="13:19" s="8" customFormat="1">
      <c r="M266" s="5"/>
      <c r="N266" s="5"/>
      <c r="P266" s="5"/>
      <c r="Q266" s="5"/>
      <c r="R266" s="5"/>
      <c r="S266" s="318"/>
    </row>
    <row r="267" spans="13:19" s="8" customFormat="1">
      <c r="M267" s="5"/>
      <c r="N267" s="5"/>
      <c r="P267" s="5"/>
      <c r="Q267" s="5"/>
      <c r="R267" s="5"/>
      <c r="S267" s="318"/>
    </row>
    <row r="268" spans="13:19" s="8" customFormat="1">
      <c r="M268" s="5"/>
      <c r="N268" s="5"/>
      <c r="P268" s="5"/>
      <c r="Q268" s="5"/>
      <c r="R268" s="5"/>
      <c r="S268" s="318"/>
    </row>
    <row r="269" spans="13:19" s="8" customFormat="1">
      <c r="M269" s="5"/>
      <c r="N269" s="5"/>
      <c r="P269" s="5"/>
      <c r="Q269" s="5"/>
      <c r="R269" s="5"/>
      <c r="S269" s="318"/>
    </row>
    <row r="270" spans="13:19" s="8" customFormat="1">
      <c r="M270" s="5"/>
      <c r="N270" s="5"/>
      <c r="P270" s="5"/>
      <c r="Q270" s="5"/>
      <c r="R270" s="5"/>
      <c r="S270" s="318"/>
    </row>
    <row r="271" spans="13:19" s="8" customFormat="1">
      <c r="M271" s="5"/>
      <c r="N271" s="5"/>
      <c r="P271" s="5"/>
      <c r="Q271" s="5"/>
      <c r="R271" s="5"/>
      <c r="S271" s="318"/>
    </row>
    <row r="272" spans="13:19" s="8" customFormat="1">
      <c r="M272" s="5"/>
      <c r="N272" s="5"/>
      <c r="P272" s="5"/>
      <c r="Q272" s="5"/>
      <c r="R272" s="5"/>
      <c r="S272" s="318"/>
    </row>
    <row r="273" spans="13:19" s="8" customFormat="1">
      <c r="M273" s="5"/>
      <c r="N273" s="5"/>
      <c r="P273" s="5"/>
      <c r="Q273" s="5"/>
      <c r="R273" s="5"/>
      <c r="S273" s="318"/>
    </row>
    <row r="274" spans="13:19" s="8" customFormat="1">
      <c r="M274" s="5"/>
      <c r="N274" s="5"/>
      <c r="P274" s="5"/>
      <c r="Q274" s="5"/>
      <c r="R274" s="5"/>
      <c r="S274" s="318"/>
    </row>
    <row r="275" spans="13:19" s="8" customFormat="1">
      <c r="M275" s="5"/>
      <c r="N275" s="5"/>
      <c r="P275" s="5"/>
      <c r="Q275" s="5"/>
      <c r="R275" s="5"/>
      <c r="S275" s="318"/>
    </row>
    <row r="276" spans="13:19" s="8" customFormat="1">
      <c r="M276" s="5"/>
      <c r="N276" s="5"/>
      <c r="P276" s="5"/>
      <c r="Q276" s="5"/>
      <c r="R276" s="5"/>
      <c r="S276" s="318"/>
    </row>
    <row r="277" spans="13:19" s="8" customFormat="1">
      <c r="M277" s="5"/>
      <c r="N277" s="5"/>
      <c r="P277" s="5"/>
      <c r="Q277" s="5"/>
      <c r="R277" s="5"/>
      <c r="S277" s="318"/>
    </row>
    <row r="278" spans="13:19" s="8" customFormat="1">
      <c r="M278" s="5"/>
      <c r="N278" s="5"/>
      <c r="P278" s="5"/>
      <c r="Q278" s="5"/>
      <c r="R278" s="5"/>
      <c r="S278" s="318"/>
    </row>
    <row r="279" spans="13:19" s="8" customFormat="1">
      <c r="M279" s="5"/>
      <c r="N279" s="5"/>
      <c r="P279" s="5"/>
      <c r="Q279" s="5"/>
      <c r="R279" s="5"/>
      <c r="S279" s="318"/>
    </row>
    <row r="280" spans="13:19" s="8" customFormat="1">
      <c r="M280" s="5"/>
      <c r="N280" s="5"/>
      <c r="P280" s="5"/>
      <c r="Q280" s="5"/>
      <c r="R280" s="5"/>
      <c r="S280" s="318"/>
    </row>
    <row r="281" spans="13:19" s="8" customFormat="1">
      <c r="M281" s="5"/>
      <c r="N281" s="5"/>
      <c r="P281" s="5"/>
      <c r="Q281" s="5"/>
      <c r="R281" s="5"/>
      <c r="S281" s="318"/>
    </row>
    <row r="282" spans="13:19" s="8" customFormat="1">
      <c r="M282" s="5"/>
      <c r="N282" s="5"/>
      <c r="P282" s="5"/>
      <c r="Q282" s="5"/>
      <c r="R282" s="5"/>
      <c r="S282" s="318"/>
    </row>
    <row r="283" spans="13:19" s="8" customFormat="1">
      <c r="M283" s="5"/>
      <c r="N283" s="5"/>
      <c r="P283" s="5"/>
      <c r="Q283" s="5"/>
      <c r="R283" s="5"/>
      <c r="S283" s="318"/>
    </row>
    <row r="284" spans="13:19" s="8" customFormat="1">
      <c r="M284" s="5"/>
      <c r="N284" s="5"/>
      <c r="P284" s="5"/>
      <c r="Q284" s="5"/>
      <c r="R284" s="5"/>
      <c r="S284" s="318"/>
    </row>
    <row r="285" spans="13:19" s="8" customFormat="1">
      <c r="M285" s="5"/>
      <c r="N285" s="5"/>
      <c r="P285" s="5"/>
      <c r="Q285" s="5"/>
      <c r="R285" s="5"/>
      <c r="S285" s="318"/>
    </row>
    <row r="286" spans="13:19" s="8" customFormat="1">
      <c r="M286" s="5"/>
      <c r="N286" s="5"/>
      <c r="P286" s="5"/>
      <c r="Q286" s="5"/>
      <c r="R286" s="5"/>
      <c r="S286" s="318"/>
    </row>
    <row r="287" spans="13:19" s="8" customFormat="1">
      <c r="M287" s="5"/>
      <c r="N287" s="5"/>
      <c r="P287" s="5"/>
      <c r="Q287" s="5"/>
      <c r="R287" s="5"/>
      <c r="S287" s="318"/>
    </row>
    <row r="288" spans="13:19" s="8" customFormat="1">
      <c r="M288" s="5"/>
      <c r="N288" s="5"/>
      <c r="P288" s="5"/>
      <c r="Q288" s="5"/>
      <c r="R288" s="5"/>
      <c r="S288" s="318"/>
    </row>
    <row r="289" spans="13:19" s="8" customFormat="1">
      <c r="M289" s="5"/>
      <c r="N289" s="5"/>
      <c r="P289" s="5"/>
      <c r="Q289" s="5"/>
      <c r="R289" s="5"/>
      <c r="S289" s="318"/>
    </row>
    <row r="290" spans="13:19" s="8" customFormat="1">
      <c r="M290" s="5"/>
      <c r="N290" s="5"/>
      <c r="P290" s="5"/>
      <c r="Q290" s="5"/>
      <c r="R290" s="5"/>
      <c r="S290" s="318"/>
    </row>
    <row r="291" spans="13:19" s="8" customFormat="1">
      <c r="M291" s="5"/>
      <c r="N291" s="5"/>
      <c r="P291" s="5"/>
      <c r="Q291" s="5"/>
      <c r="R291" s="5"/>
      <c r="S291" s="318"/>
    </row>
    <row r="292" spans="13:19" s="8" customFormat="1">
      <c r="M292" s="5"/>
      <c r="N292" s="5"/>
      <c r="P292" s="5"/>
      <c r="Q292" s="5"/>
      <c r="R292" s="5"/>
      <c r="S292" s="318"/>
    </row>
    <row r="293" spans="13:19" s="8" customFormat="1">
      <c r="M293" s="5"/>
      <c r="N293" s="5"/>
      <c r="P293" s="5"/>
      <c r="Q293" s="5"/>
      <c r="R293" s="5"/>
      <c r="S293" s="318"/>
    </row>
    <row r="294" spans="13:19" s="8" customFormat="1">
      <c r="M294" s="5"/>
      <c r="N294" s="5"/>
      <c r="P294" s="5"/>
      <c r="Q294" s="5"/>
      <c r="R294" s="5"/>
      <c r="S294" s="318"/>
    </row>
    <row r="295" spans="13:19" s="8" customFormat="1">
      <c r="M295" s="5"/>
      <c r="N295" s="5"/>
      <c r="P295" s="5"/>
      <c r="Q295" s="5"/>
      <c r="R295" s="5"/>
      <c r="S295" s="318"/>
    </row>
    <row r="296" spans="13:19" s="8" customFormat="1">
      <c r="M296" s="5"/>
      <c r="N296" s="5"/>
      <c r="P296" s="5"/>
      <c r="Q296" s="5"/>
      <c r="R296" s="5"/>
      <c r="S296" s="318"/>
    </row>
    <row r="297" spans="13:19" s="8" customFormat="1">
      <c r="M297" s="5"/>
      <c r="N297" s="5"/>
      <c r="P297" s="5"/>
      <c r="Q297" s="5"/>
      <c r="R297" s="5"/>
      <c r="S297" s="318"/>
    </row>
    <row r="298" spans="13:19" s="8" customFormat="1">
      <c r="M298" s="5"/>
      <c r="N298" s="5"/>
      <c r="P298" s="5"/>
      <c r="Q298" s="5"/>
      <c r="R298" s="5"/>
      <c r="S298" s="318"/>
    </row>
    <row r="299" spans="13:19" s="8" customFormat="1">
      <c r="M299" s="5"/>
      <c r="N299" s="5"/>
      <c r="P299" s="5"/>
      <c r="Q299" s="5"/>
      <c r="R299" s="5"/>
      <c r="S299" s="318"/>
    </row>
    <row r="300" spans="13:19" s="8" customFormat="1">
      <c r="M300" s="5"/>
      <c r="N300" s="5"/>
      <c r="P300" s="5"/>
      <c r="Q300" s="5"/>
      <c r="R300" s="5"/>
      <c r="S300" s="318"/>
    </row>
    <row r="301" spans="13:19" s="8" customFormat="1">
      <c r="M301" s="5"/>
      <c r="N301" s="5"/>
      <c r="P301" s="5"/>
      <c r="Q301" s="5"/>
      <c r="R301" s="5"/>
      <c r="S301" s="318"/>
    </row>
    <row r="302" spans="13:19" s="8" customFormat="1">
      <c r="M302" s="5"/>
      <c r="N302" s="5"/>
      <c r="P302" s="5"/>
      <c r="Q302" s="5"/>
      <c r="R302" s="5"/>
      <c r="S302" s="318"/>
    </row>
    <row r="303" spans="13:19" s="8" customFormat="1">
      <c r="M303" s="5"/>
      <c r="N303" s="5"/>
      <c r="P303" s="5"/>
      <c r="Q303" s="5"/>
      <c r="R303" s="5"/>
      <c r="S303" s="318"/>
    </row>
    <row r="304" spans="13:19" s="8" customFormat="1">
      <c r="M304" s="5"/>
      <c r="N304" s="5"/>
      <c r="P304" s="5"/>
      <c r="Q304" s="5"/>
      <c r="R304" s="5"/>
      <c r="S304" s="318"/>
    </row>
    <row r="305" spans="13:19" s="8" customFormat="1">
      <c r="M305" s="5"/>
      <c r="N305" s="5"/>
      <c r="P305" s="5"/>
      <c r="Q305" s="5"/>
      <c r="R305" s="5"/>
      <c r="S305" s="318"/>
    </row>
    <row r="306" spans="13:19" s="8" customFormat="1">
      <c r="M306" s="5"/>
      <c r="N306" s="5"/>
      <c r="P306" s="5"/>
      <c r="Q306" s="5"/>
      <c r="R306" s="5"/>
      <c r="S306" s="318"/>
    </row>
    <row r="307" spans="13:19" s="8" customFormat="1">
      <c r="M307" s="5"/>
      <c r="N307" s="5"/>
      <c r="P307" s="5"/>
      <c r="Q307" s="5"/>
      <c r="R307" s="5"/>
      <c r="S307" s="318"/>
    </row>
    <row r="308" spans="13:19" s="8" customFormat="1">
      <c r="M308" s="5"/>
      <c r="N308" s="5"/>
      <c r="P308" s="5"/>
      <c r="Q308" s="5"/>
      <c r="R308" s="5"/>
      <c r="S308" s="318"/>
    </row>
    <row r="309" spans="13:19" s="8" customFormat="1">
      <c r="M309" s="5"/>
      <c r="N309" s="5"/>
      <c r="P309" s="5"/>
      <c r="Q309" s="5"/>
      <c r="R309" s="5"/>
      <c r="S309" s="318"/>
    </row>
    <row r="310" spans="13:19" s="8" customFormat="1">
      <c r="M310" s="5"/>
      <c r="N310" s="5"/>
      <c r="P310" s="5"/>
      <c r="Q310" s="5"/>
      <c r="R310" s="5"/>
      <c r="S310" s="318"/>
    </row>
    <row r="311" spans="13:19" s="8" customFormat="1">
      <c r="M311" s="5"/>
      <c r="N311" s="5"/>
      <c r="P311" s="5"/>
      <c r="Q311" s="5"/>
      <c r="R311" s="5"/>
      <c r="S311" s="318"/>
    </row>
    <row r="312" spans="13:19" s="8" customFormat="1">
      <c r="M312" s="5"/>
      <c r="N312" s="5"/>
      <c r="P312" s="5"/>
      <c r="Q312" s="5"/>
      <c r="R312" s="5"/>
      <c r="S312" s="318"/>
    </row>
    <row r="313" spans="13:19" s="8" customFormat="1">
      <c r="M313" s="5"/>
      <c r="N313" s="5"/>
      <c r="P313" s="5"/>
      <c r="Q313" s="5"/>
      <c r="R313" s="5"/>
      <c r="S313" s="318"/>
    </row>
    <row r="314" spans="13:19" s="8" customFormat="1">
      <c r="M314" s="5"/>
      <c r="N314" s="5"/>
      <c r="P314" s="5"/>
      <c r="Q314" s="5"/>
      <c r="R314" s="5"/>
      <c r="S314" s="318"/>
    </row>
    <row r="315" spans="13:19" s="8" customFormat="1">
      <c r="M315" s="5"/>
      <c r="N315" s="5"/>
      <c r="P315" s="5"/>
      <c r="Q315" s="5"/>
      <c r="R315" s="5"/>
      <c r="S315" s="318"/>
    </row>
    <row r="316" spans="13:19" s="8" customFormat="1">
      <c r="M316" s="5"/>
      <c r="N316" s="5"/>
      <c r="P316" s="5"/>
      <c r="Q316" s="5"/>
      <c r="R316" s="5"/>
      <c r="S316" s="318"/>
    </row>
    <row r="317" spans="13:19" s="8" customFormat="1">
      <c r="M317" s="5"/>
      <c r="N317" s="5"/>
      <c r="P317" s="5"/>
      <c r="Q317" s="5"/>
      <c r="R317" s="5"/>
      <c r="S317" s="318"/>
    </row>
    <row r="318" spans="13:19" s="8" customFormat="1">
      <c r="M318" s="5"/>
      <c r="N318" s="5"/>
      <c r="P318" s="5"/>
      <c r="Q318" s="5"/>
      <c r="R318" s="5"/>
      <c r="S318" s="318"/>
    </row>
    <row r="319" spans="13:19" s="8" customFormat="1">
      <c r="M319" s="5"/>
      <c r="N319" s="5"/>
      <c r="P319" s="5"/>
      <c r="Q319" s="5"/>
      <c r="R319" s="5"/>
      <c r="S319" s="318"/>
    </row>
    <row r="320" spans="13:19" s="8" customFormat="1">
      <c r="M320" s="5"/>
      <c r="N320" s="5"/>
      <c r="P320" s="5"/>
      <c r="Q320" s="5"/>
      <c r="R320" s="5"/>
      <c r="S320" s="318"/>
    </row>
    <row r="321" spans="13:19" s="8" customFormat="1">
      <c r="M321" s="5"/>
      <c r="N321" s="5"/>
      <c r="P321" s="5"/>
      <c r="Q321" s="5"/>
      <c r="R321" s="5"/>
      <c r="S321" s="318"/>
    </row>
    <row r="322" spans="13:19" s="8" customFormat="1">
      <c r="M322" s="5"/>
      <c r="N322" s="5"/>
      <c r="P322" s="5"/>
      <c r="Q322" s="5"/>
      <c r="R322" s="5"/>
      <c r="S322" s="318"/>
    </row>
    <row r="323" spans="13:19" s="8" customFormat="1">
      <c r="M323" s="5"/>
      <c r="N323" s="5"/>
      <c r="P323" s="5"/>
      <c r="Q323" s="5"/>
      <c r="R323" s="5"/>
      <c r="S323" s="318"/>
    </row>
    <row r="324" spans="13:19" s="8" customFormat="1">
      <c r="M324" s="5"/>
      <c r="N324" s="5"/>
      <c r="P324" s="5"/>
      <c r="Q324" s="5"/>
      <c r="R324" s="5"/>
      <c r="S324" s="318"/>
    </row>
    <row r="325" spans="13:19" s="8" customFormat="1">
      <c r="M325" s="5"/>
      <c r="N325" s="5"/>
      <c r="P325" s="5"/>
      <c r="Q325" s="5"/>
      <c r="R325" s="5"/>
      <c r="S325" s="318"/>
    </row>
    <row r="326" spans="13:19" s="8" customFormat="1">
      <c r="M326" s="5"/>
      <c r="N326" s="5"/>
      <c r="P326" s="5"/>
      <c r="Q326" s="5"/>
      <c r="R326" s="5"/>
      <c r="S326" s="318"/>
    </row>
    <row r="327" spans="13:19" s="8" customFormat="1">
      <c r="M327" s="5"/>
      <c r="N327" s="5"/>
      <c r="P327" s="5"/>
      <c r="Q327" s="5"/>
      <c r="R327" s="5"/>
      <c r="S327" s="318"/>
    </row>
    <row r="328" spans="13:19" s="8" customFormat="1">
      <c r="M328" s="5"/>
      <c r="N328" s="5"/>
      <c r="P328" s="5"/>
      <c r="Q328" s="5"/>
      <c r="R328" s="5"/>
      <c r="S328" s="318"/>
    </row>
    <row r="329" spans="13:19" s="8" customFormat="1">
      <c r="M329" s="5"/>
      <c r="N329" s="5"/>
      <c r="P329" s="5"/>
      <c r="Q329" s="5"/>
      <c r="R329" s="5"/>
      <c r="S329" s="318"/>
    </row>
    <row r="330" spans="13:19" s="8" customFormat="1">
      <c r="M330" s="5"/>
      <c r="N330" s="5"/>
      <c r="P330" s="5"/>
      <c r="Q330" s="5"/>
      <c r="R330" s="5"/>
      <c r="S330" s="318"/>
    </row>
    <row r="331" spans="13:19" s="8" customFormat="1">
      <c r="M331" s="5"/>
      <c r="N331" s="5"/>
      <c r="P331" s="5"/>
      <c r="Q331" s="5"/>
      <c r="R331" s="5"/>
      <c r="S331" s="318"/>
    </row>
    <row r="332" spans="13:19" s="8" customFormat="1">
      <c r="M332" s="5"/>
      <c r="N332" s="5"/>
      <c r="P332" s="5"/>
      <c r="Q332" s="5"/>
      <c r="R332" s="5"/>
      <c r="S332" s="318"/>
    </row>
    <row r="333" spans="13:19" s="8" customFormat="1">
      <c r="M333" s="5"/>
      <c r="N333" s="5"/>
      <c r="P333" s="5"/>
      <c r="Q333" s="5"/>
      <c r="R333" s="5"/>
      <c r="S333" s="318"/>
    </row>
    <row r="334" spans="13:19" s="8" customFormat="1">
      <c r="M334" s="5"/>
      <c r="N334" s="5"/>
      <c r="P334" s="5"/>
      <c r="Q334" s="5"/>
      <c r="R334" s="5"/>
      <c r="S334" s="318"/>
    </row>
    <row r="335" spans="13:19" s="8" customFormat="1">
      <c r="M335" s="5"/>
      <c r="N335" s="5"/>
      <c r="P335" s="5"/>
      <c r="Q335" s="5"/>
      <c r="R335" s="5"/>
      <c r="S335" s="318"/>
    </row>
    <row r="336" spans="13:19" s="8" customFormat="1">
      <c r="M336" s="5"/>
      <c r="N336" s="5"/>
      <c r="P336" s="5"/>
      <c r="Q336" s="5"/>
      <c r="R336" s="5"/>
      <c r="S336" s="318"/>
    </row>
    <row r="337" spans="13:19" s="8" customFormat="1">
      <c r="M337" s="5"/>
      <c r="N337" s="5"/>
      <c r="P337" s="5"/>
      <c r="Q337" s="5"/>
      <c r="R337" s="5"/>
      <c r="S337" s="318"/>
    </row>
    <row r="338" spans="13:19" s="8" customFormat="1">
      <c r="M338" s="5"/>
      <c r="N338" s="5"/>
      <c r="P338" s="5"/>
      <c r="Q338" s="5"/>
      <c r="R338" s="5"/>
      <c r="S338" s="318"/>
    </row>
    <row r="339" spans="13:19" s="8" customFormat="1">
      <c r="M339" s="5"/>
      <c r="N339" s="5"/>
      <c r="P339" s="5"/>
      <c r="Q339" s="5"/>
      <c r="R339" s="5"/>
      <c r="S339" s="318"/>
    </row>
    <row r="340" spans="13:19" s="8" customFormat="1">
      <c r="M340" s="5"/>
      <c r="N340" s="5"/>
      <c r="P340" s="5"/>
      <c r="Q340" s="5"/>
      <c r="R340" s="5"/>
      <c r="S340" s="318"/>
    </row>
    <row r="341" spans="13:19" s="8" customFormat="1">
      <c r="M341" s="5"/>
      <c r="N341" s="5"/>
      <c r="P341" s="5"/>
      <c r="Q341" s="5"/>
      <c r="R341" s="5"/>
      <c r="S341" s="318"/>
    </row>
    <row r="342" spans="13:19" s="8" customFormat="1">
      <c r="M342" s="5"/>
      <c r="N342" s="5"/>
      <c r="P342" s="5"/>
      <c r="Q342" s="5"/>
      <c r="R342" s="5"/>
      <c r="S342" s="318"/>
    </row>
    <row r="343" spans="13:19" s="8" customFormat="1">
      <c r="M343" s="5"/>
      <c r="N343" s="5"/>
      <c r="P343" s="5"/>
      <c r="Q343" s="5"/>
      <c r="R343" s="5"/>
      <c r="S343" s="318"/>
    </row>
    <row r="344" spans="13:19" s="8" customFormat="1">
      <c r="M344" s="5"/>
      <c r="N344" s="5"/>
      <c r="P344" s="5"/>
      <c r="Q344" s="5"/>
      <c r="R344" s="5"/>
      <c r="S344" s="318"/>
    </row>
    <row r="345" spans="13:19" s="8" customFormat="1">
      <c r="M345" s="5"/>
      <c r="N345" s="5"/>
      <c r="P345" s="5"/>
      <c r="Q345" s="5"/>
      <c r="R345" s="5"/>
      <c r="S345" s="318"/>
    </row>
    <row r="346" spans="13:19" s="8" customFormat="1">
      <c r="M346" s="5"/>
      <c r="N346" s="5"/>
      <c r="P346" s="5"/>
      <c r="Q346" s="5"/>
      <c r="R346" s="5"/>
      <c r="S346" s="318"/>
    </row>
    <row r="347" spans="13:19" s="8" customFormat="1">
      <c r="M347" s="5"/>
      <c r="N347" s="5"/>
      <c r="P347" s="5"/>
      <c r="Q347" s="5"/>
      <c r="R347" s="5"/>
      <c r="S347" s="318"/>
    </row>
    <row r="348" spans="13:19" s="8" customFormat="1">
      <c r="M348" s="5"/>
      <c r="N348" s="5"/>
      <c r="P348" s="5"/>
      <c r="Q348" s="5"/>
      <c r="R348" s="5"/>
      <c r="S348" s="318"/>
    </row>
    <row r="349" spans="13:19" s="8" customFormat="1">
      <c r="M349" s="5"/>
      <c r="N349" s="5"/>
      <c r="P349" s="5"/>
      <c r="Q349" s="5"/>
      <c r="R349" s="5"/>
      <c r="S349" s="318"/>
    </row>
    <row r="350" spans="13:19" s="8" customFormat="1">
      <c r="M350" s="5"/>
      <c r="N350" s="5"/>
      <c r="P350" s="5"/>
      <c r="Q350" s="5"/>
      <c r="R350" s="5"/>
      <c r="S350" s="318"/>
    </row>
    <row r="351" spans="13:19" s="8" customFormat="1">
      <c r="M351" s="5"/>
      <c r="N351" s="5"/>
      <c r="P351" s="5"/>
      <c r="Q351" s="5"/>
      <c r="R351" s="5"/>
      <c r="S351" s="318"/>
    </row>
    <row r="352" spans="13:19" s="8" customFormat="1">
      <c r="M352" s="5"/>
      <c r="N352" s="5"/>
      <c r="P352" s="5"/>
      <c r="Q352" s="5"/>
      <c r="R352" s="5"/>
      <c r="S352" s="318"/>
    </row>
    <row r="353" spans="13:19" s="8" customFormat="1">
      <c r="M353" s="5"/>
      <c r="N353" s="5"/>
      <c r="P353" s="5"/>
      <c r="Q353" s="5"/>
      <c r="R353" s="5"/>
      <c r="S353" s="318"/>
    </row>
    <row r="354" spans="13:19" s="8" customFormat="1">
      <c r="M354" s="5"/>
      <c r="N354" s="5"/>
      <c r="P354" s="5"/>
      <c r="Q354" s="5"/>
      <c r="R354" s="5"/>
      <c r="S354" s="318"/>
    </row>
    <row r="355" spans="13:19" s="8" customFormat="1">
      <c r="M355" s="5"/>
      <c r="N355" s="5"/>
      <c r="P355" s="5"/>
      <c r="Q355" s="5"/>
      <c r="R355" s="5"/>
      <c r="S355" s="318"/>
    </row>
    <row r="356" spans="13:19" s="8" customFormat="1">
      <c r="M356" s="5"/>
      <c r="N356" s="5"/>
      <c r="P356" s="5"/>
      <c r="Q356" s="5"/>
      <c r="R356" s="5"/>
      <c r="S356" s="318"/>
    </row>
    <row r="357" spans="13:19" s="8" customFormat="1">
      <c r="M357" s="5"/>
      <c r="N357" s="5"/>
      <c r="P357" s="5"/>
      <c r="Q357" s="5"/>
      <c r="R357" s="5"/>
      <c r="S357" s="318"/>
    </row>
    <row r="358" spans="13:19" s="8" customFormat="1">
      <c r="M358" s="5"/>
      <c r="N358" s="5"/>
      <c r="P358" s="5"/>
      <c r="Q358" s="5"/>
      <c r="R358" s="5"/>
      <c r="S358" s="318"/>
    </row>
    <row r="359" spans="13:19" s="8" customFormat="1">
      <c r="M359" s="5"/>
      <c r="N359" s="5"/>
      <c r="P359" s="5"/>
      <c r="Q359" s="5"/>
      <c r="R359" s="5"/>
      <c r="S359" s="318"/>
    </row>
    <row r="360" spans="13:19" s="8" customFormat="1">
      <c r="M360" s="5"/>
      <c r="N360" s="5"/>
      <c r="P360" s="5"/>
      <c r="Q360" s="5"/>
      <c r="R360" s="5"/>
      <c r="S360" s="318"/>
    </row>
    <row r="361" spans="13:19" s="8" customFormat="1">
      <c r="M361" s="5"/>
      <c r="N361" s="5"/>
      <c r="P361" s="5"/>
      <c r="Q361" s="5"/>
      <c r="R361" s="5"/>
      <c r="S361" s="318"/>
    </row>
    <row r="362" spans="13:19" s="8" customFormat="1">
      <c r="M362" s="5"/>
      <c r="N362" s="5"/>
      <c r="P362" s="5"/>
      <c r="Q362" s="5"/>
      <c r="R362" s="5"/>
      <c r="S362" s="318"/>
    </row>
    <row r="363" spans="13:19" s="8" customFormat="1">
      <c r="M363" s="5"/>
      <c r="N363" s="5"/>
      <c r="P363" s="5"/>
      <c r="Q363" s="5"/>
      <c r="R363" s="5"/>
      <c r="S363" s="318"/>
    </row>
    <row r="364" spans="13:19" s="8" customFormat="1">
      <c r="M364" s="5"/>
      <c r="N364" s="5"/>
      <c r="P364" s="5"/>
      <c r="Q364" s="5"/>
      <c r="R364" s="5"/>
      <c r="S364" s="318"/>
    </row>
    <row r="365" spans="13:19" s="8" customFormat="1">
      <c r="M365" s="5"/>
      <c r="N365" s="5"/>
      <c r="P365" s="5"/>
      <c r="Q365" s="5"/>
      <c r="R365" s="5"/>
      <c r="S365" s="318"/>
    </row>
    <row r="366" spans="13:19" s="8" customFormat="1">
      <c r="M366" s="5"/>
      <c r="N366" s="5"/>
      <c r="P366" s="5"/>
      <c r="Q366" s="5"/>
      <c r="R366" s="5"/>
      <c r="S366" s="318"/>
    </row>
    <row r="367" spans="13:19" s="8" customFormat="1">
      <c r="M367" s="5"/>
      <c r="N367" s="5"/>
      <c r="P367" s="5"/>
      <c r="Q367" s="5"/>
      <c r="R367" s="5"/>
      <c r="S367" s="318"/>
    </row>
    <row r="368" spans="13:19" s="8" customFormat="1">
      <c r="M368" s="5"/>
      <c r="N368" s="5"/>
      <c r="P368" s="5"/>
      <c r="Q368" s="5"/>
      <c r="R368" s="5"/>
      <c r="S368" s="318"/>
    </row>
    <row r="369" spans="13:19" s="8" customFormat="1">
      <c r="M369" s="5"/>
      <c r="N369" s="5"/>
      <c r="P369" s="5"/>
      <c r="Q369" s="5"/>
      <c r="R369" s="5"/>
      <c r="S369" s="318"/>
    </row>
    <row r="370" spans="13:19" s="8" customFormat="1">
      <c r="M370" s="5"/>
      <c r="N370" s="5"/>
      <c r="P370" s="5"/>
      <c r="Q370" s="5"/>
      <c r="R370" s="5"/>
      <c r="S370" s="318"/>
    </row>
    <row r="371" spans="13:19" s="8" customFormat="1">
      <c r="M371" s="5"/>
      <c r="N371" s="5"/>
      <c r="P371" s="5"/>
      <c r="Q371" s="5"/>
      <c r="R371" s="5"/>
      <c r="S371" s="318"/>
    </row>
    <row r="372" spans="13:19" s="8" customFormat="1">
      <c r="M372" s="5"/>
      <c r="N372" s="5"/>
      <c r="P372" s="5"/>
      <c r="Q372" s="5"/>
      <c r="R372" s="5"/>
      <c r="S372" s="318"/>
    </row>
    <row r="373" spans="13:19" s="8" customFormat="1">
      <c r="M373" s="5"/>
      <c r="N373" s="5"/>
      <c r="P373" s="5"/>
      <c r="Q373" s="5"/>
      <c r="R373" s="5"/>
      <c r="S373" s="318"/>
    </row>
    <row r="374" spans="13:19" s="8" customFormat="1">
      <c r="M374" s="5"/>
      <c r="N374" s="5"/>
      <c r="P374" s="5"/>
      <c r="Q374" s="5"/>
      <c r="R374" s="5"/>
      <c r="S374" s="318"/>
    </row>
    <row r="375" spans="13:19" s="8" customFormat="1">
      <c r="M375" s="5"/>
      <c r="N375" s="5"/>
      <c r="P375" s="5"/>
      <c r="Q375" s="5"/>
      <c r="R375" s="5"/>
      <c r="S375" s="318"/>
    </row>
    <row r="376" spans="13:19" s="8" customFormat="1">
      <c r="M376" s="5"/>
      <c r="N376" s="5"/>
      <c r="P376" s="5"/>
      <c r="Q376" s="5"/>
      <c r="R376" s="5"/>
      <c r="S376" s="318"/>
    </row>
    <row r="377" spans="13:19" s="8" customFormat="1">
      <c r="M377" s="5"/>
      <c r="N377" s="5"/>
      <c r="P377" s="5"/>
      <c r="Q377" s="5"/>
      <c r="R377" s="5"/>
      <c r="S377" s="318"/>
    </row>
    <row r="378" spans="13:19" s="8" customFormat="1">
      <c r="M378" s="5"/>
      <c r="N378" s="5"/>
      <c r="P378" s="5"/>
      <c r="Q378" s="5"/>
      <c r="R378" s="5"/>
      <c r="S378" s="318"/>
    </row>
    <row r="379" spans="13:19" s="8" customFormat="1">
      <c r="M379" s="5"/>
      <c r="N379" s="5"/>
      <c r="P379" s="5"/>
      <c r="Q379" s="5"/>
      <c r="R379" s="5"/>
      <c r="S379" s="318"/>
    </row>
    <row r="380" spans="13:19" s="8" customFormat="1">
      <c r="M380" s="5"/>
      <c r="N380" s="5"/>
      <c r="P380" s="5"/>
      <c r="Q380" s="5"/>
      <c r="R380" s="5"/>
      <c r="S380" s="318"/>
    </row>
    <row r="381" spans="13:19" s="8" customFormat="1">
      <c r="M381" s="5"/>
      <c r="N381" s="5"/>
      <c r="P381" s="5"/>
      <c r="Q381" s="5"/>
      <c r="R381" s="5"/>
      <c r="S381" s="318"/>
    </row>
    <row r="382" spans="13:19" s="8" customFormat="1">
      <c r="M382" s="5"/>
      <c r="N382" s="5"/>
      <c r="P382" s="5"/>
      <c r="Q382" s="5"/>
      <c r="R382" s="5"/>
      <c r="S382" s="318"/>
    </row>
    <row r="383" spans="13:19" s="8" customFormat="1">
      <c r="M383" s="5"/>
      <c r="N383" s="5"/>
      <c r="P383" s="5"/>
      <c r="Q383" s="5"/>
      <c r="R383" s="5"/>
      <c r="S383" s="318"/>
    </row>
    <row r="384" spans="13:19" s="8" customFormat="1">
      <c r="M384" s="5"/>
      <c r="N384" s="5"/>
      <c r="P384" s="5"/>
      <c r="Q384" s="5"/>
      <c r="R384" s="5"/>
      <c r="S384" s="318"/>
    </row>
    <row r="385" spans="13:19" s="8" customFormat="1">
      <c r="M385" s="5"/>
      <c r="N385" s="5"/>
      <c r="P385" s="5"/>
      <c r="Q385" s="5"/>
      <c r="R385" s="5"/>
      <c r="S385" s="318"/>
    </row>
    <row r="386" spans="13:19" s="8" customFormat="1">
      <c r="M386" s="5"/>
      <c r="N386" s="5"/>
      <c r="P386" s="5"/>
      <c r="Q386" s="5"/>
      <c r="R386" s="5"/>
      <c r="S386" s="318"/>
    </row>
    <row r="387" spans="13:19" s="8" customFormat="1">
      <c r="M387" s="5"/>
      <c r="N387" s="5"/>
      <c r="P387" s="5"/>
      <c r="Q387" s="5"/>
      <c r="R387" s="5"/>
      <c r="S387" s="318"/>
    </row>
    <row r="388" spans="13:19" s="8" customFormat="1">
      <c r="M388" s="5"/>
      <c r="N388" s="5"/>
      <c r="P388" s="5"/>
      <c r="Q388" s="5"/>
      <c r="R388" s="5"/>
      <c r="S388" s="318"/>
    </row>
    <row r="389" spans="13:19" s="8" customFormat="1">
      <c r="M389" s="5"/>
      <c r="N389" s="5"/>
      <c r="P389" s="5"/>
      <c r="Q389" s="5"/>
      <c r="R389" s="5"/>
      <c r="S389" s="318"/>
    </row>
    <row r="390" spans="13:19" s="8" customFormat="1">
      <c r="M390" s="5"/>
      <c r="N390" s="5"/>
      <c r="P390" s="5"/>
      <c r="Q390" s="5"/>
      <c r="R390" s="5"/>
      <c r="S390" s="318"/>
    </row>
    <row r="391" spans="13:19" s="8" customFormat="1">
      <c r="M391" s="5"/>
      <c r="N391" s="5"/>
      <c r="P391" s="5"/>
      <c r="Q391" s="5"/>
      <c r="R391" s="5"/>
      <c r="S391" s="318"/>
    </row>
    <row r="392" spans="13:19" s="8" customFormat="1">
      <c r="M392" s="5"/>
      <c r="N392" s="5"/>
      <c r="P392" s="5"/>
      <c r="Q392" s="5"/>
      <c r="R392" s="5"/>
      <c r="S392" s="318"/>
    </row>
    <row r="393" spans="13:19" s="8" customFormat="1">
      <c r="M393" s="5"/>
      <c r="N393" s="5"/>
      <c r="P393" s="5"/>
      <c r="Q393" s="5"/>
      <c r="R393" s="5"/>
      <c r="S393" s="318"/>
    </row>
    <row r="394" spans="13:19" s="8" customFormat="1">
      <c r="M394" s="5"/>
      <c r="N394" s="5"/>
      <c r="P394" s="5"/>
      <c r="Q394" s="5"/>
      <c r="R394" s="5"/>
      <c r="S394" s="318"/>
    </row>
    <row r="395" spans="13:19" s="8" customFormat="1">
      <c r="M395" s="5"/>
      <c r="N395" s="5"/>
      <c r="P395" s="5"/>
      <c r="Q395" s="5"/>
      <c r="R395" s="5"/>
      <c r="S395" s="318"/>
    </row>
    <row r="396" spans="13:19" s="8" customFormat="1">
      <c r="M396" s="5"/>
      <c r="N396" s="5"/>
      <c r="P396" s="5"/>
      <c r="Q396" s="5"/>
      <c r="R396" s="5"/>
      <c r="S396" s="318"/>
    </row>
    <row r="397" spans="13:19" s="8" customFormat="1">
      <c r="M397" s="5"/>
      <c r="N397" s="5"/>
      <c r="P397" s="5"/>
      <c r="Q397" s="5"/>
      <c r="R397" s="5"/>
      <c r="S397" s="318"/>
    </row>
    <row r="398" spans="13:19" s="8" customFormat="1">
      <c r="M398" s="5"/>
      <c r="N398" s="5"/>
      <c r="P398" s="5"/>
      <c r="Q398" s="5"/>
      <c r="R398" s="5"/>
      <c r="S398" s="318"/>
    </row>
    <row r="399" spans="13:19" s="8" customFormat="1">
      <c r="M399" s="5"/>
      <c r="N399" s="5"/>
      <c r="P399" s="5"/>
      <c r="Q399" s="5"/>
      <c r="R399" s="5"/>
      <c r="S399" s="318"/>
    </row>
    <row r="400" spans="13:19" s="8" customFormat="1">
      <c r="M400" s="5"/>
      <c r="N400" s="5"/>
      <c r="P400" s="5"/>
      <c r="Q400" s="5"/>
      <c r="R400" s="5"/>
      <c r="S400" s="318"/>
    </row>
    <row r="401" spans="13:19" s="8" customFormat="1">
      <c r="M401" s="5"/>
      <c r="N401" s="5"/>
      <c r="P401" s="5"/>
      <c r="Q401" s="5"/>
      <c r="R401" s="5"/>
      <c r="S401" s="318"/>
    </row>
    <row r="402" spans="13:19" s="8" customFormat="1">
      <c r="M402" s="5"/>
      <c r="N402" s="5"/>
      <c r="P402" s="5"/>
      <c r="Q402" s="5"/>
      <c r="R402" s="5"/>
      <c r="S402" s="318"/>
    </row>
    <row r="403" spans="13:19" s="8" customFormat="1">
      <c r="M403" s="5"/>
      <c r="N403" s="5"/>
      <c r="P403" s="5"/>
      <c r="Q403" s="5"/>
      <c r="R403" s="5"/>
      <c r="S403" s="318"/>
    </row>
    <row r="404" spans="13:19" s="8" customFormat="1">
      <c r="M404" s="5"/>
      <c r="N404" s="5"/>
      <c r="P404" s="5"/>
      <c r="Q404" s="5"/>
      <c r="R404" s="5"/>
      <c r="S404" s="318"/>
    </row>
    <row r="405" spans="13:19" s="8" customFormat="1">
      <c r="M405" s="5"/>
      <c r="N405" s="5"/>
      <c r="P405" s="5"/>
      <c r="Q405" s="5"/>
      <c r="R405" s="5"/>
      <c r="S405" s="318"/>
    </row>
    <row r="406" spans="13:19" s="8" customFormat="1">
      <c r="M406" s="5"/>
      <c r="N406" s="5"/>
      <c r="P406" s="5"/>
      <c r="Q406" s="5"/>
      <c r="R406" s="5"/>
      <c r="S406" s="318"/>
    </row>
    <row r="407" spans="13:19" s="8" customFormat="1">
      <c r="M407" s="5"/>
      <c r="N407" s="5"/>
      <c r="P407" s="5"/>
      <c r="Q407" s="5"/>
      <c r="R407" s="5"/>
      <c r="S407" s="318"/>
    </row>
    <row r="408" spans="13:19" s="8" customFormat="1">
      <c r="M408" s="5"/>
      <c r="N408" s="5"/>
      <c r="P408" s="5"/>
      <c r="Q408" s="5"/>
      <c r="R408" s="5"/>
      <c r="S408" s="318"/>
    </row>
    <row r="409" spans="13:19" s="8" customFormat="1">
      <c r="M409" s="5"/>
      <c r="N409" s="5"/>
      <c r="P409" s="5"/>
      <c r="Q409" s="5"/>
      <c r="R409" s="5"/>
      <c r="S409" s="318"/>
    </row>
    <row r="410" spans="13:19" s="8" customFormat="1">
      <c r="M410" s="5"/>
      <c r="N410" s="5"/>
      <c r="P410" s="5"/>
      <c r="Q410" s="5"/>
      <c r="R410" s="5"/>
      <c r="S410" s="318"/>
    </row>
    <row r="411" spans="13:19" s="8" customFormat="1">
      <c r="M411" s="5"/>
      <c r="N411" s="5"/>
      <c r="P411" s="5"/>
      <c r="Q411" s="5"/>
      <c r="R411" s="5"/>
      <c r="S411" s="318"/>
    </row>
    <row r="412" spans="13:19" s="8" customFormat="1">
      <c r="M412" s="5"/>
      <c r="N412" s="5"/>
      <c r="P412" s="5"/>
      <c r="Q412" s="5"/>
      <c r="R412" s="5"/>
      <c r="S412" s="318"/>
    </row>
    <row r="413" spans="13:19" s="8" customFormat="1">
      <c r="M413" s="5"/>
      <c r="N413" s="5"/>
      <c r="P413" s="5"/>
      <c r="Q413" s="5"/>
      <c r="R413" s="5"/>
      <c r="S413" s="318"/>
    </row>
    <row r="414" spans="13:19" s="8" customFormat="1">
      <c r="M414" s="5"/>
      <c r="N414" s="5"/>
      <c r="P414" s="5"/>
      <c r="Q414" s="5"/>
      <c r="R414" s="5"/>
      <c r="S414" s="318"/>
    </row>
    <row r="415" spans="13:19" s="8" customFormat="1">
      <c r="M415" s="5"/>
      <c r="N415" s="5"/>
      <c r="P415" s="5"/>
      <c r="Q415" s="5"/>
      <c r="R415" s="5"/>
      <c r="S415" s="318"/>
    </row>
    <row r="416" spans="13:19" s="8" customFormat="1">
      <c r="M416" s="5"/>
      <c r="N416" s="5"/>
      <c r="P416" s="5"/>
      <c r="Q416" s="5"/>
      <c r="R416" s="5"/>
      <c r="S416" s="318"/>
    </row>
    <row r="417" spans="13:19" s="8" customFormat="1">
      <c r="M417" s="5"/>
      <c r="N417" s="5"/>
      <c r="P417" s="5"/>
      <c r="Q417" s="5"/>
      <c r="R417" s="5"/>
      <c r="S417" s="318"/>
    </row>
    <row r="418" spans="13:19" s="8" customFormat="1">
      <c r="M418" s="5"/>
      <c r="N418" s="5"/>
      <c r="P418" s="5"/>
      <c r="Q418" s="5"/>
      <c r="R418" s="5"/>
      <c r="S418" s="318"/>
    </row>
    <row r="419" spans="13:19" s="8" customFormat="1">
      <c r="M419" s="5"/>
      <c r="N419" s="5"/>
      <c r="P419" s="5"/>
      <c r="Q419" s="5"/>
      <c r="R419" s="5"/>
      <c r="S419" s="318"/>
    </row>
    <row r="420" spans="13:19" s="8" customFormat="1">
      <c r="M420" s="5"/>
      <c r="N420" s="5"/>
      <c r="P420" s="5"/>
      <c r="Q420" s="5"/>
      <c r="R420" s="5"/>
      <c r="S420" s="318"/>
    </row>
    <row r="421" spans="13:19" s="8" customFormat="1">
      <c r="M421" s="5"/>
      <c r="N421" s="5"/>
      <c r="P421" s="5"/>
      <c r="Q421" s="5"/>
      <c r="R421" s="5"/>
      <c r="S421" s="318"/>
    </row>
    <row r="422" spans="13:19" s="8" customFormat="1">
      <c r="M422" s="5"/>
      <c r="N422" s="5"/>
      <c r="P422" s="5"/>
      <c r="Q422" s="5"/>
      <c r="R422" s="5"/>
      <c r="S422" s="318"/>
    </row>
    <row r="423" spans="13:19" s="8" customFormat="1">
      <c r="M423" s="5"/>
      <c r="N423" s="5"/>
      <c r="P423" s="5"/>
      <c r="Q423" s="5"/>
      <c r="R423" s="5"/>
      <c r="S423" s="318"/>
    </row>
    <row r="424" spans="13:19" s="8" customFormat="1">
      <c r="M424" s="5"/>
      <c r="N424" s="5"/>
      <c r="P424" s="5"/>
      <c r="Q424" s="5"/>
      <c r="R424" s="5"/>
      <c r="S424" s="318"/>
    </row>
    <row r="425" spans="13:19" s="8" customFormat="1">
      <c r="M425" s="5"/>
      <c r="N425" s="5"/>
      <c r="P425" s="5"/>
      <c r="Q425" s="5"/>
      <c r="R425" s="5"/>
      <c r="S425" s="318"/>
    </row>
    <row r="426" spans="13:19" s="8" customFormat="1">
      <c r="M426" s="5"/>
      <c r="N426" s="5"/>
      <c r="P426" s="5"/>
      <c r="Q426" s="5"/>
      <c r="R426" s="5"/>
      <c r="S426" s="318"/>
    </row>
    <row r="427" spans="13:19" s="8" customFormat="1">
      <c r="M427" s="5"/>
      <c r="N427" s="5"/>
      <c r="P427" s="5"/>
      <c r="Q427" s="5"/>
      <c r="R427" s="5"/>
      <c r="S427" s="318"/>
    </row>
    <row r="428" spans="13:19" s="8" customFormat="1">
      <c r="M428" s="5"/>
      <c r="N428" s="5"/>
      <c r="P428" s="5"/>
      <c r="Q428" s="5"/>
      <c r="R428" s="5"/>
      <c r="S428" s="318"/>
    </row>
    <row r="429" spans="13:19" s="8" customFormat="1">
      <c r="M429" s="5"/>
      <c r="N429" s="5"/>
      <c r="P429" s="5"/>
      <c r="Q429" s="5"/>
      <c r="R429" s="5"/>
      <c r="S429" s="318"/>
    </row>
    <row r="430" spans="13:19" s="8" customFormat="1">
      <c r="M430" s="5"/>
      <c r="N430" s="5"/>
      <c r="P430" s="5"/>
      <c r="Q430" s="5"/>
      <c r="R430" s="5"/>
      <c r="S430" s="318"/>
    </row>
    <row r="431" spans="13:19" s="8" customFormat="1">
      <c r="M431" s="5"/>
      <c r="N431" s="5"/>
      <c r="P431" s="5"/>
      <c r="Q431" s="5"/>
      <c r="R431" s="5"/>
      <c r="S431" s="318"/>
    </row>
    <row r="432" spans="13:19" s="8" customFormat="1">
      <c r="M432" s="5"/>
      <c r="N432" s="5"/>
      <c r="P432" s="5"/>
      <c r="Q432" s="5"/>
      <c r="R432" s="5"/>
      <c r="S432" s="318"/>
    </row>
    <row r="433" spans="13:19" s="8" customFormat="1">
      <c r="M433" s="5"/>
      <c r="N433" s="5"/>
      <c r="P433" s="5"/>
      <c r="Q433" s="5"/>
      <c r="R433" s="5"/>
      <c r="S433" s="318"/>
    </row>
    <row r="434" spans="13:19" s="8" customFormat="1">
      <c r="M434" s="5"/>
      <c r="N434" s="5"/>
      <c r="P434" s="5"/>
      <c r="Q434" s="5"/>
      <c r="R434" s="5"/>
      <c r="S434" s="318"/>
    </row>
    <row r="435" spans="13:19" s="8" customFormat="1">
      <c r="M435" s="5"/>
      <c r="N435" s="5"/>
      <c r="P435" s="5"/>
      <c r="Q435" s="5"/>
      <c r="R435" s="5"/>
      <c r="S435" s="318"/>
    </row>
    <row r="436" spans="13:19" s="8" customFormat="1">
      <c r="M436" s="5"/>
      <c r="N436" s="5"/>
      <c r="P436" s="5"/>
      <c r="Q436" s="5"/>
      <c r="R436" s="5"/>
      <c r="S436" s="318"/>
    </row>
    <row r="437" spans="13:19" s="8" customFormat="1">
      <c r="M437" s="5"/>
      <c r="N437" s="5"/>
      <c r="P437" s="5"/>
      <c r="Q437" s="5"/>
      <c r="R437" s="5"/>
      <c r="S437" s="318"/>
    </row>
    <row r="438" spans="13:19" s="8" customFormat="1">
      <c r="M438" s="5"/>
      <c r="N438" s="5"/>
      <c r="P438" s="5"/>
      <c r="Q438" s="5"/>
      <c r="R438" s="5"/>
      <c r="S438" s="318"/>
    </row>
    <row r="439" spans="13:19" s="8" customFormat="1">
      <c r="M439" s="5"/>
      <c r="N439" s="5"/>
      <c r="P439" s="5"/>
      <c r="Q439" s="5"/>
      <c r="R439" s="5"/>
      <c r="S439" s="318"/>
    </row>
    <row r="440" spans="13:19" s="8" customFormat="1">
      <c r="M440" s="5"/>
      <c r="N440" s="5"/>
      <c r="P440" s="5"/>
      <c r="Q440" s="5"/>
      <c r="R440" s="5"/>
      <c r="S440" s="318"/>
    </row>
    <row r="441" spans="13:19" s="8" customFormat="1">
      <c r="M441" s="5"/>
      <c r="N441" s="5"/>
      <c r="P441" s="5"/>
      <c r="Q441" s="5"/>
      <c r="R441" s="5"/>
      <c r="S441" s="318"/>
    </row>
    <row r="442" spans="13:19" s="8" customFormat="1">
      <c r="M442" s="5"/>
      <c r="N442" s="5"/>
      <c r="P442" s="5"/>
      <c r="Q442" s="5"/>
      <c r="R442" s="5"/>
      <c r="S442" s="318"/>
    </row>
    <row r="443" spans="13:19" s="8" customFormat="1">
      <c r="M443" s="5"/>
      <c r="N443" s="5"/>
      <c r="P443" s="5"/>
      <c r="Q443" s="5"/>
      <c r="R443" s="5"/>
      <c r="S443" s="318"/>
    </row>
    <row r="444" spans="13:19" s="8" customFormat="1">
      <c r="M444" s="5"/>
      <c r="N444" s="5"/>
      <c r="P444" s="5"/>
      <c r="Q444" s="5"/>
      <c r="R444" s="5"/>
      <c r="S444" s="318"/>
    </row>
    <row r="445" spans="13:19" s="8" customFormat="1">
      <c r="M445" s="5"/>
      <c r="N445" s="5"/>
      <c r="P445" s="5"/>
      <c r="Q445" s="5"/>
      <c r="R445" s="5"/>
      <c r="S445" s="318"/>
    </row>
    <row r="446" spans="13:19" s="8" customFormat="1">
      <c r="M446" s="5"/>
      <c r="N446" s="5"/>
      <c r="P446" s="5"/>
      <c r="Q446" s="5"/>
      <c r="R446" s="5"/>
      <c r="S446" s="318"/>
    </row>
    <row r="447" spans="13:19" s="8" customFormat="1">
      <c r="M447" s="5"/>
      <c r="N447" s="5"/>
      <c r="P447" s="5"/>
      <c r="Q447" s="5"/>
      <c r="R447" s="5"/>
      <c r="S447" s="318"/>
    </row>
    <row r="448" spans="13:19" s="8" customFormat="1">
      <c r="M448" s="5"/>
      <c r="N448" s="5"/>
      <c r="P448" s="5"/>
      <c r="Q448" s="5"/>
      <c r="R448" s="5"/>
      <c r="S448" s="318"/>
    </row>
    <row r="449" spans="13:19" s="8" customFormat="1">
      <c r="M449" s="5"/>
      <c r="N449" s="5"/>
      <c r="P449" s="5"/>
      <c r="Q449" s="5"/>
      <c r="R449" s="5"/>
      <c r="S449" s="318"/>
    </row>
    <row r="450" spans="13:19" s="8" customFormat="1">
      <c r="M450" s="5"/>
      <c r="N450" s="5"/>
      <c r="P450" s="5"/>
      <c r="Q450" s="5"/>
      <c r="R450" s="5"/>
      <c r="S450" s="318"/>
    </row>
    <row r="451" spans="13:19" s="8" customFormat="1">
      <c r="M451" s="5"/>
      <c r="N451" s="5"/>
      <c r="P451" s="5"/>
      <c r="Q451" s="5"/>
      <c r="R451" s="5"/>
      <c r="S451" s="318"/>
    </row>
    <row r="452" spans="13:19" s="8" customFormat="1">
      <c r="M452" s="5"/>
      <c r="N452" s="5"/>
      <c r="P452" s="5"/>
      <c r="Q452" s="5"/>
      <c r="R452" s="5"/>
      <c r="S452" s="318"/>
    </row>
    <row r="453" spans="13:19" s="8" customFormat="1">
      <c r="M453" s="5"/>
      <c r="N453" s="5"/>
      <c r="P453" s="5"/>
      <c r="Q453" s="5"/>
      <c r="R453" s="5"/>
      <c r="S453" s="318"/>
    </row>
    <row r="454" spans="13:19" s="8" customFormat="1">
      <c r="M454" s="5"/>
      <c r="N454" s="5"/>
      <c r="P454" s="5"/>
      <c r="Q454" s="5"/>
      <c r="R454" s="5"/>
      <c r="S454" s="318"/>
    </row>
    <row r="455" spans="13:19" s="8" customFormat="1">
      <c r="M455" s="5"/>
      <c r="N455" s="5"/>
      <c r="P455" s="5"/>
      <c r="Q455" s="5"/>
      <c r="R455" s="5"/>
      <c r="S455" s="318"/>
    </row>
    <row r="456" spans="13:19" s="8" customFormat="1">
      <c r="M456" s="5"/>
      <c r="N456" s="5"/>
      <c r="P456" s="5"/>
      <c r="Q456" s="5"/>
      <c r="R456" s="5"/>
      <c r="S456" s="318"/>
    </row>
    <row r="457" spans="13:19" s="8" customFormat="1">
      <c r="M457" s="5"/>
      <c r="N457" s="5"/>
      <c r="P457" s="5"/>
      <c r="Q457" s="5"/>
      <c r="R457" s="5"/>
      <c r="S457" s="318"/>
    </row>
    <row r="458" spans="13:19" s="8" customFormat="1">
      <c r="M458" s="5"/>
      <c r="N458" s="5"/>
      <c r="P458" s="5"/>
      <c r="Q458" s="5"/>
      <c r="R458" s="5"/>
      <c r="S458" s="318"/>
    </row>
    <row r="459" spans="13:19" s="8" customFormat="1">
      <c r="M459" s="5"/>
      <c r="N459" s="5"/>
      <c r="P459" s="5"/>
      <c r="Q459" s="5"/>
      <c r="R459" s="5"/>
      <c r="S459" s="318"/>
    </row>
    <row r="460" spans="13:19" s="8" customFormat="1">
      <c r="M460" s="5"/>
      <c r="N460" s="5"/>
      <c r="P460" s="5"/>
      <c r="Q460" s="5"/>
      <c r="R460" s="5"/>
      <c r="S460" s="318"/>
    </row>
    <row r="461" spans="13:19" s="8" customFormat="1">
      <c r="M461" s="5"/>
      <c r="N461" s="5"/>
      <c r="P461" s="5"/>
      <c r="Q461" s="5"/>
      <c r="R461" s="5"/>
      <c r="S461" s="318"/>
    </row>
    <row r="462" spans="13:19" s="8" customFormat="1">
      <c r="M462" s="5"/>
      <c r="N462" s="5"/>
      <c r="P462" s="5"/>
      <c r="Q462" s="5"/>
      <c r="R462" s="5"/>
      <c r="S462" s="318"/>
    </row>
    <row r="463" spans="13:19" s="8" customFormat="1">
      <c r="M463" s="5"/>
      <c r="N463" s="5"/>
      <c r="P463" s="5"/>
      <c r="Q463" s="5"/>
      <c r="R463" s="5"/>
      <c r="S463" s="318"/>
    </row>
    <row r="464" spans="13:19" s="8" customFormat="1">
      <c r="M464" s="5"/>
      <c r="N464" s="5"/>
      <c r="P464" s="5"/>
      <c r="Q464" s="5"/>
      <c r="R464" s="5"/>
      <c r="S464" s="318"/>
    </row>
    <row r="465" spans="13:19" s="8" customFormat="1">
      <c r="M465" s="5"/>
      <c r="N465" s="5"/>
      <c r="P465" s="5"/>
      <c r="Q465" s="5"/>
      <c r="R465" s="5"/>
      <c r="S465" s="318"/>
    </row>
    <row r="466" spans="13:19" s="8" customFormat="1">
      <c r="M466" s="5"/>
      <c r="N466" s="5"/>
      <c r="P466" s="5"/>
      <c r="Q466" s="5"/>
      <c r="R466" s="5"/>
      <c r="S466" s="318"/>
    </row>
    <row r="467" spans="13:19" s="8" customFormat="1">
      <c r="M467" s="5"/>
      <c r="N467" s="5"/>
      <c r="P467" s="5"/>
      <c r="Q467" s="5"/>
      <c r="R467" s="5"/>
      <c r="S467" s="318"/>
    </row>
    <row r="468" spans="13:19" s="8" customFormat="1">
      <c r="M468" s="5"/>
      <c r="N468" s="5"/>
      <c r="P468" s="5"/>
      <c r="Q468" s="5"/>
      <c r="R468" s="5"/>
      <c r="S468" s="318"/>
    </row>
    <row r="469" spans="13:19" s="8" customFormat="1">
      <c r="M469" s="5"/>
      <c r="N469" s="5"/>
      <c r="P469" s="5"/>
      <c r="Q469" s="5"/>
      <c r="R469" s="5"/>
      <c r="S469" s="318"/>
    </row>
    <row r="470" spans="13:19" s="8" customFormat="1">
      <c r="M470" s="5"/>
      <c r="N470" s="5"/>
      <c r="P470" s="5"/>
      <c r="Q470" s="5"/>
      <c r="R470" s="5"/>
      <c r="S470" s="318"/>
    </row>
    <row r="471" spans="13:19" s="8" customFormat="1">
      <c r="M471" s="5"/>
      <c r="N471" s="5"/>
      <c r="P471" s="5"/>
      <c r="Q471" s="5"/>
      <c r="R471" s="5"/>
      <c r="S471" s="318"/>
    </row>
    <row r="472" spans="13:19" s="8" customFormat="1">
      <c r="M472" s="5"/>
      <c r="N472" s="5"/>
      <c r="P472" s="5"/>
      <c r="Q472" s="5"/>
      <c r="R472" s="5"/>
      <c r="S472" s="318"/>
    </row>
    <row r="473" spans="13:19" s="8" customFormat="1">
      <c r="M473" s="5"/>
      <c r="N473" s="5"/>
      <c r="P473" s="5"/>
      <c r="Q473" s="5"/>
      <c r="R473" s="5"/>
      <c r="S473" s="318"/>
    </row>
    <row r="474" spans="13:19" s="8" customFormat="1">
      <c r="M474" s="5"/>
      <c r="N474" s="5"/>
      <c r="P474" s="5"/>
      <c r="Q474" s="5"/>
      <c r="R474" s="5"/>
      <c r="S474" s="318"/>
    </row>
    <row r="475" spans="13:19" s="8" customFormat="1">
      <c r="M475" s="5"/>
      <c r="N475" s="5"/>
      <c r="P475" s="5"/>
      <c r="Q475" s="5"/>
      <c r="R475" s="5"/>
      <c r="S475" s="318"/>
    </row>
    <row r="476" spans="13:19" s="8" customFormat="1">
      <c r="M476" s="5"/>
      <c r="N476" s="5"/>
      <c r="P476" s="5"/>
      <c r="Q476" s="5"/>
      <c r="R476" s="5"/>
      <c r="S476" s="318"/>
    </row>
    <row r="477" spans="13:19" s="8" customFormat="1">
      <c r="M477" s="5"/>
      <c r="N477" s="5"/>
      <c r="P477" s="5"/>
      <c r="Q477" s="5"/>
      <c r="R477" s="5"/>
      <c r="S477" s="318"/>
    </row>
    <row r="478" spans="13:19" s="8" customFormat="1">
      <c r="M478" s="5"/>
      <c r="N478" s="5"/>
      <c r="P478" s="5"/>
      <c r="Q478" s="5"/>
      <c r="R478" s="5"/>
      <c r="S478" s="318"/>
    </row>
    <row r="479" spans="13:19" s="8" customFormat="1">
      <c r="M479" s="5"/>
      <c r="N479" s="5"/>
      <c r="P479" s="5"/>
      <c r="Q479" s="5"/>
      <c r="R479" s="5"/>
      <c r="S479" s="318"/>
    </row>
    <row r="480" spans="13:19" s="8" customFormat="1">
      <c r="M480" s="5"/>
      <c r="N480" s="5"/>
      <c r="P480" s="5"/>
      <c r="Q480" s="5"/>
      <c r="R480" s="5"/>
      <c r="S480" s="318"/>
    </row>
    <row r="481" spans="13:19" s="8" customFormat="1">
      <c r="M481" s="5"/>
      <c r="N481" s="5"/>
      <c r="P481" s="5"/>
      <c r="Q481" s="5"/>
      <c r="R481" s="5"/>
      <c r="S481" s="318"/>
    </row>
    <row r="482" spans="13:19" s="8" customFormat="1">
      <c r="M482" s="5"/>
      <c r="N482" s="5"/>
      <c r="P482" s="5"/>
      <c r="Q482" s="5"/>
      <c r="R482" s="5"/>
      <c r="S482" s="318"/>
    </row>
    <row r="483" spans="13:19" s="8" customFormat="1">
      <c r="M483" s="5"/>
      <c r="N483" s="5"/>
      <c r="P483" s="5"/>
      <c r="Q483" s="5"/>
      <c r="R483" s="5"/>
      <c r="S483" s="318"/>
    </row>
    <row r="484" spans="13:19" s="8" customFormat="1">
      <c r="M484" s="5"/>
      <c r="N484" s="5"/>
      <c r="P484" s="5"/>
      <c r="Q484" s="5"/>
      <c r="R484" s="5"/>
      <c r="S484" s="318"/>
    </row>
    <row r="485" spans="13:19" s="8" customFormat="1">
      <c r="M485" s="5"/>
      <c r="N485" s="5"/>
      <c r="P485" s="5"/>
      <c r="Q485" s="5"/>
      <c r="R485" s="5"/>
      <c r="S485" s="318"/>
    </row>
    <row r="486" spans="13:19" s="8" customFormat="1">
      <c r="M486" s="5"/>
      <c r="N486" s="5"/>
      <c r="P486" s="5"/>
      <c r="Q486" s="5"/>
      <c r="R486" s="5"/>
      <c r="S486" s="318"/>
    </row>
    <row r="487" spans="13:19" s="8" customFormat="1">
      <c r="M487" s="5"/>
      <c r="N487" s="5"/>
      <c r="P487" s="5"/>
      <c r="Q487" s="5"/>
      <c r="R487" s="5"/>
      <c r="S487" s="318"/>
    </row>
    <row r="488" spans="13:19" s="8" customFormat="1">
      <c r="M488" s="5"/>
      <c r="N488" s="5"/>
      <c r="P488" s="5"/>
      <c r="Q488" s="5"/>
      <c r="R488" s="5"/>
      <c r="S488" s="318"/>
    </row>
    <row r="489" spans="13:19" s="8" customFormat="1">
      <c r="M489" s="5"/>
      <c r="N489" s="5"/>
      <c r="P489" s="5"/>
      <c r="Q489" s="5"/>
      <c r="R489" s="5"/>
      <c r="S489" s="318"/>
    </row>
    <row r="490" spans="13:19" s="8" customFormat="1">
      <c r="M490" s="5"/>
      <c r="N490" s="5"/>
      <c r="P490" s="5"/>
      <c r="Q490" s="5"/>
      <c r="R490" s="5"/>
      <c r="S490" s="318"/>
    </row>
    <row r="491" spans="13:19" s="8" customFormat="1">
      <c r="M491" s="5"/>
      <c r="N491" s="5"/>
      <c r="P491" s="5"/>
      <c r="Q491" s="5"/>
      <c r="R491" s="5"/>
      <c r="S491" s="318"/>
    </row>
    <row r="492" spans="13:19" s="8" customFormat="1">
      <c r="M492" s="5"/>
      <c r="N492" s="5"/>
      <c r="P492" s="5"/>
      <c r="Q492" s="5"/>
      <c r="R492" s="5"/>
      <c r="S492" s="318"/>
    </row>
    <row r="493" spans="13:19" s="8" customFormat="1">
      <c r="M493" s="5"/>
      <c r="N493" s="5"/>
      <c r="P493" s="5"/>
      <c r="Q493" s="5"/>
      <c r="R493" s="5"/>
      <c r="S493" s="318"/>
    </row>
    <row r="494" spans="13:19" s="8" customFormat="1">
      <c r="M494" s="5"/>
      <c r="N494" s="5"/>
      <c r="P494" s="5"/>
      <c r="Q494" s="5"/>
      <c r="R494" s="5"/>
      <c r="S494" s="318"/>
    </row>
    <row r="495" spans="13:19" s="8" customFormat="1">
      <c r="M495" s="5"/>
      <c r="N495" s="5"/>
      <c r="P495" s="5"/>
      <c r="Q495" s="5"/>
      <c r="R495" s="5"/>
      <c r="S495" s="318"/>
    </row>
    <row r="496" spans="13:19" s="8" customFormat="1">
      <c r="M496" s="5"/>
      <c r="N496" s="5"/>
      <c r="P496" s="5"/>
      <c r="Q496" s="5"/>
      <c r="R496" s="5"/>
      <c r="S496" s="318"/>
    </row>
    <row r="497" spans="13:19" s="8" customFormat="1">
      <c r="M497" s="5"/>
      <c r="N497" s="5"/>
      <c r="P497" s="5"/>
      <c r="Q497" s="5"/>
      <c r="R497" s="5"/>
      <c r="S497" s="318"/>
    </row>
    <row r="498" spans="13:19" s="8" customFormat="1">
      <c r="M498" s="5"/>
      <c r="N498" s="5"/>
      <c r="P498" s="5"/>
      <c r="Q498" s="5"/>
      <c r="R498" s="5"/>
      <c r="S498" s="318"/>
    </row>
    <row r="499" spans="13:19" s="8" customFormat="1">
      <c r="M499" s="5"/>
      <c r="N499" s="5"/>
      <c r="P499" s="5"/>
      <c r="Q499" s="5"/>
      <c r="R499" s="5"/>
      <c r="S499" s="318"/>
    </row>
    <row r="500" spans="13:19" s="8" customFormat="1">
      <c r="M500" s="5"/>
      <c r="N500" s="5"/>
      <c r="P500" s="5"/>
      <c r="Q500" s="5"/>
      <c r="R500" s="5"/>
      <c r="S500" s="318"/>
    </row>
    <row r="501" spans="13:19" s="8" customFormat="1">
      <c r="M501" s="5"/>
      <c r="N501" s="5"/>
      <c r="P501" s="5"/>
      <c r="Q501" s="5"/>
      <c r="R501" s="5"/>
      <c r="S501" s="318"/>
    </row>
    <row r="502" spans="13:19" s="8" customFormat="1">
      <c r="M502" s="5"/>
      <c r="N502" s="5"/>
      <c r="P502" s="5"/>
      <c r="Q502" s="5"/>
      <c r="R502" s="5"/>
      <c r="S502" s="318"/>
    </row>
    <row r="503" spans="13:19" s="8" customFormat="1">
      <c r="M503" s="5"/>
      <c r="N503" s="5"/>
      <c r="P503" s="5"/>
      <c r="Q503" s="5"/>
      <c r="R503" s="5"/>
      <c r="S503" s="318"/>
    </row>
    <row r="504" spans="13:19" s="8" customFormat="1">
      <c r="M504" s="5"/>
      <c r="N504" s="5"/>
      <c r="P504" s="5"/>
      <c r="Q504" s="5"/>
      <c r="R504" s="5"/>
      <c r="S504" s="318"/>
    </row>
    <row r="505" spans="13:19" s="8" customFormat="1">
      <c r="M505" s="5"/>
      <c r="N505" s="5"/>
      <c r="P505" s="5"/>
      <c r="Q505" s="5"/>
      <c r="R505" s="5"/>
      <c r="S505" s="318"/>
    </row>
    <row r="506" spans="13:19" s="8" customFormat="1">
      <c r="M506" s="5"/>
      <c r="N506" s="5"/>
      <c r="P506" s="5"/>
      <c r="Q506" s="5"/>
      <c r="R506" s="5"/>
      <c r="S506" s="318"/>
    </row>
    <row r="507" spans="13:19" s="8" customFormat="1">
      <c r="M507" s="5"/>
      <c r="N507" s="5"/>
      <c r="P507" s="5"/>
      <c r="Q507" s="5"/>
      <c r="R507" s="5"/>
      <c r="S507" s="318"/>
    </row>
    <row r="508" spans="13:19" s="8" customFormat="1">
      <c r="M508" s="5"/>
      <c r="N508" s="5"/>
      <c r="P508" s="5"/>
      <c r="Q508" s="5"/>
      <c r="R508" s="5"/>
      <c r="S508" s="318"/>
    </row>
    <row r="509" spans="13:19" s="8" customFormat="1">
      <c r="M509" s="5"/>
      <c r="N509" s="5"/>
      <c r="P509" s="5"/>
      <c r="Q509" s="5"/>
      <c r="R509" s="5"/>
      <c r="S509" s="318"/>
    </row>
    <row r="510" spans="13:19" s="8" customFormat="1">
      <c r="M510" s="5"/>
      <c r="N510" s="5"/>
      <c r="P510" s="5"/>
      <c r="Q510" s="5"/>
      <c r="R510" s="5"/>
      <c r="S510" s="318"/>
    </row>
    <row r="511" spans="13:19" s="8" customFormat="1">
      <c r="M511" s="5"/>
      <c r="N511" s="5"/>
      <c r="P511" s="5"/>
      <c r="Q511" s="5"/>
      <c r="R511" s="5"/>
      <c r="S511" s="318"/>
    </row>
    <row r="512" spans="13:19" s="8" customFormat="1">
      <c r="M512" s="5"/>
      <c r="N512" s="5"/>
      <c r="P512" s="5"/>
      <c r="Q512" s="5"/>
      <c r="R512" s="5"/>
      <c r="S512" s="318"/>
    </row>
    <row r="513" spans="13:19" s="8" customFormat="1">
      <c r="M513" s="5"/>
      <c r="N513" s="5"/>
      <c r="P513" s="5"/>
      <c r="Q513" s="5"/>
      <c r="R513" s="5"/>
      <c r="S513" s="318"/>
    </row>
    <row r="514" spans="13:19" s="8" customFormat="1">
      <c r="M514" s="5"/>
      <c r="N514" s="5"/>
      <c r="P514" s="5"/>
      <c r="Q514" s="5"/>
      <c r="R514" s="5"/>
      <c r="S514" s="318"/>
    </row>
    <row r="515" spans="13:19" s="8" customFormat="1">
      <c r="M515" s="5"/>
      <c r="N515" s="5"/>
      <c r="P515" s="5"/>
      <c r="Q515" s="5"/>
      <c r="R515" s="5"/>
      <c r="S515" s="318"/>
    </row>
    <row r="516" spans="13:19" s="8" customFormat="1">
      <c r="M516" s="5"/>
      <c r="N516" s="5"/>
      <c r="P516" s="5"/>
      <c r="Q516" s="5"/>
      <c r="R516" s="5"/>
      <c r="S516" s="318"/>
    </row>
    <row r="517" spans="13:19" s="8" customFormat="1">
      <c r="M517" s="5"/>
      <c r="N517" s="5"/>
      <c r="P517" s="5"/>
      <c r="Q517" s="5"/>
      <c r="R517" s="5"/>
      <c r="S517" s="318"/>
    </row>
    <row r="518" spans="13:19" s="8" customFormat="1">
      <c r="M518" s="5"/>
      <c r="N518" s="5"/>
      <c r="P518" s="5"/>
      <c r="Q518" s="5"/>
      <c r="R518" s="5"/>
      <c r="S518" s="318"/>
    </row>
    <row r="519" spans="13:19" s="8" customFormat="1">
      <c r="M519" s="5"/>
      <c r="N519" s="5"/>
      <c r="P519" s="5"/>
      <c r="Q519" s="5"/>
      <c r="R519" s="5"/>
      <c r="S519" s="318"/>
    </row>
    <row r="520" spans="13:19" s="8" customFormat="1">
      <c r="M520" s="5"/>
      <c r="N520" s="5"/>
      <c r="P520" s="5"/>
      <c r="Q520" s="5"/>
      <c r="R520" s="5"/>
      <c r="S520" s="318"/>
    </row>
    <row r="521" spans="13:19" s="8" customFormat="1">
      <c r="M521" s="5"/>
      <c r="N521" s="5"/>
      <c r="P521" s="5"/>
      <c r="Q521" s="5"/>
      <c r="R521" s="5"/>
      <c r="S521" s="318"/>
    </row>
    <row r="522" spans="13:19" s="8" customFormat="1">
      <c r="M522" s="5"/>
      <c r="N522" s="5"/>
      <c r="P522" s="5"/>
      <c r="Q522" s="5"/>
      <c r="R522" s="5"/>
      <c r="S522" s="318"/>
    </row>
    <row r="523" spans="13:19" s="8" customFormat="1">
      <c r="M523" s="5"/>
      <c r="N523" s="5"/>
      <c r="P523" s="5"/>
      <c r="Q523" s="5"/>
      <c r="R523" s="5"/>
      <c r="S523" s="318"/>
    </row>
    <row r="524" spans="13:19" s="8" customFormat="1">
      <c r="M524" s="5"/>
      <c r="N524" s="5"/>
      <c r="P524" s="5"/>
      <c r="Q524" s="5"/>
      <c r="R524" s="5"/>
      <c r="S524" s="318"/>
    </row>
    <row r="525" spans="13:19" s="8" customFormat="1">
      <c r="M525" s="5"/>
      <c r="N525" s="5"/>
      <c r="P525" s="5"/>
      <c r="Q525" s="5"/>
      <c r="R525" s="5"/>
      <c r="S525" s="318"/>
    </row>
    <row r="526" spans="13:19" s="8" customFormat="1">
      <c r="M526" s="5"/>
      <c r="N526" s="5"/>
      <c r="P526" s="5"/>
      <c r="Q526" s="5"/>
      <c r="R526" s="5"/>
      <c r="S526" s="318"/>
    </row>
    <row r="527" spans="13:19" s="8" customFormat="1">
      <c r="M527" s="5"/>
      <c r="N527" s="5"/>
      <c r="P527" s="5"/>
      <c r="Q527" s="5"/>
      <c r="R527" s="5"/>
      <c r="S527" s="318"/>
    </row>
    <row r="528" spans="13:19" s="8" customFormat="1">
      <c r="M528" s="5"/>
      <c r="N528" s="5"/>
      <c r="P528" s="5"/>
      <c r="Q528" s="5"/>
      <c r="R528" s="5"/>
      <c r="S528" s="318"/>
    </row>
    <row r="529" spans="13:19" s="8" customFormat="1">
      <c r="M529" s="5"/>
      <c r="N529" s="5"/>
      <c r="P529" s="5"/>
      <c r="Q529" s="5"/>
      <c r="R529" s="5"/>
      <c r="S529" s="318"/>
    </row>
    <row r="530" spans="13:19" s="8" customFormat="1">
      <c r="M530" s="5"/>
      <c r="N530" s="5"/>
      <c r="P530" s="5"/>
      <c r="Q530" s="5"/>
      <c r="R530" s="5"/>
      <c r="S530" s="318"/>
    </row>
    <row r="531" spans="13:19" s="8" customFormat="1">
      <c r="M531" s="5"/>
      <c r="N531" s="5"/>
      <c r="P531" s="5"/>
      <c r="Q531" s="5"/>
      <c r="R531" s="5"/>
      <c r="S531" s="318"/>
    </row>
    <row r="532" spans="13:19" s="8" customFormat="1">
      <c r="M532" s="5"/>
      <c r="N532" s="5"/>
      <c r="P532" s="5"/>
      <c r="Q532" s="5"/>
      <c r="R532" s="5"/>
      <c r="S532" s="318"/>
    </row>
    <row r="533" spans="13:19" s="8" customFormat="1">
      <c r="M533" s="5"/>
      <c r="N533" s="5"/>
      <c r="P533" s="5"/>
      <c r="Q533" s="5"/>
      <c r="R533" s="5"/>
      <c r="S533" s="318"/>
    </row>
    <row r="534" spans="13:19" s="8" customFormat="1">
      <c r="M534" s="5"/>
      <c r="N534" s="5"/>
      <c r="P534" s="5"/>
      <c r="Q534" s="5"/>
      <c r="R534" s="5"/>
      <c r="S534" s="318"/>
    </row>
    <row r="535" spans="13:19" s="8" customFormat="1">
      <c r="M535" s="5"/>
      <c r="N535" s="5"/>
      <c r="P535" s="5"/>
      <c r="Q535" s="5"/>
      <c r="R535" s="5"/>
      <c r="S535" s="318"/>
    </row>
    <row r="536" spans="13:19" s="8" customFormat="1">
      <c r="M536" s="5"/>
      <c r="N536" s="5"/>
      <c r="P536" s="5"/>
      <c r="Q536" s="5"/>
      <c r="R536" s="5"/>
      <c r="S536" s="318"/>
    </row>
    <row r="537" spans="13:19" s="8" customFormat="1">
      <c r="M537" s="5"/>
      <c r="N537" s="5"/>
      <c r="P537" s="5"/>
      <c r="Q537" s="5"/>
      <c r="R537" s="5"/>
      <c r="S537" s="318"/>
    </row>
    <row r="538" spans="13:19" s="8" customFormat="1">
      <c r="M538" s="5"/>
      <c r="N538" s="5"/>
      <c r="P538" s="5"/>
      <c r="Q538" s="5"/>
      <c r="R538" s="5"/>
      <c r="S538" s="318"/>
    </row>
    <row r="539" spans="13:19" s="8" customFormat="1">
      <c r="M539" s="5"/>
      <c r="N539" s="5"/>
      <c r="P539" s="5"/>
      <c r="Q539" s="5"/>
      <c r="R539" s="5"/>
      <c r="S539" s="318"/>
    </row>
    <row r="540" spans="13:19" s="8" customFormat="1">
      <c r="M540" s="5"/>
      <c r="N540" s="5"/>
      <c r="P540" s="5"/>
      <c r="Q540" s="5"/>
      <c r="R540" s="5"/>
      <c r="S540" s="318"/>
    </row>
    <row r="541" spans="13:19" s="8" customFormat="1">
      <c r="M541" s="5"/>
      <c r="N541" s="5"/>
      <c r="P541" s="5"/>
      <c r="Q541" s="5"/>
      <c r="R541" s="5"/>
      <c r="S541" s="318"/>
    </row>
    <row r="542" spans="13:19" s="8" customFormat="1">
      <c r="M542" s="5"/>
      <c r="N542" s="5"/>
      <c r="P542" s="5"/>
      <c r="Q542" s="5"/>
      <c r="R542" s="5"/>
      <c r="S542" s="318"/>
    </row>
    <row r="543" spans="13:19" s="8" customFormat="1">
      <c r="M543" s="5"/>
      <c r="N543" s="5"/>
      <c r="P543" s="5"/>
      <c r="Q543" s="5"/>
      <c r="R543" s="5"/>
      <c r="S543" s="318"/>
    </row>
    <row r="544" spans="13:19" s="8" customFormat="1">
      <c r="M544" s="5"/>
      <c r="N544" s="5"/>
      <c r="P544" s="5"/>
      <c r="Q544" s="5"/>
      <c r="R544" s="5"/>
      <c r="S544" s="318"/>
    </row>
    <row r="545" spans="13:19" s="8" customFormat="1">
      <c r="M545" s="5"/>
      <c r="N545" s="5"/>
      <c r="P545" s="5"/>
      <c r="Q545" s="5"/>
      <c r="R545" s="5"/>
      <c r="S545" s="318"/>
    </row>
    <row r="546" spans="13:19" s="8" customFormat="1">
      <c r="M546" s="5"/>
      <c r="N546" s="5"/>
      <c r="P546" s="5"/>
      <c r="Q546" s="5"/>
      <c r="R546" s="5"/>
      <c r="S546" s="318"/>
    </row>
    <row r="547" spans="13:19" s="8" customFormat="1">
      <c r="M547" s="5"/>
      <c r="N547" s="5"/>
      <c r="P547" s="5"/>
      <c r="Q547" s="5"/>
      <c r="R547" s="5"/>
      <c r="S547" s="318"/>
    </row>
    <row r="548" spans="13:19" s="8" customFormat="1">
      <c r="M548" s="5"/>
      <c r="N548" s="5"/>
      <c r="P548" s="5"/>
      <c r="Q548" s="5"/>
      <c r="R548" s="5"/>
      <c r="S548" s="318"/>
    </row>
    <row r="549" spans="13:19" s="8" customFormat="1">
      <c r="M549" s="5"/>
      <c r="N549" s="5"/>
      <c r="P549" s="5"/>
      <c r="Q549" s="5"/>
      <c r="R549" s="5"/>
      <c r="S549" s="318"/>
    </row>
    <row r="550" spans="13:19" s="8" customFormat="1">
      <c r="M550" s="5"/>
      <c r="N550" s="5"/>
      <c r="P550" s="5"/>
      <c r="Q550" s="5"/>
      <c r="R550" s="5"/>
      <c r="S550" s="318"/>
    </row>
    <row r="551" spans="13:19" s="8" customFormat="1">
      <c r="M551" s="5"/>
      <c r="N551" s="5"/>
      <c r="P551" s="5"/>
      <c r="Q551" s="5"/>
      <c r="R551" s="5"/>
      <c r="S551" s="318"/>
    </row>
    <row r="552" spans="13:19" s="8" customFormat="1">
      <c r="M552" s="5"/>
      <c r="N552" s="5"/>
      <c r="P552" s="5"/>
      <c r="Q552" s="5"/>
      <c r="R552" s="5"/>
      <c r="S552" s="318"/>
    </row>
    <row r="553" spans="13:19" s="8" customFormat="1">
      <c r="M553" s="5"/>
      <c r="N553" s="5"/>
      <c r="P553" s="5"/>
      <c r="Q553" s="5"/>
      <c r="R553" s="5"/>
      <c r="S553" s="318"/>
    </row>
    <row r="554" spans="13:19" s="8" customFormat="1">
      <c r="M554" s="5"/>
      <c r="N554" s="5"/>
      <c r="P554" s="5"/>
      <c r="Q554" s="5"/>
      <c r="R554" s="5"/>
      <c r="S554" s="318"/>
    </row>
    <row r="555" spans="13:19" s="8" customFormat="1">
      <c r="M555" s="5"/>
      <c r="N555" s="5"/>
      <c r="P555" s="5"/>
      <c r="Q555" s="5"/>
      <c r="R555" s="5"/>
      <c r="S555" s="318"/>
    </row>
    <row r="556" spans="13:19" s="8" customFormat="1">
      <c r="M556" s="5"/>
      <c r="N556" s="5"/>
      <c r="P556" s="5"/>
      <c r="Q556" s="5"/>
      <c r="R556" s="5"/>
      <c r="S556" s="318"/>
    </row>
    <row r="557" spans="13:19" s="8" customFormat="1">
      <c r="M557" s="5"/>
      <c r="N557" s="5"/>
      <c r="P557" s="5"/>
      <c r="Q557" s="5"/>
      <c r="R557" s="5"/>
      <c r="S557" s="318"/>
    </row>
    <row r="558" spans="13:19" s="8" customFormat="1">
      <c r="M558" s="5"/>
      <c r="N558" s="5"/>
      <c r="P558" s="5"/>
      <c r="Q558" s="5"/>
      <c r="R558" s="5"/>
      <c r="S558" s="318"/>
    </row>
    <row r="559" spans="13:19" s="8" customFormat="1">
      <c r="M559" s="5"/>
      <c r="N559" s="5"/>
      <c r="P559" s="5"/>
      <c r="Q559" s="5"/>
      <c r="R559" s="5"/>
      <c r="S559" s="318"/>
    </row>
    <row r="560" spans="13:19" s="8" customFormat="1">
      <c r="M560" s="5"/>
      <c r="N560" s="5"/>
      <c r="P560" s="5"/>
      <c r="Q560" s="5"/>
      <c r="R560" s="5"/>
      <c r="S560" s="318"/>
    </row>
    <row r="561" spans="13:19" s="8" customFormat="1">
      <c r="M561" s="5"/>
      <c r="N561" s="5"/>
      <c r="P561" s="5"/>
      <c r="Q561" s="5"/>
      <c r="R561" s="5"/>
      <c r="S561" s="318"/>
    </row>
    <row r="562" spans="13:19" s="8" customFormat="1">
      <c r="M562" s="5"/>
      <c r="N562" s="5"/>
      <c r="P562" s="5"/>
      <c r="Q562" s="5"/>
      <c r="R562" s="5"/>
      <c r="S562" s="318"/>
    </row>
    <row r="563" spans="13:19" s="8" customFormat="1">
      <c r="M563" s="5"/>
      <c r="N563" s="5"/>
      <c r="P563" s="5"/>
      <c r="Q563" s="5"/>
      <c r="R563" s="5"/>
      <c r="S563" s="318"/>
    </row>
    <row r="564" spans="13:19" s="8" customFormat="1">
      <c r="M564" s="5"/>
      <c r="N564" s="5"/>
      <c r="P564" s="5"/>
      <c r="Q564" s="5"/>
      <c r="R564" s="5"/>
      <c r="S564" s="318"/>
    </row>
    <row r="565" spans="13:19" s="8" customFormat="1">
      <c r="M565" s="5"/>
      <c r="N565" s="5"/>
      <c r="P565" s="5"/>
      <c r="Q565" s="5"/>
      <c r="R565" s="5"/>
      <c r="S565" s="318"/>
    </row>
    <row r="566" spans="13:19" s="8" customFormat="1">
      <c r="M566" s="5"/>
      <c r="N566" s="5"/>
      <c r="P566" s="5"/>
      <c r="Q566" s="5"/>
      <c r="R566" s="5"/>
      <c r="S566" s="318"/>
    </row>
    <row r="567" spans="13:19" s="8" customFormat="1">
      <c r="M567" s="5"/>
      <c r="N567" s="5"/>
      <c r="P567" s="5"/>
      <c r="Q567" s="5"/>
      <c r="R567" s="5"/>
      <c r="S567" s="318"/>
    </row>
    <row r="568" spans="13:19" s="8" customFormat="1">
      <c r="M568" s="5"/>
      <c r="N568" s="5"/>
      <c r="P568" s="5"/>
      <c r="Q568" s="5"/>
      <c r="R568" s="5"/>
      <c r="S568" s="318"/>
    </row>
    <row r="569" spans="13:19" s="8" customFormat="1">
      <c r="M569" s="5"/>
      <c r="N569" s="5"/>
      <c r="P569" s="5"/>
      <c r="Q569" s="5"/>
      <c r="R569" s="5"/>
      <c r="S569" s="318"/>
    </row>
    <row r="570" spans="13:19" s="8" customFormat="1">
      <c r="M570" s="5"/>
      <c r="N570" s="5"/>
      <c r="P570" s="5"/>
      <c r="Q570" s="5"/>
      <c r="R570" s="5"/>
      <c r="S570" s="318"/>
    </row>
    <row r="571" spans="13:19" s="8" customFormat="1">
      <c r="M571" s="5"/>
      <c r="N571" s="5"/>
      <c r="P571" s="5"/>
      <c r="Q571" s="5"/>
      <c r="R571" s="5"/>
      <c r="S571" s="318"/>
    </row>
  </sheetData>
  <sheetProtection formatRows="0" selectLockedCells="1" sort="0" autoFilter="0" pivotTables="0"/>
  <mergeCells count="32">
    <mergeCell ref="N152:N154"/>
    <mergeCell ref="O152:O154"/>
    <mergeCell ref="P152:P154"/>
    <mergeCell ref="Q152:Q154"/>
    <mergeCell ref="R152:R154"/>
    <mergeCell ref="S152:S154"/>
    <mergeCell ref="S5:S6"/>
    <mergeCell ref="A152:A154"/>
    <mergeCell ref="C152:C154"/>
    <mergeCell ref="D152:D154"/>
    <mergeCell ref="E152:F153"/>
    <mergeCell ref="G152:H153"/>
    <mergeCell ref="I152:J153"/>
    <mergeCell ref="K152:K154"/>
    <mergeCell ref="L152:L154"/>
    <mergeCell ref="M152:M154"/>
    <mergeCell ref="M5:M6"/>
    <mergeCell ref="N5:N6"/>
    <mergeCell ref="O5:O6"/>
    <mergeCell ref="P5:P6"/>
    <mergeCell ref="Q5:Q6"/>
    <mergeCell ref="R5:R6"/>
    <mergeCell ref="A1:S3"/>
    <mergeCell ref="A5:A6"/>
    <mergeCell ref="B5:B6"/>
    <mergeCell ref="C5:C6"/>
    <mergeCell ref="D5:D6"/>
    <mergeCell ref="E5:F5"/>
    <mergeCell ref="G5:H5"/>
    <mergeCell ref="I5:J5"/>
    <mergeCell ref="K5:K6"/>
    <mergeCell ref="L5:L6"/>
  </mergeCell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2" operator="containsText" id="{E8688E8D-33E9-4D1E-9ECD-735CAA0D297F}">
            <xm:f>NOT(ISERROR(SEARCH("No Aplica",S7)))</xm:f>
            <xm:f>"No Aplica"</xm:f>
            <x14:dxf>
              <fill>
                <patternFill>
                  <bgColor theme="0" tint="-0.14996795556505021"/>
                </patternFill>
              </fill>
            </x14:dxf>
          </x14:cfRule>
          <xm:sqref>S7:S146</xm:sqref>
        </x14:conditionalFormatting>
        <x14:conditionalFormatting xmlns:xm="http://schemas.microsoft.com/office/excel/2006/main">
          <x14:cfRule type="containsText" priority="1" operator="containsText" id="{E3B834F6-5017-4119-8107-2D2AA46BFD10}">
            <xm:f>NOT(ISERROR(SEARCH("No Aplica",S155)))</xm:f>
            <xm:f>"No Aplica"</xm:f>
            <x14:dxf>
              <fill>
                <patternFill>
                  <bgColor theme="0" tint="-0.14996795556505021"/>
                </patternFill>
              </fill>
            </x14:dxf>
          </x14:cfRule>
          <xm:sqref>S155:S254</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0E035C51C7AF0241BE40BA4207F54F9C" ma:contentTypeVersion="3" ma:contentTypeDescription="Crear nuevo documento." ma:contentTypeScope="" ma:versionID="393876690f4069b9c232ab67a40d55f7">
  <xsd:schema xmlns:xsd="http://www.w3.org/2001/XMLSchema" xmlns:xs="http://www.w3.org/2001/XMLSchema" xmlns:p="http://schemas.microsoft.com/office/2006/metadata/properties" xmlns:ns2="eb8d7493-27f6-4b50-8a55-0a9e3d157920" targetNamespace="http://schemas.microsoft.com/office/2006/metadata/properties" ma:root="true" ma:fieldsID="93bfb21d28733edc521e5c0511cac916" ns2:_="">
    <xsd:import namespace="eb8d7493-27f6-4b50-8a55-0a9e3d157920"/>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8d7493-27f6-4b50-8a55-0a9e3d15792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B87A5D-0EC8-484A-AFDF-3A0BD442649F}"/>
</file>

<file path=customXml/itemProps2.xml><?xml version="1.0" encoding="utf-8"?>
<ds:datastoreItem xmlns:ds="http://schemas.openxmlformats.org/officeDocument/2006/customXml" ds:itemID="{DAB4820C-6404-452F-92EA-645391D59C20}"/>
</file>

<file path=customXml/itemProps3.xml><?xml version="1.0" encoding="utf-8"?>
<ds:datastoreItem xmlns:ds="http://schemas.openxmlformats.org/officeDocument/2006/customXml" ds:itemID="{6BE9AC52-8ACF-42BF-AD1E-B4C17476F60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Elvira Tinco Curi</dc:creator>
  <cp:keywords/>
  <dc:description/>
  <cp:lastModifiedBy/>
  <cp:revision/>
  <dcterms:created xsi:type="dcterms:W3CDTF">2020-04-07T01:06:02Z</dcterms:created>
  <dcterms:modified xsi:type="dcterms:W3CDTF">2026-07-14T16:46:50Z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0x0101000E035C51C7AF0241BE40BA4207F54F9C</vt:lpwstr>
  </property>
  <property fmtid="{D5CDD505-2E9C-101B-9397-08002B2CF9AE}" pid="3" name="Order">
    <vt:r8>5000</vt:r8>
  </property>
  <property fmtid="{D5CDD505-2E9C-101B-9397-08002B2CF9AE}" pid="4" name="MediaServiceImageTags">
    <vt:lpwstr/>
  </property>
</Properties>
</file>